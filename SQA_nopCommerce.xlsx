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_Review_SRS" sheetId="1" r:id="rId5"/>
    <sheet state="visible" name="Review_Minutes" sheetId="2" r:id="rId6"/>
    <sheet state="visible" name="Updated_Requirement" sheetId="3" r:id="rId7"/>
    <sheet state="visible" name="UserStory_Test_Scenario" sheetId="4" r:id="rId8"/>
    <sheet state="visible" name="RTM" sheetId="5" r:id="rId9"/>
    <sheet state="visible" name="w4_Test_Case" sheetId="6" r:id="rId10"/>
    <sheet state="visible" name="w4_Test_Data" sheetId="7" r:id="rId11"/>
    <sheet state="visible" name="w5_Test_Execution_Log" sheetId="8" r:id="rId12"/>
    <sheet state="visible" name="w5_Defect_Report" sheetId="9" r:id="rId13"/>
    <sheet state="visible" name="w5_Test_Progress_Report" sheetId="10" r:id="rId14"/>
    <sheet state="visible" name="w6_Defect_Status_Report" sheetId="11" r:id="rId15"/>
    <sheet state="visible" name="w6_Regression_Suite" sheetId="12" r:id="rId16"/>
    <sheet state="visible" name="w6_Dashboard_Metric" sheetId="13" r:id="rId17"/>
    <sheet state="visible" name="w7_Test_Performance" sheetId="14" r:id="rId18"/>
    <sheet state="visible" name="w7_Khuyen_nghi" sheetId="15" r:id="rId19"/>
    <sheet state="visible" name="w7_Summary_Dashboard" sheetId="16" r:id="rId20"/>
    <sheet state="visible" name="Lý thuyết" sheetId="17" r:id="rId21"/>
    <sheet state="visible" name="Biểu đồ gantt" sheetId="18" r:id="rId22"/>
  </sheets>
  <definedNames/>
  <calcPr/>
</workbook>
</file>

<file path=xl/sharedStrings.xml><?xml version="1.0" encoding="utf-8"?>
<sst xmlns="http://schemas.openxmlformats.org/spreadsheetml/2006/main" count="10542" uniqueCount="3834">
  <si>
    <t>ID</t>
  </si>
  <si>
    <t>Tiêu chỉ đánh giá</t>
  </si>
  <si>
    <t>Mục kiểm tra</t>
  </si>
  <si>
    <t>Mô tả</t>
  </si>
  <si>
    <t>Ghi chú</t>
  </si>
  <si>
    <t>Kết quả</t>
  </si>
  <si>
    <t>Mức độ</t>
  </si>
  <si>
    <t>Tổ chức và tính đầy đủ</t>
  </si>
  <si>
    <t>Tất cả các tham chiếu chéo nội bộ đến các yêu cầu khác có chính xác không?</t>
  </si>
  <si>
    <t>Không thấy các tham chiếu chéo rõ ràng giữa các UC (VD: UC010 Thêm vào giỏ hàng không link đến UC012 Thanh toán).</t>
  </si>
  <si>
    <t>Bổ sung liên kết (cross-reference) giữa các Use Case.</t>
  </si>
  <si>
    <t>Fail</t>
  </si>
  <si>
    <t>Medium</t>
  </si>
  <si>
    <t>Tất cả các yêu cầu có được viết ở mức độ chi tiết nhất quán và phù hợp không?</t>
  </si>
  <si>
    <t>Các Use Case đã được mô tả chi tiết và nhất quán giữa các mục theo mẫu</t>
  </si>
  <si>
    <t>_</t>
  </si>
  <si>
    <t>Pass</t>
  </si>
  <si>
    <t>Các yêu cầu có cung cấp cơ sở đầy đủ cho việc thiết kế không?</t>
  </si>
  <si>
    <t>Các Use Case đã liệt kê đầy đủ các trường dữ liệu đầu vào</t>
  </si>
  <si>
    <t>Mức độ ưu tiên triển khai của từng yêu cầu đã được bao gồm chưa?</t>
  </si>
  <si>
    <t>Không có trường 'Mức độ ưu tiên' (Priority) trong bảng đặc tả của toàn bộ 20 Use case.</t>
  </si>
  <si>
    <t>Thêm hàng Priority vào các bảng.</t>
  </si>
  <si>
    <t>Tất cả các giao diện phần cứng, phần mềm và giao tiếp bên ngoài đã được xác định chưa?</t>
  </si>
  <si>
    <t>Tất cả các giao diện phần cứng, phần mềm và giao tiếp bên ngoài đều đã xác định rõ</t>
  </si>
  <si>
    <t>Các thuật toán cốt lõi thuộc về các yêu cầu chức năng đã được định nghĩa chưa?</t>
  </si>
  <si>
    <t>Chưa định nghĩa công thức tính tổng tiền, tính thuế, hoặc công thức trừ % ở UC020 (Bảo trì giảm giá).</t>
  </si>
  <si>
    <t>Bổ sung công thức tính toán cụ thể.</t>
  </si>
  <si>
    <t>Đặc tả có bao gồm tất cả các nhu cầu đã biết của khách hàng hoặc hệ thống không?</t>
  </si>
  <si>
    <t>Đã bao phủ 20 UC cốt yếu theo cấu trúc của nopCommerce.</t>
  </si>
  <si>
    <t>Hành vi mong muốn có được tài liệu hóa cho tất cả các tình huống lỗi dự kiến không?</t>
  </si>
  <si>
    <t>Đã có luồng sự kiện thay thế khá chi tiết cho các lỗi (Ví dụ: 3a, 6a ở UC012).</t>
  </si>
  <si>
    <t>Tính chính xác</t>
  </si>
  <si>
    <t>Có yêu cầu nào xung đột hoặc trùng lặp với các yêu cầu khác không?</t>
  </si>
  <si>
    <t>Các UC được phân chia độc lập, không thấy sự xung đột logic.</t>
  </si>
  <si>
    <t>Mỗi yêu cầu có được viết bằng ngôn ngữ rõ ràng, súc tích và không mơ hồ không?</t>
  </si>
  <si>
    <t>UC003 (Đổi mật khẩu) ghi 'yêu cầu độ mạnh' nhưng không rõ độ mạnh là gì (mấy ký tự, viết hoa/số).</t>
  </si>
  <si>
    <t>Cần định lượng rõ "độ mạnh mật khẩu".</t>
  </si>
  <si>
    <t>Mỗi yêu cầu có thể kiểm chứng được thông qua kiểm thử, trình diễn, đánh giá hoặc phân tích không?</t>
  </si>
  <si>
    <t>Yêu cầu "độ mạnh" mơ hồ ở UC003 nên Tester không thể viết Test Case kiểm chứng chính xác.</t>
  </si>
  <si>
    <t>Sửa lại để đảm bảo tính Testable.</t>
  </si>
  <si>
    <t>Mỗi yêu cầu có nằm trong phạm vi của dự án không?</t>
  </si>
  <si>
    <t>Tất cả đều thuộc hệ thống E-commerce.</t>
  </si>
  <si>
    <t>Mỗi yêu cầu có không chứa các lỗi về nội dung và ngữ pháp không?</t>
  </si>
  <si>
    <t>Tất cả đặc tả UC đều không có lỗi về nội dung và ngữ pháp</t>
  </si>
  <si>
    <t>Có thông tin cần thiết nào bị thiếu trong yêu cầu không? Nếu có, nó đã được đánh dấu là TBD (Cần xác định sau) chưa?</t>
  </si>
  <si>
    <t>Thiếu thông tin kết nối cổng thanh toán nhưng không được đánh dấu là TBD.</t>
  </si>
  <si>
    <t>Đánh dấu TBD nếu chưa chốt được API.</t>
  </si>
  <si>
    <t>Tất cả các yêu cầu có thể được triển khai trong phạm vi các ràng buộc đã biết không?</t>
  </si>
  <si>
    <t>NopCommerce mặc định hỗ trợ các tính năng này.</t>
  </si>
  <si>
    <t>Các thông báo lỗi được chỉ định có tính duy nhất và mang ý nghĩa rõ ràng không?</t>
  </si>
  <si>
    <t>Các thông báo lỗi của 20 UC đã thống nhất theo tiếng Anh rõ ràng cho từng lỗi</t>
  </si>
  <si>
    <t>Low</t>
  </si>
  <si>
    <t>Các thuộc tính chất lượng</t>
  </si>
  <si>
    <t>Tất cả các mục tiêu về hiệu năng có được xác định một cách hợp lý không?</t>
  </si>
  <si>
    <t>Các mục tiêu hiệu năng đã được định lượng rõ ràng, bao gồm thời gian tải trang trung bình, thời gian xử lý giao dịch thanh toán (UC012) và giới hạn chịu tải tối đa của cơ sở dữ liệu</t>
  </si>
  <si>
    <t>Tất cả các yếu tố cân nhắc về an toàn và bảo mật có được xác định một cách hợp lý không?</t>
  </si>
  <si>
    <t>Chưa thấy yêu cầu mã hóa dữ liệu thanh toán hay giao thức SSL trong các bước giao dịch.</t>
  </si>
  <si>
    <t>Thêm yêu cầu HTTPS/Mã hóa vào UC012 và UC001.</t>
  </si>
  <si>
    <t>High</t>
  </si>
  <si>
    <t>Các mục tiêu thuộc tính chất lượng phù hợp khác có được tài liệu hóa và định lượng rõ ràng, đi kèm với các mức độ đánh đổi (tradeoffs) có thể chấp nhận được không?</t>
  </si>
  <si>
    <t>Hệ thống được thiết kế theo tiêu chuẩn hiển thị đáp ứng (Responsive UI), đảm bảo trải nghiệm liền mạch trên thiết bị</t>
  </si>
  <si>
    <t>Khả năng truy vết</t>
  </si>
  <si>
    <t>Mỗi yêu cầu có được nhận dạng một cách duy nhất và chính xác không?</t>
  </si>
  <si>
    <t>Các mã UC001 đến UC020 được đánh số rất chuẩn chỉnh.</t>
  </si>
  <si>
    <t>Mỗi yêu cầu chức năng phần mềm có thể truy xuất ngược về một yêu cầu cấp cao hơn (ví dụ: yêu cầu hệ thống, use case) không?</t>
  </si>
  <si>
    <t>Có sự phân cấp tốt từ Actor đến System.</t>
  </si>
  <si>
    <t>Các vấn đề đặc biệt</t>
  </si>
  <si>
    <t>Tất cả các yêu cầu có thực sự là yêu cầu nghiệp vụ, chứ không phải là các giải pháp thiết kế hoặc triển khai không?</t>
  </si>
  <si>
    <t>Tập trung mô tả hành vi người dùng - hệ thống rất tốt, không đi sâu vào code.</t>
  </si>
  <si>
    <t>Tất cả các chức năng nhạy cảm về mặt thời gian đã được xác định và các tiêu chí thời gian cho chúng đã được quy định chưa?</t>
  </si>
  <si>
    <t>Thiếu thời gian hết hạn (Session Timeout) cho giao dịch thanh toán UC012.</t>
  </si>
  <si>
    <t>Quy định Session Timeout (VD: 15 phút).</t>
  </si>
  <si>
    <t>Các vấn đề về quốc tế hóa (đa ngôn ngữ/vùng miền) đã được giải quyết một cách thỏa đáng chưa?</t>
  </si>
  <si>
    <t>Ngôn ngữ trên giao diện và thông báo lỗi được thống nhất theo Tiếng Anh</t>
  </si>
  <si>
    <t>1. THÔNG TIN CHI TIẾT CUỘC HỌP</t>
  </si>
  <si>
    <t>NGÀY</t>
  </si>
  <si>
    <t>ĐỊA ĐIỂM</t>
  </si>
  <si>
    <t>THỜI GIAN BẮT ĐẦU</t>
  </si>
  <si>
    <t>THỜI GIAN KẾT THÚC</t>
  </si>
  <si>
    <t>Moderator → quản lý cuộc họp</t>
  </si>
  <si>
    <t>Google Meet</t>
  </si>
  <si>
    <t>Reviewer → tìm lỗi</t>
  </si>
  <si>
    <t>DỰ ÁN</t>
  </si>
  <si>
    <t>Recorder → ghi lại lỗi</t>
  </si>
  <si>
    <t>Đảm bảo chất lượng cho phần mềm nopCommerce</t>
  </si>
  <si>
    <t>NGƯỜI THAM DỰ</t>
  </si>
  <si>
    <t>HỌ VÀ TÊN</t>
  </si>
  <si>
    <t>VAI TRÒ</t>
  </si>
  <si>
    <t>Bùi Cao Chung</t>
  </si>
  <si>
    <t>Moderator + Reviewer</t>
  </si>
  <si>
    <t>Bùi Huy Hoàng</t>
  </si>
  <si>
    <t>Recorder + Reviewer</t>
  </si>
  <si>
    <t>Vũ Mạnh Cường</t>
  </si>
  <si>
    <t>Reviewer</t>
  </si>
  <si>
    <t>Nguyễn Văn Tiến Anh</t>
  </si>
  <si>
    <t>2. NỘI DUNG CUỘC HỌP</t>
  </si>
  <si>
    <t>CÁC NỘI DUNG CUỘC HỌP</t>
  </si>
  <si>
    <t>NGƯỜI PHỤ TRÁCH/NGƯỜI TRÌNH BÀY</t>
  </si>
  <si>
    <t>THỜI LƯỢNG</t>
  </si>
  <si>
    <t>Review phần tổ chức và tính đầy đủ</t>
  </si>
  <si>
    <t>30 phút</t>
  </si>
  <si>
    <t>Review phần tính chỉnh xác</t>
  </si>
  <si>
    <t>Review phần các thuộc tính</t>
  </si>
  <si>
    <t>Reivew phần khả năng truy vết và các vấn đề đặc biệt</t>
  </si>
  <si>
    <t>Tổng hợp kết quả, thống nhất hành động sửa</t>
  </si>
  <si>
    <t>Cả nhóm</t>
  </si>
  <si>
    <t>3. NỘI DUNG THẢO LUẬN</t>
  </si>
  <si>
    <t>NỘI DUNG THẢO LUẬN</t>
  </si>
  <si>
    <t>GHI CHÚ THẢO LUẬN</t>
  </si>
  <si>
    <t>Thiếu bảo mật giao dịch (HTTPS/SSL)</t>
  </si>
  <si>
    <t>Chưa có yêu cầu mã hóa dữ liệu thanh toán hay giao thức SSL trong các bước giao dịch (UC012, UC001).</t>
  </si>
  <si>
    <t>Thiếu Session Timeout</t>
  </si>
  <si>
    <t>Chưa quy định thời gian hết hạn (Session Timeout) cho phiên giao dịch thanh toán UC012.</t>
  </si>
  <si>
    <t>Yêu cầu mật khẩu mơ hồ, không Testable</t>
  </si>
  <si>
    <t>UC003 ghi 'yêu cầu độ mạnh' nhưng không định lượng rõ (bao nhiêu ký tự, chữ hoa/số). Tester không thể viết Test case.</t>
  </si>
  <si>
    <t>Thiếu thuật toán tính toán</t>
  </si>
  <si>
    <t>Thiếu tham chiếu chéo (Cross-reference)</t>
  </si>
  <si>
    <t>Không thấy liên kết rõ ràng giữa các UC liên quan (VD: UC010 Thêm vào giỏ hàng không link đến UC012 Thanh toán).</t>
  </si>
  <si>
    <t>Thiếu nhãn đánh dấu TBD</t>
  </si>
  <si>
    <t>Thiếu thông tin kết nối cổng thanh toán nhưng không được đánh dấu là TBD (To Be Determined).</t>
  </si>
  <si>
    <t>Xung đột ngôn ngữ thông báo lỗi</t>
  </si>
  <si>
    <t>Các thông báo lỗi đang bị loạn giữa Tiếng Anh và Tiếng Việt, cần đồng nhất.</t>
  </si>
  <si>
    <t>Thiếu mức độ ưu tiên (Priority)</t>
  </si>
  <si>
    <t>Không có trường 'Mức độ ưu tiên' trong bảng đặc tả của toàn bộ 20 Use case.</t>
  </si>
  <si>
    <t>4. CÁC CÔNG VIỆC CẦN THỰC HIỆN</t>
  </si>
  <si>
    <t>CÔNG VIỆC</t>
  </si>
  <si>
    <t>NGƯỜI PHỤ TRÁCH</t>
  </si>
  <si>
    <t>HẠN HOÀN THÀNH</t>
  </si>
  <si>
    <t>MỨC ĐỘ</t>
  </si>
  <si>
    <t>Thêm yêu cầu mã hóa HTTPS/SSL cho toàn bộ quy trình liên quan đến dữ liệu nhạy cảm.</t>
  </si>
  <si>
    <t>Bổ sung Session Timeout vào UC012: 'Phiên checkout tự động hết hạn sau 15 phút không hoạt động. Hệ thống hiển thị thông báo và chuyển về trang giỏ hàng.'</t>
  </si>
  <si>
    <t>Định lượng lại độ mạnh mật khẩu (VD: 8 ký tự, 1 hoa, 1 số) ở UC003 để đảm bảo tính Testable.</t>
  </si>
  <si>
    <t xml:space="preserve">Viết rõ công thức tính tổng tiền/thuế/giảm giá cho UC020.
</t>
  </si>
  <si>
    <t xml:space="preserve">Rà soát 20 UC: Bổ sung liên kết chéo, cột Priority, và đồng nhất thông báo lỗi Tiếng Việt.
</t>
  </si>
  <si>
    <t>Đánh dấu TBD cho mục API thanh toán ở UC012 để tránh nhóm thiết kế TC dựa trên thông tin chưa xác định</t>
  </si>
  <si>
    <t>Đồng nhất ngôn ngữ thông báo lỗi trong toàn bộ 20 UC sang Tiếng Anh</t>
  </si>
  <si>
    <t>Thêm hàng 'Mức độ ưu tiên' vào bảng toàn bộ 20 UC</t>
  </si>
  <si>
    <t>5. TÀI LIỆU ĐÍNH KÈM</t>
  </si>
  <si>
    <t>TÀI LIỆU</t>
  </si>
  <si>
    <t>SRS_nopCommerce</t>
  </si>
  <si>
    <t>SQA_Plan_nopCommerce</t>
  </si>
  <si>
    <t>Checklist_Review_SRS</t>
  </si>
  <si>
    <t>6. PHÊ DUYỆT VÀ KÝ XÁC NHẬN</t>
  </si>
  <si>
    <t>TÊN NGƯỜI THAM GIA</t>
  </si>
  <si>
    <t>CHỮ KÝ</t>
  </si>
  <si>
    <t>Use Case</t>
  </si>
  <si>
    <t>Lý do thay đổi</t>
  </si>
  <si>
    <t>Nội dung cập nhật chi tiết</t>
  </si>
  <si>
    <t xml:space="preserve">Nguồn </t>
  </si>
  <si>
    <t>Trạng thái</t>
  </si>
  <si>
    <t>Độ ưu tiên</t>
  </si>
  <si>
    <t>CR-01</t>
  </si>
  <si>
    <t>UC001, UC012</t>
  </si>
  <si>
    <t>Thiếu yêu cầu mã hóa dữ liệu nhạy cảm.</t>
  </si>
  <si>
    <t>Bắt buộc trang đăng nhập (UC001) và toàn bộ quy trình checkout (UC012) truy cập qua HTTPS/TLS 1.2 trở lên. Không lưu trực tiếp dữ liệu thẻ tín dụng/tài khoản ngân hàng. Bắt buộc có Header: Strict-Transport-Security, X-Content-Type-Options.</t>
  </si>
  <si>
    <t>Checklist</t>
  </si>
  <si>
    <t>Đã hoàn thành</t>
  </si>
  <si>
    <t>CR-02</t>
  </si>
  <si>
    <t>UC012</t>
  </si>
  <si>
    <t>Thiếu thời gian hết hạn giao dịch thanh toán.</t>
  </si>
  <si>
    <t>Bổ sung Session Timeout: Nếu không thao tác 15 phút tại trang checkout, hệ thống hiển thị cảnh báo. Nếu không phản hồi thêm 2 phút, tự động hủy phiên thanh toán và chuyển về trang giỏ hàng kèm thông báo.</t>
  </si>
  <si>
    <t>CR-03</t>
  </si>
  <si>
    <t>UC003</t>
  </si>
  <si>
    <t>Yêu cầu "độ mạnh mật khẩu" mơ hồ, không Testable.</t>
  </si>
  <si>
    <t>Định lượng cụ thể tiêu chí mật khẩu mới: Độ dài 8 - 100 ký tự. Bắt buộc chứa ít nhất 1 chữ hoa (A-Z), 1 chữ số (0-9) và 1 ký tự đặc biệt. Không được trùng với mật khẩu hiện tại.</t>
  </si>
  <si>
    <t>CR-04</t>
  </si>
  <si>
    <t>UC020</t>
  </si>
  <si>
    <t>Thiếu thuật toán/công thức tính toán cho UC020.</t>
  </si>
  <si>
    <t>Công thức giảm %: Tổng = Giá gốc × (1 – Tỷ lệ% / 100) (tỷ lệ [1, 99]). Công thức giảm số tiền cố định: Tổng = max(0, Giá gốc – Số tiền giảm). Ưu tiên mã giảm giá hơn giảm theo danh mục. Bắt buộc: 1 mã/đơn hàng, không áp dụng đồng thời và báo lỗi nếu mã hết hạn.</t>
  </si>
  <si>
    <t>CR-05</t>
  </si>
  <si>
    <t>Tất cả 20 UC</t>
  </si>
  <si>
    <t>Không có tham chiếu chéo giữa các UC có quan hệ phụ thuộc.</t>
  </si>
  <si>
    <t>Bổ sung Cross-reference: UC010 → UC011, UC012. UC011 → UC012. UC012 → UC019, UC020. UC015 → UC017. UC001 → UC002, UC003, UC004, UC010-UC012. UC017 → UC005, UC008. UC020 → UC012.</t>
  </si>
  <si>
    <t>CR-06</t>
  </si>
  <si>
    <t>Thiếu thông tin nhưng không được đánh dấu TBD.</t>
  </si>
  <si>
    <t>Gắn nhãn [TBD] tại các vị trí chưa xác định nhà cung cấp API: Tên cổng thanh toán , Thông tin xác thực (Merchant ID, Secret Key) , và URL môi trường Sandbox.</t>
  </si>
  <si>
    <t>CR-07</t>
  </si>
  <si>
    <t>Thông báo lỗi không thống nhất Anh/Việt.</t>
  </si>
  <si>
    <t>Đồng nhất 100% ngôn ngữ thông báo lỗi sang Tiếng Anh cho cả 20 UC. Ví dụ: Đổi "Incorrect email or password" thành "Email hoặc mật khẩu không đúng.".</t>
  </si>
  <si>
    <t>CR-08</t>
  </si>
  <si>
    <t>Bảng đặc tả chi tiết thiếu trường Priority.</t>
  </si>
  <si>
    <t>Thêm hàng "Mức độ ưu tiên" sử dụng vào bảng toàn bộ 20 UC.</t>
  </si>
  <si>
    <t>US_ID</t>
  </si>
  <si>
    <t>User Story</t>
  </si>
  <si>
    <t>Action</t>
  </si>
  <si>
    <t>Priority</t>
  </si>
  <si>
    <t>Acceptance Criteria / Test Scenario</t>
  </si>
  <si>
    <t>REQ_ID</t>
  </si>
  <si>
    <t>Requirement Detail</t>
  </si>
  <si>
    <t>Business Rule</t>
  </si>
  <si>
    <t>Viết Acceptance Criteria / Test Scenario theo cú pháp Gherkin (Given – When – Then) để làm cơ sở thiết kế test case.</t>
  </si>
  <si>
    <t>US01</t>
  </si>
  <si>
    <r>
      <rPr>
        <rFont val="Arial"/>
        <b/>
        <color rgb="FF434343"/>
      </rPr>
      <t>Đăng nhập</t>
    </r>
    <r>
      <rPr>
        <rFont val="Arial"/>
        <color rgb="FF434343"/>
      </rPr>
      <t>: Là khách hàng, tôi muốn đăng nhập để truy cập hệ thống</t>
    </r>
  </si>
  <si>
    <t>Khách hàng</t>
  </si>
  <si>
    <t>Critical</t>
  </si>
  <si>
    <r>
      <rPr>
        <rFont val="Arial"/>
        <b/>
        <color rgb="FF434343"/>
      </rPr>
      <t>Given</t>
    </r>
    <r>
      <rPr>
        <rFont val="Arial"/>
        <color rgb="FF434343"/>
      </rPr>
      <t xml:space="preserve">: Có tài khoản
</t>
    </r>
    <r>
      <rPr>
        <rFont val="Arial"/>
        <b/>
        <color rgb="FF434343"/>
      </rPr>
      <t>When</t>
    </r>
    <r>
      <rPr>
        <rFont val="Arial"/>
        <color rgb="FF434343"/>
      </rPr>
      <t xml:space="preserve">: Nhập đúng Email/Pass
</t>
    </r>
    <r>
      <rPr>
        <rFont val="Arial"/>
        <b/>
        <color rgb="FF434343"/>
      </rPr>
      <t>Then</t>
    </r>
    <r>
      <rPr>
        <rFont val="Arial"/>
        <color rgb="FF434343"/>
      </rPr>
      <t>: Vào Trang chủ, báo thành công</t>
    </r>
  </si>
  <si>
    <t>REQ_US01_01</t>
  </si>
  <si>
    <t>- Input: Email, Password
- Checkbox: Remember me
- Link: Forgot password</t>
  </si>
  <si>
    <t>- Mã hóa Password (SHA)
- Kiểm tra trạng thái "Active" trong DB</t>
  </si>
  <si>
    <t>Mức Priority</t>
  </si>
  <si>
    <t>Ý nghĩa</t>
  </si>
  <si>
    <t>Ví dụ</t>
  </si>
  <si>
    <r>
      <rPr>
        <rFont val="Arial"/>
        <b/>
        <color theme="1"/>
      </rPr>
      <t>Given</t>
    </r>
    <r>
      <rPr>
        <rFont val="Arial"/>
        <color theme="1"/>
      </rPr>
      <t xml:space="preserve">: Trang Login
</t>
    </r>
    <r>
      <rPr>
        <rFont val="Arial"/>
        <b/>
        <color theme="1"/>
      </rPr>
      <t>When</t>
    </r>
    <r>
      <rPr>
        <rFont val="Arial"/>
        <color theme="1"/>
      </rPr>
      <t xml:space="preserve">: Để trống thông tin
</t>
    </r>
    <r>
      <rPr>
        <rFont val="Arial"/>
        <b/>
        <color theme="1"/>
      </rPr>
      <t>Then</t>
    </r>
    <r>
      <rPr>
        <rFont val="Arial"/>
        <color theme="1"/>
      </rPr>
      <t>: Báo lỗi trường bắt buộc</t>
    </r>
  </si>
  <si>
    <t>REQ_US01_02</t>
  </si>
  <si>
    <t>- Hiển thị thông báo "Đăng nhập không thành công. Vui lòng sửa lỗi và thử lại.Thông tin đăng nhập được cung cấp không chính xác"</t>
  </si>
  <si>
    <t>- Email/Pass không được NULL</t>
  </si>
  <si>
    <t>P0 – Critical</t>
  </si>
  <si>
    <t>Phải kiểm thử ngay hoặc sửa lỗi khẩn cấp, ảnh hưởng nghiêm trọng đến hoạt động chính</t>
  </si>
  <si>
    <t>Không thể đăng nhập, không thể checkout</t>
  </si>
  <si>
    <r>
      <rPr>
        <rFont val="Arial"/>
        <b/>
        <color theme="1"/>
      </rPr>
      <t>Given</t>
    </r>
    <r>
      <rPr>
        <rFont val="Arial"/>
        <color theme="1"/>
      </rPr>
      <t xml:space="preserve">: Trang Login
</t>
    </r>
    <r>
      <rPr>
        <rFont val="Arial"/>
        <b/>
        <color theme="1"/>
      </rPr>
      <t>When</t>
    </r>
    <r>
      <rPr>
        <rFont val="Arial"/>
        <color theme="1"/>
      </rPr>
      <t xml:space="preserve">: Sai Email/Pass
</t>
    </r>
    <r>
      <rPr>
        <rFont val="Arial"/>
        <b/>
        <color theme="1"/>
      </rPr>
      <t>Then</t>
    </r>
    <r>
      <rPr>
        <rFont val="Arial"/>
        <color theme="1"/>
      </rPr>
      <t>: Báo lỗi thông tin không đúng</t>
    </r>
  </si>
  <si>
    <t>REQ_US01_03</t>
  </si>
  <si>
    <t>- Thông báo lỗi tập trung trên đầu Form</t>
  </si>
  <si>
    <t>- Không phân biệt lỗi do Email hay do Pass</t>
  </si>
  <si>
    <t>P1 – High</t>
  </si>
  <si>
    <t>Ưu tiên cao, cần kiểm thử/sửa sớm vì ảnh hưởng đến chức năng chính</t>
  </si>
  <si>
    <t>Sai mật khẩu không báo lỗi, form đăng nhập không phản hồi</t>
  </si>
  <si>
    <t>US02</t>
  </si>
  <si>
    <r>
      <rPr>
        <rFont val="Arial"/>
        <b/>
        <color theme="1"/>
      </rPr>
      <t>Cập nhật thông tin cá nhân</t>
    </r>
    <r>
      <rPr>
        <rFont val="Arial"/>
        <color theme="1"/>
      </rPr>
      <t>: Là khách hàng, tôi muốn cập nhật thông tin cá nhân</t>
    </r>
  </si>
  <si>
    <r>
      <rPr>
        <rFont val="Arial"/>
        <b/>
        <color theme="1"/>
      </rPr>
      <t>Given</t>
    </r>
    <r>
      <rPr>
        <rFont val="Arial"/>
        <color theme="1"/>
      </rPr>
      <t xml:space="preserve">: Đã login
</t>
    </r>
    <r>
      <rPr>
        <rFont val="Arial"/>
        <b/>
        <color theme="1"/>
      </rPr>
      <t>When</t>
    </r>
    <r>
      <rPr>
        <rFont val="Arial"/>
        <color theme="1"/>
      </rPr>
      <t xml:space="preserve">: Sửa thông tin và lưu
</t>
    </r>
    <r>
      <rPr>
        <rFont val="Arial"/>
        <b/>
        <color theme="1"/>
      </rPr>
      <t>Then</t>
    </r>
    <r>
      <rPr>
        <rFont val="Arial"/>
        <color theme="1"/>
      </rPr>
      <t>: Hệ thống lưu và báo thành công</t>
    </r>
  </si>
  <si>
    <t>REQ_US02_01</t>
  </si>
  <si>
    <t>- Hiển thị thông tin hiện tại lên Form
- Các trường: Giới tính (Radio), Tên đầu tiên, Họ, E-mail, Tên công ty, Đăng ký nhận bản tin</t>
  </si>
  <si>
    <t>- Dữ liệu được cập nhật vào bảng Customer
- Email sau khi sửa phải là duy nhất (Unique) trong hệ thống</t>
  </si>
  <si>
    <t>P2 – Medium</t>
  </si>
  <si>
    <t>Quan trọng vừa phải, có thể làm sau các chức năng chính</t>
  </si>
  <si>
    <t>Thông báo lỗi hiển thị sai màu, căn lề không chuẩn</t>
  </si>
  <si>
    <r>
      <rPr>
        <rFont val="Arial"/>
        <b/>
        <color theme="1"/>
      </rPr>
      <t>Given</t>
    </r>
    <r>
      <rPr>
        <rFont val="Arial"/>
        <color theme="1"/>
      </rPr>
      <t xml:space="preserve">: Trang Profile
</t>
    </r>
    <r>
      <rPr>
        <rFont val="Arial"/>
        <b/>
        <color theme="1"/>
      </rPr>
      <t>When</t>
    </r>
    <r>
      <rPr>
        <rFont val="Arial"/>
        <color theme="1"/>
      </rPr>
      <t xml:space="preserve">: Để trống thông tin
</t>
    </r>
    <r>
      <rPr>
        <rFont val="Arial"/>
        <b/>
        <color theme="1"/>
      </rPr>
      <t>Then</t>
    </r>
    <r>
      <rPr>
        <rFont val="Arial"/>
        <color theme="1"/>
      </rPr>
      <t>: Báo lỗi trường bắt buộc</t>
    </r>
  </si>
  <si>
    <t>REQ_US02_02</t>
  </si>
  <si>
    <t>- Kiểm tra trạng thái Null/Empty của các trường dữ liệu</t>
  </si>
  <si>
    <t>- Các trường: Tên đầu tiên, Họ, E-mail là bắt buộc</t>
  </si>
  <si>
    <t>P3 – Low</t>
  </si>
  <si>
    <t>Ưu tiên thấp, ít ảnh hưởng, có thể kiểm thử cuối cùng</t>
  </si>
  <si>
    <t>Giao diện lỗi chính tả, font chữ chưa đúng</t>
  </si>
  <si>
    <r>
      <rPr>
        <rFont val="Arial"/>
        <b/>
        <color theme="1"/>
      </rPr>
      <t>Given</t>
    </r>
    <r>
      <rPr>
        <rFont val="Arial"/>
        <color theme="1"/>
      </rPr>
      <t xml:space="preserve">: Trang Profile
</t>
    </r>
    <r>
      <rPr>
        <rFont val="Arial"/>
        <b/>
        <color theme="1"/>
      </rPr>
      <t>When</t>
    </r>
    <r>
      <rPr>
        <rFont val="Arial"/>
        <color theme="1"/>
      </rPr>
      <t xml:space="preserve">: Email sai định dạng
</t>
    </r>
    <r>
      <rPr>
        <rFont val="Arial"/>
        <b/>
        <color theme="1"/>
      </rPr>
      <t>Then</t>
    </r>
    <r>
      <rPr>
        <rFont val="Arial"/>
        <color theme="1"/>
      </rPr>
      <t>: Báo lỗi định dạng dữ liệu</t>
    </r>
  </si>
  <si>
    <t>REQ_US02_03</t>
  </si>
  <si>
    <t>- Sử dụng Regex kiểm tra tính hợp lệ của chuỗi Email</t>
  </si>
  <si>
    <t>- Email phải có cấu trúc chuẩn (ví dụ: example@domain.com)</t>
  </si>
  <si>
    <t>US03</t>
  </si>
  <si>
    <r>
      <rPr>
        <rFont val="Arial"/>
        <b/>
        <color rgb="FF434343"/>
      </rPr>
      <t>Đổi mật khẩu</t>
    </r>
    <r>
      <rPr>
        <rFont val="Arial"/>
        <color rgb="FF434343"/>
      </rPr>
      <t>: Là khách hàng, tôi muốn
đổi mật khẩu</t>
    </r>
  </si>
  <si>
    <r>
      <rPr>
        <rFont val="Arial"/>
        <b/>
        <color rgb="FF434343"/>
      </rPr>
      <t>Given</t>
    </r>
    <r>
      <rPr>
        <rFont val="Arial"/>
        <color rgb="FF434343"/>
      </rPr>
      <t xml:space="preserve">: Đã login
</t>
    </r>
    <r>
      <rPr>
        <rFont val="Arial"/>
        <b/>
        <color rgb="FF434343"/>
      </rPr>
      <t>When</t>
    </r>
    <r>
      <rPr>
        <rFont val="Arial"/>
        <color rgb="FF434343"/>
      </rPr>
      <t xml:space="preserve">: Đúng Pass cũ + Pass mới khớp
</t>
    </r>
    <r>
      <rPr>
        <rFont val="Arial"/>
        <b/>
        <color rgb="FF434343"/>
      </rPr>
      <t>Then</t>
    </r>
    <r>
      <rPr>
        <rFont val="Arial"/>
        <color rgb="FF434343"/>
      </rPr>
      <t>: Cập nhật Pass mới</t>
    </r>
  </si>
  <si>
    <t>REQ_US03_01</t>
  </si>
  <si>
    <t>- Các trường: Mật khẩu cũ, Mật khẩu mới, Xác nhận mật khẩu
- Logic xử lý cập nhật bản ghi mật khẩu</t>
  </si>
  <si>
    <t>- Mật khẩu mới phải được 
Hash (SHA256/SHA512)
- Mật khẩu mới không nên trùng với mật khẩu cũ</t>
  </si>
  <si>
    <r>
      <rPr>
        <rFont val="Arial"/>
        <b/>
        <color theme="1"/>
      </rPr>
      <t>Given</t>
    </r>
    <r>
      <rPr>
        <rFont val="Arial"/>
        <color theme="1"/>
      </rPr>
      <t xml:space="preserve">: Trang Đổi pass
</t>
    </r>
    <r>
      <rPr>
        <rFont val="Arial"/>
        <b/>
        <color theme="1"/>
      </rPr>
      <t>When</t>
    </r>
    <r>
      <rPr>
        <rFont val="Arial"/>
        <color theme="1"/>
      </rPr>
      <t xml:space="preserve">: Để trống thông tin
</t>
    </r>
    <r>
      <rPr>
        <rFont val="Arial"/>
        <b/>
        <color theme="1"/>
      </rPr>
      <t>Then</t>
    </r>
    <r>
      <rPr>
        <rFont val="Arial"/>
        <color theme="1"/>
      </rPr>
      <t>: Báo lỗi trường bắt buộc</t>
    </r>
  </si>
  <si>
    <t>REQ_US03_02</t>
  </si>
  <si>
    <t>- Kiểm tra trạng thái Null/Empty của 3 trường mật khẩu</t>
  </si>
  <si>
    <t>- Tất cả các trường là bắt buộc
- Hiện thông báo lỗi tại từng field bị trống</t>
  </si>
  <si>
    <r>
      <rPr>
        <rFont val="Arial"/>
        <b/>
        <color theme="1"/>
      </rPr>
      <t>Given</t>
    </r>
    <r>
      <rPr>
        <rFont val="Arial"/>
        <color theme="1"/>
      </rPr>
      <t xml:space="preserve">: Trang Đổi pass
</t>
    </r>
    <r>
      <rPr>
        <rFont val="Arial"/>
        <b/>
        <color theme="1"/>
      </rPr>
      <t>When</t>
    </r>
    <r>
      <rPr>
        <rFont val="Arial"/>
        <color theme="1"/>
      </rPr>
      <t xml:space="preserve">: Sai Pass cũ
</t>
    </r>
    <r>
      <rPr>
        <rFont val="Arial"/>
        <b/>
        <color theme="1"/>
      </rPr>
      <t>Then</t>
    </r>
    <r>
      <rPr>
        <rFont val="Arial"/>
        <color theme="1"/>
      </rPr>
      <t>: Báo lỗi mật khẩu không đúng</t>
    </r>
  </si>
  <si>
    <t>REQ_US03_03</t>
  </si>
  <si>
    <t>- Logic so khớp mã băm (Hash) của mật khẩu cũ với dữ liệu DB</t>
  </si>
  <si>
    <t>- Nếu không khớp, không được phép thực thi lệnh 
cập nhật mật khẩu mới</t>
  </si>
  <si>
    <r>
      <rPr>
        <rFont val="Arial"/>
        <b/>
        <color theme="1"/>
      </rPr>
      <t>Given</t>
    </r>
    <r>
      <rPr>
        <rFont val="Arial"/>
        <color theme="1"/>
      </rPr>
      <t xml:space="preserve">: Nhập Pass mới
</t>
    </r>
    <r>
      <rPr>
        <rFont val="Arial"/>
        <b/>
        <color theme="1"/>
      </rPr>
      <t>When</t>
    </r>
    <r>
      <rPr>
        <rFont val="Arial"/>
        <color theme="1"/>
      </rPr>
      <t xml:space="preserve">: Pass mới và xác nhận khác nhau
</t>
    </r>
    <r>
      <rPr>
        <rFont val="Arial"/>
        <b/>
        <color theme="1"/>
      </rPr>
      <t>Then</t>
    </r>
    <r>
      <rPr>
        <rFont val="Arial"/>
        <color theme="1"/>
      </rPr>
      <t>: Báo lỗi không khớp</t>
    </r>
  </si>
  <si>
    <t>REQ_US03_04</t>
  </si>
  <si>
    <t>- Logic so sánh giá trị chuỗi (String Comparison) giữa 2 trường mật khẩu mới</t>
  </si>
  <si>
    <t>- Phải giống hệt nhau (Case-sensitive)
 mới được chấp nhận</t>
  </si>
  <si>
    <t>US04</t>
  </si>
  <si>
    <t>Tìm kiếm sản phẩm: Là Khách hàng, tôi muốn nhập từ khóa để tìm kiếm sản phẩm cụ thể.</t>
  </si>
  <si>
    <t>Given: Trang Tìm kiếm.
When: Chọn danh mục/thương hiệu &amp; tìm.
Then: Hiện kết quả khớp mô tả/bộ lọc.</t>
  </si>
  <si>
    <t>REQ_US04_01</t>
  </si>
  <si>
    <t>Hệ thống tìm kiếm từ khóa trên các trường: Tên sản phẩm, SKU (Mã SP), và Mô tả ngắn.</t>
  </si>
  <si>
    <t>Từ khóa không phân biệt chữ hoa/chữ thường.</t>
  </si>
  <si>
    <t>Given: Ô tìm kiếm.
When: Gõ từ khóa &amp; đợi.
Then: Hiện dropdown gợi ý SP.</t>
  </si>
  <si>
    <t>REQ_US04_02</t>
  </si>
  <si>
    <t>Cung cấp checkbox "Advanced search" cho phép tìm kiếm trong: Mô tả chi tiết (Full description), Danh mục cụ thể, Thương hiệu.</t>
  </si>
  <si>
    <t>Khi chọn tìm trong danh mục, có thể chọn thêm "Automatically search subcategories" (Tìm cả trong danh mục con).</t>
  </si>
  <si>
    <t>Given: Dropdown gợi ý mở
When: Hiện danh sách SP.
Then: Có ảnh thumbnail kèm tên SP.</t>
  </si>
  <si>
    <t>REQ_US04_03</t>
  </si>
  <si>
    <t>Khi người dùng đang gõ từ khóa, hệ thống hiển thị dropdown các sản phẩm/từ khóa khớp nhất.</t>
  </si>
  <si>
    <t>Hiển thị tối đa 5-10 kết quả gợi ý. Delay khoảng 300ms sau khi ngừng gõ để gọi API.</t>
  </si>
  <si>
    <t>Given: Trang tìm kiếm.
When: Nhập từ khóa không khớp.
Then: Báo "No products were found...".</t>
  </si>
  <si>
    <t>REQ_US04_04</t>
  </si>
  <si>
    <t>Khung dropdown Auto-complete phải hiển thị ảnh thumbnail thu nhỏ của sản phẩm kèm theo tên.</t>
  </si>
  <si>
    <t>Chỉ hiển thị ảnh nếu tính năng "Show product images in auto-complete search" được bật.</t>
  </si>
  <si>
    <t>Given: Trang chủ/Menu.
When: Click một danh mục.
Then: Hiện danh sách SP của danh mục.</t>
  </si>
  <si>
    <t>REQ_US04_05</t>
  </si>
  <si>
    <t>Nếu từ khóa không khớp bất kỳ sản phẩm nào, hiển thị thông báo rỗng.</t>
  </si>
  <si>
    <t>Thông báo: "No products were found that matched your criteria."</t>
  </si>
  <si>
    <t>US05</t>
  </si>
  <si>
    <t>Xem danh mục sản phẩm: Là một Khách hàng, tôi muốn xem danh sách sản phẩm theo danh mục để dễ dàng tìm kiếm sản phẩm phù hợp.</t>
  </si>
  <si>
    <t>Given: Trang danh sách SP.
When: Click icon Lưới/Danh sách.
Then: Giao diện chuyển đổi kiểu xem.</t>
  </si>
  <si>
    <t>REQ_US05_01</t>
  </si>
  <si>
    <t>Hệ thống hiển thị lưới sản phẩm bao gồm: Ảnh, Tên, Giá bán, Đánh giá và các nút chức năng (Mua, So sánh).</t>
  </si>
  <si>
    <t>Mặc định hiển thị danh mục theo thứ tự sắp xếp (Display order) đã cấu chỉnh trong Admin.</t>
  </si>
  <si>
    <t>Given: Trang danh sách SP.
When: Chọn dropdown Sắp xếp.
Then: SP hiển thị theo thứ tự mới.</t>
  </si>
  <si>
    <t>REQ_US05_02</t>
  </si>
  <si>
    <t>Cho phép người dùng chuyển đổi giữa chế độ xem Lưới (Grid) và xem Danh sách (List).</t>
  </si>
  <si>
    <t>Hệ thống phải ghi nhớ lựa chọn kiểu hiển thị của người dùng trong suốt phiên làm việc.</t>
  </si>
  <si>
    <t>Given: Trang danh sách SP.
When: Chọn dropdown Page size.
Then: Load lại số lượng SP/trang.</t>
  </si>
  <si>
    <t>REQ_US05_03</t>
  </si>
  <si>
    <t>Cung cấp dropdown sắp xếp theo: Tên (A-Z/Z-A), Giá (Thấp-Cao/Cao-Thấp), Sản phẩm mới nhất.</t>
  </si>
  <si>
    <t>Thứ tự sắp xếp phải thay đổi ngay lập tức sau khi người dùng chọn tiêu chí.</t>
  </si>
  <si>
    <t>Given: Danh mục cha.
When: Có danh mục con.
Then: Hiện danh mục con trên lưới SP.</t>
  </si>
  <si>
    <t>REQ_US05_04</t>
  </si>
  <si>
    <t>Cho phép chọn số lượng sản phẩm hiển thị (ví dụ: 3, 6, 9 sản phẩm mỗi trang).</t>
  </si>
  <si>
    <t>Danh sách các số lượng (Page size options) được cấu hình riêng cho từng danh mục.</t>
  </si>
  <si>
    <t>Given: Trang danh sách SP.
When: Kéo trượt/chọn mốc giá.
Then: Lọc SP theo giá đã chọn.</t>
  </si>
  <si>
    <t>REQ_US05_05</t>
  </si>
  <si>
    <t>Nếu danh mục hiện tại có danh mục con, hệ thống phải hiển thị danh sách các danh mục con kèm ảnh đại diện phía trên lưới sản phẩm.</t>
  </si>
  <si>
    <t>Chỉ hiển thị các danh mục con được thiết lập ở trạng thái "Published".</t>
  </si>
  <si>
    <t>US06</t>
  </si>
  <si>
    <t>Lọc sản phẩm: Là Khách hàng, tôi muốn lọc sản phẩm theo các tiêu chí kỹ thuật/giá cả.</t>
  </si>
  <si>
    <t>Given: Trang danh sách SP.
When: Tích bộ lọc thông số.
Then: Lọc SP có thông số tương ứng.</t>
  </si>
  <si>
    <t>REQ_US06_01</t>
  </si>
  <si>
    <t>Cung cấp thanh trượt (Price range slider) hoặc các mốc giá cố định để lọc theo ngân sách.</t>
  </si>
  <si>
    <t>Khoảng giá min-max tự động nội suy từ các sản phẩm đang có mặt trong danh mục hiện tại.</t>
  </si>
  <si>
    <t>Given: Trang danh sách SP.
When: Tích bộ lọc Thương hiệu.
Then: Lọc SP thuộc Thương hiệu đó.</t>
  </si>
  <si>
    <t>REQ_US06_02</t>
  </si>
  <si>
    <t>Hiển thị các khối bộ lọc (Filter blocks) dựa trên Specification Attributes (Màu, Size, RAM...).</t>
  </si>
  <si>
    <t>Chỉ hiển thị các thuộc tính được thiết lập "Allow filtering" trong cấu hình Admin.</t>
  </si>
  <si>
    <t>Given: Có nhiều nhóm bộ lọc.
When: Chọn nhiều điều kiện.
Then: Kết hợp logic lọc (AND/OR).</t>
  </si>
  <si>
    <t>REQ_US06_03</t>
  </si>
  <si>
    <t>Cung cấp danh sách các Thương hiệu có sản phẩm trong danh mục hiện tại để người dùng tích chọn.</t>
  </si>
  <si>
    <t>Logic lọc tương tự thuộc tính thông số.</t>
  </si>
  <si>
    <t>Given: Tính năng AJAX bật.
When: Tích/bỏ tích bộ lọc.
Then: Tải lại lưới SP (không load trang).</t>
  </si>
  <si>
    <t>REQ_US06_04</t>
  </si>
  <si>
    <t>Xử lý logic khi chọn nhiều điều kiện: Các nhóm lọc khác nhau dùng logic AND, trong cùng một nhóm dùng logic OR.</t>
  </si>
  <si>
    <t>VD: (Màu Đỏ OR Xanh) AND (Giá &lt; 1tr) AND (Hãng Apple).</t>
  </si>
  <si>
    <t>Given: Tính năng AJAX filtering đang được bật.
When: Tích chọn hoặc bỏ chọn một bộ lọc bất kỳ.
Then: Chỉ có phần lưới sản phẩm (Product Grid) tải lại để hiển thị kết quả, không tải lại toàn trang.</t>
  </si>
  <si>
    <t>REQ_US06_05</t>
  </si>
  <si>
    <t>Khi tích chọn một bộ lọc, chỉ phần lưới sản phẩm (Product Grid) tự động tải lại để hiển thị kết quả.</t>
  </si>
  <si>
    <t>Yêu cầu bật tính năng "AJAX filtering" (trong các bản nopCommerce mới hoặc qua theme/plugin).</t>
  </si>
  <si>
    <t>US07</t>
  </si>
  <si>
    <t>Xem chi tiết sản phẩm: Là một khách hàng, tôi muốn xem thông tin chi tiết của sản phẩm để đưa ra quyết định mua hàng.</t>
  </si>
  <si>
    <t>Given: Ở trang danh sách.
When: Click vào SP còn hàng.
Then: Hiện trang chi tiết: Ảnh, Tên, Giá, SKU, nút Mua mở.</t>
  </si>
  <si>
    <t>REQ_US07_01</t>
  </si>
  <si>
    <t>Hiển thị giao diện chi tiết đầy đủ cho sản phẩm đang kinh doanh.</t>
  </si>
  <si>
    <t>Phải hiển thị giá sau khuyến mãi nếu có.</t>
  </si>
  <si>
    <t xml:space="preserve">Given: Ở trang danh sách.
When: Click vào SP có tồn kho = 0.
Then: Hiện nhãn "Out of stock", khóa nút "Add to cart".
</t>
  </si>
  <si>
    <t>REQ_US07_02</t>
  </si>
  <si>
    <t>Xử lý trạng thái hiển thị khi sản phẩm hết hàng trong kho.</t>
  </si>
  <si>
    <t>Tồn kho = 0 thì trạng thái là Out of stock.</t>
  </si>
  <si>
    <t>Given: Khách hàng có URL sản phẩm cũ.
When: Truy cập vào SP đã bị xóa hoặc ẩn.
Then: Chuyển hướng về trang lỗi 404.</t>
  </si>
  <si>
    <t>REQ_US07_03</t>
  </si>
  <si>
    <t>Xử lý điều hướng khi người dùng truy cập sản phẩm không hợp lệ.</t>
  </si>
  <si>
    <t>SP phải có trạng thái "Published" mới được xem.</t>
  </si>
  <si>
    <t>Given: SP có nhiều thuộc tính.
When: Khách hàng chọn thay đổi thuộc tính khác.
Then: Giá bán và hình ảnh sản phẩm phải cập nhật tương ứng theo giá trị thuộc tính đã cấu hình.</t>
  </si>
  <si>
    <t>REQ_US07_04</t>
  </si>
  <si>
    <t>Xử lý cập nhật thông tin động theo thuộc tính sản phẩm.</t>
  </si>
  <si>
    <t>Giá trị thuộc tính được cộng dồn hoặc ghi đè vào giá gốc tùy cấu hình trong Admin.</t>
  </si>
  <si>
    <t>US08</t>
  </si>
  <si>
    <t>Đánh giá sản phẩm: Là khách hàng, tôi muốn viết nhận xét và chấm điểm cho sản phẩm để chia sẻ trải nghiệm.</t>
  </si>
  <si>
    <t>Given: Ở trang chi tiết SP.
When: Điền Tiêu đề, Nội dung, chọn Số sao và nhấn "Gửi".
Then: Hệ thống lưu đánh giá, tính lại điểm TB và báo thành công.</t>
  </si>
  <si>
    <t>REQ_US08_01</t>
  </si>
  <si>
    <t>Lưu thông tin đánh giá vào cơ sở dữ liệu và hiển thị lên UI.</t>
  </si>
  <si>
    <t>Cập nhật lại số sao trung bình của SP sau khi gửi</t>
  </si>
  <si>
    <t>Given: Ở trang chi tiết SP.
When: Truy cập vào form đánh giá.
Then: Hệ thống hiển thị thông báo cần đăng nhập để đánh giá</t>
  </si>
  <si>
    <t>REQ_US08_02</t>
  </si>
  <si>
    <t>Xử lý phân quyền, chỉ cho phép User đã xác thực được viết review.</t>
  </si>
  <si>
    <t>Khách hàng bắt buộc phải đăng nhập mới được đánh giá</t>
  </si>
  <si>
    <t>Given: Đang ở form đánh giá.
When: Bỏ trống Tiêu đề/Nội dung hoặc chưa chọn Sao và nhấn "Gửi".
Then: Hệ thống chặn lưu và hiển thị cảnh báo lỗi bằng chữ đỏ ở các trường bị thiếu.</t>
  </si>
  <si>
    <t>REQ_US08_03</t>
  </si>
  <si>
    <t>Validate dữ liệu đầu vào bắt buộc từ phía client và server.</t>
  </si>
  <si>
    <t>Các trường: Tiêu đề. Nội dung là bắt buộc</t>
  </si>
  <si>
    <t>Given: User vừa gửi 1 đánh giá thành công.
When: Tiếp tục nhấn "Gửi" một đánh giá khác cho cùng SP đó ngay lập tức.
Then: Hệ thống chặn lại và báo "Bạn đã gửi đánh giá cho sản phẩm này, vui lòng chờ duyệt".</t>
  </si>
  <si>
    <t>REQ_US08_04</t>
  </si>
  <si>
    <t>Cơ chế chặn gửi đánh giá trùng lặp hoặc spam liên tục.</t>
  </si>
  <si>
    <t>Mỗi User chỉ được phép gửi tối đa 1 Review cho 1 SP trong một khoảng thời gian quy định.</t>
  </si>
  <si>
    <t>Given: Đang ở form đánh giá.
When: Nhập nội dung cực dài (&gt; 2000 ký tự) hoặc quá ngắn (&lt; 10 ký tự).
Then: Hệ thống báo lỗi và không cho phép gửi.</t>
  </si>
  <si>
    <t>REQ_US08_05</t>
  </si>
  <si>
    <t>Ràng buộc độ dài tối thiểu và tối đa của nội dung đánh giá.</t>
  </si>
  <si>
    <t>Độ dài nội dung phải nằm trong khoảng [10 - 2000] ký tự.</t>
  </si>
  <si>
    <t>US09</t>
  </si>
  <si>
    <t>Quản lý địa chỉ: Là khách hàng, tôi muốn quản lý địa chỉ (thêm, sửa, xóa) để thuận tiện cho việc đặt hàng và giao nhận.</t>
  </si>
  <si>
    <t>[Xem]
Given: Ở trang My Account.
When: Click "Addresses".
Then: Hiện danh sách địa chỉ. Nếu chưa có, hiện "No addresses".</t>
  </si>
  <si>
    <t>REQ_US09_01</t>
  </si>
  <si>
    <t>Truy xuất và hiển thị danh sách địa chỉ của User hiện tại.</t>
  </si>
  <si>
    <t>Chỉ được phép truy xuất dữ liệu địa chỉ khớp với Customer_ID của phiên đăng nhập hiện tại.</t>
  </si>
  <si>
    <t>[Thêm] 
Given: Ở trang Addresses.
When: Click "Add new", nhập hợp lệ các trường bắt buộc, nhấn "Save".
Then: Lưu DB, tải lại danh sách, hiện thông báo thành công.</t>
  </si>
  <si>
    <t>REQ_US09_02</t>
  </si>
  <si>
    <t>Thêm mới bản ghi vào bảng Address.</t>
  </si>
  <si>
    <t>Các trường có đánh (*) là bắt buộc nhập.
Số điện thoại phải số hợp lệ</t>
  </si>
  <si>
    <t>[Sửa] 
Given: Ở trang Addresses.
When: Click "Edit" tại 1 địa chỉ, sửa thông tin, nhấn "Save".
Then: Cập nhật DB, báo thành công.</t>
  </si>
  <si>
    <t>REQ_US09_03</t>
  </si>
  <si>
    <t>Cập nhật bản ghi Address hiện tại. Đổ dữ liệu cũ lên form trước khi sửa.</t>
  </si>
  <si>
    <t>Dữ liệu cập nhật không được ghi đè lên địa chỉ khác. Phải giữ nguyên ID của bản ghi.</t>
  </si>
  <si>
    <t>[Xóa] 
Given: Ở trang Addresses.
When: Click "Delete", xác nhận popup.
Then: Xóa khỏi DB, địa chỉ biến mất khỏi danh sách.</t>
  </si>
  <si>
    <t>REQ_US09_04</t>
  </si>
  <si>
    <t>Xóa bản ghi Address. Phải có bước confirm chống xóa nhầm.</t>
  </si>
  <si>
    <t>Không cho phép xóa nếu địa chỉ này đang gắn với một đơn hàng chưa hoàn thành.</t>
  </si>
  <si>
    <t>Given: Địa chỉ đang được gắn với một đơn hàng có trạng thái "Processing".
When: Nhấn nút "Xóa" địa chỉ này.
Then: Hệ thống chặn xóa và báo "Không thể xóa địa chỉ đang được sử dụng cho đơn hàng".</t>
  </si>
  <si>
    <t>REQ_US09_05</t>
  </si>
  <si>
    <t>Ràng buộc dữ liệu giữa bảng Address và bảng Order.</t>
  </si>
  <si>
    <t>Không cho phép xóa địa chỉ là khóa ngoại của các đơn hàng chưa hoàn thành.</t>
  </si>
  <si>
    <t>Given: Ở form Thêm/Sửa.
When: Bỏ trống trường bắt buộc, nhấn "Save".
Then: Báo lỗi chữ đỏ tại ô bị thiếu, chặn lưu</t>
  </si>
  <si>
    <t>REQ_US09_06</t>
  </si>
  <si>
    <t>Validate input đầu vào cho chức năng Thêm và Sửa.</t>
  </si>
  <si>
    <t>US10</t>
  </si>
  <si>
    <t>Thêm vào giỏ hàng: Là khách hàng, tôi muốn chọn và thêm sản phẩm vào giỏ hàng để chuẩn bị cho quá trình thanh toán.</t>
  </si>
  <si>
    <t>Given: Sản phẩm đang ở trạng thái hiển thị và còn tồn kho.
When: Chọn số lượng, các thuộc tính hợp lệ và click "add to cart".
Then: Cập nhật sản phẩm vào phiên giỏ hàng, hiển thị thông báo "The product has been added to your shopping cart" và cập nhật thông tin biểu tượng giỏ hàng.</t>
  </si>
  <si>
    <t>REQ_US10_01</t>
  </si>
  <si>
    <t>Lưu trữ thông tin sản phẩm (ID, quantity , attribute) vào Cart Session của người dùng hiện tại.</t>
  </si>
  <si>
    <t>Sản phẩm phải đang ở trạng thái hiển thị và tồn kho &gt; 0.</t>
  </si>
  <si>
    <t>Given: Sản phẩm có các thuộc tính bắt buộc phải chọn (ví dụ: kích cỡ, màu sắc).
When: Khách hàng click "add to cart" nhưng chưa chọn đủ thuộc tính.
Then: Hệ thống hiển thị cảnh báo/nhắc nhở và không thêm vào giỏ.</t>
  </si>
  <si>
    <t>REQ_US10_02</t>
  </si>
  <si>
    <t>Kiểm tra các trường thuộc tính động của sản phẩm trên giao diện người dùng.</t>
  </si>
  <si>
    <t>Bắt buộc phải chọn các thuộc tính có yêu cầu trước khi thêm vào giỏ.</t>
  </si>
  <si>
    <t>Given: Đang thao tác chọn số lượng sản phẩm.
When: Nhập số lượng yêu cầu lớn hơn số lượng tồn kho thực tế.
Then: Hệ thống báo lỗi và từ chối thêm sản phẩm vào giỏ hàng.</t>
  </si>
  <si>
    <t>REQ_US10_03</t>
  </si>
  <si>
    <t>Hệ thống kiểm tra đối chiếu số lượng khách đặt với dữ liệu tồn kho trong cơ sở dữ liệu.</t>
  </si>
  <si>
    <t>Số lượng yêu cầu thêm phải &lt;= số lượng tồn kho thực tế hiện tại.</t>
  </si>
  <si>
    <t>US11</t>
  </si>
  <si>
    <t>Quản lý giỏ hàng: Là một khách hàng, tôi muốn xem, đổi số lượng hoặc xóa sản phẩm khỏi giỏ hàng.</t>
  </si>
  <si>
    <t>Given: Ở trang chủ và có ít nhất 1 sản phẩm trong giỏ hàng.
When: Click vào biểu tượng giỏ hàng ở trên cùng của trang chủ.
Then: Hiển thị danh sách sản phẩm, giá bán, ô nhập số lượng, nút xóa, và phần tính tổng tiền.</t>
  </si>
  <si>
    <t>REQ_US11_01</t>
  </si>
  <si>
    <t>Truy xuất và hiển thị dữ liệu các sản phẩm đang được lưu trong phiên giỏ hàng của người dùng.</t>
  </si>
  <si>
    <t>Dữ liệu hiển thị phải khớp với các sản phẩm khách hàng đã chọn thêm trước đó.</t>
  </si>
  <si>
    <t>Given: Ở trang chi tiết giỏ hàng.
When: Thực hiện thay đổi số lượng (tăng/giảm) ở ô số lượng hợp lệ.
Then: Kiểm tra lại tồn kho, tính toán lại tổng chi phí, làm mới và hiển thị giao diện giỏ hàng.</t>
  </si>
  <si>
    <t>REQ_US11_02</t>
  </si>
  <si>
    <t>Cập nhật số lượng mới cho sản phẩm trong hệ thống và tính lại số tiền.</t>
  </si>
  <si>
    <t>Số lượng nhập vào phải là số hợp lệ và &lt;= số lượng tồn kho thực tế.</t>
  </si>
  <si>
    <t>Given: Ở trang chi tiết giỏ hàng.
When: Thực hiện thay đổi số lượng lớn hơn tồn kho thực tế.
Then: Hệ thống hiển thị thông báo lỗi không cho phép cập nhật.</t>
  </si>
  <si>
    <t>REQ_US11_03</t>
  </si>
  <si>
    <t>Validate input đầu vào của ô số lượng với số lượng tồn kho trong cơ sở dữ liệu.</t>
  </si>
  <si>
    <t>Chặn cập nhật và giữ nguyên số lượng cũ nếu số lượng yêu cầu vượt quá tồn kho.</t>
  </si>
  <si>
    <t>Given: Ở trang chi tiết giỏ hàng đang có nhiều sản phẩm.
When: Click vào biểu tượng dấu "x" ở một sản phẩm để xóa sản phẩm.
Then: Loại bỏ dữ liệu sản phẩm, tính toán lại tổng chi phí, làm mới và hiển thị giao diện giỏ hàng.</t>
  </si>
  <si>
    <t>REQ_US11_04</t>
  </si>
  <si>
    <t>Xóa bản ghi của sản phẩm được chọn khỏi giỏ hàng hiện tại.</t>
  </si>
  <si>
    <t>Tổng tiền của giỏ hàng phải được khấu trừ đúng bằng giá trị của sản phẩm vừa bị xóa.</t>
  </si>
  <si>
    <t>Given: Ở trang chi tiết giỏ hàng.
When: Click vào biểu tượng dấu "x" để xóa sản phẩm cuối cùng trong giỏ hàng.
Then: Loại bỏ dữ liệu sản phẩm và hiển thị thông báo "Your Shopping Cart is empty!".</t>
  </si>
  <si>
    <t>REQ_US11_05</t>
  </si>
  <si>
    <t>Xử lý trạng thái hiển thị giao diện khi mảng dữ liệu giỏ hàng bị rỗng.</t>
  </si>
  <si>
    <t>Khi giỏ hàng rỗng, các nút liên quan đến Thanh toán phải bị ẩn đi.</t>
  </si>
  <si>
    <t>US12</t>
  </si>
  <si>
    <t>Thanh toán: Là khách hàng, tôi muốn cung cấp địa chỉ, chọn phương thức vận chuyển và thanh toán để đặt mua sản phẩm.</t>
  </si>
  <si>
    <t>Given: Đang ở trang chi tiết giỏ hàng
When: Tích chọn checkbox "I agree with the terms of service"
Then: Tiến hành thanh toán</t>
  </si>
  <si>
    <t>REQ_US12_01</t>
  </si>
  <si>
    <t>Xác nhận sự đồng ý với các điều khoản dịch vụ trước khi bắt đầu quy trình thanh toán.</t>
  </si>
  <si>
    <t>Khách hàng bắt buộc phải tích chọn checkbox "I agree with the terms of service" thì nút "Checkout" mới có hiệu lực hoặc mới có thể tiến hành bước tiếp theo.</t>
  </si>
  <si>
    <t>Given: Đã đăng nhập và giỏ hàng có chứa sản phẩm .
When: Click nút "Checkout" từ trang chi tiết giỏ hàng .
Then: Hiển thị quy trình 6 bước: địa chỉ thanh toán, địa chỉ giao hàng, vận chuyển, thanh toán, thông tin thanh toán và xác nhận.</t>
  </si>
  <si>
    <t>REQ_US12_02</t>
  </si>
  <si>
    <t>Kích hoạt luồng Checkout và hiển thị giao diện các bước thanh toán.</t>
  </si>
  <si>
    <t>Khách hàng bắt buộc phải đăng nhập mới được thực hiện chức năng này.</t>
  </si>
  <si>
    <t>Given: Đang ở bước nhập thông tin địa chỉ .
When: Nhập/chọn địa chỉ hợp lệ và nhấn "Continue" .
Then: Hệ thống ghi nhận địa chỉ và chuyển sang bước chọn phương thức vận chuyển.</t>
  </si>
  <si>
    <t>REQ_US12_03</t>
  </si>
  <si>
    <t>Thu thập và lưu trữ thông tin địa chỉ giao hàng/thanh toán cho đơn hàng.</t>
  </si>
  <si>
    <t>Phải đảm bảo địa chỉ được chọn thuộc quyền sở hữu của khách hàng hiện tại.</t>
  </si>
  <si>
    <t>Given: Đang ở phần nhập địa chỉ .
When: Bỏ trống các trường bắt buộc (*) và nhấn "Continue" .
Then: Cảnh báo thiếu thông tin và chặn không cho chuyển bước tiếp theo.</t>
  </si>
  <si>
    <t>REQ_US12_04</t>
  </si>
  <si>
    <t>Kiểm tra tính đầy đủ của dữ liệu tại form địa chỉ.</t>
  </si>
  <si>
    <t>Các trường như name, Email, country, address là bắt buộc nhập.</t>
  </si>
  <si>
    <t>Given: Đang ở bước chọn phương thức vận chuyển/thanh toán .
When: Chọn phương thức phù hợp và nhấn "Continue" .
Then: Ghi nhận các lựa chọn dịch vụ và chuyển sang màn hình xác nhận đơn hàng.</t>
  </si>
  <si>
    <t>REQ_US12_05</t>
  </si>
  <si>
    <t>Ghi nhận lựa chọn phương thức vận chuyển và thanh toán từ phía khách hàng.</t>
  </si>
  <si>
    <t>Bắt buộc phải chọn một phương thức vận chuyển và một phương thức thanh toán để đi tiếp.</t>
  </si>
  <si>
    <t>Given: Ở bước kiểm tra lại thông tin đơn hàng cuối cùng .
When: Click nút "Confirm" đặt hàng .
Then: Trừ tồn kho, lưu đơn hàng, chuyển hướng đến trang thanh toán thành công và gửi email.</t>
  </si>
  <si>
    <t>REQ_US12_06</t>
  </si>
  <si>
    <t>Xử lý nghiệp vụ lưu trữ đơn hàng, cập nhật lại số lượng tồn kho trong database.</t>
  </si>
  <si>
    <t>Đơn hàng phải được cấp mã định danh và giỏ hàng phải được làm trống sau khi lưu đơn.</t>
  </si>
  <si>
    <t>Given: Đang thực hiện các bước trong quy trình Checkout. 
When: Không có tương tác từ người dùng trong vòng 15 phút. 
Then: Hủy phiên thanh toán, hiển thị thông báo hết hạn và chuyển hướng người dùng về trang giỏ hàng.</t>
  </si>
  <si>
    <t>REQ_US12_07</t>
  </si>
  <si>
    <t>Kiểm soát thời gian hiệu lực của phiên thanh toán để đảm bảo an toàn thông tin và giải phóng tài nguyên hệ thống.</t>
  </si>
  <si>
    <t>Phiên thanh toán phải tự động hết hạn sau đúng 15 phút không có hoạt động. Khi hết hạn, mọi dữ liệu tạm thời trong các bước checkout phải bị xóa (trừ giỏ hàng) và yêu cầu khách hàng thực hiện lại từ đầu.</t>
  </si>
  <si>
    <t>US13</t>
  </si>
  <si>
    <r>
      <rPr>
        <rFont val="Arial"/>
        <b/>
        <color rgb="FF434343"/>
      </rPr>
      <t xml:space="preserve">Quản lý khách hàng: </t>
    </r>
    <r>
      <rPr>
        <rFont val="Arial"/>
        <color rgb="FF434343"/>
      </rPr>
      <t>Là admin, tôi muốn quản lý khách hàng</t>
    </r>
  </si>
  <si>
    <t>Quản trị viên</t>
  </si>
  <si>
    <r>
      <rPr>
        <rFont val="Arial"/>
        <b/>
        <color rgb="FF434343"/>
      </rPr>
      <t>Given</t>
    </r>
    <r>
      <rPr>
        <rFont val="Arial"/>
        <color rgb="FF434343"/>
      </rPr>
      <t xml:space="preserve">: Đăng nhập admin
</t>
    </r>
    <r>
      <rPr>
        <rFont val="Arial"/>
        <b/>
        <color rgb="FF434343"/>
      </rPr>
      <t>When</t>
    </r>
    <r>
      <rPr>
        <rFont val="Arial"/>
        <color rgb="FF434343"/>
      </rPr>
      <t xml:space="preserve">: chọn "Khách hàng"
</t>
    </r>
    <r>
      <rPr>
        <rFont val="Arial"/>
        <b/>
        <color rgb="FF434343"/>
      </rPr>
      <t>Then</t>
    </r>
    <r>
      <rPr>
        <rFont val="Arial"/>
        <color rgb="FF434343"/>
      </rPr>
      <t xml:space="preserve">: Hiển thị danh sách khách hàng
</t>
    </r>
  </si>
  <si>
    <t>REQ_US13_01</t>
  </si>
  <si>
    <t>- Giao diện Data Grid (Bảng dữ liệu)
- Hiển thị: Email, Name, Customer roles, Company, Active</t>
  </si>
  <si>
    <t>- Hỗ trợ phân trang (Pagination)
- Mặc định sắp xếp theo ngày tạo mới nhất</t>
  </si>
  <si>
    <r>
      <rPr>
        <rFont val="Arial"/>
        <b/>
        <color rgb="FF434343"/>
      </rPr>
      <t>Given</t>
    </r>
    <r>
      <rPr>
        <rFont val="Arial"/>
        <color rgb="FF434343"/>
      </rPr>
      <t xml:space="preserve">: Đăng nhập admin
</t>
    </r>
    <r>
      <rPr>
        <rFont val="Arial"/>
        <b/>
        <color rgb="FF434343"/>
      </rPr>
      <t>When</t>
    </r>
    <r>
      <rPr>
        <rFont val="Arial"/>
        <color rgb="FF434343"/>
      </rPr>
      <t xml:space="preserve">: chọn "Khách hàng" khi hệ thông không có dữ liệu
</t>
    </r>
    <r>
      <rPr>
        <rFont val="Arial"/>
        <b/>
        <color rgb="FF434343"/>
      </rPr>
      <t>Then</t>
    </r>
    <r>
      <rPr>
        <rFont val="Arial"/>
        <color rgb="FF434343"/>
      </rPr>
      <t xml:space="preserve">: Hiển thị danh sách trống + thông báo không có dữ liệu nào
</t>
    </r>
  </si>
  <si>
    <t>REQ_US13_02</t>
  </si>
  <si>
    <t>- Label thông báo: "Không có lưu trữ nào"</t>
  </si>
  <si>
    <t>- Vẫn hiển thị tiêu đề bảng và các nút chức năng</t>
  </si>
  <si>
    <r>
      <rPr>
        <rFont val="Arial"/>
        <b/>
        <color rgb="FF434343"/>
      </rPr>
      <t>Given</t>
    </r>
    <r>
      <rPr>
        <rFont val="Arial"/>
        <color rgb="FF434343"/>
      </rPr>
      <t xml:space="preserve">: danh sách khách hàng
</t>
    </r>
    <r>
      <rPr>
        <rFont val="Arial"/>
        <b/>
        <color rgb="FF434343"/>
      </rPr>
      <t>When</t>
    </r>
    <r>
      <rPr>
        <rFont val="Arial"/>
        <color rgb="FF434343"/>
      </rPr>
      <t xml:space="preserve">: Search theo Email/Tên
</t>
    </r>
    <r>
      <rPr>
        <rFont val="Arial"/>
        <b/>
        <color rgb="FF434343"/>
      </rPr>
      <t>Then</t>
    </r>
    <r>
      <rPr>
        <rFont val="Arial"/>
        <color rgb="FF434343"/>
      </rPr>
      <t xml:space="preserve">: Hiện kết quả tương
</t>
    </r>
  </si>
  <si>
    <t>REQ_US13_03</t>
  </si>
  <si>
    <t>- Filter fields: Email, Tên đầu tiên, họ....</t>
  </si>
  <si>
    <t>- Tìm kiếm không phân biệt hoa thường (Case-insensitive)</t>
  </si>
  <si>
    <r>
      <rPr>
        <rFont val="Arial"/>
        <b/>
        <color theme="1"/>
      </rPr>
      <t>Given</t>
    </r>
    <r>
      <rPr>
        <rFont val="Arial"/>
        <color theme="1"/>
      </rPr>
      <t xml:space="preserve">: danh sách khách hàng
</t>
    </r>
    <r>
      <rPr>
        <rFont val="Arial"/>
        <b/>
        <color theme="1"/>
      </rPr>
      <t>When</t>
    </r>
    <r>
      <rPr>
        <rFont val="Arial"/>
        <color theme="1"/>
      </rPr>
      <t xml:space="preserve">: Nhập từ khóa không khớp với dữ liệu nào
</t>
    </r>
    <r>
      <rPr>
        <rFont val="Arial"/>
        <b/>
        <color theme="1"/>
      </rPr>
      <t>Then</t>
    </r>
    <r>
      <rPr>
        <rFont val="Arial"/>
        <color theme="1"/>
      </rPr>
      <t xml:space="preserve">: Hiển thị danh sách trống + thông báo không có dữ liệu nào
</t>
    </r>
  </si>
  <si>
    <t>REQ_US13_04</t>
  </si>
  <si>
    <t>- Thực thi câu lệnh Query tìm kiếm và trả về danh sách rỗng</t>
  </si>
  <si>
    <t>- Hiển thị thông báo: "Không có lưu trữ nào"</t>
  </si>
  <si>
    <r>
      <rPr>
        <rFont val="Arial"/>
        <b/>
        <color theme="1"/>
      </rPr>
      <t>Given</t>
    </r>
    <r>
      <rPr>
        <rFont val="Arial"/>
        <color theme="1"/>
      </rPr>
      <t xml:space="preserve">: Form thêm mới
</t>
    </r>
    <r>
      <rPr>
        <rFont val="Arial"/>
        <b/>
        <color theme="1"/>
      </rPr>
      <t>When</t>
    </r>
    <r>
      <rPr>
        <rFont val="Arial"/>
        <color theme="1"/>
      </rPr>
      <t xml:space="preserve">: Nhập không đúng định dạng hoặc để trống
</t>
    </r>
    <r>
      <rPr>
        <rFont val="Arial"/>
        <b/>
        <color theme="1"/>
      </rPr>
      <t>Then</t>
    </r>
    <r>
      <rPr>
        <rFont val="Arial"/>
        <color theme="1"/>
      </rPr>
      <t xml:space="preserve">: Thông báo lỗi
</t>
    </r>
  </si>
  <si>
    <t>REQ_US13_05</t>
  </si>
  <si>
    <t>- Kiểm tra các trường: Email, Tên đầu tiên, họ....</t>
  </si>
  <si>
    <t>- Email phải đúng định dạng chuẩn
- Password phải đáp ứng độ dài tối thiểu</t>
  </si>
  <si>
    <r>
      <rPr>
        <rFont val="Arial"/>
        <b/>
        <color theme="1"/>
      </rPr>
      <t>Given</t>
    </r>
    <r>
      <rPr>
        <rFont val="Arial"/>
        <color theme="1"/>
      </rPr>
      <t xml:space="preserve">: Form thêm mới
</t>
    </r>
    <r>
      <rPr>
        <rFont val="Arial"/>
        <b/>
        <color theme="1"/>
      </rPr>
      <t>When</t>
    </r>
    <r>
      <rPr>
        <rFont val="Arial"/>
        <color theme="1"/>
      </rPr>
      <t xml:space="preserve">: Nhập đủ info + Lưu
</t>
    </r>
    <r>
      <rPr>
        <rFont val="Arial"/>
        <b/>
        <color theme="1"/>
      </rPr>
      <t>Then</t>
    </r>
    <r>
      <rPr>
        <rFont val="Arial"/>
        <color theme="1"/>
      </rPr>
      <t xml:space="preserve">: Tạo User mới thành công
</t>
    </r>
  </si>
  <si>
    <t>REQ_US13_06</t>
  </si>
  <si>
    <t>- Input: Customer info</t>
  </si>
  <si>
    <t>- Email phải là duy nhất (Unique)
- Mặc định gán Role "Registered" nếu không chọn</t>
  </si>
  <si>
    <r>
      <rPr>
        <rFont val="Arial"/>
        <b/>
        <color theme="1"/>
      </rPr>
      <t>Given</t>
    </r>
    <r>
      <rPr>
        <rFont val="Arial"/>
        <color theme="1"/>
      </rPr>
      <t xml:space="preserve">: Chọn sửa User
</t>
    </r>
    <r>
      <rPr>
        <rFont val="Arial"/>
        <b/>
        <color theme="1"/>
      </rPr>
      <t>When</t>
    </r>
    <r>
      <rPr>
        <rFont val="Arial"/>
        <color theme="1"/>
      </rPr>
      <t xml:space="preserve">: Chỉnh sửa thông tin + lưu
</t>
    </r>
    <r>
      <rPr>
        <rFont val="Arial"/>
        <b/>
        <color theme="1"/>
      </rPr>
      <t>Then</t>
    </r>
    <r>
      <rPr>
        <rFont val="Arial"/>
        <color theme="1"/>
      </rPr>
      <t xml:space="preserve">: Cập nhật thông tin + thông báo
</t>
    </r>
  </si>
  <si>
    <t>REQ_US13_07</t>
  </si>
  <si>
    <t>- Lấy dữ liệu cũ đổ vào Form
- Nút "Tiết kiệm" và "Lưu và tiếp tục sửa"</t>
  </si>
  <si>
    <t>- Ghi nhận thời gian cập nhật vào hệ thống</t>
  </si>
  <si>
    <r>
      <rPr>
        <rFont val="Arial"/>
        <b/>
        <color theme="1"/>
      </rPr>
      <t>Given</t>
    </r>
    <r>
      <rPr>
        <rFont val="Arial"/>
        <color theme="1"/>
      </rPr>
      <t xml:space="preserve">: Chọn sửa User
</t>
    </r>
    <r>
      <rPr>
        <rFont val="Arial"/>
        <b/>
        <color theme="1"/>
      </rPr>
      <t>When</t>
    </r>
    <r>
      <rPr>
        <rFont val="Arial"/>
        <color theme="1"/>
      </rPr>
      <t xml:space="preserve">: Chỉnh sửa thông tin ko đúng định dạng hoặc để trống
</t>
    </r>
    <r>
      <rPr>
        <rFont val="Arial"/>
        <b/>
        <color theme="1"/>
      </rPr>
      <t>Then</t>
    </r>
    <r>
      <rPr>
        <rFont val="Arial"/>
        <color theme="1"/>
      </rPr>
      <t xml:space="preserve">: Thông báo lỗi
</t>
    </r>
  </si>
  <si>
    <t>REQ_US13_08</t>
  </si>
  <si>
    <t>- Logic xác thực (Validation) tương tự luồng thêm mới</t>
  </si>
  <si>
    <t>- Không được để trống các trường (dấu *)</t>
  </si>
  <si>
    <r>
      <rPr>
        <rFont val="Arial"/>
        <b/>
        <color theme="1"/>
      </rPr>
      <t>Given</t>
    </r>
    <r>
      <rPr>
        <rFont val="Arial"/>
        <color theme="1"/>
      </rPr>
      <t xml:space="preserve">: Chọn sửa User
</t>
    </r>
    <r>
      <rPr>
        <rFont val="Arial"/>
        <b/>
        <color theme="1"/>
      </rPr>
      <t>When</t>
    </r>
    <r>
      <rPr>
        <rFont val="Arial"/>
        <color theme="1"/>
      </rPr>
      <t xml:space="preserve">: Nhấn Xóa + Xác nhận
</t>
    </r>
    <r>
      <rPr>
        <rFont val="Arial"/>
        <b/>
        <color theme="1"/>
      </rPr>
      <t>Then</t>
    </r>
    <r>
      <rPr>
        <rFont val="Arial"/>
        <color theme="1"/>
      </rPr>
      <t xml:space="preserve">: Xóa bản ghi khỏi hệ thống
</t>
    </r>
  </si>
  <si>
    <t>REQ_US13_09</t>
  </si>
  <si>
    <t>- Nút "Xóa bỏ"
- Pop-up xác nhận</t>
  </si>
  <si>
    <t>- Cấm xóa tài khoản "Built-in Administrator"
- Xóa các liên kết Role trong bảng Mapping</t>
  </si>
  <si>
    <t>US14</t>
  </si>
  <si>
    <r>
      <rPr>
        <rFont val="Arial"/>
        <b/>
        <color theme="1"/>
      </rPr>
      <t>Quản lý vai trò khách hàng</t>
    </r>
    <r>
      <rPr>
        <rFont val="Arial"/>
        <color theme="1"/>
      </rPr>
      <t>: Là admin, tôi muốn quản lý vai trò người dùng</t>
    </r>
  </si>
  <si>
    <r>
      <rPr>
        <rFont val="Arial"/>
        <b/>
        <color rgb="FF434343"/>
      </rPr>
      <t>Given</t>
    </r>
    <r>
      <rPr>
        <rFont val="Arial"/>
        <color rgb="FF434343"/>
      </rPr>
      <t xml:space="preserve">: Đăng nhập admin
</t>
    </r>
    <r>
      <rPr>
        <rFont val="Arial"/>
        <b/>
        <color rgb="FF434343"/>
      </rPr>
      <t>When</t>
    </r>
    <r>
      <rPr>
        <rFont val="Arial"/>
        <color rgb="FF434343"/>
      </rPr>
      <t xml:space="preserve">: chọn "Vai trò khách hàng"
</t>
    </r>
    <r>
      <rPr>
        <rFont val="Arial"/>
        <b/>
        <color rgb="FF434343"/>
      </rPr>
      <t>Then</t>
    </r>
    <r>
      <rPr>
        <rFont val="Arial"/>
        <color rgb="FF434343"/>
      </rPr>
      <t xml:space="preserve">: Hiển thị danh sách vai trò khách hàng
</t>
    </r>
  </si>
  <si>
    <t>REQ_US14_01</t>
  </si>
  <si>
    <t>- Giao diện bảng (Grid) hiển thị danh sách vai trò
- Các cột: Tên, Miễn phí vận chuyển, Miễn thuế, Hoạt động</t>
  </si>
  <si>
    <t>- Chỉ quản trị viên có quyền truy cập trang này
- Danh sách hiển thị toàn bộ vai trò hiện có</t>
  </si>
  <si>
    <r>
      <rPr>
        <rFont val="Arial"/>
        <b/>
        <color rgb="FF434343"/>
      </rPr>
      <t>Given</t>
    </r>
    <r>
      <rPr>
        <rFont val="Arial"/>
        <color rgb="FF434343"/>
      </rPr>
      <t xml:space="preserve">: Đăng nhập admin
</t>
    </r>
    <r>
      <rPr>
        <rFont val="Arial"/>
        <b/>
        <color rgb="FF434343"/>
      </rPr>
      <t>When</t>
    </r>
    <r>
      <rPr>
        <rFont val="Arial"/>
        <color rgb="FF434343"/>
      </rPr>
      <t xml:space="preserve">: chọn "Vai trò khách hàng" khi hệ thông không có dữ liệu
</t>
    </r>
    <r>
      <rPr>
        <rFont val="Arial"/>
        <b/>
        <color rgb="FF434343"/>
      </rPr>
      <t>Then</t>
    </r>
    <r>
      <rPr>
        <rFont val="Arial"/>
        <color rgb="FF434343"/>
      </rPr>
      <t xml:space="preserve">: Hiển thị danh sách trống + thông báo không có dữ liệu nào
</t>
    </r>
  </si>
  <si>
    <t>REQ_US14_02</t>
  </si>
  <si>
    <t>- Label thông báo: "Không có dữ liệu trong bảng"</t>
  </si>
  <si>
    <t>- Vẫn hiển thị tiêu đề và nút "Thêm mới" để quản trị viên thao tác</t>
  </si>
  <si>
    <r>
      <rPr>
        <rFont val="Arial"/>
        <b/>
        <color theme="1"/>
      </rPr>
      <t>Given</t>
    </r>
    <r>
      <rPr>
        <rFont val="Arial"/>
        <color theme="1"/>
      </rPr>
      <t xml:space="preserve">: Form thêm mới
</t>
    </r>
    <r>
      <rPr>
        <rFont val="Arial"/>
        <b/>
        <color theme="1"/>
      </rPr>
      <t>When</t>
    </r>
    <r>
      <rPr>
        <rFont val="Arial"/>
        <color theme="1"/>
      </rPr>
      <t xml:space="preserve">: Nhập đủ info + Lưu
</t>
    </r>
    <r>
      <rPr>
        <rFont val="Arial"/>
        <b/>
        <color theme="1"/>
      </rPr>
      <t>Then</t>
    </r>
    <r>
      <rPr>
        <rFont val="Arial"/>
        <color theme="1"/>
      </rPr>
      <t xml:space="preserve">: Tạo vai trò mới thành công
</t>
    </r>
  </si>
  <si>
    <t>REQ_US14_03</t>
  </si>
  <si>
    <t>- Các trường nhập: Tên, Hoạt động (Checkbox), Miễn phí vận chuyển, Miễn thuế, Kiểu hiển thị thuế</t>
  </si>
  <si>
    <t>- Dữ liệu được lưu vào bảng CustomerRole
- Tên vai trò là trường thông tin bắt buộc</t>
  </si>
  <si>
    <r>
      <rPr>
        <rFont val="Arial"/>
        <b/>
        <color theme="1"/>
      </rPr>
      <t>Given</t>
    </r>
    <r>
      <rPr>
        <rFont val="Arial"/>
        <color theme="1"/>
      </rPr>
      <t xml:space="preserve">: Form thêm mới
</t>
    </r>
    <r>
      <rPr>
        <rFont val="Arial"/>
        <b/>
        <color theme="1"/>
      </rPr>
      <t>When</t>
    </r>
    <r>
      <rPr>
        <rFont val="Arial"/>
        <color theme="1"/>
      </rPr>
      <t xml:space="preserve">: Nhập không đúng định dạng, để trống và đã tồn tại
</t>
    </r>
    <r>
      <rPr>
        <rFont val="Arial"/>
        <b/>
        <color theme="1"/>
      </rPr>
      <t>Then</t>
    </r>
    <r>
      <rPr>
        <rFont val="Arial"/>
        <color theme="1"/>
      </rPr>
      <t xml:space="preserve">: Thông báo lỗi
</t>
    </r>
  </si>
  <si>
    <t>REQ_US14_04</t>
  </si>
  <si>
    <t>- Kiểm tra trạng thái rỗng và check trùng tên vai trò trong cơ sở dữ liệu</t>
  </si>
  <si>
    <t>- Tên vai trò phải là duy nhất (Unique)
- Thông báo lỗi hiện ở đầu trang hoặc dưới trường nhập</t>
  </si>
  <si>
    <r>
      <rPr>
        <rFont val="Arial"/>
        <b/>
        <color theme="1"/>
      </rPr>
      <t>Given</t>
    </r>
    <r>
      <rPr>
        <rFont val="Arial"/>
        <color theme="1"/>
      </rPr>
      <t xml:space="preserve">: Chọn sửa vai trò
</t>
    </r>
    <r>
      <rPr>
        <rFont val="Arial"/>
        <b/>
        <color theme="1"/>
      </rPr>
      <t>When</t>
    </r>
    <r>
      <rPr>
        <rFont val="Arial"/>
        <color theme="1"/>
      </rPr>
      <t xml:space="preserve">: Chỉnh sửa thông tin + lưu
</t>
    </r>
    <r>
      <rPr>
        <rFont val="Arial"/>
        <b/>
        <color theme="1"/>
      </rPr>
      <t>Then</t>
    </r>
    <r>
      <rPr>
        <rFont val="Arial"/>
        <color theme="1"/>
      </rPr>
      <t xml:space="preserve">: Cập nhật thông tin + thông báo
</t>
    </r>
  </si>
  <si>
    <t>REQ_US14_05</t>
  </si>
  <si>
    <t>- Tải dữ liệu cũ lên Form chỉnh sửa
- Nút bấm: "Tiết kiệm" hoặc "Tiết kiệm và tiếp tục sửa"</t>
  </si>
  <si>
    <t>- Cho phép cập nhật các thuộc tính trừ tên hệ thống (nếu là vai trò mặc định)</t>
  </si>
  <si>
    <r>
      <rPr>
        <rFont val="Arial"/>
        <b/>
        <color theme="1"/>
      </rPr>
      <t>Given</t>
    </r>
    <r>
      <rPr>
        <rFont val="Arial"/>
        <color theme="1"/>
      </rPr>
      <t xml:space="preserve">: Chọn sửa vai trò
</t>
    </r>
    <r>
      <rPr>
        <rFont val="Arial"/>
        <b/>
        <color theme="1"/>
      </rPr>
      <t>When</t>
    </r>
    <r>
      <rPr>
        <rFont val="Arial"/>
        <color theme="1"/>
      </rPr>
      <t xml:space="preserve">: Chỉnh sửa thông tin ko đúng định dạng hoặc để trống
</t>
    </r>
    <r>
      <rPr>
        <rFont val="Arial"/>
        <b/>
        <color theme="1"/>
      </rPr>
      <t>Then</t>
    </r>
    <r>
      <rPr>
        <rFont val="Arial"/>
        <color theme="1"/>
      </rPr>
      <t xml:space="preserve">: Thông báo lỗi
</t>
    </r>
  </si>
  <si>
    <t>REQ_US14_06</t>
  </si>
  <si>
    <t>- Thực hiện xác thực (Validation) tương tự luồng thêm mới</t>
  </si>
  <si>
    <t>- Không cho phép lưu nếu xóa trống tên vai trò</t>
  </si>
  <si>
    <r>
      <rPr>
        <rFont val="Arial"/>
        <b/>
        <color theme="1"/>
      </rPr>
      <t>Given</t>
    </r>
    <r>
      <rPr>
        <rFont val="Arial"/>
        <color theme="1"/>
      </rPr>
      <t xml:space="preserve">: Chọn sửa vai trò
</t>
    </r>
    <r>
      <rPr>
        <rFont val="Arial"/>
        <b/>
        <color theme="1"/>
      </rPr>
      <t>When</t>
    </r>
    <r>
      <rPr>
        <rFont val="Arial"/>
        <color theme="1"/>
      </rPr>
      <t xml:space="preserve">: Nhấn Xóa + Xác nhận
</t>
    </r>
    <r>
      <rPr>
        <rFont val="Arial"/>
        <b/>
        <color theme="1"/>
      </rPr>
      <t>Then</t>
    </r>
    <r>
      <rPr>
        <rFont val="Arial"/>
        <color theme="1"/>
      </rPr>
      <t xml:space="preserve">: Xóa bản ghi khỏi hệ thống
</t>
    </r>
  </si>
  <si>
    <t>REQ_US14_07</t>
  </si>
  <si>
    <t>- Nút bấm: "Xóa bỏ" (nằm trong trang chỉnh sửa)
- Cửa sổ xác nhận: "Bạn có chắc chắn muốn xóa không?"</t>
  </si>
  <si>
    <t>- Cấm xóa các vai trò hệ thống (Administrators, Registered, Guests, Forum Moderators)</t>
  </si>
  <si>
    <r>
      <rPr>
        <rFont val="Arial"/>
        <b/>
        <color theme="1"/>
      </rPr>
      <t>Given</t>
    </r>
    <r>
      <rPr>
        <rFont val="Arial"/>
        <color theme="1"/>
      </rPr>
      <t xml:space="preserve">: Chọn sửa vai trò
</t>
    </r>
    <r>
      <rPr>
        <rFont val="Arial"/>
        <b/>
        <color theme="1"/>
      </rPr>
      <t>When</t>
    </r>
    <r>
      <rPr>
        <rFont val="Arial"/>
        <color theme="1"/>
      </rPr>
      <t xml:space="preserve">: Nhấn xóa vai trò đang được sử dụng
</t>
    </r>
    <r>
      <rPr>
        <rFont val="Arial"/>
        <b/>
        <color theme="1"/>
      </rPr>
      <t>Then</t>
    </r>
    <r>
      <rPr>
        <rFont val="Arial"/>
        <color theme="1"/>
      </rPr>
      <t xml:space="preserve">: Thông báo lỗi
</t>
    </r>
  </si>
  <si>
    <t>REQ_US14_08</t>
  </si>
  <si>
    <t>- Kiểm tra số lượng người dùng đang được gán vai trò này</t>
  </si>
  <si>
    <t>- Nếu vai trò đang có người dùng, hệ thống sẽ chặn xóa và yêu cầu gỡ vai trò khỏi người dùng trước</t>
  </si>
  <si>
    <t>US15</t>
  </si>
  <si>
    <t>BT Danh mục: Là Quản trị viên, tôi muốn quản lý cấu trúc cây danh mục.</t>
  </si>
  <si>
    <t>Given: Màn hình chi tiết.
When: Nhập đủ thông tin bắt buộc.
Then: Lưu thành công.</t>
  </si>
  <si>
    <t>REQ_US15_01</t>
  </si>
  <si>
    <t>Hiển thị giao diện danh sách danh mục dưới dạng bảng (Grid) hoặc sơ đồ cây (Tree view).</t>
  </si>
  <si>
    <t>Hiển thị các thông tin cơ bản: Tên, Published (Trạng thái hiển thị), Display order (Thứ tự).</t>
  </si>
  <si>
    <t>Given: Màn hình chi tiết.
When: Upload ảnh hợp lệ.
Then: Ảnh được lưu và hiển thị.</t>
  </si>
  <si>
    <t>REQ_US15_02</t>
  </si>
  <si>
    <t>Cho phép nhập/sửa: Tên danh mục, Mô tả (hỗ trợ Rich Text Editor), Danh mục cha (Parent category).</t>
  </si>
  <si>
    <t>Tên danh mục là trường bắt buộc (REQ_USuired).</t>
  </si>
  <si>
    <t>Given: Tab SEO.
When: Nhập thông tin SEO.
Then: Dữ liệu SEO được cập nhật.</t>
  </si>
  <si>
    <t>REQ_US15_03</t>
  </si>
  <si>
    <t>Cho phép tải lên (Upload) hình ảnh đại diện cho danh mục.</t>
  </si>
  <si>
    <t>Hỗ trợ các định dạng chuẩn: JPG, PNG, WEBP. Ảnh tự động resize theo cấu hình hệ thống.</t>
  </si>
  <si>
    <t>Given: Trang Quản lý danh mục.
When: Tải trang.
Then: Hiện danh sách dạng bảng/cây.</t>
  </si>
  <si>
    <t>REQ_US15_04</t>
  </si>
  <si>
    <t>Cung cấp tab riêng để nhập: Meta keywords, Meta description, Meta title, và Search engine friendly page name.</t>
  </si>
  <si>
    <t>"Search engine friendly page name" dùng để tạo URL tùy chỉnh (Slug). Nếu bỏ trống, hệ thống tự sinh từ Tên danh mục.</t>
  </si>
  <si>
    <t>Given: Cấu hình hiển thị.
When: Gán Customer roles.
Then: Chỉ roles đó mới thấy danh mục.</t>
  </si>
  <si>
    <t>REQ_US15_05</t>
  </si>
  <si>
    <t>Cho phép chọn hiển thị danh mục cho các nhóm khách hàng (Customer roles) cụ thể hoặc chỉ một số Store nhất định.</t>
  </si>
  <si>
    <t>Nếu không chọn, mặc định hiển thị cho tất cả khách hàng và tất cả các Store.</t>
  </si>
  <si>
    <t>Given: Tab Products.
When: Chọn SP và lưu.
Then: SP liên kết vào danh mục.</t>
  </si>
  <si>
    <t>REQ_US15_06</t>
  </si>
  <si>
    <t>Cung cấp tab "Products" bên trong chi tiết danh mục để tìm và gán nhiều sản phẩm vào danh mục này.</t>
  </si>
  <si>
    <t>Một sản phẩm có thể thuộc nhiều danh mục khác nhau.</t>
  </si>
  <si>
    <t>Given: Màn hình chi tiết.
When: Tick "Published".
Then: Hiện trên Frontend.</t>
  </si>
  <si>
    <t>REQ_US15_07</t>
  </si>
  <si>
    <t>Cung cấp checkbox "Published" để bật/tắt hiển thị danh mục ngoài Frontend.</t>
  </si>
  <si>
    <t>Nếu danh mục bị tắt, các danh mục con bên trong cũng không được hiển thị ngoài Frontend.</t>
  </si>
  <si>
    <t>Given: Danh sách danh mục.
When: Bấm Xóa.
Then: Xóa mềm (Soft Delete).</t>
  </si>
  <si>
    <t>REQ_US15_08</t>
  </si>
  <si>
    <t>Thực hiện xóa danh mục khỏi hệ thống.</t>
  </si>
  <si>
    <t>Hệ thống sử dụng Soft Delete (Deleted = 1 trong DB) thay vì Hard Delete để tránh lỗi Orphan Data.</t>
  </si>
  <si>
    <t>US16</t>
  </si>
  <si>
    <t>BT Thuộc tính: Là Quản trị viên, tôi muốn quản lý các thuộc tính thông số (Specification attributes).</t>
  </si>
  <si>
    <t>Given: Trang Quản lý thuộc tính.
When: Tải trang.
Then: Hiện bảng danh sách.</t>
  </si>
  <si>
    <t>REQ_US16_01</t>
  </si>
  <si>
    <t>Hiển thị bảng quản lý các Specification attributes hiện có trong hệ thống.</t>
  </si>
  <si>
    <t>N/A</t>
  </si>
  <si>
    <t>Given: Màn hình thêm mới.
When: Nhập Tên.
Then: Lưu thành công.</t>
  </si>
  <si>
    <t>REQ_US16_02</t>
  </si>
  <si>
    <t>Cho phép tạo thuộc tính mới bằng cách nhập Tên (Name).</t>
  </si>
  <si>
    <t>Hỗ trợ nhập tên đa ngôn ngữ (Localization) nếu hệ thống cấu hình nhiều ngôn ngữ.</t>
  </si>
  <si>
    <t>Given: Tab Options.
When: Nhập tên option.
Then: Lưu tùy chọn.</t>
  </si>
  <si>
    <t>REQ_US16_03</t>
  </si>
  <si>
    <t>Cho phép thêm các giá trị cụ thể (Options) vào thuộc tính. VD: Thuộc tính "Màu" có các Options "Đỏ", "Xanh".</t>
  </si>
  <si>
    <t>Tên option là trường bắt buộc. Có thể gán mã màu (Color squares) cho option.</t>
  </si>
  <si>
    <t>Given: Danh sách Options
.When: Sửa Display order.
Then: Thứ tự đổi theo số.</t>
  </si>
  <si>
    <t>REQ_US16_04</t>
  </si>
  <si>
    <t>Cung cấp trường "Display order" để sắp xếp thứ tự hiển thị của các thuộc tính và thứ tự của các options bên trong nó.</t>
  </si>
  <si>
    <t>Số càng nhỏ, hiển thị càng xếp lên trên.</t>
  </si>
  <si>
    <t>Given: Màn hình Sản phẩm.
When: Gán thuộc tính.
Then: SP sở hữu thuộc tính.</t>
  </si>
  <si>
    <t>REQ_US16_05</t>
  </si>
  <si>
    <t>Quản trị viên vào màn hình Sản phẩm &gt; Tab "Specification attributes" để gán các giá trị đã tạo.</t>
  </si>
  <si>
    <t>Có thể chọn "Show on product page" (Hiển thị ở bảng thông số chi tiết SP) và "Allow filtering".</t>
  </si>
  <si>
    <t>Given: Màn hình gán thuộc tính.
When: Tick "Allow filtering".
Then: Hiện ở bộ lọc Frontend.</t>
  </si>
  <si>
    <t>REQ_US16_06</t>
  </si>
  <si>
    <t>Tại màn hình gán thuộc tính vào SP, có tùy chọn "Allow filtering" để cho phép KH dùng thuộc tính này làm bộ lọc.</t>
  </si>
  <si>
    <t>Nếu chọn, thuộc tính này sẽ xuất hiện ở thanh Filter bên trái danh mục.</t>
  </si>
  <si>
    <t>Given: Trang Thuộc tính.
When: Nhóm thuộc tính.
Then: Gom nhóm thành công.</t>
  </si>
  <si>
    <t>REQ_US16_07</t>
  </si>
  <si>
    <t>Cho phép tạo các Nhóm thuộc tính (Group) để gom các thuộc tính liên quan lại với nhau.</t>
  </si>
  <si>
    <t>VD: Nhóm "Thông số CPU" chứa thuộc tính "Xung nhịp", "Số nhân".</t>
  </si>
  <si>
    <t>Given: Thuộc tính đã gán vào SP.
When: Xóa thuộc tính/option gốc.
Then: Bị gỡ khỏi toàn bộ SP đã gán.</t>
  </si>
  <si>
    <t>REQ_US16_08</t>
  </si>
  <si>
    <t>Xóa thuộc tính hoặc option khỏi hệ thống.</t>
  </si>
  <si>
    <t>Nếu thuộc tính đã được gán vào sản phẩm, việc xóa thuộc tính gốc sẽ gỡ nó khỏi toàn bộ các sản phẩm đã gán.</t>
  </si>
  <si>
    <t>US17</t>
  </si>
  <si>
    <t>Thêm sản phẩm: Là Admin, tôi muốn thêm sản phẩm mới vào hệ thống để thiết lập danh mục bán hàng.</t>
  </si>
  <si>
    <t>Given: Đang ở trang thêm SP
When: Nhập đủ các trường bắt buộc (Tên, Giá, SKU) ở tab 'Product info' và nhấn 'Save'.
Then: Hệ thống lưu sản phẩm mới, chuyển về danh sách và báo thêm thành công.</t>
  </si>
  <si>
    <t>REQ_US17_01</t>
  </si>
  <si>
    <t>Xử lý lưu thông tin cơ bản của bản ghi sản phẩm mới vào cơ sở dữ liệu.</t>
  </si>
  <si>
    <t xml:space="preserve">1. Tên sản phẩm là bắt buộc.
2. Giá là số không âm
3. Thuộc tính Published mặc định là True.
</t>
  </si>
  <si>
    <t>Given: Đang ở trang thêm SP .
When: Bỏ trống tên sản phẩm  -&gt; nhấn 'Save'.
Then: Cảnh báo đỏ xuất hiện cạnh ô nhập liệu, hệ thống chặn hành động lưu.</t>
  </si>
  <si>
    <t>REQ_US17_02</t>
  </si>
  <si>
    <t>Validate các trường dữ liệu đầu vào trước khi submit form.</t>
  </si>
  <si>
    <t>Không được lưu dữ liệu rác. Ô Price phải là kiểu số.</t>
  </si>
  <si>
    <t>Given: Ở tab 'Pictures' của trang thêm sản phẩm.
When: Upload 1 file ảnh (JPG/PNG), thêm Alt text và nhấn 'Add product picture'.
Then: Ảnh tải lên thành công, hiển thị hình thu nhỏ trong lưới danh sách ảnh của SP đó.</t>
  </si>
  <si>
    <t>REQ_US17_03</t>
  </si>
  <si>
    <t>Xử lý chức năng tải tệp tin hình ảnh lên máy chủ và liên kết với sản phẩm.</t>
  </si>
  <si>
    <t>Chỉ cho phép tải lên định dạng hình ảnh chuẩn và dung lượng cho phép.</t>
  </si>
  <si>
    <t>Given: Ở panel 'Inventory'.
When: Chọn phương thức quản lý 'Track inventory' (Theo dõi tồn kho) và nhập Stock quantity = 10 -&gt; 'Save'.
Then: Sản phẩm lưu trạng thái tồn kho bằng 10 và sẽ tự động trừ khi có đơn đặt hàng.</t>
  </si>
  <si>
    <t>REQ_US17_04</t>
  </si>
  <si>
    <t>Cấu hình phương thức quản lý kho  cho sản phẩm.</t>
  </si>
  <si>
    <t>Nếu cấu hình là 'Track inventory', Stock quantity bắt buộc phải là số nguyên.</t>
  </si>
  <si>
    <t>Given: Hệ thống đã có SP với mã SKU là "LAPTOP-001".
When: Admin thêm SP mới và cũng nhập SKU là "LAPTOP-001".
Then: Báo lỗi "SKU đã tồn tại" và chặn lưu.</t>
  </si>
  <si>
    <t>REQ_US17_05</t>
  </si>
  <si>
    <t>Kiểm tra tính duy nhất của mã định danh sản phẩm (SKU).</t>
  </si>
  <si>
    <t>Trường SKU phải là duy nhất trong CSDL.</t>
  </si>
  <si>
    <t>Given: Ở mục tải ảnh sản phẩm.
When: Cố tình upload một file không phải ảnh (VD: .pdf, .txt, .exe).
Then: Hệ thống báo lỗi "File định dạng không hợp lệ" và chặn upload</t>
  </si>
  <si>
    <t>REQ_US17_06</t>
  </si>
  <si>
    <t>Kiểm soát định dạng tệp tin tải lên</t>
  </si>
  <si>
    <t>Chỉ chấp nhận các đuôi file: .jpg, .jpeg, .png, .gif.</t>
  </si>
  <si>
    <t>US18</t>
  </si>
  <si>
    <t>Chỉnh sửa hàng loạt: Là Admin, tôi muốn sửa giá và tồn kho của nhiều SP ngay trên 1 màn hình để tiết kiệm thời gian cập nhật.</t>
  </si>
  <si>
    <t>Given: Đang ở trang Bulk edit.
When: Trang tải hoàn tất.
Then: Hệ thống load bảng dữ liệu hiển thị các cột: Tên SP, SKU, Price, Old Price, Manage inventory, Stock qty, Published.</t>
  </si>
  <si>
    <t>REQ_US18_01</t>
  </si>
  <si>
    <t>Truy xuất và hiển thị danh sách sản phẩm dưới dạng lưới hỗ trợ chỉnh sửa trực tiếp.</t>
  </si>
  <si>
    <t>Grid phải hỗ trợ phân trang  để không làm treo trình duyệt nếu DB có hàng ngàn sản phẩm.</t>
  </si>
  <si>
    <t>Given: Đang ở trangBulk edit.
When: Gõ thay đổi số lượng tồn kho của 1 SP và click "Save selected" hoặc "Save all".
Then: Hệ thống lưu dữ liệu xuống DB, tải lại dữ liệu mới trên bảng và báo cập nhật thành công. Nếu tick "Published", SP sẽ hiện ở trang chủ.</t>
  </si>
  <si>
    <t>REQ_US18_02</t>
  </si>
  <si>
    <t>Xử lý cập nhật hàng loạt các thay đổi từ form Grid xuống CSDL.</t>
  </si>
  <si>
    <t>Khi nhấn Save, hệ thống chỉ gửi REQ_USuest cập nhật cho những sản phẩm có sự thay đổi dữ liệu để tối ưu hiệu suất server.</t>
  </si>
  <si>
    <t>Given: Đang thao tác nhập liệu trên lưới Bulk edit.
When: Nhập sai định dạng.
Then: Hệ thống hiển thị viền đỏ cảnh báo ngay tại ô dữ liệu đó, đồng thời chặn không cho thực hiện thao tác Save.</t>
  </si>
  <si>
    <t>REQ_US18_03</t>
  </si>
  <si>
    <t>Xác thực kiểu dữ liệu đầu vào trực tiếp trên Grid phía Client-side và Server-side.</t>
  </si>
  <si>
    <t>1. Name không được để trống.
2. Price và Old Price phải là số &gt;= 0.
3. Stock Quantity phải là số nguyên.</t>
  </si>
  <si>
    <t>Given: Đang ở lưới Bulk edit.
When: Sử dụng bộ lọc tìm kiếm theo Category hoặc Manufacturer.
Then: Lưới dữ liệu chỉ hiển thị các sản phẩm khớp với điều kiện lọc</t>
  </si>
  <si>
    <t>REQ_US18_04</t>
  </si>
  <si>
    <t>Tích hợp bộ lọc dữ liệu vào giao diện chỉnh sửa hàng loạt.</t>
  </si>
  <si>
    <t>Kết quả lọc phải chính xác và hỗ trợ phân trang ngay trên kết quả đó.</t>
  </si>
  <si>
    <t>US19</t>
  </si>
  <si>
    <t>Bảo trì đơn đặt hàng: Là quản trị viên, tôi muốn xem danh sách, tìm kiếm, cập nhật trạng thái và hủy đơn đặt hàng.</t>
  </si>
  <si>
    <t>Given: Quản trị viên đã đăng nhập và truy cập menu "Sales -&gt; Orders" .
When: Nhập tiêu chí lọc (Start date, End date, Order statuses, Payment statuses, Billing email address, ...) và click "Search" .
Then: Hiển thị danh sách đơn đặt hàng khớp với điều kiện hoặc hiện bảng trống kèm dòng "No data available in table".</t>
  </si>
  <si>
    <t>REQ_US19_01</t>
  </si>
  <si>
    <t>Truy vấn cơ sở dữ liệu dựa trên các tiêu chí quản trị viên đã nhập để hiển thị lên bảng dữ liệu.</t>
  </si>
  <si>
    <t>Nếu không có đơn hàng nào thỏa mãn điều kiện, hệ thống phải xử lý hiển thị bảng rỗng thay vì báo lỗi hệ thống.</t>
  </si>
  <si>
    <t>Given: Đang ở bảng danh sách các đơn hàng hiện có .
When: Chọn một đơn hàng bất kỳ và click nút "View" .
Then: Hiển thị giao diện chi tiết bao gồm thông tin khách hàng, sản phẩm, thanh toán và vận chuyển.</t>
  </si>
  <si>
    <t>REQ_US19_02</t>
  </si>
  <si>
    <t>Truy xuất toàn bộ thông tin định danh và lịch sử của một đơn hàng cụ thể từ DB.</t>
  </si>
  <si>
    <t>Chỉ hiển thị dữ liệu chi tiết khi quản trị viên có đủ quyền truy cập vào mục "Orders".</t>
  </si>
  <si>
    <t>Given: Đang ở trong trang giao diện chi tiết đơn hàng .
When: Thay đổi trạng thái tại mục "Order statuses", "Payment statuses" hoặc "Shipping address" và click "Save" .
Then: Hệ thống cập nhật dữ liệu mới vào cơ sở dữ liệu và hiển thị thông báo thay đổi thành công.</t>
  </si>
  <si>
    <t>REQ_US19_03</t>
  </si>
  <si>
    <t>Thực hiện cập nhật trạng thái đơn hàng và ghi nhận các thay đổi vào lịch sử đơn hàng.</t>
  </si>
  <si>
    <t>Mọi thay đổi trạng thái phải được lưu trữ an toàn và phản ánh ngay lập tức trên giao diện quản trị.</t>
  </si>
  <si>
    <t>Given: Đang ở giao diện quản trị đơn hàng. 
When: Chọn tệp Excel hợp lệ và click "Import from Excel". Then: Hệ thống kiểm tra dữ liệu, lưu đơn hàng mới và cập nhật lại danh sách.</t>
  </si>
  <si>
    <t>REQ_US19_04</t>
  </si>
  <si>
    <t>Thêm mới hàng loạt đơn đặt hàng vào hệ thống từ tệp tin Excel bên ngoài.</t>
  </si>
  <si>
    <t>- Hệ thống bắt buộc phải kiểm tra các trường dữ liệu bắt buộc và định dạng tệp tin trước khi lưu.
- Nếu tệp tin trống hoặc sai định dạng trường dữ liệu, hệ thống phải thông báo lỗi và chặn thao tác lưu.</t>
  </si>
  <si>
    <t>Given: Đang ở trang chi tiết đơn hàng .
When: Click nút "Delete", xác nhận hủy và đơn hàng đang ở trạng thái cho phép hủy .
Then: Xóa đơn hàng, hoàn trả số lượng tồn kho cho sản phẩm và báo thành công.</t>
  </si>
  <si>
    <t>REQ_US19_05</t>
  </si>
  <si>
    <t>Xử lý lệnh xóa đơn hàng và kích hoạt hàm hoàn trả tồn kho tự động.</t>
  </si>
  <si>
    <t>Số lượng tồn kho của các sản phẩm trong đơn phải được tính toán lại hợp lý ngay sau khi hủy.</t>
  </si>
  <si>
    <t>Given: Đơn hàng đã ở trạng thái hoàn thành .
When: Quản trị viên thực hiện thao tác click "Delete" .
Then: Hệ thống thông báo đơn hàng không được phép hủy.</t>
  </si>
  <si>
    <t>REQ_US19_06</t>
  </si>
  <si>
    <t>Kiểm tra trạng thái hiện tại của đơn hàng để xác định quyền được phép hủy/xóa .</t>
  </si>
  <si>
    <t>Đơn hàng đã hoàn thành hoặc đơn hàng có lỗi hệ thống không thể hoàn trả tồn kho thì không được phép hủy.</t>
  </si>
  <si>
    <t>US20</t>
  </si>
  <si>
    <t>Bảo trì giảm giá: Là quản trị viên, tôi muốn thêm mới, sửa, xóa các mã giảm giá.</t>
  </si>
  <si>
    <t>Given: Quản trị viên truy cập menu "Promotions-&gt; Discounts" .
When: Nhập từ khóa (Discount name, Coupon code, ...) và click "Search" .
Then: Hiển thị danh sách các chương trình thỏa mãn điều kiện hoặc báo "No data available in table".</t>
  </si>
  <si>
    <t>REQ_US20_01</t>
  </si>
  <si>
    <t>Truy xuất dữ liệu từ cơ sở dữ liệu dựa trên các điều kiện lọc.</t>
  </si>
  <si>
    <t>Phải xử lý hiển thị bảng trống thay vì báo lỗi hệ thống khi kết quả tìm kiếm không có dữ liệu.</t>
  </si>
  <si>
    <t>Given: Đang ở giao diện nhập thông tin chương trình giảm giá mới .
When: Nhập đầy đủ thông tin hợp lệ (Is active, name, discount type, vender, use percentage, discount amount, start date, end date,...) và click "Save" .
Then: Lưu dữ liệu vào hệ thống, chuyển hướng lại trang danh sách và báo thành công.</t>
  </si>
  <si>
    <t>REQ_US20_02</t>
  </si>
  <si>
    <t>Lưu thông tin chương trình giảm giá mới vào cơ sở dữ liệu.</t>
  </si>
  <si>
    <t>Các thông số nhập vào phải tuân thủ đúng định dạng dữ liệu.</t>
  </si>
  <si>
    <t>Given: Đang thao tác trên form thêm mới .
When: Quản trị viên bỏ trống trường "Name".
Then: Thông báo lỗi chữ đỏ và chặn lưu trữ dữ liệu.</t>
  </si>
  <si>
    <t>REQ_US20_03</t>
  </si>
  <si>
    <t>Kiểm tra các trường nhập liệu bắt buộc của chương trình.</t>
  </si>
  <si>
    <t>"Name" chương trình là bắt buộc nhập.</t>
  </si>
  <si>
    <t>Given: Đang ở form chỉnh sửa của một chương trình giảm giá .
When: Thay đổi các thông số (discount percentage, REQ_USuires coupon code, ...) hợp lệ và click "Save" .
Then: Cập nhật bản ghi trong cơ sở dữ liệu và thông báo chỉnh sửa thành công.</t>
  </si>
  <si>
    <t>REQ_US20_04</t>
  </si>
  <si>
    <t>Lấy thông tin cũ hiển thị lên form và thực thi lệnh cập nhật thông số mới vào cơ sở dữ liệu.</t>
  </si>
  <si>
    <t>Chỉ ghi đè dữ liệu khi thông tin mới đáp ứng đầy đủ tính hợp lệ.</t>
  </si>
  <si>
    <t>Given: Đang thao tác thay đổi thông tin giảm giá .
When: Nhập chữ vào ô "Discount amount".
Then: Hệ thống ngăn chặn nhập liệu.</t>
  </si>
  <si>
    <t>REQ_US20_05</t>
  </si>
  <si>
    <t>Thực hiện kiểm tra định dạng dữ liệu cho các trường nhập liệu mang giá trị số của chương trình giảm giá.</t>
  </si>
  <si>
    <t>Các trường giá trị giảm giá chỉ chấp nhận ký tự số và dấu thập phân. Hệ thống phải chặn hoặc báo lỗi ngay lập tức nếu người dùng cố tình nhập chữ hoặc ký tự đặc biệt để đảm bảo tính toàn vẹn của dữ liệu khuyến mãi.</t>
  </si>
  <si>
    <t>Given: Đang thao tác tại giao diện chỉnh sửa chương trình giảm giá .
When: Click nút "Delete" và bấm xác nhận trên popup thông báo .
Then: Thực hiện xóa bản ghi khỏi hệ thống và thông báo xóa thành công.</t>
  </si>
  <si>
    <t>REQ_US20_06</t>
  </si>
  <si>
    <t>Thực thi lệnh xóa trong cơ sở dữ liệu.</t>
  </si>
  <si>
    <t>Bắt buộc phải có popup yêu cầu xác nhận để tránh việc quản trị viên thao tác xóa nhầm.</t>
  </si>
  <si>
    <t>Given: Đang thao tác xóa một mã giảm giá .
When: Mã giảm giá này đang dính với dữ liệu một đơn hàng đã hoàn thành trong quá khứ .
Then: Cảnh báo lỗi không cho phép xóa .</t>
  </si>
  <si>
    <t>REQ_US20_07</t>
  </si>
  <si>
    <t>Kiểm tra ràng buộc toàn vẹn dữ liệu với bảng đơn hàng trước khi cho phép xóa.</t>
  </si>
  <si>
    <t>Không cho phép xóa mã giảm giá nếu nó đã được sử dụng cho một đơn hàng đã chốt, nhằm bảo vệ dữ liệu kế toán.</t>
  </si>
  <si>
    <t>Tên dự án:</t>
  </si>
  <si>
    <t>Quản lý dự án:</t>
  </si>
  <si>
    <t>Thời gian bắt đầu:</t>
  </si>
  <si>
    <t>Thời gian kết thúc</t>
  </si>
  <si>
    <t>Mô tả yêu cầu</t>
  </si>
  <si>
    <t>Mức độ ưu tiên</t>
  </si>
  <si>
    <t>Nguồn yêu cầu</t>
  </si>
  <si>
    <t>Người phụ trách</t>
  </si>
  <si>
    <t>Test Case ID</t>
  </si>
  <si>
    <t>Mô tả Test Case</t>
  </si>
  <si>
    <t>Hệ thống hiển thị form đăng nhập với Email, Password, checkbox Remember me và link Forgot password. Khi nhập đúng thông tin hợp lệ, xác thực tài khoản Active và điều hướng về trang chủ.</t>
  </si>
  <si>
    <t>TC_REQ_US01_01_01</t>
  </si>
  <si>
    <t>Đăng nhập thành công với tài khoản Active</t>
  </si>
  <si>
    <t>TC_REQ_US01_01_02</t>
  </si>
  <si>
    <t>Đăng nhập thất bại với tài khoản bị vô hiệu (Inactive)</t>
  </si>
  <si>
    <t>TC_REQ_US01_01_03</t>
  </si>
  <si>
    <t>Kiểm tra chức năng Remember me khi tích chọn</t>
  </si>
  <si>
    <t>Khi người dùng bỏ trống Email hoặc Password và nhấn Đăng nhập, hệ thống hiển thị thông báo lỗi trường bắt buộc và không cho phép đăng nhập.</t>
  </si>
  <si>
    <t>TC_REQ_US01_02_01</t>
  </si>
  <si>
    <t>Để trống cả Email và Password khi đăng nhập</t>
  </si>
  <si>
    <t>TC_REQ_US01_02_02</t>
  </si>
  <si>
    <t>Để trống Email, nhập Password hợp lệ</t>
  </si>
  <si>
    <t>TC_REQ_US01_02_03</t>
  </si>
  <si>
    <t>Nhập Email hợp lệ, để trống Password</t>
  </si>
  <si>
    <t>Khi nhập sai Email hoặc Password, hệ thống hiển thị thông báo lỗi tập trung ở đầu form, không phân biệt lỗi do Email hay Password.</t>
  </si>
  <si>
    <t>TC_REQ_US01_03_01</t>
  </si>
  <si>
    <t>Nhập Email đúng nhưng Password sai</t>
  </si>
  <si>
    <t>TC_REQ_US01_03_02</t>
  </si>
  <si>
    <t>Nhập Email không tồn tại và Password bất kỳ</t>
  </si>
  <si>
    <t>TC_REQ_US01_03_03</t>
  </si>
  <si>
    <t>Nhập sai Password nhiều lần liên tiếp</t>
  </si>
  <si>
    <t>Hệ thống hiển thị đầy đủ thông tin hiện tại lên form (Giới tính, Tên, Họ, Email, Tên công ty, Đăng ký nhận bản tin). Khi lưu, Email mới phải là duy nhất và cập nhật vào bảng Customer.</t>
  </si>
  <si>
    <t>TC_REQ_US02_01_01</t>
  </si>
  <si>
    <t>Cập nhật thông tin cá nhân thành công với Email mới chưa tồn tại</t>
  </si>
  <si>
    <t>TC_REQ_US02_01_02</t>
  </si>
  <si>
    <t>Cập nhật Email thành Email đã tồn tại của khách hàng khác</t>
  </si>
  <si>
    <t>TC_REQ_US02_01_03</t>
  </si>
  <si>
    <t>Form hiển thị đúng dữ liệu hiện tại khi mở trang Profile</t>
  </si>
  <si>
    <t>Khi bỏ trống các trường bắt buộc (Tên đầu tiên, Họ, Email) và nhấn lưu, hệ thống hiển thị lỗi trường bắt buộc và chặn lưu.</t>
  </si>
  <si>
    <t>TC_REQ_US02_02_01</t>
  </si>
  <si>
    <t>Bỏ trống toàn bộ trường bắt buộc và nhấn Lưu</t>
  </si>
  <si>
    <t>TC_REQ_US02_02_02</t>
  </si>
  <si>
    <t>Bỏ trống riêng trường Họ và nhấn Lưu</t>
  </si>
  <si>
    <t>TC_REQ_US02_02_03</t>
  </si>
  <si>
    <t>Điền đầy đủ các trường bắt buộc và nhấn Lưu</t>
  </si>
  <si>
    <t>Khi nhập Email sai định dạng (không theo cấu trúc example@domain.com), hệ thống kiểm tra bằng Regex và hiển thị lỗi định dạng.</t>
  </si>
  <si>
    <t>TC_REQ_US02_03_01</t>
  </si>
  <si>
    <t>Nhập Email không có ký tự @</t>
  </si>
  <si>
    <t>TC_REQ_US02_03_02</t>
  </si>
  <si>
    <t>Nhập Email không có phần domain</t>
  </si>
  <si>
    <t>TC_REQ_US02_03_03</t>
  </si>
  <si>
    <t>Nhập Email đúng định dạng chuẩn</t>
  </si>
  <si>
    <t>Hệ thống cung cấp form đổi mật khẩu gồm 3 trường: Mật khẩu cũ, Mật khẩu mới, Xác nhận mật khẩu. Khi hợp lệ, cập nhật mật khẩu mới (Hash SHA256/SHA512) vào CSDL.</t>
  </si>
  <si>
    <t>TC_REQ_US03_01_01</t>
  </si>
  <si>
    <t>Đổi mật khẩu thành công với đầy đủ thông tin hợp lệ</t>
  </si>
  <si>
    <t>TC_REQ_US03_01_02</t>
  </si>
  <si>
    <t>Đổi sang mật khẩu mới trùng với mật khẩu cũ</t>
  </si>
  <si>
    <t>TC_REQ_US03_01_03</t>
  </si>
  <si>
    <t>Kiểm tra tính năng ẩn/hiện mật khẩu trên các trường input</t>
  </si>
  <si>
    <t>Khi bỏ trống bất kỳ trường nào trong form đổi mật khẩu, hệ thống hiển thị thông báo lỗi tại từng field bị trống và chặn thực hiện.</t>
  </si>
  <si>
    <t>TC_REQ_US03_02_01</t>
  </si>
  <si>
    <t>Bỏ trống cả 3 trường mật khẩu và nhấn Lưu</t>
  </si>
  <si>
    <t>TC_REQ_US03_02_02</t>
  </si>
  <si>
    <t>Chỉ bỏ trống trường Mật khẩu mới</t>
  </si>
  <si>
    <t>TC_REQ_US03_02_03</t>
  </si>
  <si>
    <t>Điền đầy đủ cả 3 trường hợp lệ</t>
  </si>
  <si>
    <t>Khi nhập sai mật khẩu cũ (hash không khớp với DB), hệ thống hiển thị lỗi và không thực thi lệnh cập nhật mật khẩu mới.</t>
  </si>
  <si>
    <t>TC_REQ_US03_03_01</t>
  </si>
  <si>
    <t>Nhập sai mật khẩu cũ</t>
  </si>
  <si>
    <t>TC_REQ_US03_03_02</t>
  </si>
  <si>
    <t>Nhập đúng mật khẩu cũ cùng mật khẩu mới hợp lệ</t>
  </si>
  <si>
    <t>Khi Mật khẩu mới và Xác nhận mật khẩu không giống nhau (case-sensitive), hệ thống hiển thị lỗi không khớp và chặn lưu.</t>
  </si>
  <si>
    <t>TC_REQ_US03_04_01</t>
  </si>
  <si>
    <t>Mật khẩu mới và Xác nhận không khớp do khác hoa/thường</t>
  </si>
  <si>
    <t>TC_REQ_US03_04_02</t>
  </si>
  <si>
    <t>Mật khẩu mới và Xác nhận khớp hoàn toàn</t>
  </si>
  <si>
    <t>TC_REQ_US03_04_03</t>
  </si>
  <si>
    <t>Mật khẩu mới và Xác nhận khác nhau hoàn toàn</t>
  </si>
  <si>
    <t>Hệ thống tìm kiếm từ khóa (không phân biệt hoa/thường) trên các trường Tên sản phẩm, SKU và Mô tả ngắn, trả về danh sách sản phẩm khớp.</t>
  </si>
  <si>
    <t>TC_REQ_US04_01_01</t>
  </si>
  <si>
    <t>Tìm kiếm bằng chữ thường khớp với tên sản phẩm viết hoa</t>
  </si>
  <si>
    <t>TC_REQ_US04_01_02</t>
  </si>
  <si>
    <t>Tìm kiếm bằng mã SKU sản phẩm</t>
  </si>
  <si>
    <t>TC_REQ_US04_01_03</t>
  </si>
  <si>
    <t>Tìm kiếm từ khóa không khớp bất kỳ trường nào</t>
  </si>
  <si>
    <t>Checkbox Advanced search cho phép tìm kiếm trong Mô tả chi tiết, Danh mục cụ thể (kèm tùy chọn tìm danh mục con) và Thương hiệu.</t>
  </si>
  <si>
    <t>TC_REQ_US04_02_01</t>
  </si>
  <si>
    <t>Tìm kiếm nâng cao trong Mô tả chi tiết</t>
  </si>
  <si>
    <t>TC_REQ_US04_02_02</t>
  </si>
  <si>
    <t>Tìm kiếm nâng cao trong Danh mục con</t>
  </si>
  <si>
    <t>TC_REQ_US04_02_03</t>
  </si>
  <si>
    <t>Không tích tìm danh mục con - chỉ tìm danh mục cha</t>
  </si>
  <si>
    <t>Khi người dùng gõ từ khóa, sau khoảng 300ms hệ thống hiển thị dropdown gợi ý tối đa 5-10 sản phẩm/từ khóa khớp nhất.</t>
  </si>
  <si>
    <t>TC_REQ_US04_03_01</t>
  </si>
  <si>
    <t>Dropdown gợi ý xuất hiện sau 300ms khi dừng gõ</t>
  </si>
  <si>
    <t>TC_REQ_US04_03_02</t>
  </si>
  <si>
    <t>Dropdown không xuất hiện khi đang liên tục gõ phím</t>
  </si>
  <si>
    <t>TC_REQ_US04_03_03</t>
  </si>
  <si>
    <t>Dropdown gợi ý giới hạn tối đa 10 kết quả</t>
  </si>
  <si>
    <t>Dropdown Auto-complete hiển thị ảnh thumbnail kèm tên sản phẩm (chỉ khi tính năng 'Show product images in auto-complete search' được bật).</t>
  </si>
  <si>
    <t>TC_REQ_US04_04_01</t>
  </si>
  <si>
    <t>Dropdown hiển thị ảnh thumbnail khi tính năng được bật</t>
  </si>
  <si>
    <t>TC_REQ_US04_04_02</t>
  </si>
  <si>
    <t>Dropdown không hiển thị ảnh khi tính năng bị tắt</t>
  </si>
  <si>
    <t>Khi từ khóa không khớp bất kỳ sản phẩm nào, hệ thống hiển thị thông báo 'No products were found that matched your criteria.'</t>
  </si>
  <si>
    <t>TC_REQ_US04_05_01</t>
  </si>
  <si>
    <t>Tìm kiếm từ khóa không tồn tại trong hệ thống</t>
  </si>
  <si>
    <t>TC_REQ_US04_05_02</t>
  </si>
  <si>
    <t>Tìm kiếm trả về kết quả khi từ khóa hợp lệ</t>
  </si>
  <si>
    <t>Hệ thống hiển thị lưới sản phẩm gồm Ảnh, Tên, Giá bán, Đánh giá và các nút chức năng. Mặc định sắp xếp theo Display order cấu hình trong Admin.</t>
  </si>
  <si>
    <t>TC_REQ_US05_01_01</t>
  </si>
  <si>
    <t>Lưới sản phẩm hiển thị đủ thông tin yêu cầu</t>
  </si>
  <si>
    <t>TC_REQ_US05_01_02</t>
  </si>
  <si>
    <t>Thứ tự sắp xếp mặc định theo Display order</t>
  </si>
  <si>
    <t>TC_REQ_US05_01_03</t>
  </si>
  <si>
    <t>Hiển thị khi danh mục không có sản phẩm</t>
  </si>
  <si>
    <t>Người dùng có thể chuyển đổi giữa chế độ Lưới (Grid) và Danh sách (List); hệ thống ghi nhớ lựa chọn trong suốt phiên làm việc.</t>
  </si>
  <si>
    <t>TC_REQ_US05_02_01</t>
  </si>
  <si>
    <t>Chuyển đổi từ chế độ Lưới sang Danh sách</t>
  </si>
  <si>
    <t>TC_REQ_US05_02_02</t>
  </si>
  <si>
    <t>Chuyển đổi từ chế độ Danh sách sang Lưới</t>
  </si>
  <si>
    <t>TC_REQ_US05_02_03</t>
  </si>
  <si>
    <t>Hệ thống ghi nhớ lựa chọn kiểu hiển thị trong phiên</t>
  </si>
  <si>
    <t>Dropdown sắp xếp theo Tên A-Z/Z-A, Giá Thấp-Cao/Cao-Thấp, Sản phẩm mới nhất; thứ tự thay đổi ngay sau khi chọn.</t>
  </si>
  <si>
    <t>TC_REQ_US05_03_01</t>
  </si>
  <si>
    <t>Sắp xếp sản phẩm theo Tên A-Z</t>
  </si>
  <si>
    <t>TC_REQ_US05_03_02</t>
  </si>
  <si>
    <t>Sắp xếp sản phẩm theo Giá Thấp đến Cao</t>
  </si>
  <si>
    <t>TC_REQ_US05_03_03</t>
  </si>
  <si>
    <t>Sắp xếp theo Sản phẩm mới nhất</t>
  </si>
  <si>
    <t>Cho phép chọn số lượng sản phẩm hiển thị mỗi trang (ví dụ: 3, 6, 9); danh sách page size được cấu hình theo từng danh mục.</t>
  </si>
  <si>
    <t>TC_REQ_US05_04_01</t>
  </si>
  <si>
    <t>Thay đổi số lượng sản phẩm hiển thị mỗi trang</t>
  </si>
  <si>
    <t>TC_REQ_US05_04_02</t>
  </si>
  <si>
    <t>Tổng số trang thay đổi khi đổi Page size</t>
  </si>
  <si>
    <t>Nếu danh mục có danh mục con ở trạng thái 'Published', hệ thống hiển thị danh sách danh mục con kèm ảnh đại diện phía trên lưới sản phẩm.</t>
  </si>
  <si>
    <t>TC_REQ_US05_05_01</t>
  </si>
  <si>
    <t>Hiển thị danh mục con khi có danh mục con Published</t>
  </si>
  <si>
    <t>TC_REQ_US05_05_02</t>
  </si>
  <si>
    <t>Danh mục con Unpublished không hiển thị</t>
  </si>
  <si>
    <t>TC_REQ_US05_05_03</t>
  </si>
  <si>
    <t>Danh mục không có danh mục con</t>
  </si>
  <si>
    <t>Cung cấp thanh trượt Price range slider với khoảng giá min-max tự động nội suy từ sản phẩm trong danh mục hiện tại để lọc theo ngân sách.</t>
  </si>
  <si>
    <t>TC_REQ_US06_01_01</t>
  </si>
  <si>
    <t>Lọc sản phẩm theo khoảng giá hợp lệ</t>
  </si>
  <si>
    <t>TC_REQ_US06_01_02</t>
  </si>
  <si>
    <t>Giá trị min-max tự động nội suy từ sản phẩm trong danh mục</t>
  </si>
  <si>
    <t>TC_REQ_US06_01_03</t>
  </si>
  <si>
    <t>Nhập giá min lớn hơn giá max</t>
  </si>
  <si>
    <t>Hiển thị các khối bộ lọc Specification Attributes (Màu, Size, RAM...) dựa trên các thuộc tính được thiết lập 'Allow filtering' trong Admin.</t>
  </si>
  <si>
    <t>TC_REQ_US06_02_01</t>
  </si>
  <si>
    <t>Chỉ hiển thị thuộc tính có 'Allow filtering' được bật</t>
  </si>
  <si>
    <t>TC_REQ_US06_02_02</t>
  </si>
  <si>
    <t>Lọc sản phẩm theo thuộc tính Màu sắc</t>
  </si>
  <si>
    <t>TC_REQ_US06_02_03</t>
  </si>
  <si>
    <t>Thuộc tính không 'Allow filtering' không xuất hiện ở bộ lọc</t>
  </si>
  <si>
    <t>Hiển thị danh sách Thương hiệu có sản phẩm trong danh mục hiện tại để người dùng tích chọn lọc.</t>
  </si>
  <si>
    <t>TC_REQ_US06_03_01</t>
  </si>
  <si>
    <t>Lọc sản phẩm theo thương hiệu</t>
  </si>
  <si>
    <t>TC_REQ_US06_03_02</t>
  </si>
  <si>
    <t>Chỉ hiển thị thương hiệu có sản phẩm trong danh mục</t>
  </si>
  <si>
    <t>Khi chọn nhiều điều kiện lọc: các nhóm lọc khác nhau dùng logic AND, trong cùng một nhóm dùng logic OR.</t>
  </si>
  <si>
    <t>TC_REQ_US06_04_01</t>
  </si>
  <si>
    <t>Kết hợp lọc nhiều nhóm khác nhau (logic AND)</t>
  </si>
  <si>
    <t>TC_REQ_US06_04_02</t>
  </si>
  <si>
    <t>Chọn nhiều giá trị trong cùng nhóm bộ lọc (logic OR)</t>
  </si>
  <si>
    <t>TC_REQ_US06_04_03</t>
  </si>
  <si>
    <t>Bỏ chọn tất cả bộ lọc</t>
  </si>
  <si>
    <t>Khi tính năng AJAX filtering bật, chỉ phần lưới sản phẩm tải lại khi tích/bỏ tích bộ lọc, không tải lại toàn trang.</t>
  </si>
  <si>
    <t>TC_REQ_US06_05_01</t>
  </si>
  <si>
    <t>Chỉ lưới sản phẩm tải lại khi tích bộ lọc (AJAX)</t>
  </si>
  <si>
    <t>TC_REQ_US06_05_02</t>
  </si>
  <si>
    <t>Tắt AJAX filtering - trang reload toàn bộ</t>
  </si>
  <si>
    <t>Hiển thị trang chi tiết sản phẩm đầy đủ (Ảnh, Tên, Giá, SKU, nút Mua) cho sản phẩm đang kinh doanh; hiển thị giá sau khuyến mãi nếu có.</t>
  </si>
  <si>
    <t>TC_REQ_US07_01_01</t>
  </si>
  <si>
    <t>Xem trang chi tiết sản phẩm còn hàng đang Published</t>
  </si>
  <si>
    <t>TC_REQ_US07_01_02</t>
  </si>
  <si>
    <t>Giá khuyến mãi hiển thị đúng khi SP có giảm giá</t>
  </si>
  <si>
    <t>TC_REQ_US07_01_03</t>
  </si>
  <si>
    <t>Nút 'Add to cart' ở trạng thái có thể bấm với SP còn hàng</t>
  </si>
  <si>
    <t>Khi sản phẩm có tồn kho = 0, hiển thị nhãn 'Out of stock' và khóa nút 'Add to cart'.</t>
  </si>
  <si>
    <t>TC_REQ_US07_02_01</t>
  </si>
  <si>
    <t>Nhãn 'Out of stock' hiển thị khi tồn kho = 0</t>
  </si>
  <si>
    <t>TC_REQ_US07_02_02</t>
  </si>
  <si>
    <t>SP tồn kho = 1 hiển thị nút mua bình thường</t>
  </si>
  <si>
    <t>Khi người dùng truy cập URL sản phẩm đã bị xóa hoặc ẩn (không ở trạng thái Published), hệ thống chuyển hướng về trang lỗi 404.</t>
  </si>
  <si>
    <t>TC_REQ_US07_03_01</t>
  </si>
  <si>
    <t>Truy cập URL sản phẩm đã bị xóa (Deleted)</t>
  </si>
  <si>
    <t>TC_REQ_US07_03_02</t>
  </si>
  <si>
    <t>Truy cập URL sản phẩm ở trạng thái Unpublished</t>
  </si>
  <si>
    <t>Khi khách hàng chọn thuộc tính sản phẩm (màu, size...), giá bán và hình ảnh tự động cập nhật tương ứng theo cấu hình thuộc tính trong Admin.</t>
  </si>
  <si>
    <t>TC_REQ_US07_04_01</t>
  </si>
  <si>
    <t>Chọn thuộc tính cấu hình cộng thêm giá - kiểm tra cập nhật giá</t>
  </si>
  <si>
    <t>TC_REQ_US07_04_02</t>
  </si>
  <si>
    <t>Ảnh sản phẩm cập nhật khi đổi thuộc tính màu</t>
  </si>
  <si>
    <t>TC_REQ_US07_04_03</t>
  </si>
  <si>
    <t>Chọn thuộc tính không cấu hình thêm giá</t>
  </si>
  <si>
    <t>Hệ thống lưu thông tin đánh giá (Tiêu đề, Nội dung, Số sao) vào CSDL và cập nhật lại điểm trung bình sao của sản phẩm.</t>
  </si>
  <si>
    <t>TC_REQ_US08_01_01</t>
  </si>
  <si>
    <t>Gửi đánh giá thành công với đủ thông tin</t>
  </si>
  <si>
    <t>TC_REQ_US08_01_02</t>
  </si>
  <si>
    <t>Điểm trung bình sao cập nhật đúng sau khi gửi đánh giá</t>
  </si>
  <si>
    <t>TC_REQ_US08_01_03</t>
  </si>
  <si>
    <t>Đánh giá mới xuất hiện đúng vị trí trên UI</t>
  </si>
  <si>
    <t>Chỉ khách hàng đã đăng nhập mới được gửi đánh giá; người dùng chưa đăng nhập truy cập form sẽ thấy thông báo yêu cầu đăng nhập.</t>
  </si>
  <si>
    <t>TC_REQ_US08_02_01</t>
  </si>
  <si>
    <t>Chưa đăng nhập truy cập form đánh giá</t>
  </si>
  <si>
    <t>TC_REQ_US08_02_02</t>
  </si>
  <si>
    <t>Đã đăng nhập truy cập form đánh giá</t>
  </si>
  <si>
    <t>Khi bỏ trống Tiêu đề, Nội dung hoặc chưa chọn Sao, hệ thống chặn lưu và hiển thị cảnh báo lỗi màu đỏ tại các trường bị thiếu.</t>
  </si>
  <si>
    <t>TC_REQ_US08_03_01</t>
  </si>
  <si>
    <t>Gửi đánh giá khi bỏ trống Tiêu đề</t>
  </si>
  <si>
    <t>TC_REQ_US08_03_02</t>
  </si>
  <si>
    <t>Gửi đánh giá khi chưa chọn số Sao</t>
  </si>
  <si>
    <t>TC_REQ_US08_03_03</t>
  </si>
  <si>
    <t>Gửi đánh giá hợp lệ với đủ các trường bắt buộc</t>
  </si>
  <si>
    <t>Mỗi người dùng chỉ được gửi tối đa 1 đánh giá cho 1 sản phẩm trong khoảng thời gian quy định; hệ thống chặn và thông báo nếu gửi trùng.</t>
  </si>
  <si>
    <t>TC_REQ_US08_04_01</t>
  </si>
  <si>
    <t>Gửi đánh giá thứ hai cho cùng sản phẩm ngay sau lần đầu</t>
  </si>
  <si>
    <t>TC_REQ_US08_04_02</t>
  </si>
  <si>
    <t>Gửi đánh giá cho sản phẩm khác sau khi đánh giá SP đầu tiên</t>
  </si>
  <si>
    <t>Nội dung đánh giá phải có độ dài từ 10 đến 2000 ký tự; hệ thống báo lỗi và không cho phép gửi nếu ngoài khoảng này.</t>
  </si>
  <si>
    <t>TC_REQ_US08_05_01</t>
  </si>
  <si>
    <t>Gửi đánh giá nội dung quá ngắn (&lt; 10 ký tự)</t>
  </si>
  <si>
    <t>TC_REQ_US08_05_02</t>
  </si>
  <si>
    <t>Gửi đánh giá nội dung quá dài (&gt; 2000 ký tự)</t>
  </si>
  <si>
    <t>TC_REQ_US08_05_03</t>
  </si>
  <si>
    <t>Nội dung đúng giới hạn biên (10 và 2000 ký tự)</t>
  </si>
  <si>
    <t>Hệ thống hiển thị danh sách địa chỉ của khách hàng đang đăng nhập (chỉ địa chỉ khớp Customer_ID); hiện 'No addresses' nếu chưa có.</t>
  </si>
  <si>
    <t>TC_REQ_US09_01_01</t>
  </si>
  <si>
    <t>Hiển thị danh sách địa chỉ của khách hàng đang đăng nhập</t>
  </si>
  <si>
    <t>TC_REQ_US09_01_02</t>
  </si>
  <si>
    <t>Hiển thị 'No addresses' khi chưa có địa chỉ nào</t>
  </si>
  <si>
    <t>Cho phép thêm địa chỉ mới với các trường bắt buộc (*); số điện thoại phải hợp lệ; lưu DB và tải lại danh sách sau khi lưu.</t>
  </si>
  <si>
    <t>TC_REQ_US09_02_01</t>
  </si>
  <si>
    <t>Thêm địa chỉ mới thành công với đầy đủ thông tin hợp lệ</t>
  </si>
  <si>
    <t>TC_REQ_US09_02_02</t>
  </si>
  <si>
    <t>Thêm địa chỉ với số điện thoại sai định dạng</t>
  </si>
  <si>
    <t>TC_REQ_US09_02_03</t>
  </si>
  <si>
    <t>Thêm địa chỉ bỏ trống trường bắt buộc</t>
  </si>
  <si>
    <t>Khi sửa địa chỉ, hệ thống đổ dữ liệu cũ lên form; sau khi lưu, cập nhật đúng bản ghi theo ID, không ghi đè sang địa chỉ khác.</t>
  </si>
  <si>
    <t>TC_REQ_US09_03_01</t>
  </si>
  <si>
    <t>Dữ liệu cũ được đổ vào form khi mở sửa địa chỉ</t>
  </si>
  <si>
    <t>TC_REQ_US09_03_02</t>
  </si>
  <si>
    <t>Lưu địa chỉ đã sửa thành công</t>
  </si>
  <si>
    <t>TC_REQ_US09_03_03</t>
  </si>
  <si>
    <t>Sửa địa chỉ không ảnh hưởng đến địa chỉ khác</t>
  </si>
  <si>
    <t>Khi xóa địa chỉ, hệ thống hiển thị popup xác nhận; sau xác nhận, xóa khỏi DB và địa chỉ biến mất khỏi danh sách.</t>
  </si>
  <si>
    <t>TC_REQ_US09_04_01</t>
  </si>
  <si>
    <t>Xóa địa chỉ sau khi xác nhận popup</t>
  </si>
  <si>
    <t>TC_REQ_US09_04_02</t>
  </si>
  <si>
    <t>Hủy xóa địa chỉ từ popup</t>
  </si>
  <si>
    <t>TC_REQ_US09_04_03</t>
  </si>
  <si>
    <t>Popup xác nhận xuất hiện trước khi xóa</t>
  </si>
  <si>
    <t>Hệ thống chặn xóa địa chỉ đang được gắn với đơn hàng có trạng thái chưa hoàn thành (ràng buộc Foreign Key với bảng Order).</t>
  </si>
  <si>
    <t>TC_REQ_US09_05_01</t>
  </si>
  <si>
    <t>Chặn xóa địa chỉ đang gắn với đơn hàng đang xử lý</t>
  </si>
  <si>
    <t>TC_REQ_US09_05_02</t>
  </si>
  <si>
    <t>Cho phép xóa địa chỉ không gắn với đơn hàng nào</t>
  </si>
  <si>
    <t>Khi bỏ trống trường bắt buộc hoặc nhập số điện thoại không hợp lệ trong form Thêm/Sửa địa chỉ, hệ thống hiển thị lỗi màu đỏ và chặn lưu.</t>
  </si>
  <si>
    <t>TC_REQ_US09_06_01</t>
  </si>
  <si>
    <t>Bỏ trống tất cả trường bắt buộc trong form thêm địa chỉ</t>
  </si>
  <si>
    <t>TC_REQ_US09_06_02</t>
  </si>
  <si>
    <t>Nhập số điện thoại dạng số âm hoặc ký tự đặc biệt</t>
  </si>
  <si>
    <t>TC_REQ_US09_06_03</t>
  </si>
  <si>
    <t>Nhập đầy đủ và đúng định dạng tất cả trường bắt buộc</t>
  </si>
  <si>
    <t>Khi sản phẩm Published và còn hàng, hệ thống lưu thông tin (ID,  quantity , attribute) vào Cart Session, hiển thị thông báo thành công và cập nhật icon giỏ hàng.</t>
  </si>
  <si>
    <t>TC_REQ_US10_01_01</t>
  </si>
  <si>
    <t>Thêm sản phẩm vào giỏ hàng thành công</t>
  </si>
  <si>
    <t>TC_REQ_US10_01_02</t>
  </si>
  <si>
    <t>Thêm cùng sản phẩm lần 2 - kiểm tra cộng dồn số lượng</t>
  </si>
  <si>
    <t>TC_REQ_US10_01_03</t>
  </si>
  <si>
    <t>Thêm sản phẩm hết hàng vào giỏ</t>
  </si>
  <si>
    <t>Khi sản phẩm có thuộc tính bắt buộc chưa được chọn, hệ thống hiển thị cảnh báo và không thêm sản phẩm vào giỏ hàng.</t>
  </si>
  <si>
    <t>TC_REQ_US10_02_01</t>
  </si>
  <si>
    <t>Click add to cart khi chưa chọn thuộc tính bắt buộc</t>
  </si>
  <si>
    <t>TC_REQ_US10_02_02</t>
  </si>
  <si>
    <t>Thêm vào giỏ sau khi chọn đủ thuộc tính bắt buộc</t>
  </si>
  <si>
    <t>Khi số lượng yêu cầu lớn hơn tồn kho thực tế, hệ thống báo lỗi và từ chối thêm sản phẩm vào giỏ hàng.</t>
  </si>
  <si>
    <t>TC_REQ_US10_03_01</t>
  </si>
  <si>
    <t>Nhập số lượng bằng đúng tồn kho thực tế</t>
  </si>
  <si>
    <t>TC_REQ_US10_03_02</t>
  </si>
  <si>
    <t>Nhập số lượng vượt quá tồn kho</t>
  </si>
  <si>
    <t>TC_REQ_US10_03_03</t>
  </si>
  <si>
    <t>Nhập số lượng = 0 hoặc số âm</t>
  </si>
  <si>
    <t>Hệ thống hiển thị danh sách sản phẩm trong phiên giỏ hàng gồm tên, giá, ô nhập số lượng, nút xóa và phần tính tổng tiền.</t>
  </si>
  <si>
    <t>TC_REQ_US11_01_01</t>
  </si>
  <si>
    <t>Hiển thị đầy đủ thông tin giỏ hàng</t>
  </si>
  <si>
    <t>TC_REQ_US11_01_02</t>
  </si>
  <si>
    <t>Tổng tiền hiển thị đúng bằng tổng giá các sản phẩm</t>
  </si>
  <si>
    <t>Khi thay đổi số lượng hợp lệ (&lt;=tồn kho), hệ thống kiểm tra tồn kho, cập nhật số lượng, tính toán lại tổng chi phí và làm mới giao diện giỏ hàng.</t>
  </si>
  <si>
    <t>TC_REQ_US11_02_01</t>
  </si>
  <si>
    <t>Tăng số lượng sản phẩm hợp lệ trong giỏ</t>
  </si>
  <si>
    <t>TC_REQ_US11_02_02</t>
  </si>
  <si>
    <t>Giảm số lượng sản phẩm xuống 1</t>
  </si>
  <si>
    <t>TC_REQ_US11_02_03</t>
  </si>
  <si>
    <t>Nhập số lượng = 0 trong giỏ hàng</t>
  </si>
  <si>
    <t>Khi nhập số lượng lớn hơn tồn kho thực tế trong giỏ hàng, hệ thống hiển thị thông báo lỗi và giữ nguyên số lượng cũ.</t>
  </si>
  <si>
    <t>TC_REQ_US11_03_01</t>
  </si>
  <si>
    <t>Nhập số lượng vượt tồn kho trong giỏ hàng</t>
  </si>
  <si>
    <t>TC_REQ_US11_03_02</t>
  </si>
  <si>
    <t>Nhập số lượng đúng bằng tồn kho trong giỏ</t>
  </si>
  <si>
    <t>Khi xóa một sản phẩm khỏi giỏ hàng, hệ thống loại bỏ bản ghi, tính lại tổng tiền và làm mới giao diện.</t>
  </si>
  <si>
    <t>TC_REQ_US11_04_01</t>
  </si>
  <si>
    <t>Xóa một sản phẩm khỏi giỏ hàng có nhiều SP</t>
  </si>
  <si>
    <t>TC_REQ_US11_04_02</t>
  </si>
  <si>
    <t>Tổng tiền đúng sau khi xóa sản phẩm đắt nhất</t>
  </si>
  <si>
    <t>TC_REQ_US11_04_03</t>
  </si>
  <si>
    <t>Giao diện giỏ hàng làm mới sau khi xóa SP</t>
  </si>
  <si>
    <t>Khi xóa sản phẩm cuối cùng, hệ thống hiển thị thông báo "Your Shopping Cart is empty!" và ẩn các nút liên quan đến thanh toán.</t>
  </si>
  <si>
    <t>TC_REQ_US11_05_01</t>
  </si>
  <si>
    <t>Xóa sản phẩm cuối cùng trong giỏ hàng</t>
  </si>
  <si>
    <t>TC_REQ_US11_05_02</t>
  </si>
  <si>
    <t>Nút thanh toán ẩn khi giỏ hàng rỗng</t>
  </si>
  <si>
    <t>Khách hàng xác nhận đồng ý với các điều khoản dịch vụ trước khi bắt đầu quy trình thanh toán.</t>
  </si>
  <si>
    <t>TC_REQ_US12_01_01</t>
  </si>
  <si>
    <t>Kiểm tra tích chọn checkbox "I agree with the terms of service" trước khi Checkout.</t>
  </si>
  <si>
    <t>TC_REQ_US12_01_02</t>
  </si>
  <si>
    <t>Kích hoạt Checkout thành công sau khi tích chọn "I agree with the terms of service"</t>
  </si>
  <si>
    <t>TC_REQ_US12_01_03</t>
  </si>
  <si>
    <t>Kiểm tra tính duy trì của lựa chọn "I agree with the terms of service"</t>
  </si>
  <si>
    <t>Khi khách hàng đã đăng nhập và giỏ hàng có sản phẩm, hệ thống kích hoạt luồng Checkout 6 bước (địa chỉ thanh toán, giao hàng, vận chuyển, thanh toán, xác nhận).</t>
  </si>
  <si>
    <t>TC_REQ_US12_02_01</t>
  </si>
  <si>
    <t>Kích hoạt Checkout thành công khi đăng nhập và có sản phẩm</t>
  </si>
  <si>
    <t>TC_REQ_US12_02_02</t>
  </si>
  <si>
    <t>Chặn Checkout khi chưa đăng nhập</t>
  </si>
  <si>
    <t>TC_REQ_US12_02_03</t>
  </si>
  <si>
    <t>Chặn Checkout khi giỏ hàng rỗng</t>
  </si>
  <si>
    <t>Hệ thống thu thập và lưu địa chỉ giao hàng/thanh toán thuộc quyền sở hữu của khách hàng hiện tại cho đơn hàng.</t>
  </si>
  <si>
    <t>TC_REQ_US12_03_01</t>
  </si>
  <si>
    <t>Chọn địa chỉ có sẵn và tiếp tục</t>
  </si>
  <si>
    <t>TC_REQ_US12_03_02</t>
  </si>
  <si>
    <t>Chỉ hiển thị địa chỉ của khách hàng đang đăng nhập</t>
  </si>
  <si>
    <t>Khi bỏ trống các trường bắt buộc (Họ tên, Email, Quốc gia, Địa chỉ) tại form địa chỉ, hệ thống hiển thị cảnh báo và chặn chuyển bước tiếp.</t>
  </si>
  <si>
    <t>TC_REQ_US12_04_01</t>
  </si>
  <si>
    <t>Bỏ trống trường name trong form địa chỉ Checkout</t>
  </si>
  <si>
    <t>TC_REQ_US12_04_02</t>
  </si>
  <si>
    <t>Bỏ trống trường country trong form địa chỉ</t>
  </si>
  <si>
    <t>TC_REQ_US12_04_03</t>
  </si>
  <si>
    <t>Điền đầy đủ thông tin bắt buộc và tiếp tục</t>
  </si>
  <si>
    <t>Khách hàng bắt buộc phải chọn một phương thức vận chuyển và một phương thức thanh toán; hệ thống ghi nhận và chuyển sang màn hình xác nhận.</t>
  </si>
  <si>
    <t>TC_REQ_US12_05_01</t>
  </si>
  <si>
    <t>Chọn phương thức vận chuyển và thanh toán hợp lệ</t>
  </si>
  <si>
    <t>TC_REQ_US12_05_02</t>
  </si>
  <si>
    <t>Không chọn phương thức vận chuyển và nhấn "Continue"</t>
  </si>
  <si>
    <t>TC_REQ_US12_05_03</t>
  </si>
  <si>
    <t>Không chọn phương thức thanh toán và nhấn "Continue"</t>
  </si>
  <si>
    <t>Khi xác nhận đặt hàng, hệ thống trừ tồn kho, lưu đơn hàng kèm Order ID, làm trống giỏ hàng và chuyển hướng đến trang 'Thanh toán thành công'.</t>
  </si>
  <si>
    <t>TC_REQ_US12_06_01</t>
  </si>
  <si>
    <t>Xác nhận đặt hàng thành công</t>
  </si>
  <si>
    <t>TC_REQ_US12_06_02</t>
  </si>
  <si>
    <t>Order ID được tạo và giỏ hàng được làm trống</t>
  </si>
  <si>
    <t>TC_REQ_US12_06_03</t>
  </si>
  <si>
    <t>Tồn kho giảm đúng sau khi đặt hàng</t>
  </si>
  <si>
    <t>Kiểm soát thời gian hiệu lực của phiên thanh toán (15 phút). Nếu không tương tác, hủy phiên và chuyển về trang giỏ hàng.</t>
  </si>
  <si>
    <t>TC_REQ_US12_07_01</t>
  </si>
  <si>
    <t>Kiểm tra hết hạn phiên thanh toán sau 15 phút không hoạt động</t>
  </si>
  <si>
    <t>TC_REQ_US12_07_02</t>
  </si>
  <si>
    <t>Kiểm tra tính liên tục của phiên khi có tương tác</t>
  </si>
  <si>
    <t>TC_REQ_US12_07_03</t>
  </si>
  <si>
    <t>Xử lý lỗi kỹ thuật hoặc timeout từ cổng thanh toán</t>
  </si>
  <si>
    <t>Hiển thị danh sách khách hàng dạng Data Grid với các cột Email, Name, Customer roles, Company, Active; hỗ trợ phân trang, mặc định sắp xếp theo ngày tạo mới nhất.</t>
  </si>
  <si>
    <t>TC_REQ_US13_01_01</t>
  </si>
  <si>
    <t>Danh sách khách hàng hiển thị đúng cột</t>
  </si>
  <si>
    <t>TC_REQ_US13_01_02</t>
  </si>
  <si>
    <t>Phân trang khi có nhiều khách hàng</t>
  </si>
  <si>
    <t>TC_REQ_US13_01_03</t>
  </si>
  <si>
    <t>Thứ tự sắp xếp mặc định theo ngày tạo mới nhất</t>
  </si>
  <si>
    <t>Khi hệ thống chưa có dữ liệu khách hàng, hiển thị bảng trống kèm thông báo 'Không có lưu trữ nào'; vẫn hiển thị tiêu đề bảng và các nút chức năng.</t>
  </si>
  <si>
    <t>TC_REQ_US13_02_01</t>
  </si>
  <si>
    <t>Thông báo khi chưa có khách hàng nào</t>
  </si>
  <si>
    <t>TC_REQ_US13_02_02</t>
  </si>
  <si>
    <t>Nút chức năng vẫn hiển thị khi bảng trống</t>
  </si>
  <si>
    <t>Chức năng tìm kiếm khách hàng theo Email, Tên (không phân biệt hoa/thường) trả về danh sách kết quả tương ứng.</t>
  </si>
  <si>
    <t>TC_REQ_US13_03_01</t>
  </si>
  <si>
    <t>Tìm kiếm theo Email không phân biệt hoa/thường</t>
  </si>
  <si>
    <t>TC_REQ_US13_03_02</t>
  </si>
  <si>
    <t>Tìm kiếm theo Tên đầu tiên một phần (partial match)</t>
  </si>
  <si>
    <t>TC_REQ_US13_03_03</t>
  </si>
  <si>
    <t>Tìm kiếm kết hợp Email và Họ</t>
  </si>
  <si>
    <t>Khi từ khóa tìm kiếm không khớp dữ liệu nào, hệ thống thực thi query và hiển thị danh sách trống kèm thông báo 'Không có lưu trữ nào'.</t>
  </si>
  <si>
    <t>TC_REQ_US13_04_01</t>
  </si>
  <si>
    <t>Tìm kiếm với từ khóa không tồn tại trong CSDL</t>
  </si>
  <si>
    <t>TC_REQ_US13_04_02</t>
  </si>
  <si>
    <t>Không có lỗi hệ thống khi kết quả tìm kiếm rỗng</t>
  </si>
  <si>
    <t>Khi form thêm mới có dữ liệu không đúng định dạng (Email sai chuẩn, Password quá ngắn) hoặc để trống, hệ thống hiển thị thông báo lỗi.</t>
  </si>
  <si>
    <t>TC_REQ_US13_05_01</t>
  </si>
  <si>
    <t>Thêm mới với Email sai định dạng</t>
  </si>
  <si>
    <t>TC_REQ_US13_05_02</t>
  </si>
  <si>
    <t>Thêm mới với Password không đủ độ dài tối thiểu</t>
  </si>
  <si>
    <t>TC_REQ_US13_05_03</t>
  </si>
  <si>
    <t>Bỏ trống trường Email khi thêm mới</t>
  </si>
  <si>
    <t>Khi nhập đầy đủ thông tin hợp lệ và lưu, hệ thống tạo User mới thành công với Email duy nhất và mặc định gán Role 'Registered'.</t>
  </si>
  <si>
    <t>TC_REQ_US13_06_01</t>
  </si>
  <si>
    <t>Tạo khách hàng mới thành công</t>
  </si>
  <si>
    <t>TC_REQ_US13_06_02</t>
  </si>
  <si>
    <t>Tạo khách hàng với Email đã tồn tại</t>
  </si>
  <si>
    <t>TC_REQ_US13_06_03</t>
  </si>
  <si>
    <t>Khách hàng mới được gán Role mặc định khi không chọn Role</t>
  </si>
  <si>
    <t>Khi chỉnh sửa thông tin khách hàng hợp lệ và lưu, hệ thống cập nhật dữ liệu, ghi nhận thời gian cập nhật và hiển thị thông báo thành công.</t>
  </si>
  <si>
    <t>TC_REQ_US13_07_01</t>
  </si>
  <si>
    <t>Chỉnh sửa thông tin khách hàng thành công</t>
  </si>
  <si>
    <t>TC_REQ_US13_07_02</t>
  </si>
  <si>
    <t>Dữ liệu cũ đổ vào form khi mở sửa</t>
  </si>
  <si>
    <t>TC_REQ_US13_07_03</t>
  </si>
  <si>
    <t>Thời gian cập nhật được ghi nhận sau khi sửa</t>
  </si>
  <si>
    <t>Khi chỉnh sửa thông tin không đúng định dạng hoặc để trống trường bắt buộc, hệ thống hiển thị thông báo lỗi và chặn lưu.</t>
  </si>
  <si>
    <t>TC_REQ_US13_08_01</t>
  </si>
  <si>
    <t>Chỉnh sửa Email thành định dạng sai</t>
  </si>
  <si>
    <t>TC_REQ_US13_08_02</t>
  </si>
  <si>
    <t>Bỏ trống trường bắt buộc khi chỉnh sửa</t>
  </si>
  <si>
    <t>Khi xóa khách hàng (có popup xác nhận), hệ thống xóa bản ghi và gỡ các liên kết Role; cấm xóa tài khoản 'Built-in Administrator'.</t>
  </si>
  <si>
    <t>TC_REQ_US13_09_01</t>
  </si>
  <si>
    <t>Xóa khách hàng thường thành công</t>
  </si>
  <si>
    <t>TC_REQ_US13_09_02</t>
  </si>
  <si>
    <t>Cấm xóa tài khoản Built-in Administrator</t>
  </si>
  <si>
    <t>TC_REQ_US13_09_03</t>
  </si>
  <si>
    <t>Hiển thị danh sách vai trò khách hàng dạng bảng Grid với các cột Tên, Miễn phí vận chuyển, Miễn thuế, Hoạt động; chỉ Admin mới được truy cập.</t>
  </si>
  <si>
    <t>TC_REQ_US14_01_01</t>
  </si>
  <si>
    <t>Admin xem danh sách vai trò khách hàng</t>
  </si>
  <si>
    <t>TC_REQ_US14_01_02</t>
  </si>
  <si>
    <t>Non-admin cố truy cập trang Vai trò khách hàng</t>
  </si>
  <si>
    <t>Khi chưa có dữ liệu vai trò, hiển thị bảng trống kèm thông báo 'Không có dữ liệu trong bảng'; vẫn hiển thị tiêu đề và nút 'Thêm mới'.</t>
  </si>
  <si>
    <t>TC_REQ_US14_02_01</t>
  </si>
  <si>
    <t>Hiển thị bảng trống khi chưa có vai trò nào</t>
  </si>
  <si>
    <t>Khi nhập đầy đủ thông tin hợp lệ (Tên là bắt buộc) và lưu, hệ thống tạo vai trò mới trong bảng CustomerRole thành công.</t>
  </si>
  <si>
    <t>TC_REQ_US14_03_01</t>
  </si>
  <si>
    <t>Tạo vai trò mới thành công</t>
  </si>
  <si>
    <t>TC_REQ_US14_03_02</t>
  </si>
  <si>
    <t>Checkbox Hoạt động được lưu đúng khi tạo vai trò mới</t>
  </si>
  <si>
    <t>TC_REQ_US14_03_03</t>
  </si>
  <si>
    <t>Bỏ trống Tên vai trò khi tạo mới</t>
  </si>
  <si>
    <t>Khi tên vai trò bị trống hoặc trùng với vai trò đã tồn tại trong CSDL, hệ thống hiển thị thông báo lỗi và chặn lưu.</t>
  </si>
  <si>
    <t>TC_REQ_US14_04_01</t>
  </si>
  <si>
    <t>Tạo vai trò với Tên đã tồn tại</t>
  </si>
  <si>
    <t>TC_REQ_US14_04_02</t>
  </si>
  <si>
    <t>Bỏ trống Tên khi tạo vai trò</t>
  </si>
  <si>
    <t>TC_REQ_US14_04_03</t>
  </si>
  <si>
    <t>Tạo vai trò với Tên hợp lệ và duy nhất</t>
  </si>
  <si>
    <t>Khi chỉnh sửa vai trò hợp lệ và lưu, hệ thống tải dữ liệu cũ lên form, cập nhật thành công (trừ tên hệ thống nếu là vai trò mặc định).</t>
  </si>
  <si>
    <t>TC_REQ_US14_05_01</t>
  </si>
  <si>
    <t>Chỉnh sửa thuộc tính vai trò hợp lệ</t>
  </si>
  <si>
    <t>TC_REQ_US14_05_02</t>
  </si>
  <si>
    <t>Không thể đổi tên hệ thống của vai trò mặc định</t>
  </si>
  <si>
    <t>Khi chỉnh sửa tên vai trò thành rỗng hoặc dữ liệu không hợp lệ và lưu, hệ thống hiển thị thông báo lỗi và chặn lưu.</t>
  </si>
  <si>
    <t>TC_REQ_US14_06_01</t>
  </si>
  <si>
    <t>Xóa trắng trường Tên khi chỉnh sửa vai trò</t>
  </si>
  <si>
    <t>TC_REQ_US14_06_02</t>
  </si>
  <si>
    <t>Điền lại Tên hợp lệ và lưu thành công</t>
  </si>
  <si>
    <t>Khi xóa vai trò (có popup xác nhận), hệ thống xóa bản ghi; cấm xóa các vai trò hệ thống mặc định (Administrators, Registered, Guests, Forum Moderators).</t>
  </si>
  <si>
    <t>TC_REQ_US14_07_01</t>
  </si>
  <si>
    <t>Xóa vai trò tùy chỉnh thành công</t>
  </si>
  <si>
    <t>TC_REQ_US14_07_02</t>
  </si>
  <si>
    <t>Cấm xóa vai trò hệ thống mặc định</t>
  </si>
  <si>
    <t>TC_REQ_US14_07_03</t>
  </si>
  <si>
    <t>Popup xác nhận xuất hiện trước khi xóa vai trò</t>
  </si>
  <si>
    <t>Khi xóa vai trò đang được gán cho người dùng, hệ thống chặn xóa và yêu cầu gỡ vai trò khỏi người dùng trước.</t>
  </si>
  <si>
    <t>TC_REQ_US14_08_01</t>
  </si>
  <si>
    <t>Xóa vai trò đang được gán cho người dùng</t>
  </si>
  <si>
    <t>TC_REQ_US14_08_02</t>
  </si>
  <si>
    <t>Xóa vai trò không có người dùng nào</t>
  </si>
  <si>
    <t>Hiển thị danh sách danh mục dưới dạng bảng (Grid) hoặc sơ đồ cây (Tree view) với các thông tin cơ bản: Tên, Published, Display order.</t>
  </si>
  <si>
    <t>TC_REQ_US15_01_01</t>
  </si>
  <si>
    <t>Danh sách danh mục hiển thị dạng bảng</t>
  </si>
  <si>
    <t>TC_REQ_US15_01_02</t>
  </si>
  <si>
    <t>Hiển thị dạng sơ đồ cây (Tree view)</t>
  </si>
  <si>
    <t>Cho phép nhập/sửa Tên danh mục (bắt buộc), Mô tả (Rich Text Editor) và Danh mục cha (Parent category).</t>
  </si>
  <si>
    <t>TC_REQ_US15_02_01</t>
  </si>
  <si>
    <t>Tạo danh mục mới với Tên bắt buộc</t>
  </si>
  <si>
    <t>TC_REQ_US15_02_02</t>
  </si>
  <si>
    <t>Bỏ trống Tên danh mục khi tạo mới</t>
  </si>
  <si>
    <t>TC_REQ_US15_02_03</t>
  </si>
  <si>
    <t>Tạo danh mục con bằng cách chọn Danh mục cha</t>
  </si>
  <si>
    <t>Cho phép Upload hình ảnh đại diện danh mục (JPG, PNG, WEBP); ảnh tự động resize theo cấu hình hệ thống.</t>
  </si>
  <si>
    <t>TC_REQ_US15_03_01</t>
  </si>
  <si>
    <t>Upload ảnh JPG hợp lệ cho danh mục</t>
  </si>
  <si>
    <t>TC_REQ_US15_03_02</t>
  </si>
  <si>
    <t>Upload file không phải ảnh (PDF, EXE)</t>
  </si>
  <si>
    <t>TC_REQ_US15_03_03</t>
  </si>
  <si>
    <t>Upload ảnh WEBP hợp lệ</t>
  </si>
  <si>
    <t>Tab SEO cho phép nhập Meta keywords, Meta description, Meta title và SEO friendly page name (tự sinh từ Tên nếu bỏ trống).</t>
  </si>
  <si>
    <t>TC_REQ_US15_04_01</t>
  </si>
  <si>
    <t>Nhập thông tin SEO và lưu thành công</t>
  </si>
  <si>
    <t>TC_REQ_US15_04_02</t>
  </si>
  <si>
    <t>Để trống SEO friendly URL - tự sinh từ Tên</t>
  </si>
  <si>
    <t>Cho phép cấu hình hiển thị danh mục cho Customer roles hoặc Store cụ thể; mặc định hiển thị cho tất cả nếu không chọn.</t>
  </si>
  <si>
    <t>TC_REQ_US15_05_01</t>
  </si>
  <si>
    <t>Gán danh mục cho Customer Role cụ thể</t>
  </si>
  <si>
    <t>TC_REQ_US15_05_02</t>
  </si>
  <si>
    <t>Danh mục không chọn Role hiển thị cho tất cả</t>
  </si>
  <si>
    <t>Tab Products trong chi tiết danh mục cho phép tìm và gán nhiều sản phẩm vào danh mục; một sản phẩm có thể thuộc nhiều danh mục.</t>
  </si>
  <si>
    <t>TC_REQ_US15_06_01</t>
  </si>
  <si>
    <t>Gán sản phẩm vào danh mục qua tab Products</t>
  </si>
  <si>
    <t>TC_REQ_US15_06_02</t>
  </si>
  <si>
    <t>Một sản phẩm được gán vào nhiều danh mục</t>
  </si>
  <si>
    <t>Checkbox Published bật/tắt hiển thị danh mục ở Frontend; khi tắt, các danh mục con bên trong cũng không hiển thị.</t>
  </si>
  <si>
    <t>TC_REQ_US15_07_01</t>
  </si>
  <si>
    <t>Tắt Published của danh mục cha - ẩn trên Frontend</t>
  </si>
  <si>
    <t>TC_REQ_US15_07_02</t>
  </si>
  <si>
    <t>Bật Published - danh mục hiện trên Frontend</t>
  </si>
  <si>
    <t>TC_REQ_US15_07_03</t>
  </si>
  <si>
    <t>Danh mục con bị ẩn khi danh mục cha tắt Published</t>
  </si>
  <si>
    <t>Xóa danh mục sử dụng cơ chế Soft Delete (Deleted = 1 trong DB) thay vì Hard Delete để tránh lỗi Orphan Data.</t>
  </si>
  <si>
    <t>TC_REQ_US15_08_01</t>
  </si>
  <si>
    <t>Xóa danh mục - kiểm tra Soft Delete</t>
  </si>
  <si>
    <t>TC_REQ_US15_08_02</t>
  </si>
  <si>
    <t>Danh mục con không bị Hard Delete khi xóa cha</t>
  </si>
  <si>
    <t>TC_REQ_US16_01_01</t>
  </si>
  <si>
    <t>Hiển thị danh sách thuộc tính khi tải trang</t>
  </si>
  <si>
    <t>TC_REQ_US16_01_02</t>
  </si>
  <si>
    <t>Hiển thị bảng trống khi chưa có thuộc tính nào</t>
  </si>
  <si>
    <t>Cho phép tạo thuộc tính mới bằng cách nhập Tên; hỗ trợ nhập tên đa ngôn ngữ (Localization) nếu hệ thống cấu hình nhiều ngôn ngữ.</t>
  </si>
  <si>
    <t>TC_REQ_US16_02_01</t>
  </si>
  <si>
    <t>Tạo thuộc tính mới với Tên hợp lệ</t>
  </si>
  <si>
    <t>TC_REQ_US16_02_02</t>
  </si>
  <si>
    <t>Bỏ trống Tên khi tạo thuộc tính</t>
  </si>
  <si>
    <t>TC_REQ_US16_02_03</t>
  </si>
  <si>
    <t>Nhập Tên thuộc tính đa ngôn ngữ</t>
  </si>
  <si>
    <t>Cho phép thêm các giá trị Options vào thuộc tính (Tên option là bắt buộc); có thể gán mã màu (Color squares) cho option.</t>
  </si>
  <si>
    <t>TC_REQ_US16_03_01</t>
  </si>
  <si>
    <t>Thêm Option với Tên hợp lệ</t>
  </si>
  <si>
    <t>TC_REQ_US16_03_02</t>
  </si>
  <si>
    <t>Bỏ trống Tên option khi thêm</t>
  </si>
  <si>
    <t>TC_REQ_US16_03_03</t>
  </si>
  <si>
    <t>Gán mã màu (Color square) cho option</t>
  </si>
  <si>
    <t>Trường Display order cho phép sắp xếp thứ tự hiển thị của thuộc tính và options; số càng nhỏ hiển thị càng lên trên.</t>
  </si>
  <si>
    <t>TC_REQ_US16_04_01</t>
  </si>
  <si>
    <t>Sửa Display order - thứ tự thay đổi</t>
  </si>
  <si>
    <t>TC_REQ_US16_04_02</t>
  </si>
  <si>
    <t>Nhập Display order là số âm</t>
  </si>
  <si>
    <t>Quản trị viên gán thuộc tính vào sản phẩm qua tab 'Specification attributes'; có thể chọn 'Show on product page' và 'Allow filtering'.</t>
  </si>
  <si>
    <t>TC_REQ_US16_05_01</t>
  </si>
  <si>
    <t>Gán thuộc tính với 'Show on product page'</t>
  </si>
  <si>
    <t>TC_REQ_US16_05_02</t>
  </si>
  <si>
    <t>Không tích 'Show on product page'</t>
  </si>
  <si>
    <t>Tùy chọn 'Allow filtering' khi gán thuộc tính vào sản phẩm cho phép thuộc tính xuất hiện ở thanh Filter bên trái danh mục Frontend.</t>
  </si>
  <si>
    <t>TC_REQ_US16_06_01</t>
  </si>
  <si>
    <t>Tích 'Allow filtering' - thuộc tính hiển thị bộ lọc</t>
  </si>
  <si>
    <t>TC_REQ_US16_06_02</t>
  </si>
  <si>
    <t>Không tích 'Allow filtering' - không hiển thị bộ lọc</t>
  </si>
  <si>
    <t>Cho phép tạo Nhóm thuộc tính (Group) để gom các thuộc tính liên quan lại với nhau.</t>
  </si>
  <si>
    <t>TC_REQ_US16_07_01</t>
  </si>
  <si>
    <t>Tạo nhóm thuộc tính và gom thuộc tính liên quan</t>
  </si>
  <si>
    <t>TC_REQ_US16_07_02</t>
  </si>
  <si>
    <t>Thuộc tính trong nhóm hiển thị đúng nhóm trên Frontend</t>
  </si>
  <si>
    <t>Khi xóa thuộc tính hoặc option đã được gán vào sản phẩm, hệ thống gỡ nó khỏi toàn bộ các sản phẩm đã gán.</t>
  </si>
  <si>
    <t>TC_REQ_US16_08_01</t>
  </si>
  <si>
    <t>Xóa thuộc tính đã gán vào SP - gỡ khỏi SP</t>
  </si>
  <si>
    <t>TC_REQ_US16_08_02</t>
  </si>
  <si>
    <t>Xóa option của thuộc tính - ảnh hưởng đến SP</t>
  </si>
  <si>
    <t>TC_REQ_US16_08_03</t>
  </si>
  <si>
    <t>Xóa thuộc tính không gán cho SP nào</t>
  </si>
  <si>
    <t>Khi nhập đủ các trường bắt buộc (Tên, Giá không âm, SKU) và nhấn Save, hệ thống lưu sản phẩm mới vào CSDL, chuyển về danh sách và báo thành công.</t>
  </si>
  <si>
    <t>TC_REQ_US17_01_01</t>
  </si>
  <si>
    <t>Thêm SP mới thành công với đủ thông tin bắt buộc</t>
  </si>
  <si>
    <t>TC_REQ_US17_01_02</t>
  </si>
  <si>
    <t>Thêm SP với Giá = 0 (giá trị biên hợp lệ)</t>
  </si>
  <si>
    <t>TC_REQ_US17_01_03</t>
  </si>
  <si>
    <t>SP mới mặc định Published = true</t>
  </si>
  <si>
    <t>Khi bỏ trống Tên sản phẩm hoặc nhập sai kiểu dữ liệu cho trường Price, hệ thống hiển thị cảnh báo đỏ và chặn lưu.</t>
  </si>
  <si>
    <t>TC_REQ_US17_02_01</t>
  </si>
  <si>
    <t>Bỏ trống Tên SP khi thêm mới</t>
  </si>
  <si>
    <t>TC_REQ_US17_02_02</t>
  </si>
  <si>
    <t>Nhập chữ vào trường Giá (sai kiểu dữ liệu)</t>
  </si>
  <si>
    <t>TC_REQ_US17_02_03</t>
  </si>
  <si>
    <t>Nhập Giá âm (giá trị không hợp lệ)</t>
  </si>
  <si>
    <t>Khi upload ảnh hợp lệ (JPG/PNG) kèm Alt text, ảnh tải lên thành công và hiển thị thumbnail trong lưới danh sách ảnh sản phẩm.</t>
  </si>
  <si>
    <t>TC_REQ_US17_03_01</t>
  </si>
  <si>
    <t>Upload ảnh JPG hợp lệ kèm Alt text</t>
  </si>
  <si>
    <t>TC_REQ_US17_03_02</t>
  </si>
  <si>
    <t>Upload ảnh PNG hợp lệ</t>
  </si>
  <si>
    <t>TC_REQ_US17_03_03</t>
  </si>
  <si>
    <t>Upload nhiều ảnh - tất cả đều hiển thị</t>
  </si>
  <si>
    <t>Khi chọn phương thức 'Track inventory' và nhập Stock quantity là số nguyên, hệ thống lưu trạng thái tồn kho và tự động trừ khi có đơn.</t>
  </si>
  <si>
    <t>TC_REQ_US17_04_01</t>
  </si>
  <si>
    <t>Cấu hình Track inventory với Stock quantity hợp lệ</t>
  </si>
  <si>
    <t>TC_REQ_US17_04_02</t>
  </si>
  <si>
    <t>Nhập Stock quantity là số thập phân</t>
  </si>
  <si>
    <t>Khi thêm sản phẩm mới với SKU đã tồn tại trong CSDL, hệ thống hiển thị lỗi 'SKU đã tồn tại' và chặn lưu.</t>
  </si>
  <si>
    <t>TC_REQ_US17_05_01</t>
  </si>
  <si>
    <t>Thêm SP với SKU đã tồn tại</t>
  </si>
  <si>
    <t>TC_REQ_US17_05_02</t>
  </si>
  <si>
    <t>Thêm SP với SKU duy nhất</t>
  </si>
  <si>
    <t>Khi upload file không phải định dạng ảnh (.pdf, .txt, .exe...), hệ thống hiển thị lỗi 'File định dạng không hợp lệ' và chặn upload.</t>
  </si>
  <si>
    <t>TC_REQ_US17_06_01</t>
  </si>
  <si>
    <t>Upload file .PDF vào mục ảnh SP</t>
  </si>
  <si>
    <t>TC_REQ_US17_06_02</t>
  </si>
  <si>
    <t>Upload file .EXE vào mục ảnh SP</t>
  </si>
  <si>
    <t>TC_REQ_US17_06_03</t>
  </si>
  <si>
    <t>Upload file .GIF hợp lệ</t>
  </si>
  <si>
    <t>Trang Bulk edit hiển thị bảng dữ liệu dạng lưới có hỗ trợ phân trang, gồm các cột: Tên SP, SKU, Price, Old Price, Manage inventory, Stock qty, Published.</t>
  </si>
  <si>
    <t>TC_REQ_US18_01_01</t>
  </si>
  <si>
    <t>Bảng Bulk edit hiển thị đúng cột</t>
  </si>
  <si>
    <t>TC_REQ_US18_01_02</t>
  </si>
  <si>
    <t>Phân trang trên Bulk edit với nhiều SP</t>
  </si>
  <si>
    <t>Khi thay đổi dữ liệu hợp lệ trên lưới và nhấn Save, hệ thống chỉ gửi request cập nhật cho sản phẩm có thay đổi, lưu DB và báo thành công.</t>
  </si>
  <si>
    <t>TC_REQ_US18_02_01</t>
  </si>
  <si>
    <t>Cập nhật tồn kho một SP và lưu</t>
  </si>
  <si>
    <t>TC_REQ_US18_02_02</t>
  </si>
  <si>
    <t>Chỉ SP có thay đổi mới được gửi request cập nhật</t>
  </si>
  <si>
    <t>TC_REQ_US18_02_03</t>
  </si>
  <si>
    <t>Tích Published trên Bulk edit - SP hiện ở Frontend</t>
  </si>
  <si>
    <t>Khi nhập sai định dạng (Name trống, Price âm, Stock Quantity không phải số nguyên), hệ thống hiển thị viền đỏ tại ô lỗi và chặn Save.</t>
  </si>
  <si>
    <t>TC_REQ_US18_03_01</t>
  </si>
  <si>
    <t>Nhập chữ vào ô Price trên Bulk edit</t>
  </si>
  <si>
    <t>TC_REQ_US18_03_02</t>
  </si>
  <si>
    <t>Xóa trắng trường Name trên Bulk edit</t>
  </si>
  <si>
    <t>TC_REQ_US18_03_03</t>
  </si>
  <si>
    <t>Nhập Stock Quantity là số thập phân</t>
  </si>
  <si>
    <t>Bộ lọc tìm kiếm theo Category hoặc Manufacturer trên lưới Bulk edit chỉ hiển thị sản phẩm khớp điều kiện, hỗ trợ phân trang trên kết quả lọc.</t>
  </si>
  <si>
    <t>TC_REQ_US18_04_01</t>
  </si>
  <si>
    <t>Lọc SP theo Category trên Bulk edit</t>
  </si>
  <si>
    <t>TC_REQ_US18_04_02</t>
  </si>
  <si>
    <t>Lọc SP theo Manufacturer trên Bulk edit</t>
  </si>
  <si>
    <t>Hệ thống truy vấn CSDL theo các tiêu chí lọc (Start date, End date, Order statuses, Payment statuses, Billing email address, ...) và hiển thị danh sách đơn hàng; hiện bảng trống kèm "No data available in table" nếu không có kết quả.</t>
  </si>
  <si>
    <t>TC_REQ_US19_01_01</t>
  </si>
  <si>
    <t>Tìm kiếm đơn hàng theo khoảng ngày tạo</t>
  </si>
  <si>
    <t>TC_REQ_US19_01_02</t>
  </si>
  <si>
    <t>Tìm kiếm đơn hàng không có kết quả</t>
  </si>
  <si>
    <t>TC_REQ_US19_01_03</t>
  </si>
  <si>
    <t>Tìm kiếm tất cả đơn hàng không nhập điều kiện</t>
  </si>
  <si>
    <t>Khi chọn xem chi tiết đơn hàng, hệ thống hiển thị đầy đủ thông tin khách hàng, sản phẩm, thanh toán và vận chuyển.</t>
  </si>
  <si>
    <t>TC_REQ_US19_02_01</t>
  </si>
  <si>
    <t>Xem chi tiết đơn hàng đầy đủ thông tin</t>
  </si>
  <si>
    <t>TC_REQ_US19_02_02</t>
  </si>
  <si>
    <t>Tài khoản không có quyền Sales cố xem chi tiết đơn</t>
  </si>
  <si>
    <t>Khi thay đổi  "Order statuses", "Payment statuses" hoặc "Shipping address" và lưu, hệ thống cập nhật CSDL, ghi nhận lịch sử thay đổi và phản ánh ngay trên giao diện.</t>
  </si>
  <si>
    <t>TC_REQ_US19_03_01</t>
  </si>
  <si>
    <t>Cập nhật Order statuses hợp lệ</t>
  </si>
  <si>
    <t>TC_REQ_US19_03_02</t>
  </si>
  <si>
    <t>Cập nhật Payment statuses hợp lệ</t>
  </si>
  <si>
    <t>TC_REQ_US19_03_03</t>
  </si>
  <si>
    <t>Lịch sử thay đổi trạng thái được ghi nhận</t>
  </si>
  <si>
    <t>Hệ thống cho phép thêm mới hàng loạt đơn hàng từ tệp tin Excel. Hệ thống phải kiểm tra các trường dữ liệu bắt buộc và định dạng tệp tin trước khi lưu vào CSDL.</t>
  </si>
  <si>
    <t>TC_REQ_US19_04_01</t>
  </si>
  <si>
    <t>Import thành công tệp Excel hợp lệ, hệ thống lưu đơn hàng và cập nhật danh sách.</t>
  </si>
  <si>
    <t>TC_REQ_US19_04_02</t>
  </si>
  <si>
    <t>Hệ thống báo lỗi và chặn lưu khi tệp tin trống hoặc sai định dạng trường dữ liệu.</t>
  </si>
  <si>
    <t>TC_REQ_US19_04_03</t>
  </si>
  <si>
    <t>Kiểm tra thông báo lỗi khi upload tệp không đúng định dạng file hệ thống yêu cầu.</t>
  </si>
  <si>
    <t>Khi hủy đơn hàng đang ở trạng thái cho phép hủy, hệ thống xóa đơn, hoàn trả tồn kho cho từng sản phẩm và báo thành công.</t>
  </si>
  <si>
    <t>TC_REQ_US19_05_01</t>
  </si>
  <si>
    <t>Hủy đơn hàng ở trạng thái cho phép hủy</t>
  </si>
  <si>
    <t>TC_REQ_US19_05_02</t>
  </si>
  <si>
    <t>Tồn kho hoàn trả đúng sau khi hủy đơn</t>
  </si>
  <si>
    <t>TC_REQ_US19_05_03</t>
  </si>
  <si>
    <t>Giỏ hàng không bị ảnh hưởng khi hủy đơn đã lưu</t>
  </si>
  <si>
    <t>Khi cố hủy đơn hàng đã hoàn thành, hệ thống thông báo đơn hàng không được phép hủy và không thực hiện xóa.</t>
  </si>
  <si>
    <t>TC_REQ_US19_06_01</t>
  </si>
  <si>
    <t>Cố hủy đơn hàng đã hoàn thành</t>
  </si>
  <si>
    <t>TC_REQ_US19_06_02</t>
  </si>
  <si>
    <t>Đơn Completed không có nút Xóa hoặc bị khóa</t>
  </si>
  <si>
    <t>Hệ thống truy xuất dữ liệu giảm giá theo điều kiện lọc và hiển thị danh sách, hiện bảng trống thay vì báo lỗi hệ thống khi không có kết quả.</t>
  </si>
  <si>
    <t>TC_REQ_US20_01_01</t>
  </si>
  <si>
    <t>Tìm kiếm mã giảm giá theo tên hợp lệ</t>
  </si>
  <si>
    <t>TC_REQ_US20_01_02</t>
  </si>
  <si>
    <t>Tìm kiếm không có kết quả - bảng trống thay vì lỗi</t>
  </si>
  <si>
    <t>Khi nhập đầy đủ thông tin hợp lệ (Is active, name, discount type, vender, use percentage, discount amount, start date, end date,...) và lưu, hệ thống tạo chương trình giảm giá mới và chuyển về danh sách.</t>
  </si>
  <si>
    <t>TC_REQ_US20_02_01</t>
  </si>
  <si>
    <t>Tạo chương trình giảm giá mới thành công</t>
  </si>
  <si>
    <t>TC_REQ_US20_02_02</t>
  </si>
  <si>
    <t>Số tiền giảm giá phải đúng định dạng số</t>
  </si>
  <si>
    <t>TC_REQ_US20_02_03</t>
  </si>
  <si>
    <t>Tạo giảm giá với ngày hợp lệ</t>
  </si>
  <si>
    <t>Khi bỏ trống trường "Name" hệ thống hiển thị lỗi chữ đỏ và chặn lưu.</t>
  </si>
  <si>
    <t>TC_REQ_US20_03_01</t>
  </si>
  <si>
    <t>Bỏ trống trường name khi tạo giảm giá</t>
  </si>
  <si>
    <t>TC_REQ_US20_03_02</t>
  </si>
  <si>
    <t>Kiểm tra hiển thị lỗi chữ đỏ tại các trường bị thiếu hoặc sai logic.</t>
  </si>
  <si>
    <t>Khi chỉnh sửa thông số giảm giá hợp lệ (discount percentage, requires coupon code, ...) và lưu, hệ thống tải dữ liệu cũ lên form và cập nhật bản ghi trong CSDL.</t>
  </si>
  <si>
    <t>TC_REQ_US20_04_01</t>
  </si>
  <si>
    <t>Chỉnh sửa mức giảm giá hợp lệ</t>
  </si>
  <si>
    <t>TC_REQ_US20_04_02</t>
  </si>
  <si>
    <t>Dữ liệu cũ đổ vào form khi mở chỉnh sửa</t>
  </si>
  <si>
    <t>Khi nhập ký tự chữ vào trường Discount amount, hệ thống ngăn chặn nhập liệu.</t>
  </si>
  <si>
    <t>TC_REQ_US20_05_01</t>
  </si>
  <si>
    <t>Nhập ký tự chữ vào trường Discount amount</t>
  </si>
  <si>
    <t>TC_REQ_US20_05_02</t>
  </si>
  <si>
    <t>Nhập số âm vào trường Discount amount</t>
  </si>
  <si>
    <t>Khi xóa chương trình giảm giá (có popup xác nhận), hệ thống xóa bản ghi khỏi CSDL và thông báo xóa thành công.</t>
  </si>
  <si>
    <t>TC_REQ_US20_06_01</t>
  </si>
  <si>
    <t>Xóa chương trình sau khi xác nhận popup</t>
  </si>
  <si>
    <t>TC_REQ_US20_06_02</t>
  </si>
  <si>
    <t>Hủy xóa từ popup - chương trình vẫn còn</t>
  </si>
  <si>
    <t>TC_REQ_US20_06_03</t>
  </si>
  <si>
    <t>Popup xác nhận bắt buộc trước khi xóa</t>
  </si>
  <si>
    <t>Khi xóa mã giảm giá đã được sử dụng trong đơn hàng đã hoàn thành, hệ thống kiểm tra ràng buộc và chặn xóa để bảo vệ dữ liệu kế toán.</t>
  </si>
  <si>
    <t>TC_REQ_US20_07_01</t>
  </si>
  <si>
    <t>Xóa mã giảm giá đã dùng trong đơn hoàn thành</t>
  </si>
  <si>
    <t>TC_REQ_US20_07_02</t>
  </si>
  <si>
    <t>Xóa mã giảm giá chưa từng được sử dụng</t>
  </si>
  <si>
    <t>Thống kê</t>
  </si>
  <si>
    <t>Tổng số yêu cầu</t>
  </si>
  <si>
    <t>Đang thực hiện</t>
  </si>
  <si>
    <t>Chưa bắt đầu</t>
  </si>
  <si>
    <t>Phần trăm hoàn thành %</t>
  </si>
  <si>
    <r>
      <rPr>
        <rFont val="Arial"/>
        <b/>
        <color rgb="FFFFFFFF"/>
        <sz val="12.0"/>
      </rPr>
      <t xml:space="preserve">TEST CASE	</t>
    </r>
    <r>
      <rPr>
        <rFont val="Arial"/>
        <b/>
        <color theme="1"/>
        <sz val="10.0"/>
      </rPr>
      <t xml:space="preserve">						</t>
    </r>
  </si>
  <si>
    <t>TC_ID</t>
  </si>
  <si>
    <t>Description</t>
  </si>
  <si>
    <t>Condition/Input</t>
  </si>
  <si>
    <t>Steps</t>
  </si>
  <si>
    <t>Test Data</t>
  </si>
  <si>
    <t>Expected Result</t>
  </si>
  <si>
    <t>Actual Result</t>
  </si>
  <si>
    <t>Test Type</t>
  </si>
  <si>
    <t>Status</t>
  </si>
  <si>
    <t>DEF_ID</t>
  </si>
  <si>
    <t>Note</t>
  </si>
  <si>
    <t>Email và Password hợp lệ, tài khoản Active</t>
  </si>
  <si>
    <t>1. Mở trình duyệt, truy cập trang đăng nhập nopCommerce
 2. Nhập Email hợp lệ vào ô Email
 3. Nhập Password đúng vào ô Password
 4. Nhấn nút Đăng nhập</t>
  </si>
  <si>
    <t>Email: buihoang3425@gmail.com
 Password: 123456
 Trạng thái TK: Active</t>
  </si>
  <si>
    <t>Điều hướng về Trang chủ, hiển thị thông báo đăng nhập thành công</t>
  </si>
  <si>
    <t>Đăng nhập thành công điều hướng về trang chủ</t>
  </si>
  <si>
    <t>Positive</t>
  </si>
  <si>
    <t>Email/Password đúng nhưng tài khoản ở trạng thái Inactive</t>
  </si>
  <si>
    <t>1. Mở trang đăng nhập
 2. Nhập Email và Password của tài khoản Inactive
 3. Nhấn nút Đăng nhập
 4. Quan sát thông báo lỗi</t>
  </si>
  <si>
    <t>Email: inactive@gmail.com
 Password: 123456
 Trạng thái TK: Inactive</t>
  </si>
  <si>
    <t>Hệ thống từ chối đăng nhập và hiển thị thông báo lỗi phù hợp</t>
  </si>
  <si>
    <t>Thông báo: Đăng nhập không thành công. Vui lòng sửa lỗi và thử lại.
Tài khoản không hoạt động</t>
  </si>
  <si>
    <t>Negative</t>
  </si>
  <si>
    <t>Đăng nhập thành công, tích checkbox Remember me</t>
  </si>
  <si>
    <t>1. Mở trang đăng nhập
 2. Nhập Email và Password hợp lệ
 3. Tích chọn checkbox Remember me
 4. Nhấn Đăng nhập
 5. Đóng trình duyệt hoàn toàn
 6. Mở lại trình duyệt, truy cập trang chủ</t>
  </si>
  <si>
    <t>Email: buihoang3425@gmail.com
 Password: Test@1234
 Checkbox Remember me: tích chọn</t>
  </si>
  <si>
    <t>Sau khi đóng và mở lại trình duyệt, phiên đăng nhập vẫn được duy trì</t>
  </si>
  <si>
    <t>Edge</t>
  </si>
  <si>
    <t>Không nhập Email và Password, nhấn nút Đăng nhập</t>
  </si>
  <si>
    <t>1. Mở trang đăng nhập
 2. Để trống cả 2 trường Email và Password
 3. Nhấn nút Đăng nhập
 4. Quan sát thông báo lỗi</t>
  </si>
  <si>
    <t>Email: (để trống)
 Password: (để trống)</t>
  </si>
  <si>
    <t>Hiển thị thông báo lỗi trường bắt buộc cho cả 2 trường, không cho đăng nhập</t>
  </si>
  <si>
    <t>Hiển thị lỗi: Vui lòng nhập email</t>
  </si>
  <si>
    <t>Email trống, Password có giá trị hợp lệ</t>
  </si>
  <si>
    <t>1. Mở trang đăng nhập
 2. Để trống trường Email
 3. Nhập Password hợp lệ
 4. Nhấn Đăng nhập
 5. Quan sát thông báo lỗi</t>
  </si>
  <si>
    <t>Email: (để trống)
 Password: 123456</t>
  </si>
  <si>
    <t>Hiển thị lỗi trường Email bắt buộc, chặn đăng nhập</t>
  </si>
  <si>
    <t>Email có giá trị hợp lệ, Password trống</t>
  </si>
  <si>
    <t>1. Mở trang đăng nhập
 2. Nhập Email hợp lệ
 3. Để trống Password
 4. Nhấn Đăng nhập
 5. Quan sát thông báo lỗi</t>
  </si>
  <si>
    <t>Email: buihoang3425@gmail.com
 Password: (để trống)</t>
  </si>
  <si>
    <t>Hiển thị lỗi trường Password bắt buộc, chặn đăng nhập</t>
  </si>
  <si>
    <t>Thông báo: Đăng nhập không thành công. Vui lòng sửa lỗi và thử lại.
Thông tin đăng nhập được cung cấp không chính xác</t>
  </si>
  <si>
    <t>Email tồn tại trong hệ thống, Password không khớp</t>
  </si>
  <si>
    <t>1. Mở trang đăng nhập
 2. Nhập Email tồn tại trong hệ thống
 3. Nhập Password sai
 4. Nhấn Đăng nhập
 5. Kiểm tra thông báo lỗi</t>
  </si>
  <si>
    <t>Email: buihoang3425@gmail.com
 Password: 1234567</t>
  </si>
  <si>
    <t>Thông báo lỗi 'Thông tin đăng nhập không chính xác' hiển thị ở đầu form, không phân biệt lỗi Email hay Password</t>
  </si>
  <si>
    <t>Email không có trong CSDL, Password bất kỳ</t>
  </si>
  <si>
    <t>1. Mở trang đăng nhập
 2. Nhập Email không tồn tại trong CSDL
 3. Nhập Password bất kỳ
 4. Nhấn Đăng nhập
 5. Kiểm tra thông báo lỗi</t>
  </si>
  <si>
    <t>Email: notexist@nomail.com
 Password: AnyPass999</t>
  </si>
  <si>
    <t>Thông báo lỗi giống như sai Password, không tiết lộ Email không tồn tại</t>
  </si>
  <si>
    <t>Nhập sai Password 5 lần liên tiếp cho cùng một Email</t>
  </si>
  <si>
    <t>1. Mở trang đăng nhập
 2. Nhập Email hợp lệ
 3. Nhập Password sai lần 1 → Nhấn Đăng nhập
 4. Lặp lại bước 3 thêm 4 lần (tổng 5 lần)
 5. Quan sát phản hồi của hệ thống</t>
  </si>
  <si>
    <t>Email: buihoang3425@gmail.com
 Password sai: BadPass01, BadPass02, BadPass03, BadPass04, BadPass05</t>
  </si>
  <si>
    <t>Hệ thống xử lý và hiển thị thông báo lỗi nhất quán ở mỗi lần thử</t>
  </si>
  <si>
    <t>Đã đăng nhập, nhập Email mới chưa có trong hệ thống, điền đủ các trường, lưu</t>
  </si>
  <si>
    <t>1. Đăng nhập thành công
 2. Vào My Account → Edit Information
 3. Đổi Email thành email mới chưa tồn tại
 4. Điền đầy đủ các trường
 5. Nhấn Save
 6. Kiểm tra thông báo và dữ liệu</t>
  </si>
  <si>
    <t>Email mới: newemail_unique@test.com
 First name: Nguyen
 Last name: Van A
 Company: TestCo</t>
  </si>
  <si>
    <t>Dữ liệu cập nhật vào bảng Customer, hiển thị thông báo thành công</t>
  </si>
  <si>
    <t>Thông báo: Thông tin của khách hàng đã được cập nhật thành công.</t>
  </si>
  <si>
    <t>Đã đăng nhập, nhập Email đã thuộc về tài khoản khác trong hệ thống</t>
  </si>
  <si>
    <t>1. Đăng nhập thành công
 2. Vào My Account → Edit Information
 3. Nhập Email đã thuộc tài khoản khác
 4. Nhấn Save
 5. Quan sát thông báo lỗi</t>
  </si>
  <si>
    <t>Email đã tồn tại: existing@test.com
 Tài khoản khác đang dùng email này</t>
  </si>
  <si>
    <t>Hệ thống báo lỗi Email đã tồn tại, không cho cập nhật</t>
  </si>
  <si>
    <t>Thông báo: Địa chỉ email này đã được sử dụng
và không lưu</t>
  </si>
  <si>
    <t>Đã đăng nhập, truy cập trang chỉnh sửa thông tin cá nhân</t>
  </si>
  <si>
    <t>1. Đăng nhập thành công
 2. Vào My Account → Edit Information
 3. Quan sát dữ liệu hiển thị trên form
 4. So sánh với dữ liệu trong CSDL</t>
  </si>
  <si>
    <t>Tài khoản: customer@test.com
 Dữ liệu hiện tại trong DB: Gender=Male, First=Nguyen, Last=Van A</t>
  </si>
  <si>
    <t>Form hiển thị đúng tất cả dữ liệu hiện tại (Giới tính, Tên, Họ, Email, Công ty)</t>
  </si>
  <si>
    <t>HIển thị đúng dữ liệu trong db</t>
  </si>
  <si>
    <t>Xóa trắng Tên đầu tiên, Họ và Email, nhấn Lưu</t>
  </si>
  <si>
    <t>1. Đăng nhập, vào trang Edit Information
 2. Xóa trắng First name, Last name và Email
 3. Nhấn Save
 4. Quan sát thông báo lỗi</t>
  </si>
  <si>
    <t>First name: (xóa trống)
 Last name: (xóa trống)
 Email: (xóa trống)</t>
  </si>
  <si>
    <t>Hệ thống hiển thị lỗi tại cả 3 trường bắt buộc, chặn lưu</t>
  </si>
  <si>
    <t>Lỗi ở các trường thông báo bắt buộc điền</t>
  </si>
  <si>
    <t>Tên đầu tiên và Email có giá trị, Họ để trống</t>
  </si>
  <si>
    <t>1. Đăng nhập, vào trang Edit Information
 2. Để First name và Email có giá trị hợp lệ
 3. Xóa trắng Last name
 4. Nhấn Save
 5. Quan sát thông báo lỗi</t>
  </si>
  <si>
    <t>First name: Nguyen
 Last name: (xóa trống)
 Email: customer@test.com</t>
  </si>
  <si>
    <t>Hệ thống hiển thị lỗi tại trường Họ, chặn lưu</t>
  </si>
  <si>
    <t>Thông báo Họ là bắt buộc</t>
  </si>
  <si>
    <t>Tên đầu tiên, Họ, Email đều có giá trị hợp lệ</t>
  </si>
  <si>
    <t>1. Đăng nhập, vào trang Edit Information
 2. Nhập đầy đủ First name, Last name, Email hợp lệ
 3. Nhấn Save
 4. Quan sát kết quả</t>
  </si>
  <si>
    <t>First name: Nguyen
 Last name: Van B
 Email: customer@test.com</t>
  </si>
  <si>
    <t>Hệ thống lưu thành công, không hiển thị lỗi bắt buộc</t>
  </si>
  <si>
    <t>Email dạng 'testdomain.com', nhấn Lưu</t>
  </si>
  <si>
    <t>1. Đăng nhập, vào trang Edit Information
 2. Nhập Email không có ký tự @
 3. Nhấn Save
 4. Quan sát thông báo lỗi</t>
  </si>
  <si>
    <t>Email: testdomain.com</t>
  </si>
  <si>
    <t>Hệ thống hiển thị lỗi định dạng Email không hợp lệ, chặn lưu</t>
  </si>
  <si>
    <t>Thông báo: Please enter a valid email address.</t>
  </si>
  <si>
    <t>Email dạng 'test@', nhấn Lưu</t>
  </si>
  <si>
    <t>1. Đăng nhập, vào trang Edit Information
 2. Nhập Email không có phần domain
 3. Nhấn Save
 4. Quan sát thông báo lỗi</t>
  </si>
  <si>
    <t>Email: test@</t>
  </si>
  <si>
    <t>Email dạng 'test@example.com', nhấn Lưu</t>
  </si>
  <si>
    <t>1. Đăng nhập, vào trang Edit Information
 2. Nhập Email đúng định dạng
 3. Nhấn Save
 4. Quan sát kết quả</t>
  </si>
  <si>
    <t>Email: test@example.com</t>
  </si>
  <si>
    <t>Hệ thống chấp nhận và lưu Email thành công</t>
  </si>
  <si>
    <t>Nhập đúng Mật khẩu cũ, Mật khẩu mới, Xác nhận mật khẩu khớp nhau</t>
  </si>
  <si>
    <t>1. Đăng nhập, vào My Account → Change Password
 2. Nhập Old Password đúng
 3. Nhập New Password hợp lệ
 4. Nhập Confirm Password khớp New Password
 5. Nhấn Change Password</t>
  </si>
  <si>
    <t>Old Password: Test@1234
 New Password: NewPass@5678
 Confirm: NewPass@5678</t>
  </si>
  <si>
    <t>Mật khẩu mới được Hash và cập nhật vào CSDL, thông báo thành công</t>
  </si>
  <si>
    <t>Thông báo: Mật khẩu đã được thay đổi. Và lưu vào db</t>
  </si>
  <si>
    <t>Nhập đúng mật khẩu cũ, mật khẩu mới giống hệt mật khẩu cũ</t>
  </si>
  <si>
    <t>1. Đăng nhập, vào Change Password
 2. Nhập Old Password đúng
 3. Nhập New Password trùng với Old Password
 4. Nhập Confirm Password
 5. Nhấn Change Password</t>
  </si>
  <si>
    <t>Old Password: Test@1234
 New Password: Test@1234
 Confirm: Test@1234</t>
  </si>
  <si>
    <t>Hệ thống cảnh báo không nên dùng mật khẩu cũ theo business rule</t>
  </si>
  <si>
    <t>Thông báo: Bạn đã nhập mật khẩu giống với mật khẩu cuối cùng bạn đã sử dụng. Vui lòng tạo mật khẩu mới.</t>
  </si>
  <si>
    <t>Nhập mật khẩu, click icon show/hide password</t>
  </si>
  <si>
    <t>1. Đăng nhập, vào Change Password
 2. Nhập Old Password sai
 3. Nhập New Password hợp lệ
 4. Nhấn Change Password
 5. Quan sát thông báo</t>
  </si>
  <si>
    <t>Old Password: WrongOld@999
 New Password: NewPass@5678
 Confirm: NewPass@5678</t>
  </si>
  <si>
    <t>Mật khẩu được hiển thị/ẩn đúng theo hành động người dùng</t>
  </si>
  <si>
    <t>click icon mắt ẩn hiện mật khẩu bình thường</t>
  </si>
  <si>
    <t>Không nhập giá trị vào bất kỳ trường nào, nhấn Lưu</t>
  </si>
  <si>
    <t>1. Vào Change Password
 2. Bỏ trống Old Password
 3. Nhập New và Confirm hợp lệ
 4. Nhấn Change Password</t>
  </si>
  <si>
    <t>Old Password: (để trống)
 New Password: NewPass@5678
 Confirm: NewPass@5678</t>
  </si>
  <si>
    <t>Hệ thống hiển thị lỗi bắt buộc tại cả 3 trường, chặn thực hiện</t>
  </si>
  <si>
    <t>yêu cầu các trường đó là bắt buộc</t>
  </si>
  <si>
    <t>Nhập Mật khẩu cũ và Xác nhận, để trống Mật khẩu mới</t>
  </si>
  <si>
    <t>1. Vào Change Password
 2. Nhập Old Password đúng
 3. Bỏ trống New Password
 4. Nhấn Change Password</t>
  </si>
  <si>
    <t>Old Password: Test@1234
 New Password: (để trống)
 Confirm: (để trống)</t>
  </si>
  <si>
    <t>Hiển thị lỗi tại riêng trường Mật khẩu mới, chặn lưu</t>
  </si>
  <si>
    <t>Mật khẩu mới là bắt buộc</t>
  </si>
  <si>
    <t>Tất cả trường có giá trị hợp lệ, nhấn Lưu</t>
  </si>
  <si>
    <t>1. Vào Change Password
 2. Điền đầy đủ Old, New, Confirm hợp lệ
 3. Nhấn Change Password</t>
  </si>
  <si>
    <t>Hệ thống không hiển thị lỗi bắt buộc, tiến hành xử lý</t>
  </si>
  <si>
    <t>Nhập sai Mật khẩu cũ (hash không khớp CSDL), nhấn Lưu</t>
  </si>
  <si>
    <t>1. Vào Change Password
 2. Nhập Old Password đúng
 3. Nhập New Password và Confirm không khớp nhau
 4. Nhấn Change Password</t>
  </si>
  <si>
    <t>Old Password: Test@1234
 New Password: NewPass@5678
 Confirm: DiffPass@999</t>
  </si>
  <si>
    <t>Hệ thống hiển thị lỗi mật khẩu cũ không đúng, không cập nhật mật khẩu mới</t>
  </si>
  <si>
    <t>Thông báo : Mật khẩu cũ không khớp</t>
  </si>
  <si>
    <t>Nhập đúng Mật khẩu cũ, Mật khẩu mới và Xác nhận hợp lệ</t>
  </si>
  <si>
    <t>1. Vào Change Password
 2. Nhập Old, New, Confirm đều khớp hợp lệ
 3. Nhấn Change Password</t>
  </si>
  <si>
    <t>Hệ thống cho phép cập nhật mật khẩu mới thành công</t>
  </si>
  <si>
    <t>Mật khẩu mới: 'Abc@123', Xác nhận: 'abc@123', nhấn Lưu</t>
  </si>
  <si>
    <t>1. Vào Change Password
 2. Nhập New Password ngắn hơn 6 ký tự
 3. Nhấn Change Password</t>
  </si>
  <si>
    <t>Old Password: Test@1234
 New Password: Ab@1
 Confirm: Ab@1</t>
  </si>
  <si>
    <t>Hệ thống hiển thị lỗi hai trường không khớp (case-sensitive), chặn lưu</t>
  </si>
  <si>
    <t>Thông báo: Mật khẩu phải đáp ứng các quy tắc sau: phải có ít nhất 6 ký tự và không lớn hơn 64 ký tự</t>
  </si>
  <si>
    <t>Mật khẩu mới và Xác nhận khớp hoàn toàn và mật khẩu cũ sai</t>
  </si>
  <si>
    <t>Mật khẩu mới và Xác nhận có cùng nội dung chính xác</t>
  </si>
  <si>
    <t>1. Vào Change Password
 2. Nhập New Password đủ độ dài tối thiểu (≥6 ký tự)
 3. Nhấn Change Password</t>
  </si>
  <si>
    <t>Old Password: Test@1234
 New Password: Abc@12
 Confirm: Abc@12</t>
  </si>
  <si>
    <t>Hệ thống không hiển thị lỗi không khớp, tiếp tục xử lý</t>
  </si>
  <si>
    <t>Mật khẩu mới: 'Pass1234', Xác nhận: 'Pass9999', nhấn Lưu</t>
  </si>
  <si>
    <t>1. Vào Change Password
 2. Nhập New Password rất dài (&gt;100 ký tự)
 3. Nhấn Change Password</t>
  </si>
  <si>
    <t>Old Password: Test@1234
 New Password: AAAAAAAAAAAAAAAAAAAAAAAAAAAAAAAAAAAAAAAAAAAAAAAAAA@1aB
 Confirm: same</t>
  </si>
  <si>
    <t>Hệ thống hiển thị lỗi không khớp và chặn lưu</t>
  </si>
  <si>
    <t>Thông báo: Mật khẩu mới và mật khẩu xác nhận không khớp.</t>
  </si>
  <si>
    <t>Tìm kiếm bằng chữ thường khớp tên SP viết hoa</t>
  </si>
  <si>
    <t>Nhập chữ thường</t>
  </si>
  <si>
    <t>1. Truy cập trang chủ.
 2. Nhập từ khóa.
 3. Nhấn Tìm kiếm.</t>
  </si>
  <si>
    <t>Từ khóa: laptop
 (Tên SP: LAPTOP Dell)</t>
  </si>
  <si>
    <t>Trả về đúng sản phẩm khớp, không phân biệt hoa/thường.</t>
  </si>
  <si>
    <t xml:space="preserve">Hệ thống trả về đúng sản phẩm "LAPTOP Dell" </t>
  </si>
  <si>
    <t>Nhập đúng SKU</t>
  </si>
  <si>
    <t>1. Truy cập trang chủ.
 2. Nhập mã SKU.
 3. Nhấn Tìm kiếm.</t>
  </si>
  <si>
    <t>SKU: AP_MBP_13</t>
  </si>
  <si>
    <t>Trả về sản phẩm có mã SKU tương ứng.</t>
  </si>
  <si>
    <t>Hệ thống hiển thị đúng sản phẩm Apple MacBook.</t>
  </si>
  <si>
    <t>Tìm kiếm từ khóa không có trong CSDL</t>
  </si>
  <si>
    <t>Nhập từ khóa random</t>
  </si>
  <si>
    <t>Từ khóa: xyzabc</t>
  </si>
  <si>
    <t>Trả về danh sách rỗng kèm thông báo không tìm thấy.</t>
  </si>
  <si>
    <t>Màn hình hiển thị thông báo "No products were found that matched your criteria."</t>
  </si>
  <si>
    <t>Tích Advanced search</t>
  </si>
  <si>
    <t>1. Tích "Advanced search".
 2. Tích "Search in product descriptions".
 3. Tìm kiếm.</t>
  </si>
  <si>
    <t>Từ khóa: Retina</t>
  </si>
  <si>
    <t>Trả về SP có chứa từ khóa trong phần mô tả.</t>
  </si>
  <si>
    <t>Hệ thống lọc và hiển thị các sản phẩm có chứa từ khóa "Retina" .</t>
  </si>
  <si>
    <t>Tích Automatically search subcategories</t>
  </si>
  <si>
    <t>1. Chọn Category cha.
 2. Tích "Automatically search subcategories".
 3. Tìm kiếm.</t>
  </si>
  <si>
    <t>Category: Computers
 Từ khóa: Apple</t>
  </si>
  <si>
    <t>Trả về SP khớp nằm trong danh mục cha và tất cả danh mục con.</t>
  </si>
  <si>
    <t>Hệ thống trả về sản phẩm thuộc danh mục "Computers" và các mục con khi tìm từ khóa "Apple".</t>
  </si>
  <si>
    <t>Bỏ tích tìm danh mục con</t>
  </si>
  <si>
    <t>Không tích search subcategories</t>
  </si>
  <si>
    <t>1. Chọn Category cha.
 2. Bỏ tích "Automatically search subcategories".
 3. Tìm kiếm.</t>
  </si>
  <si>
    <t>Category: Computers</t>
  </si>
  <si>
    <t>Chỉ tìm trong danh mục cha, không bao gồm SP ở danh mục con.</t>
  </si>
  <si>
    <t>Kết quả hiển thị các sản phẩm thuộc danh mục Computers, .</t>
  </si>
  <si>
    <t>Dropdown gợi ý xuất hiện sau độ trễ</t>
  </si>
  <si>
    <t>Gõ và dừng gõ</t>
  </si>
  <si>
    <t>1. Gõ từ khóa vào ô tìm kiếm.
 2. Dừng gõ ~300ms.</t>
  </si>
  <si>
    <t>Từ khóa: Mac</t>
  </si>
  <si>
    <t>Dropdown gợi ý xuất hiện chứa danh sách SP.</t>
  </si>
  <si>
    <t>Dropdown không xuất hiện khi gõ liên tục</t>
  </si>
  <si>
    <t>Gõ liên tục không dừng</t>
  </si>
  <si>
    <t>1. Gõ liên tục không dừng quá 300ms.</t>
  </si>
  <si>
    <t>Gõ: m-a-c-b-o-o-k</t>
  </si>
  <si>
    <t>Dropdown chưa hiện ra, chỉ hiện sau khi dừng gõ.</t>
  </si>
  <si>
    <t>Giới hạn tối đa số lượng kết quả gợi ý</t>
  </si>
  <si>
    <t>Khớp &gt;10 sản phẩm</t>
  </si>
  <si>
    <t>1. Gõ từ khóa phổ biến.
 2. Đếm số kết quả trong dropdown.</t>
  </si>
  <si>
    <t>Từ khóa: a</t>
  </si>
  <si>
    <t>Dropdown chỉ hiển thị tối đa 10 gợi ý.</t>
  </si>
  <si>
    <t>Hệ thống thông báo "Search term minimum length is 3 characters"</t>
  </si>
  <si>
    <t>DEF_01</t>
  </si>
  <si>
    <t>Hệ thống yêu cầu từ khóa tối thiểu 3 ký tự mới thực hiện tìm kiếm, dẫn đến không thể kiểm tra tính năng gợi ý (Dropdown) với Test Data là 1 ký tự</t>
  </si>
  <si>
    <t>Hiển thị ảnh thumbnail trong dropdown</t>
  </si>
  <si>
    <t>Show images = True</t>
  </si>
  <si>
    <t>1. Bật Show images (Admin).
 2. Gõ từ khóa ngoài Frontend.</t>
  </si>
  <si>
    <t>Từ khóa: Apple</t>
  </si>
  <si>
    <t>Gợi ý hiển thị ảnh thumbnail kèm tên SP.</t>
  </si>
  <si>
    <t>Danh sách gợi ý hiển thị trực quan bao gồm hình ảnh nhỏ và tên sản phẩm.</t>
  </si>
  <si>
    <t>Không hiển thị ảnh khi tắt tính năng</t>
  </si>
  <si>
    <t>Show images = False</t>
  </si>
  <si>
    <t>1. Tắt Show images (Admin).
 2. Gõ từ khóa ngoài Frontend.</t>
  </si>
  <si>
    <t>Dropdown chỉ hiển thị tên SP, không có ảnh.</t>
  </si>
  <si>
    <t>Sau khi tắt cấu hình trong Admin, dropdown gợi ý chỉ hiển thị văn bản tên sản phẩm.</t>
  </si>
  <si>
    <t>Tìm kiếm chứa ký tự đặc biệt</t>
  </si>
  <si>
    <t>Ký tự @, #, $</t>
  </si>
  <si>
    <t>1. Nhập từ khóa có ký tự đặc biệt.
 2. Nhấn Tìm kiếm.</t>
  </si>
  <si>
    <t>Từ khóa: Mac@#</t>
  </si>
  <si>
    <t>Xử lý an toàn, không văng lỗi, báo không có kết quả.</t>
  </si>
  <si>
    <t xml:space="preserve">
Xử lý an toàn, không văng lỗi, báo không có kết quả.
</t>
  </si>
  <si>
    <t>Kết quả tìm kiếm hợp lệ</t>
  </si>
  <si>
    <t>Khớp ít nhất 1 SP</t>
  </si>
  <si>
    <t>1. Nhập từ khóa hợp lệ.
 2. Nhấn Tìm kiếm.</t>
  </si>
  <si>
    <t>Từ khóa: Asus</t>
  </si>
  <si>
    <t>Chuyển sang trang kết quả dạng Product Grid.</t>
  </si>
  <si>
    <t>Lưới sản phẩm hiển thị đủ thông tin</t>
  </si>
  <si>
    <t>Vào trang Danh mục</t>
  </si>
  <si>
    <t>1. Từ trang chủ Frontend, click chọn một Danh mục trên thanh menu (VD: Computers).
2. Quan sát các sản phẩm hiển thị trên lưới.
3. Kiểm tra các thành phần của từng sản phẩm (Ảnh, Tên, Giá, Rating, nút Add to cart).</t>
  </si>
  <si>
    <t>Danh mục: Computers</t>
  </si>
  <si>
    <t>Mỗi SP hiển thị đủ: Ảnh, Tên, Giá, Đánh giá, nút Mua.</t>
  </si>
  <si>
    <t>Giao diện hiển thị đầy đủ các thành phần thông tin sản phẩm trên lưới.</t>
  </si>
  <si>
    <t>Thứ tự sắp xếp mặc định (Display order)</t>
  </si>
  <si>
    <t>Tải trang danh mục</t>
  </si>
  <si>
    <t>1. Đăng nhập Admin, cấu hình vị trí ưu tiên (Display order) cho các sản phẩm trong 1 danh mục.
2. Truy cập danh mục đó ngoài Frontend.
3. Đối chiếu thứ tự hiển thị thực tế với cấu hình trong Admin.</t>
  </si>
  <si>
    <t>Danh mục: Electronics</t>
  </si>
  <si>
    <t>SP hiển thị đúng theo Display order đã cấu hình.</t>
  </si>
  <si>
    <t>Sản phẩm hiển thị đúng theo vị trí ưu tiên đã thiết lập trong Admin.</t>
  </si>
  <si>
    <t>Danh mục rỗng (Không có SP)</t>
  </si>
  <si>
    <t>Danh mục chưa gán SP</t>
  </si>
  <si>
    <t>1. Tạo một danh mục mới trong Admin và không gán bất kỳ sản phẩm nào.
2. Truy cập vào URL của danh mục đó ngoài Frontend.
3. Quan sát thông báo hiển thị trên màn hình thay cho lưới sản phẩm.</t>
  </si>
  <si>
    <t>DM: EmptyCategory</t>
  </si>
  <si>
    <t>Hiển thị thông báo không có sản phẩm nào.</t>
  </si>
  <si>
    <t>Hiển thị thông báo "No products were found" cho danh mục rỗng.</t>
  </si>
  <si>
    <t>Chuyển chế độ Lưới sang Danh sách</t>
  </si>
  <si>
    <t>Click icon List</t>
  </si>
  <si>
    <t>1. Truy cập một trang danh mục có hiển thị sản phẩm.
2. Tại thanh công cụ phía trên lưới sản phẩm, click vào icon "List" (Danh sách).
3. Quan sát sự thay đổi giao diện các item.</t>
  </si>
  <si>
    <t>Icon: List</t>
  </si>
  <si>
    <t>Giao diện chuyển thành danh sách hàng dọc.</t>
  </si>
  <si>
    <t>Chuyển chế độ Danh sách về Lưới</t>
  </si>
  <si>
    <t>Click icon Grid</t>
  </si>
  <si>
    <t>1. Khi đang ở chế độ hiển thị List, click vào icon "Grid" (Lưới) trên thanh công cụ.
2. Quan sát giao diện chuyển đổi trở lại dạng lưới ô vuông ban đầu.</t>
  </si>
  <si>
    <t>Icon: Grid</t>
  </si>
  <si>
    <t>Giao diện chuyển lại thành lưới ô vuông.</t>
  </si>
  <si>
    <t>Hệ thống ghi nhớ kiểu hiển thị</t>
  </si>
  <si>
    <t>Back trang</t>
  </si>
  <si>
    <t>1. Đổi chế độ hiển thị sang List.
2. Click vào xem chi tiết một sản phẩm bất kỳ.
3. Nhấn nút "Back" của trình duyệt để quay lại trang danh mục.
4. Kiểm tra xem chế độ List có được giữ nguyên không.</t>
  </si>
  <si>
    <t>Thao tác: Back</t>
  </si>
  <si>
    <t>Chế độ hiển thị vừa chọn vẫn được duy trì.</t>
  </si>
  <si>
    <t>Kiểu hiển thị vẫn được giữ nguyên sau khi người dùng tải lại trang.</t>
  </si>
  <si>
    <t>Sắp xếp theo Tên A-Z</t>
  </si>
  <si>
    <t>Chọn 'Name: A to Z'</t>
  </si>
  <si>
    <t>1. Truy cập trang danh mục sản phẩm.
2. Click vào dropdown "Sort by" và chọn tiêu chí "Name: A to Z".
3. Kiểm tra lại thứ tự chữ cái đầu tiên của tên các sản phẩm hiển thị.</t>
  </si>
  <si>
    <t>Sort: A to Z</t>
  </si>
  <si>
    <t>SP sắp xếp theo bảng chữ cái từ A-Z.</t>
  </si>
  <si>
    <t>Sắp xếp Giá Thấp đến Cao</t>
  </si>
  <si>
    <t>Chọn 'Price: Low-High'</t>
  </si>
  <si>
    <t>1. Click vào dropdown "Sort by" và chọn tiêu chí "Price: Low to High".
2. Kiểm tra giá của các sản phẩm hiển thị xem có đúng đang tăng dần không.</t>
  </si>
  <si>
    <t>Sort: Low to High</t>
  </si>
  <si>
    <t>SP sắp xếp theo giá tăng dần.</t>
  </si>
  <si>
    <t>Sắp xếp Sản phẩm mới nhất</t>
  </si>
  <si>
    <t>Chọn 'Created on'</t>
  </si>
  <si>
    <t>1. Click vào dropdown "Sort by" và chọn tiêu chí "Created on".
2. Kiểm tra xem các sản phẩm mới được thêm vào hệ thống có được đẩy lên đầu tiên không.</t>
  </si>
  <si>
    <t>Sort: Created on</t>
  </si>
  <si>
    <t>SP mới nhất được đẩy lên đầu.</t>
  </si>
  <si>
    <t>Đổi Page size (Số SP mỗi trang)</t>
  </si>
  <si>
    <t>Chọn Display = 6</t>
  </si>
  <si>
    <t>1. Truy cập trang danh mục có tổng số lượng lớn hơn 6 sản phẩm.
2. Tại dropdown "Display", chọn số lượng "6" per page.
3. Đếm số lượng sản phẩm thực tế hiển thị trên màn hình.</t>
  </si>
  <si>
    <t>Page size: 6</t>
  </si>
  <si>
    <t>Trang tải lại, lưới hiện đúng tối đa 6 SP/trang.</t>
  </si>
  <si>
    <t>Hệ thống tải lại và hiển thị đúng 6 sản phẩm trên mỗi trang.</t>
  </si>
  <si>
    <t>Tổng số trang giảm khi tăng Page size</t>
  </si>
  <si>
    <t>12 SP, size 3 -&gt; 6</t>
  </si>
  <si>
    <t>1. Đang ở trang danh mục có 12 sản phẩm với Page size = 3 (hiển thị 4 trang).
2. Đổi cấu hình Page size lên 6.
3. Kiểm tra thanh phân trang xem tổng số trang có tự động giảm xuống còn 2 không.</t>
  </si>
  <si>
    <t>Size: 3 -&gt; 6</t>
  </si>
  <si>
    <t>Tổng số phân trang chuyển từ 4 xuống 2.</t>
  </si>
  <si>
    <t>Số lượng phân trang tự động điều chỉnh giảm khi tăng số lượng hiển thị.</t>
  </si>
  <si>
    <t>Hiển thị khối Danh mục con</t>
  </si>
  <si>
    <t>DM cha có DM con</t>
  </si>
  <si>
    <t>1. Đảm bảo trong Admin có cấu hình một Danh mục cha chứa các Danh mục con.
2. Truy cập Danh mục cha đó ngoài Frontend.
3. Quan sát khu vực phía trên lưới sản phẩm xem có xuất hiện các khối (blocks) danh mục con không.</t>
  </si>
  <si>
    <t>Category: Apparel</t>
  </si>
  <si>
    <t>Hiển thị các khối danh mục con phía trên lưới SP.</t>
  </si>
  <si>
    <t>Các block danh mục con hiển thị rõ ràng tại vị trí cấu hình.</t>
  </si>
  <si>
    <t>Ẩn DM con trạng thái Unpublished</t>
  </si>
  <si>
    <t>Tắt Published DM con</t>
  </si>
  <si>
    <t>1. Trong Admin, tắt trạng thái "Published" của một Danh mục con.
2. Ra ngoài Frontend, tải lại trang Danh mục cha.
3. Kiểm tra xem khối danh mục con vừa tắt có bị ẩn đi không.</t>
  </si>
  <si>
    <t>DM con: Shoes (Tắt)</t>
  </si>
  <si>
    <t>Danh mục con đó bị ẩn khỏi Frontend.</t>
  </si>
  <si>
    <t>DM không có DM con (Cấp độ lá)</t>
  </si>
  <si>
    <t>Truy cập DM lá</t>
  </si>
  <si>
    <t>1. Truy cập vào một danh mục cấp độ lá (tức là không có danh mục con nào bên trong).
2. Quan sát giao diện xem có khối danh mục con nào không hay chỉ hiển thị trực tiếp lưới sản phẩm.</t>
  </si>
  <si>
    <t>DM lá: Shoes</t>
  </si>
  <si>
    <t>Không hiện khối DM con, chỉ hiện lưới SP.</t>
  </si>
  <si>
    <t>Lọc theo khoảng giá</t>
  </si>
  <si>
    <t>Kéo slider min-max</t>
  </si>
  <si>
    <t>1. Truy cập trang danh mục sản phẩm ngoài Frontend.
2. Tại bộ lọc giá (Price range), kéo thanh slider từ mức Min (500k) đến Max (2tr).
3. Quan sát kết quả hiển thị trên lưới sản phẩm.</t>
  </si>
  <si>
    <t>Min: 500k
 Max: 2tr</t>
  </si>
  <si>
    <t>Lưới cập nhật, chỉ hiện SP giá từ 500k-2tr.</t>
  </si>
  <si>
    <t>Hệ thống lọc các sản phẩm nằm trong khoảng giá từ 500k đến 2tr.</t>
  </si>
  <si>
    <t>Giá tự nội suy từ SP trong DM</t>
  </si>
  <si>
    <t>Xem slider mặc định</t>
  </si>
  <si>
    <t>1. Truy cập một danh mục có các sản phẩm mang mức giá chênh lệch rõ ràng.
2. Quan sát thanh slider bộ lọc giá mặc định ở sidebar.
3. Kiểm tra mốc Min và Max tự động thiết lập có khớp với giá trị SP hay không.</t>
  </si>
  <si>
    <t>Min: 100k
 Max: 5tr</t>
  </si>
  <si>
    <t>Slider tự thiết lập mốc min=100k, max=5tr.</t>
  </si>
  <si>
    <t>Thanh slider tự động điều chỉnh khoảng giá dựa trên giá thấp nhất và cao nhất của sản phẩm trong danh mục.</t>
  </si>
  <si>
    <t>Nhập tay Min &gt; Max</t>
  </si>
  <si>
    <t>Cố tình nhập sai</t>
  </si>
  <si>
    <t>1. Tại khu vực bộ lọc giá, nhập tay giá trị Min (5tr) lớn hơn giá trị Max (1tr).
2. Nhấn Enter hoặc click ra ngoài để hệ thống áp dụng.
3. Quan sát phản hồi và sự thay đổi của thanh slider.</t>
  </si>
  <si>
    <t>Min: 5tr
 Max: 1tr</t>
  </si>
  <si>
    <t>Hệ thống tự hoán đổi lại cho hợp lệ hoặc báo rỗng.</t>
  </si>
  <si>
    <t>Chỉ thuộc tính Allow filtering hiện bộ lọc</t>
  </si>
  <si>
    <t>Bật Allow filtering</t>
  </si>
  <si>
    <t>1. Đăng nhập Admin, bật cấu hình "Allow filtering" cho thuộc tính "Màu sắc".
2. Ra ngoài Frontend, truy cập trang danh mục chứa sản phẩm có thuộc tính này.
3. Kiểm tra sự xuất hiện của checkbox "Màu sắc" ở sidebar.</t>
  </si>
  <si>
    <t>Bật: Màu sắc</t>
  </si>
  <si>
    <t>Thuộc tính Màu sắc hiển thị checkbox bên sidebar.</t>
  </si>
  <si>
    <t>Lọc SP theo thuộc tính</t>
  </si>
  <si>
    <t>Tích chọn 1 Option</t>
  </si>
  <si>
    <t>1. Truy cập trang danh mục sản phẩm ngoài Frontend.
2. Tại sidebar bộ lọc, tích chọn Option "Màu Đỏ".
3. Kiểm tra danh sách sản phẩm hiển thị trên lưới xem có đúng màu không.</t>
  </si>
  <si>
    <t>Option: Màu Đỏ</t>
  </si>
  <si>
    <t>Chỉ hiển thị sản phẩm có màu Đỏ.</t>
  </si>
  <si>
    <t>Danh sách chỉ hiển thị sản phẩm có màu Đỏ.</t>
  </si>
  <si>
    <t>Thuộc tính tắt Allow filtering bị ẩn</t>
  </si>
  <si>
    <t>Tắt Allow filtering</t>
  </si>
  <si>
    <t>1. Đăng nhập Admin, tắt cấu hình "Allow filtering" cho thuộc tính "Khối lượng".
2. Ra ngoài Frontend, truy cập trang danh mục tương ứng.
3. Kiểm tra sidebar bộ lọc xem thuộc tính "Khối lượng" có bị ẩn đi không.</t>
  </si>
  <si>
    <t>Tắt: Khối lượng</t>
  </si>
  <si>
    <t>Không thấy thuộc tính Khối lượng ở Frontend.</t>
  </si>
  <si>
    <t>Lọc theo Hãng (Manufacturer)</t>
  </si>
  <si>
    <t>Tích chọn Hãng</t>
  </si>
  <si>
    <t>1. Truy cập trang danh mục sản phẩm ngoài Frontend.
2. Tại sidebar bộ lọc, tích chọn hãng "Apple" trong phần Manufacturers.
3. Kiểm tra lưới sản phẩm hiển thị.</t>
  </si>
  <si>
    <t>Hãng: Apple</t>
  </si>
  <si>
    <t>Chỉ hiển thị SP của Apple.</t>
  </si>
  <si>
    <t>Hệ thống lọc và hiển thị chính xác các sản phẩm thuộc thương hiệu Apple.</t>
  </si>
  <si>
    <t>Ẩn Hãng không có SP trong DM</t>
  </si>
  <si>
    <t>Xem bộ lọc Hãng</t>
  </si>
  <si>
    <t>1. Truy cập vào một danh mục cụ thể chỉ có sản phẩm của hãng Apple (không có hàng Samsung/Dell).
2. Quan sát phần bộ lọc Hãng sản xuất ở sidebar xem các hãng không có sản phẩm có bị ẩn đi không.</t>
  </si>
  <si>
    <t>SP trong DM: Apple</t>
  </si>
  <si>
    <t>Sidebar chỉ hiện Hãng Apple, ẩn Samsung/Dell.</t>
  </si>
  <si>
    <t>Bộ lọc hãng sản xuất tự động ẩn các hãng không có hàng trong danh mục hiện tại.</t>
  </si>
  <si>
    <t>Lọc nhiều nhóm khác nhau (AND)</t>
  </si>
  <si>
    <t>Chọn Màu + Hãng + Giá</t>
  </si>
  <si>
    <t>1. Tại trang danh mục, tích chọn màu Đỏ.
2. Tích chọn tiếp hãng Apple.
3. Kéo thanh giá dưới 2tr.
4. Kiểm tra lưới sản phẩm xem có thỏa mãn đồng thời cả 3 điều kiện (AND) không.</t>
  </si>
  <si>
    <t>Đỏ
Apple
&lt;2tr</t>
  </si>
  <si>
    <t>Lưới chỉ hiện SP thỏa mãn cả 3 điều kiện (Giao).</t>
  </si>
  <si>
    <t>Chọn nhiều Option trong 1 nhóm (OR)</t>
  </si>
  <si>
    <t>Chọn Đỏ + Xanh</t>
  </si>
  <si>
    <t>1. Tại sidebar bộ lọc, tích chọn Option màu Đỏ.
2. Tích chọn thêm Option màu Xanh trong cùng một nhóm "Màu sắc".
3. Kiểm tra lưới sản phẩm xem có hiển thị gộp cả SP màu đỏ và xanh (OR) không.</t>
  </si>
  <si>
    <t>Nhóm: Đỏ, Xanh</t>
  </si>
  <si>
    <t>Lưới gộp lại, hiện cả SP màu Đỏ và màu Xanh.</t>
  </si>
  <si>
    <t>Bỏ chọn bộ lọc</t>
  </si>
  <si>
    <t>Bỏ tích (Clear)</t>
  </si>
  <si>
    <t>1. Tích chọn một hoặc nhiều điều kiện lọc bất kỳ ở sidebar.
2. Bỏ tích các ô checkbox đang chọn.
3. Quan sát lưới sản phẩm xem có quay về trạng thái hiển thị đầy đủ ban đầu không.</t>
  </si>
  <si>
    <t>Thao tác: Bỏ chọn</t>
  </si>
  <si>
    <t>Lưới trở về trạng thái toàn bộ SP ban đầu.</t>
  </si>
  <si>
    <t>Load bằng AJAX filtering</t>
  </si>
  <si>
    <t>Bật AJAX</t>
  </si>
  <si>
    <t>1. Đăng nhập Admin, đảm bảo tính năng AJAX filtering đang được bật.
2. Ra ngoài Frontend, tích chọn một điều kiện lọc bất kỳ.
3. Quan sát khu vực lưới sản phẩm và URL trình duyệt xem trang có bị tải lại toàn bộ không.</t>
  </si>
  <si>
    <t>AJAX = ON</t>
  </si>
  <si>
    <t>Chỉ khu vực lưới SP nhấp nháy load, không full page.</t>
  </si>
  <si>
    <t>Kết quả lọc được cập nhật tức thì qua AJAX mà không cần tải lại toàn bộ trang web.</t>
  </si>
  <si>
    <t>Full page reload khi tắt AJAX</t>
  </si>
  <si>
    <t>Tắt AJAX</t>
  </si>
  <si>
    <t>1. Đăng nhập Admin, tắt tính năng AJAX filtering.
2. Ra ngoài Frontend, tích chọn một điều kiện lọc bất kỳ.
3. Quan sát trình duyệt xem có xoay vòng và tải lại toàn bộ trang web không.</t>
  </si>
  <si>
    <t>AJAX = OFF</t>
  </si>
  <si>
    <t>Trình duyệt xoay vòng, load lại nguyên trang web.</t>
  </si>
  <si>
    <t>Mỗi thao tác lọc đều khiến trình duyệt phải tải lại toàn bộ trang.</t>
  </si>
  <si>
    <t>Click vào SP còn hàng trên trang danh mục</t>
  </si>
  <si>
    <t>1. Đăng nhập hệ thống (nếu cần)
 2. Chọn danh mục
 3. Click vào SP còn hàng trên trang danh mục
 4. Kiểm tra kết quả: Hiển thị đầy đủ: Ảnh, Tên, Giá, SKU và nút 'Add to cart' active</t>
  </si>
  <si>
    <t>Dữ liệu test: Click vào SP còn hàng trên trang danh mục</t>
  </si>
  <si>
    <t>Hiển thị đầy đủ: Ảnh, Tên, Giá, SKU và nút 'Add to cart' active</t>
  </si>
  <si>
    <t>Click vào SP đang áp dụng giảm giá</t>
  </si>
  <si>
    <t>1. Đăng nhập hệ thống (nếu cần)
 2. Chọn danh mục
 3. Click vào SP đang áp dụng giảm giá
 4. Kiểm tra kết quả: Trang chi tiết hiển thị giá sau khuyến mãi, giá gốc bị gạch ngang</t>
  </si>
  <si>
    <t>Dữ liệu test: Click vào SP đang áp dụng giảm giá</t>
  </si>
  <si>
    <t>Trang chi tiết hiển thị giá sau khuyến mãi, giá gốc bị gạch ngang</t>
  </si>
  <si>
    <t>Trang chi tiết hiển thị giá gốc, không hiển thị khuyến mãi</t>
  </si>
  <si>
    <t>DEF_02</t>
  </si>
  <si>
    <t>Xem SP Published và tồn kho &gt; 0</t>
  </si>
  <si>
    <t>1. Đăng nhập hệ thống (nếu cần)
 2. Chọn danh mục
 3. Xem SP Published và tồn kho &gt; 0
 4. Kiểm tra kết quả: Nút 'Add to cart' hiển thị và có thể nhấn được</t>
  </si>
  <si>
    <t>Dữ liệu test: Xem SP Published và tồn kho &gt; 0</t>
  </si>
  <si>
    <t>Nút 'Add to cart' hiển thị và có thể nhấn được</t>
  </si>
  <si>
    <t>Click vào SP có Stock quantity = 0</t>
  </si>
  <si>
    <t>1. Đăng nhập hệ thống (nếu cần)
 2. Chọn danh mục
 3. Thiết lập điều kiện: Click vào SP có Stock quantity = 0
 4. Thực hiện thao tác
 5. Kiểm tra thông báo lỗi hoặc hành vi hệ thống</t>
  </si>
  <si>
    <t>Số lượng: 2</t>
  </si>
  <si>
    <t>Trang chi tiết hiển thị nhãn 'Out of stock', nút 'Add to cart' bị khóa (disabled)</t>
  </si>
  <si>
    <t>Trang chi tiết hiển thị nhãn 'Out of stock' khi nhấn nút 'Add to cart'</t>
  </si>
  <si>
    <t>Click vào SP có Stock quantity = 1</t>
  </si>
  <si>
    <t>1. Đăng nhập hệ thống (nếu cần)
 2. Chọn danh mục
 3. Chuẩn bị dữ liệu edge case: Click vào SP có Stock quantity = 1
 4. Thực hiện thao tác
 5. Ghi nhận hành vi hệ thống
 6. So sánh với kết quả mong đợi</t>
  </si>
  <si>
    <t>Nút 'Add to cart' active, không hiển thị nhãn Out of stock</t>
  </si>
  <si>
    <t>Dán URL SP đã bị xóa vào trình duyệt</t>
  </si>
  <si>
    <t>1. Đăng nhập hệ thống (nếu cần)
 2. Chọn danh mục
 3. Thiết lập điều kiện: Dán URL SP đã bị xóa vào trình duyệt
 4. Thực hiện thao tác
 5. Kiểm tra thông báo lỗi hoặc hành vi hệ thống</t>
  </si>
  <si>
    <t>Dữ liệu test: Dán URL SP đã bị xóa vào trình duyệt</t>
  </si>
  <si>
    <t>Hệ thống chuyển hướng sang trang lỗi 404</t>
  </si>
  <si>
    <t>Dán URL SP đang ẩn (Published = false)</t>
  </si>
  <si>
    <t>1. Đăng nhập hệ thống (nếu cần)
 2. Chọn danh mục
 3. Thiết lập điều kiện: Dán URL SP đang ẩn (Published = false)
 4. Thực hiện thao tác
 5. Kiểm tra thông báo lỗi hoặc hành vi hệ thống</t>
  </si>
  <si>
    <t>Dữ liệu test: Dán URL SP đang ẩn (Published = false)</t>
  </si>
  <si>
    <t>SP có thuộc tính OS</t>
  </si>
  <si>
    <t>1. Đăng nhập hệ thống (nếu cần)
 2. Chọn danh mục
 3. SP có thuộc tính OS(Vista Home +50); chọn thuộc tính Vista Home
 4. Thực hiện thao tác chính theo mô tả
 5. Nhấn nút xác nhận/lưu
 6. Kiểm tra kết quả: Giá hiển thị tự động tăng thêm 50 so với giá gốc</t>
  </si>
  <si>
    <t>Dữ liệu test: SP có thuộc tính RAM(Vista Home +50); chọn thuộc tính Vista Home</t>
  </si>
  <si>
    <t>Giá hiển thị tự động tăng thêm 50 so với giá gốc</t>
  </si>
  <si>
    <t>SP có 2 biến thể màu khác nhau kèm ảnh riêng; chọn màu khác</t>
  </si>
  <si>
    <t>1. Đăng nhập hệ thống (nếu cần)
 2. Chọn danh mục
 3. SP có 2 biến thể màu khác nhau kèm ảnh riêng; chọn màu khác
 4. Kiểm tra kết quả: Ảnh chuyển sang ảnh tương ứng với màu vừa chọn</t>
  </si>
  <si>
    <t>Dữ liệu test: SP có 2 biến thể màu khác nhau kèm ảnh riêng; chọn màu khác</t>
  </si>
  <si>
    <t>Ảnh chuyển sang ảnh tương ứng với màu vừa chọn</t>
  </si>
  <si>
    <t>Chọn thuộc tính không có cộng thêm giá</t>
  </si>
  <si>
    <t>1. Đăng nhập hệ thống (nếu cần)
 2. Chọn danh mục
 3. Chuẩn bị dữ liệu edge case: Chọn thuộc tính không có cộng thêm giá
 4. So sánh với kết quả mong đợi</t>
  </si>
  <si>
    <t>Dữ liệu test: Chọn thuộc tính không có cộng thêm giá</t>
  </si>
  <si>
    <t>Giá hiển thị giữ nguyên bằng giá gốc</t>
  </si>
  <si>
    <t>Đã đăng nhập, điền Tiêu đề, Nội dung, chọn 5 sao, nhấn Gửi</t>
  </si>
  <si>
    <t>1. Đăng nhập hệ thống (nếu cần)
2. Truy cập trang Product detail
3. Đã đăng nhập, điền Tiêu đề, Nội dung, chọn 5 sao
4. Nhấn Gửi
5. Kiểm tra kết quả: Đánh giá lưu vào CSDL, hiển thị trên trang SP, điểm trung bình cập nhật</t>
  </si>
  <si>
    <t>Dữ liệu test: Đã đăng nhập, điền Tiêu đề, Nội dung, chọn 5 sao, nhấn Gửi</t>
  </si>
  <si>
    <t>Đánh giá lưu vào CSDL, hiển thị trên trang SP, điểm trung bình cập nhật</t>
  </si>
  <si>
    <t>SP có điểm TB 4.0, gửi thêm đánh giá 2 sao</t>
  </si>
  <si>
    <t>1. Đăng nhập hệ thống (nếu cần)
 2. Truy cập trang Product detail
 3. SP có điểm TB 4.0, gửi thêm đánh giá 2 sao
 4. Nhấn nút gửi
 5. Kiểm tra kết quả: Điểm TB được tính lại chính xác theo công thức trung bình cộng</t>
  </si>
  <si>
    <t>Dữ liệu test: SP có điểm TB 4.0, gửi thêm đánh giá 2 sao</t>
  </si>
  <si>
    <t>Điểm TB được tính lại chính xác theo công thức trung bình cộng</t>
  </si>
  <si>
    <t>Gửi đánh giá thành công</t>
  </si>
  <si>
    <t>1. Đăng nhập hệ thống (nếu cần)
2. Truy cập trang Product detail
3. Đã đăng nhập, điền Tiêu đề, Nội dung, chọn 5 sao
4. Nhấn Gửi
5. Kiểm tra kết quả: Đánh giá mới xuất hiện trong danh sách đánh giá của sản phẩm</t>
  </si>
  <si>
    <t>Dữ liệu test: Gửi đánh giá thành công</t>
  </si>
  <si>
    <t>Đánh giá mới xuất hiện trong danh sách đánh giá của sản phẩm</t>
  </si>
  <si>
    <t>Chưa đăng nhập, vào tab đánh giá trên trang chi tiết SP</t>
  </si>
  <si>
    <t>1. Không đăng nhập
2. Truy cập trang Product detail
3. Thiết lập điều kiện: Chưa đăng nhập, vào tab đánh giá trên trang chi tiết SP
 4. Thực hiện thao tác
 5. Kiểm tra thông báo lỗi hoặc hành vi hệ thống</t>
  </si>
  <si>
    <t>Dữ liệu test: Chưa đăng nhập, vào tab đánh giá trên trang chi tiết SP</t>
  </si>
  <si>
    <t>Hệ thống hiển thị thông báo yêu cầu đăng nhập để gửi đánh giá</t>
  </si>
  <si>
    <t>Đã đăng nhập, vào tab đánh giá trên trang chi tiết SP</t>
  </si>
  <si>
    <t>1. Đăng nhập hệ thống 
2. Truy cập trang Product detail
3. Đã đăng nhập, vào tab đánh giá trên trang chi tiết SP
4. Kiểm tra kết quả: Form đánh giá hiển thị đầy đủ các trường, người dùng có thể nhập</t>
  </si>
  <si>
    <t>Dữ liệu test: Đã đăng nhập, vào tab đánh giá trên trang chi tiết SP</t>
  </si>
  <si>
    <t>Form đánh giá hiển thị đầy đủ các trường, người dùng có thể nhập</t>
  </si>
  <si>
    <t>Điền Nội dung và Sao, để trống Tiêu đề, nhấn Gửi</t>
  </si>
  <si>
    <t>1. Đăng nhập hệ thống
2. Truy cập trang Product detail
3. Thiết lập điều kiện: Điền Nội dung và Sao, để trống Tiêu đề, nhấn Gửi
4. Thực hiện thao tác
5. Kiểm tra thông báo lỗi hoặc hành vi hệ thống</t>
  </si>
  <si>
    <t>Dữ liệu test: Điền Nội dung và Sao, để trống Tiêu đề, nhấn Gửi</t>
  </si>
  <si>
    <t>Hiển thị cảnh báo lỗi màu đỏ tại trường Tiêu đề, không lưu</t>
  </si>
  <si>
    <t>Điền Tiêu đề và Nội dung, không chọn sao, nhấn Gửi</t>
  </si>
  <si>
    <t>1. Đăng nhập hệ thống 
2. Truy cập trang Product detail
3. Thiết lập điều kiện: Điền Tiêu đề và Nội dung, không chọn sao, nhấn Gửi
4. Thực hiện thao tác
5. Kiểm tra thông báo lỗi hoặc hành vi hệ thống</t>
  </si>
  <si>
    <t>Dữ liệu test: Điền Tiêu đề và Nội dung, không chọn sao, nhấn Gửi</t>
  </si>
  <si>
    <t>Hiển thị cảnh báo lỗi yêu cầu chọn sao, không lưu</t>
  </si>
  <si>
    <t>Điền đủ Tiêu đề, Nội dung, chọn Sao, nhấn Gửi</t>
  </si>
  <si>
    <t>1. Đăng nhập hệ thống
2. Truy cập trang Product detail 
3. Điền đủ Tiêu đề, Nội dung, chọn Sao, nhấn Gửi
4. Kiểm tra kết quả: Đánh giá được lưu thành công, không hiển thị lỗi validation</t>
  </si>
  <si>
    <t>Dữ liệu test: Điền đủ Tiêu đề, Nội dung, chọn Sao, nhấn Gửi</t>
  </si>
  <si>
    <t>Đánh giá được lưu thành công, không hiển thị lỗi validation</t>
  </si>
  <si>
    <t>Gửi thành công lần 1, ngay sau đó nhấn Gửi lần 2 cho cùng SP</t>
  </si>
  <si>
    <t>1. Đăng nhập hệ thống
2. Truy cập trang Product detail 
3. Thiết lập điều kiện: Gửi thành công lần 1, ngay sau đó nhấn Gửi lần 2 cho cùng SP
4. Thực hiện thao tác
5. Kiểm tra thông báo lỗi hoặc hành vi hệ thống</t>
  </si>
  <si>
    <t>Dữ liệu test: Gửi thành công lần 1, ngay sau đó nhấn Gửi lần 2 cho cùng SP</t>
  </si>
  <si>
    <t>Hệ thống chặn và thông báo 'Bạn đã gửi đánh giá, vui lòng chờ duyệt'</t>
  </si>
  <si>
    <t>Đã gửi đánh giá cho SP A, gửi đánh giá cho SP B</t>
  </si>
  <si>
    <t>1. Đăng nhập hệ thống 
2. Truy cập trang Product detail 
3. Đã gửi đánh giá cho SP A, gửi đánh giá cho SP B
4. Thực hiện thao tác chính theo mô tả
5. Kiểm tra kết quả: Hệ thống cho phép gửi đánh giá cho SP B bình thường</t>
  </si>
  <si>
    <t>Dữ liệu test: Đã gửi đánh giá cho SP A, gửi đánh giá cho SP B</t>
  </si>
  <si>
    <t>Hệ thống cho phép gửi đánh giá cho SP B bình thường</t>
  </si>
  <si>
    <t>Nhập nội dung 5 ký tự, nhấn Gửi</t>
  </si>
  <si>
    <t>1. Đăng nhập hệ thống 
2. Truy cập trang Product detail 
3. Thiết lập điều kiện: Nhập nội dung 5 ký tự, nhấn Gửi
4. Thực hiện thao tác
5. Kiểm tra thông báo lỗi hoặc hành vi hệ thống</t>
  </si>
  <si>
    <t>Dữ liệu test: Nhập nội dung 5 ký tự, nhấn Gửi</t>
  </si>
  <si>
    <t>Hệ thống hiển thị lỗi nội dung quá ngắn, chặn gửi</t>
  </si>
  <si>
    <t>Vẫn gửi được nội dung &lt;10 ký tự</t>
  </si>
  <si>
    <t>DEF_03</t>
  </si>
  <si>
    <t>Nhập nội dung 2001 ký tự, nhấn Gửi</t>
  </si>
  <si>
    <t>1. Đăng nhập hệ thống
2. Truy cập trang Product detail 
 3. Thiết lập điều kiện: Nhập nội dung 2001 ký tự, nhấn Gửi
 4. Thực hiện thao tác
 5. Kiểm tra thông báo lỗi hoặc hành vi hệ thống</t>
  </si>
  <si>
    <t>Dữ liệu test: Nhập nội dung 2001 ký tự, nhấn Gửi</t>
  </si>
  <si>
    <t>Hệ thống hiển thị lỗi nội dung quá dài, chặn gửi</t>
  </si>
  <si>
    <t>Không bị giới hạn ký tự, vẫn gửi được nội dung &gt;2000 ký tự</t>
  </si>
  <si>
    <t>DEF_04</t>
  </si>
  <si>
    <t>Nhập nội dung đúng 10 ký tự và đúng 2000 ký tự</t>
  </si>
  <si>
    <t>1. Đăng nhập hệ thống 
2. Truy cập trang Product detail 
3. Chuẩn bị dữ liệu edge case: Nhập nội dung đúng 10 ký tự và đúng 2000 ký tự
4. Thực hiện thao tác
5. Ghi nhận hành vi hệ thống
6. So sánh với kết quả mong đợi</t>
  </si>
  <si>
    <t>Dữ liệu test: Nhập nội dung đúng 10 ký tự và đúng 2000 ký tự</t>
  </si>
  <si>
    <t>Hệ thống chấp nhận và lưu thành công ở cả 2 giá trị biên</t>
  </si>
  <si>
    <t>Tài khoản có 2 địa chỉ, vào trang Addresses</t>
  </si>
  <si>
    <t>1. Đăng nhập hệ thống
2. Truy cập trang Addresses
3. Kiểm tra kết quả: Chỉ hiển thị địa chỉ thuộc tài khoản đang đăng nhập</t>
  </si>
  <si>
    <t>Địa chỉ: 11 Nguyễn Trãi, Hà Nội
 Quốc gia: Việt Nam</t>
  </si>
  <si>
    <t>Chỉ hiển thị địa chỉ thuộc tài khoản đang đăng nhập</t>
  </si>
  <si>
    <t>Tài khoản mới chưa có địa chỉ, vào trang Addresses</t>
  </si>
  <si>
    <t>1. Đăng nhập hệ thống
2. Truy cập trang Addresses
3. Chuẩn bị dữ liệu edge case: Tài khoản mới chưa có địa chỉ
4. Kiểm tra kết quả: Hiển thị thông báo "No addresses"</t>
  </si>
  <si>
    <t>Hiển thị thông báo 'No addresses' và trang trống</t>
  </si>
  <si>
    <t>Điền đầy đủ trường bắt buộc (*) với dữ liệu hợp lệ, nhấn Save</t>
  </si>
  <si>
    <t>1. Đăng nhập hệ thống
2. Truy cập trang Addresses
3. Điền đầy đủ trường bắt buộc (*) với dữ liệu hợp lệ,
4. Nhấn nút lưu
5. Kiểm tra kết quả: Địa chỉ được lưu vào DB, danh sách tải lại và hiện thông báo thành công</t>
  </si>
  <si>
    <t>Dữ liệu test: Điền đầy đủ trường bắt buộc (*) với dữ liệu hợp lệ, nhấn Save</t>
  </si>
  <si>
    <t>Địa chỉ được lưu vào DB, danh sách tải lại và hiện thông báo thành công</t>
  </si>
  <si>
    <t>Điền số điện thoại là chuỗi ký tự chữ, nhấn Save</t>
  </si>
  <si>
    <t>1. Đăng nhập hệ thống
2. Truy cập trang Addresses
 3. Thiết lập điều kiện: Điền số điện thoại là chuỗi ký tự chữ, nhấn Save
 4. Thực hiện thao tác
 5. Kiểm tra thông báo lỗi hoặc hành vi hệ thống</t>
  </si>
  <si>
    <t>Dữ liệu test: Điền số điện thoại là chuỗi ký tự chữ, nhấn Save</t>
  </si>
  <si>
    <t>Hệ thống hiển thị lỗi số điện thoại không hợp lệ, chặn lưu</t>
  </si>
  <si>
    <t>Chưa xử lý định dạng số điện thoại, nhập chuỗi ký tự vẫn được lưu</t>
  </si>
  <si>
    <t>DEF_05</t>
  </si>
  <si>
    <t>Bỏ trống một trường bắt buộc (*), nhấn Save</t>
  </si>
  <si>
    <t>1. Đăng nhập hệ thống
2. Truy cập trang Addresses
 3. Thiết lập điều kiện: Bỏ trống một trường bắt buộc (*), nhấn Save
 4. Thực hiện thao tác
 5. Kiểm tra thông báo lỗi hoặc hành vi hệ thống</t>
  </si>
  <si>
    <t>Dữ liệu test: Bỏ trống một trường bắt buộc (*), nhấn Save</t>
  </si>
  <si>
    <t>Hệ thống hiển thị lỗi màu đỏ tại trường bị trống, chặn lưu</t>
  </si>
  <si>
    <t>Click Edit tại một địa chỉ</t>
  </si>
  <si>
    <t>1. Đăng nhập hệ thống
2. Truy cập trang Addresses
3. Click Edit tại một địa chỉ
4. Kiểm tra kết quả: Form hiển thị đúng dữ liệu hiện tại của địa chỉ đó</t>
  </si>
  <si>
    <t>Form hiển thị đúng dữ liệu hiện tại của địa chỉ đó</t>
  </si>
  <si>
    <t>Chỉnh sửa thông tin hợp lệ, nhấn Save</t>
  </si>
  <si>
    <t>1. Đăng nhập hệ thống
2. Truy cập trang Addresses
3. Chỉnh sửa thông tin hợp lệ, nhấn Save
4. Kiểm tra kết quả: Chỉ cập nhật đúng bản ghi theo ID địa chỉ, thông báo thành công</t>
  </si>
  <si>
    <t>Dữ liệu test: Chỉnh sửa thông tin hợp lệ, nhấn Save</t>
  </si>
  <si>
    <t>Chỉ cập nhật đúng bản ghi theo ID địa chỉ, thông báo thành công</t>
  </si>
  <si>
    <t>Có 2 địa chỉ, chỉnh sửa địa chỉ 1</t>
  </si>
  <si>
    <t>1. Đăng nhập hệ thống
2. Truy cập trang Addresses
3. Chuẩn bị dữ liệu edge case: Có 2 địa chỉ, chỉnh sửa địa chỉ 1
4. Ghi nhận hành vi hệ thống
5. So sánh với kết quả mong đợi</t>
  </si>
  <si>
    <t>Địa chỉ 2 không bị thay đổi sau khi lưu địa chỉ 1</t>
  </si>
  <si>
    <t>Địa chỉ 2 không bị thay đổi sau khi lưu địa chỉ 2</t>
  </si>
  <si>
    <t>Click Delete, popup xác nhận hiện, click Xác nhận</t>
  </si>
  <si>
    <t>1. Đăng nhập hệ thống
2. Truy cập trang Addresses
3. Click Delete, popup xác nhận hiện, click Xác nhận
4. Thực hiện thao tác chính theo mô tả
5. Nhấn nút xác nhận
6. Kiểm tra kết quả: Địa chỉ bị xóa khỏi DB và biến mất khỏi danh sách</t>
  </si>
  <si>
    <t>Dữ liệu test: Click Delete, popup xác nhận hiện, click Xác nhận</t>
  </si>
  <si>
    <t>Địa chỉ bị xóa khỏi DB và biến mất khỏi danh sách</t>
  </si>
  <si>
    <t>Click Delete, popup hiện, click Hủy</t>
  </si>
  <si>
    <t>1. Đăng nhập hệ thống
2. Truy cập trang Addresses
3. Thiết lập điều kiện: Click Delete, popup hiện, click Hủy
4. Thực hiện thao tác
5. Kiểm tra thông báo lỗi hoặc hành vi hệ thống</t>
  </si>
  <si>
    <t>Dữ liệu test: Click Delete, popup hiện, click Hủy</t>
  </si>
  <si>
    <t>Địa chỉ vẫn còn trong danh sách, không bị xóa</t>
  </si>
  <si>
    <t>Click nút Delete</t>
  </si>
  <si>
    <t>1. Đăng nhập hệ thống
2. Truy cập trang Addresses
3. Click nút Delete
4. Thực hiện thao tác chính theo mô tả
5. Nhấn nút xác nhận/lưu
6. Kiểm tra kết quả: Popup xác nhận hiện ra trước khi thực hiện xóa</t>
  </si>
  <si>
    <t>Dữ liệu test: Click nút Delete</t>
  </si>
  <si>
    <t>Popup xác nhận hiện ra trước khi thực hiện xóa</t>
  </si>
  <si>
    <t>Click Delete địa chỉ là Foreign Key của đơn hàng trạng thái 'Processing'</t>
  </si>
  <si>
    <t>1. Đăng nhập hệ thống
2. Truy cập trang Addresses
3. Thiết lập điều kiện: Click Delete địa chỉ là Foreign Key của đơn hàng trạng thái 'Processing'
4. Thực hiện thao tác
5. Kiểm tra thông báo lỗi hoặc hành vi hệ thống</t>
  </si>
  <si>
    <t>Hệ thống chặn xóa và thông báo 'Không thể xóa địa chỉ đang được sử dụng cho đơn hàng'</t>
  </si>
  <si>
    <t>Hệ thống cho phép xóa địa chỉ khi đang có đơn hàng</t>
  </si>
  <si>
    <t>DEF_06</t>
  </si>
  <si>
    <t>Hệ thống đã lưu địa chỉ tại thời điểm mua để xử lý cho đơn hàng, không tham chiếu đến địa chỉ hiện tại của người dùng</t>
  </si>
  <si>
    <t>Click Delete địa chỉ không liên kết với đơn hàng nào</t>
  </si>
  <si>
    <t>1. Đăng nhập hệ thống
2. Truy cập trang Addresses
3. Click Delete địa chỉ không liên kết với đơn hàng nào
4. Nhấn nút xác nhận/lưu
5. Kiểm tra kết quả: Sau xác nhận địa chỉ được xóa thành công</t>
  </si>
  <si>
    <t>Sau xác nhận địa chỉ được xóa thành công</t>
  </si>
  <si>
    <t>Xóa trắng tất cả trường bắt buộc, nhấn Save</t>
  </si>
  <si>
    <t>1. Đăng nhập hệ thống
2. Truy cập trang Addresses
3. Thiết lập điều kiện: Xóa trắng tất cả trường bắt buộc, nhấn Save
4. Thực hiện thao tác
5. Kiểm tra thông báo lỗi hoặc hành vi hệ thống</t>
  </si>
  <si>
    <t>Dữ liệu test: Xóa trắng tất cả trường bắt buộc, nhấn Save</t>
  </si>
  <si>
    <t>Hệ thống hiển thị lỗi màu đỏ tại tất cả trường bắt buộc, chặn lưu</t>
  </si>
  <si>
    <t>Nhập '-12345' hoặc '###' vào trường số điện thoại</t>
  </si>
  <si>
    <t>1. Đăng nhập hệ thống
2. Truy cập trang Addresses
3. Thiết lập điều kiện: Nhập '-12345' hoặc '###' vào trường số điện thoại
4. Thực hiện thao tác
5. Kiểm tra thông báo lỗi hoặc hành vi hệ thống</t>
  </si>
  <si>
    <t>Dữ liệu test: Nhập '-12345' hoặc '###' vào trường số điện thoại</t>
  </si>
  <si>
    <t>Số điện thoại chưa được xử lý định dạng</t>
  </si>
  <si>
    <t>DEF_07</t>
  </si>
  <si>
    <t>Điền đầy đủ và đúng định dạng, nhấn Save</t>
  </si>
  <si>
    <t>1. Đăng nhập hệ thống
2. Truy cập trang Addresses
3. Điền đầy đủ và đúng định dạng, nhấn Save
4. Nhấn nút xác nhận/lưu
5. Kiểm tra kết quả: Hệ thống lưu thành công, không hiển thị lỗi</t>
  </si>
  <si>
    <t>Dữ liệu test: Điền đầy đủ và đúng định dạng, nhấn Save</t>
  </si>
  <si>
    <t>Hệ thống lưu thành công, không hiển thị lỗi</t>
  </si>
  <si>
    <t>SP Published, tồn kho &gt; 0, chọn số lượng hợp lệ, click add to cart</t>
  </si>
  <si>
    <t>1. Đăng nhập hệ thống (nếu cần).
2. Truy cập trang chi tiết sản phẩm.
3. Chọn thuộc tính và số lượng hợp lệ.
4. Click "Add to cart".
5. Kiểm tra thông báo và giỏ hảng.</t>
  </si>
  <si>
    <t xml:space="preserve">Dữ liệu test: Sản phẩm: Asus Laptop, Số lượng: 1
</t>
  </si>
  <si>
    <t>Thông báo "The product has been added to your shopping cart", icon giỏ hàng cập nhật số lượng</t>
  </si>
  <si>
    <t>Thêm SP A số lượng 1, sau đó thêm tiếp SP A số lượng 2</t>
  </si>
  <si>
    <t>1. Đăng nhập hệ thống (nếu cần).
2. Truy cập trang chi tiết sản phẩm.
3. Chọn thuộc tính và số lượng hợp lệ.
4. Click "Add to cart" (Số lượng 1).
5. Tiếp tục click "Add to cart" (Số lượng 2).
6. Kiểm tra tổng số lượng trong giỏ hàng.</t>
  </si>
  <si>
    <t xml:space="preserve">Dữ liệu test: Sản phẩm: Asus Laptop, Lần 1: 1, Lần 2: 2
</t>
  </si>
  <si>
    <t>Giỏ hàng hiển thị SP Asus Laptop với tổng số lượng 3</t>
  </si>
  <si>
    <t>SP có tồn kho = 0, click add to cart</t>
  </si>
  <si>
    <t>1. Đăng nhập hệ thống (nếu cần).
2. Chọn SP tồn kho = 0. 
3. Nhấn "Add to cart".
4. Kiểm tra thông báo và giỏ hàng.</t>
  </si>
  <si>
    <t>Dữ liệu test: SP có tồn kho = 0, click add to cart</t>
  </si>
  <si>
    <t>Hệ thống chặn không cho thêm và thông báo "Out of stock"</t>
  </si>
  <si>
    <t>Click "add to cart" khi chưa chọn thuộc tính bắt buộc</t>
  </si>
  <si>
    <t>SP có thuộc tính Size bắt buộc, chưa chọn size, click add to cart</t>
  </si>
  <si>
    <t>1. Đăng nhập hệ thống (nếu cần).
2. Chọn SP có thuộc tính Size. 
3. Không chọn thuộc tính. 
4. Click "Add to cart".
5. Kiểm tra thông báo và giỏ hàng.</t>
  </si>
  <si>
    <t>Dữ liệu test: SP có thuộc tính Size bắt buộc, chưa chọn size, click add to cart</t>
  </si>
  <si>
    <t>Hệ thống hiển thị cảnh báo yêu cầu chọn thuộc tính, không thêm vào giỏ</t>
  </si>
  <si>
    <t>Chọn đầy đủ thuộc tính bắt buộc, click add to cart</t>
  </si>
  <si>
    <t>1. Đăng nhập hệ thống (nếu cần).
2. Chọn SP có thuộc tính bắt buộc. 
3. Chọn đủ thuộc tính bắt buộc. 
4. Click "Add to cart".
5. Kiểm tra thông báo và giỏ hàng.</t>
  </si>
  <si>
    <t>Dữ liệu test: Chọn đầy đủ thuộc tính bắt buộc, click add to cart</t>
  </si>
  <si>
    <t>Sản phẩm được thêm vào giỏ thành công</t>
  </si>
  <si>
    <t>Tồn kho = 5, nhập số lượng = 5, click add to cart</t>
  </si>
  <si>
    <t>1. Đăng nhập hệ thống (nếu cần).
2. Truy cập trang chi tiết sản phẩm.
3. Nhập số lượng bằng tồn kho (5).
4. Click "Add to cart".
5. Kiểm tra thông báo và giỏ hảng.</t>
  </si>
  <si>
    <t>Dữ liệu test: Tồn kho: 5, Số lượng: 5</t>
  </si>
  <si>
    <t>Sản phẩm được thêm vào giỏ thành công với số lượng 5</t>
  </si>
  <si>
    <t>Tồn kho = 5, nhập số lượng = 6, click add to cart</t>
  </si>
  <si>
    <t>1. Đăng nhập hệ thống (nếu cần).
2. Truy cập trang chi tiết sản phẩm.
3. Nhập số lượng lớn hơn tồn kho (6).
4. Click "Add to cart".
5. Kiểm tra thông báo và giỏ hảng.</t>
  </si>
  <si>
    <t>Dữ liệu test: Tồn kho: 5, Số lượng: 6</t>
  </si>
  <si>
    <t>Hệ thống báo lỗi và từ chối thêm vào giỏ và hiện thông báo "Your quantity exceeds stock on hand. The maximum quantity that can be added is 5."</t>
  </si>
  <si>
    <t>Nhập số lượng = 0 hoặc -1, click add to cart</t>
  </si>
  <si>
    <t>1. Đăng nhập hệ thống (nếu cần).
2. Truy cập trang chi tiết sản phẩm.
3. Nhập số lượng = 0 hoặc -1.
4. Click "Add to cart".
5. Kiểm tra thông báo và giỏ hảng.</t>
  </si>
  <si>
    <t>Dữ liệu test: Số lượng: 0 hoặc -1</t>
  </si>
  <si>
    <t>Hệ thống hiển thị lỗi "Quantity should be positive", chặn thêm vào giỏ</t>
  </si>
  <si>
    <t>Giỏ có 2 SP, click icon giỏ hàng</t>
  </si>
  <si>
    <t>1. Đăng nhập hệ thống (nếu cần).
2. Giỏ có 2 SP, click icon giỏ hàng.
3. Kiểm tra danh sách sản phẩm trong giỏ hàng.</t>
  </si>
  <si>
    <t>Dữ liệu test: Giỏ có 2 SP, click icon giỏ hàng</t>
  </si>
  <si>
    <t>Hiển thị 2 SP với tên, giá, ô nhập số lượng, nút xóa và tổng tiền</t>
  </si>
  <si>
    <t>Giỏ có SP Asus Laptop = 1500đ, SP HTC smartphone = 245đ</t>
  </si>
  <si>
    <t>1. Đăng nhập hệ thống (nếu cần).
2. Truy cập trang giỏ hàng.
3. Giỏ có SP Asus Laptop = 1500đ, SP HTC smartphone = 245đ.
4. Kiểm tra kết quả: Tổng tiền hiển thị 1745đ</t>
  </si>
  <si>
    <t>Dữ liệu test: Giỏ có SP Asus Laptop = 1500đ, SP HTC smartphone = 245đ</t>
  </si>
  <si>
    <t>Tổng tiền hiển thị 1745đ</t>
  </si>
  <si>
    <t>Tồn kho = 10, số lượng hiện tại = 2, tăng lên 5</t>
  </si>
  <si>
    <t>1. Đăng nhập hệ thống (nếu cần).
2. Truy cập trang giỏ hàng.
3. Tồn kho = 10, số lượng hiện tại = 2, tăng lên 5
4. Kiểm tra kết quả: Tổng chi phí của SP và tổng giỏ hàng được tính lại đúng</t>
  </si>
  <si>
    <t>Dữ liệu test: Số lượng: 2, tăng lên 5</t>
  </si>
  <si>
    <t>Tổng chi phí của SP và tổng giỏ hàng được tính lại đúng</t>
  </si>
  <si>
    <t>Số lượng hiện tại = 5, giảm xuống 1</t>
  </si>
  <si>
    <t>1. Đăng nhập hệ thống (nếu cần).
2. Truy cập trang giỏ hàng.
3. Số lượng hiện tại = 5, giảm xuống 1
4. Kiểm tra kết quả: Tổng chi phí của SP và tổng giỏ hàng được tính lại đúng</t>
  </si>
  <si>
    <t>Dữ liệu test: Số lượng: 5 giảm xuống 1</t>
  </si>
  <si>
    <t>Tổng chi phí và tổng giỏ hàng cập nhật chính xác</t>
  </si>
  <si>
    <t>Nhập 0 vào ô số lượng</t>
  </si>
  <si>
    <t>1. Đăng nhập hệ thống (nếu cần).
2. Truy cập trang giỏ hàng (có ít nhất 1 SP).
3. Nhập 0 vào ô số lượng.
4. Ghi nhận hành vi hệ thống 
5. So sánh với kết quả mong đợi</t>
  </si>
  <si>
    <t>Dữ liệu test: Số lượng: 0</t>
  </si>
  <si>
    <t>Hệ thống xóa sản phẩm khỏi giỏ hàng</t>
  </si>
  <si>
    <t>Tồn kho = 3, nhập 10 trong giỏ</t>
  </si>
  <si>
    <t>1. Đăng nhập hệ thống (nếu cần).
2. Truy cập trang giỏ hàng.
3. Thiết lập điều kiện: Tồn kho = 3, nhập 10 trong giỏ
4. Kiểm tra thông báo lỗi hoặc hành vi hệ thống</t>
  </si>
  <si>
    <t>Dữ liệu test: Tồn kho = 3, nhập 10 trong giỏ</t>
  </si>
  <si>
    <t>Hệ thống hiển thị thông báo lỗi, không cập nhật, giữ nguyên số lượng cũ</t>
  </si>
  <si>
    <t>Tồn kho = 3, nhập 3 trong giỏ</t>
  </si>
  <si>
    <t>1. Đăng nhập hệ thống (nếu cần).
2. Truy cập trang giỏ hàng.
3. Chuẩn bị dữ liệu: Tồn kho = 3, nhập 3 trong giỏ
4. Ghi nhận hành vi hệ thống
5. So sánh với kết quả mong đợi</t>
  </si>
  <si>
    <t>Dữ liệu test: Tồn kho = 3, nhập 3 trong giỏ</t>
  </si>
  <si>
    <t>Hệ thống chấp nhận và cập nhật thành công</t>
  </si>
  <si>
    <t>Giỏ có 3 SP, click X ở SP thứ 2</t>
  </si>
  <si>
    <t>1. Đăng nhập hệ thống (nếu cần).
2. Truy cập trang giỏ hàng.
3. Giỏ có 3 SP, click X ở SP thứ 2
4. Kiểm tra kết quả: SP thứ 2 bị xóa, tổng tiền giảm đúng giá trị SP đó</t>
  </si>
  <si>
    <t>Dữ liệu test: Giỏ có 3 SP, click X ở SP thứ 2</t>
  </si>
  <si>
    <t>SP thứ 2 bị xóa, tổng tiền giảm đúng giá trị SP đó</t>
  </si>
  <si>
    <t>Giỏ có SP HTC smartphone=245đ, SP Asus Laptop=1500đ; xóa SP Asus Laptop</t>
  </si>
  <si>
    <t>1. Đăng nhập hệ thống (nếu cần).
2. Truy cập trang giỏ hàng.
3. Giỏ có SP HTC smartphone=245đ, SP Asus Laptop=1500đ; xóa SP Asus Laptop
4. Kiểm tra kết quả: Tổng tiền còn 245đ</t>
  </si>
  <si>
    <t>Dữ liệu test: Giỏ có SP HTC smartphone=245đ, SP Asus Laptop=1500đ; xóa SP Asus Laptop</t>
  </si>
  <si>
    <t>Tổng tiền còn 245đ</t>
  </si>
  <si>
    <t>Xóa một sản phẩm khỏi giỏ hàng</t>
  </si>
  <si>
    <t>1. Đăng nhập hệ thống (nếu cần).
2. Truy cập trang giỏ hàng.
3. Xóa một sản phẩm khỏi giỏ hàng
4. Kiểm tra kết quả: Giao diện làm mới, SP vừa xóa không còn trong danh sách</t>
  </si>
  <si>
    <t>Dữ liệu test: Xóa SP Asus Laptop, Số lượng: 1</t>
  </si>
  <si>
    <t>Giao diện làm mới, SP vừa xóa không còn trong danh sách</t>
  </si>
  <si>
    <t>Giỏ có 1 SP, click xóa SP đó</t>
  </si>
  <si>
    <t>1. Đăng nhập hệ thống (nếu cần).
2. Truy cập trang giỏ hàng.
3. Thiết lập điều kiện: Giỏ có 1 SP, click xóa SP đó 
4. Kiểm tra thông báo hoặc hành vi hệ thống</t>
  </si>
  <si>
    <t>Dữ liệu test: Giỏ có 1 SP, click xóa SP đó</t>
  </si>
  <si>
    <t>Thông báo "Your Shopping Cart is empty!", các nút Checkout bị ẩn</t>
  </si>
  <si>
    <t>Truy cập trang giỏ hàng khi giỏ trống</t>
  </si>
  <si>
    <t>1. Đăng nhập hệ thống (nếu cần).
2. Truy cập trang giỏ hàng.
3. Chuẩn bị dữ liệu: Truy cập trang giỏ hàng khi giỏ trống
4. Ghi nhận hành vi hệ thống.
5. So sánh với kết quả mong đợi.</t>
  </si>
  <si>
    <t>Dữ liệu test: Truy cập trang giỏ hàng khi giỏ trống</t>
  </si>
  <si>
    <t>Không thấy nút Checkout</t>
  </si>
  <si>
    <t>Giỏ hàng có sản phẩm, truy cập trang giỏ hàng, để trống checkbox "I agree with the terms of service"</t>
  </si>
  <si>
    <t>1. Đăng nhập hệ thống (nếu cần).
2. Truy cập trang giỏ hàng.
3. Thiết lập điều kiện: Giỏ hàng có sản phẩm, truy cập trang giỏ hàng, để trống checkbox "I agree with the terms of service"
4. Kiểm tra thông báo lỗi hoặc hành vi hệ thống</t>
  </si>
  <si>
    <t>Dữ liệu test: Để trống checkbox "I agree with the terms of service"</t>
  </si>
  <si>
    <t>Có thông báo "Please accept the terms of service before the next step."</t>
  </si>
  <si>
    <t>Tích chọn checkbox 'I agree with the terms of service' và nhấn nút "Checkout"</t>
  </si>
  <si>
    <t>1. Đăng nhập hệ thống (nếu cần).
2. Truy cập trang giỏ hàng.
3. Tích chọn checkbox 'I agree with the terms of service' và nhấn nút "Checkout"
4. Kiểm tra kết quả: Hệ thống chấp nhận và kích hoạt luồng Checkout 6 bước</t>
  </si>
  <si>
    <t>Dữ liệu test: Tích chọn checkbox 'I agree with the terms of service' và nhấn nút "Checkout"</t>
  </si>
  <si>
    <t>Hệ thống chấp nhận và kích hoạt luồng Checkout 6 bước</t>
  </si>
  <si>
    <t>Tích chọn checkbox, sau đó tải lại trang giỏ hàng</t>
  </si>
  <si>
    <t>1. Đăng nhập hệ thống (nếu cần).
2. Truy cập trang giỏ hàng.
3. Chuẩn bị dữ liệu: Tích chọn checkbox, sau đó tải lại trang giỏ hàng.
4. Ghi nhận hành vi hệ thống 
5. So sánh với kết quả mong đợi</t>
  </si>
  <si>
    <t>Dữ liệu test: Tích chọn checkbox, sau đó tải lại trang giỏ hàng</t>
  </si>
  <si>
    <t>Checkbox trở về trạng thái mặc định để đảm bảo tính xác nhận lại</t>
  </si>
  <si>
    <t>Đã đăng nhập, giỏ có SP, click 'Checkout'</t>
  </si>
  <si>
    <t>1. Đăng nhập hệ thống.
2. Truy cập trang giỏ hàng.
3. Đã đăng nhập, giỏ có SP, click 'Checkout'
4. Kiểm tra kết quả: Hiển thị giao diện 6 bước Checkout</t>
  </si>
  <si>
    <t>Dữ liệu test: Đã đăng nhập, giỏ có SP, click 'Checkout'</t>
  </si>
  <si>
    <t>Hiển thị giao diện 6 bước Checkout</t>
  </si>
  <si>
    <t>Chưa đăng nhập, click nút Checkout</t>
  </si>
  <si>
    <t>1. Không đăng nhập hệ thống.
2. Truy cập trang giỏ hàng.
3. Click nút Checkout
4. Kiểm tra thông báo lỗi hoặc hành vi hệ thống</t>
  </si>
  <si>
    <t>Dữ liệu test: Chưa đăng nhập, click nút Checkout</t>
  </si>
  <si>
    <t>Hệ thống chuyển hướng đến trang đăng nhập</t>
  </si>
  <si>
    <t>Đã đăng nhập, giỏ không có SP, cố truy cập Checkout</t>
  </si>
  <si>
    <t>1. Đăng nhập hệ thống.
2. Truy cập trang giỏ hàng.
3. Thiết lập điều kiện: Đã đăng nhập, giỏ không có SP, cố truy cập Checkout
4. Kiểm tra thông báo lỗi hoặc hành vi hệ thống</t>
  </si>
  <si>
    <t>Dữ liệu test: Đã đăng nhập, giỏ không có SP, cố truy cập Checkout</t>
  </si>
  <si>
    <t>Hệ thống không hiển thị Checkout</t>
  </si>
  <si>
    <t>Ở bước nhập địa chỉ, chọn địa chỉ đã lưu, nhấn Continue</t>
  </si>
  <si>
    <t>1. Đăng nhập hệ thống.
2. Truy cập trang giỏ hàng và click Checkout.
3. Ở bước nhập địa chỉ, chọn địa chỉ đã lưu, nhấn Continue
4. Kiểm tra kết quả: Hệ thống ghi nhận và chuyển sang bước vận chuyển</t>
  </si>
  <si>
    <t>Dữ liệu test: Địa chỉ: 123 Đường Lê Lợi, Quận 1, TP.HCM, Quốc gia: Việt Nam</t>
  </si>
  <si>
    <t>Hệ thống ghi nhận và chuyển sang bước vận chuyển</t>
  </si>
  <si>
    <t>Khách hàng A đăng nhập, xem danh sách địa chỉ trong Checkout</t>
  </si>
  <si>
    <t>1. Đăng nhập hệ thống.
2. Truy cập trang giỏ hàng và click Checkout.
3. Khách hàng A đăng nhập, xem danh sách địa chỉ trong Checkout
4. Kiểm tra kết quả: Chỉ địa chỉ của khách A hiển thị, không thấy địa chỉ khách khác</t>
  </si>
  <si>
    <t>Chỉ địa chỉ của khách A hiển thị, không thấy địa chỉ khách khác</t>
  </si>
  <si>
    <t>Xóa trường name, nhấn Continue</t>
  </si>
  <si>
    <t>1. Đăng nhập hệ thống.
2. Truy cập trang giỏ hàng và click Checkout.
3. Thiết lập điều kiện: Xóa trường name, nhấn Continue
4. Kiểm tra thông báo lỗi hoặc hành vi hệ thống</t>
  </si>
  <si>
    <t>Dữ liệu test: Xóa trường name, nhấn Continue</t>
  </si>
  <si>
    <t>Hiển thị cảnh báo lỗi thiếu name, không chuyển bước tiếp</t>
  </si>
  <si>
    <t>Hiển thị cảnh báo lỗi thiếu Name, không chuyển bước tiếp</t>
  </si>
  <si>
    <t>Không chọn country, nhấn Continue</t>
  </si>
  <si>
    <t>1. Đăng nhập hệ thống.
2. Truy cập trang giỏ hàng và click Checkout.
3. Thiết lập điều kiện: Không chọn country, nhấn Continue
4. Kiểm tra thông báo lỗi hoặc hành vi hệ thống</t>
  </si>
  <si>
    <t>Dữ liệu test: Không chọn country, nhấn Continue</t>
  </si>
  <si>
    <t>Hiển thị cảnh báo lỗi thiếu country, không chuyển bước tiếp</t>
  </si>
  <si>
    <t>Điền đủ name, email, country, address hợp lệ</t>
  </si>
  <si>
    <t>1. Đăng nhập hệ thống.
2. Truy cập trang giỏ hàng và click Checkout.
3. Điền đủ name, email, country, address hợp lệ
4. Nhấn nút Save
5. Kiểm tra kết quả: Hệ thống chấp nhận và chuyển sang bước tiếp theo</t>
  </si>
  <si>
    <t>Dữ liệu test: "Email: testuser@example.com, Địa chỉ: 123 Đường Lê Lợi, Quận 1, TP.HCM, Quốc gia: Việt Nam"</t>
  </si>
  <si>
    <t>Hệ thống chấp nhận và chuyển sang bước tiếp theo</t>
  </si>
  <si>
    <t>Chọn 1 phương thức vận chuyển và 1 thanh toán, nhấn Continue</t>
  </si>
  <si>
    <t>1. Đăng nhập hệ thống.
2. Truy cập trang giỏ hàng và click Checkout.
3. Chọn 1 phương thức vận chuyển và 1 thanh toán, nhấn Continue
4. Kiểm tra kết quả: Ghi nhận lựa chọn và chuyển sang màn hình xác nhận</t>
  </si>
  <si>
    <t>Dữ liệu test: Chọn 1 phương thức vận chuyển và 1 thanh toán, nhấn Continue</t>
  </si>
  <si>
    <t>Ghi nhận lựa chọn và chuyển sang màn hình xác nhận</t>
  </si>
  <si>
    <t>Bỏ qua bước chọn vận chuyển, nhấn Continue</t>
  </si>
  <si>
    <t>1. Đăng nhập hệ thống.
2. Truy cập trang giỏ hàng và click Checkout.
3. Thiết lập điều kiện: Bỏ qua bước chọn vận chuyển, nhấn Continue
4. Thực hiện thao tác
5. Kiểm tra thông báo lỗi hoặc hành vi hệ thống</t>
  </si>
  <si>
    <t>Dữ liệu test: Bỏ qua bước chọn vận chuyển, nhấn Continue</t>
  </si>
  <si>
    <t>Hệ thống chặn và yêu cầu chọn phương thức vận chuyển</t>
  </si>
  <si>
    <t>Hệ thống tự động chọn phương thức mặc định và không cho phép bỏ trống lựa chọn. Luồng "Continue" luôn được thực hiện với một phương thức đã chọn.</t>
  </si>
  <si>
    <t>Hệ thống thiết kế bắt buộc phải chọn 1 phương thức vận chuyển, do đó không xảy ra trường hợp bỏ trống.</t>
  </si>
  <si>
    <t>Chọn vận chuyển nhưng không chọn thanh toán</t>
  </si>
  <si>
    <t>1. Đăng nhập hệ thống.
2. Truy cập trang giỏ hàng và cllick Checkout.
3. Thiết lập điều kiện: Chọn vận chuyển nhưng không chọn thanh toán
4. Kiểm tra thông báo lỗi hoặc hành vi hệ thống</t>
  </si>
  <si>
    <t>Dữ liệu test: Chọn vận chuyển nhưng không chọn thanh toán</t>
  </si>
  <si>
    <t>Hệ thống chặn và yêu cầu chọn phương thức thanh toán</t>
  </si>
  <si>
    <t>Hệ thống thiết kế bắt buộc phải chọn 1 phương thức thanh toán, do đó không xảy ra trường hợp bỏ trống.</t>
  </si>
  <si>
    <t>Ở bước xác nhận, click 'Comfirm'</t>
  </si>
  <si>
    <t>1. Đăng nhập hệ thống
2. Truy cập trang giỏ hàng và click Checkout
3. Ở bước xác nhận, click 'Comfirm' 
4. Kiểm tra kết quả: Trừ tồn kho, lưu đơn với Order ID, xóa giỏ, chuyển trang thanh toán thành công</t>
  </si>
  <si>
    <t>Dữ liệu test: Ở bước xác nhận, click 'Comfirm'</t>
  </si>
  <si>
    <t>Trừ tồn kho, lưu đơn với Order ID, xóa giỏ, chuyển trang thanh toán thành công</t>
  </si>
  <si>
    <t>Sau khi đặt hàng thành công</t>
  </si>
  <si>
    <t>1. Đăng nhập hệ thống.
2. Truy cập trang giỏ hàng và click Checkout.
3. Sau khi đặt hàng thành công
4. Kiểm tra kết quả: Đơn hàng có Order ID duy nhất; giỏ hàng trống, icon giỏ = 0</t>
  </si>
  <si>
    <t>Dữ liệu test: Sau khi đặt hàng thành công</t>
  </si>
  <si>
    <t>Đơn hàng có Order ID duy nhất; giỏ hàng trống, icon giỏ = 0</t>
  </si>
  <si>
    <t>Đặt SP A số lượng: 2 (tồn kho ban đầu = 10)</t>
  </si>
  <si>
    <t>1. Đăng nhập hệ thống.
2. Truy cập trang giỏ hàng và click Checkout.
3. Chuẩn bị dữ liệu edge case: Đặt SP A số lượng: 2 (tồn kho ban đầu = 10)
4. Ghi nhận hành vi hệ thống
5. So sánh với kết quả mong đợi</t>
  </si>
  <si>
    <t>Dữ liệu test: Đặt SP A  số lượng: 2 (tồn kho ban đầu = 10)</t>
  </si>
  <si>
    <t>Tồn kho SP A giảm xuống còn 8</t>
  </si>
  <si>
    <t>Đang ở các bước Checkout, không thực hiện bất kỳ thao tác nào trong 15 phút</t>
  </si>
  <si>
    <t>1. Đăng nhập hệ thống.
2. Truy cập trang giỏ hàng và click Checkout.
3. Thiết lập điều kiện: Đang ở các bước Checkout, không thực hiện bất kỳ thao tác nào trong 15 phút
4. Kiểm tra thông báo lỗi hoặc hành vi hệ thống</t>
  </si>
  <si>
    <t>Dữ liệu test: Đang ở các bước Checkout, không thực hiện bất kỳ thao tác nào trong 15 phút</t>
  </si>
  <si>
    <t>Phiên thanh toán tự động hết hạn đúng 15 phút, mọi dữ liệu tạm thời trong các bước checkout phải bị xóa và yêu cầu khách hàng thực hiện lại từ đầu</t>
  </si>
  <si>
    <t>Phiên thanh toán không tự động hết hạn đúng 15 phút</t>
  </si>
  <si>
    <t>DEF_08</t>
  </si>
  <si>
    <t>Thực hiện thao tác tại phút thứ 14</t>
  </si>
  <si>
    <t>1. Đăng nhập hệ thống.
2.Truy cập trang giỏ hàng và click Checkout.
3.Thực hiện thao tác tại phút thứ 14
4. Ghi nhận hành vi hệ thống
5. So sánh với kết quả mong đợi</t>
  </si>
  <si>
    <t>Dữ liệu test: Thực hiện thao tác tại phút thứ 14</t>
  </si>
  <si>
    <t>Phiên thanh toán được duy trì tiếp tục, không bị chuyển hướng về trang giỏ hàng</t>
  </si>
  <si>
    <t>Thực hiện thanh toán nhưng cổng thanh toán trả về lỗi hoặc quá thời gian phản hồi</t>
  </si>
  <si>
    <t>1. Đăng nhập hệ thống.
2. Truy cập trang giò hàng và click Checkout.
3. Thiết lập điều kiện: Thực hiện thanh toán nhưng cổng thanh toán trả về lỗi hoặc quá thời gian phản hồi
4. Kiểm tra thông báo lỗi hoặc hành vi hệ thống</t>
  </si>
  <si>
    <t>Dữ liệu test: Thực hiện thanh toán nhưng cổng thanh toán trả về lỗi hoặc quá thời gian phản hồi</t>
  </si>
  <si>
    <t>Hệ thống hiển thị trang lỗi thanh toán tương ứng, không trừ tồn kho và không làm trống giỏ hàng</t>
  </si>
  <si>
    <t>Admin đăng nhập, truy cập menu Khách hàng</t>
  </si>
  <si>
    <t>1. Đăng nhập hệ thống (nếu cần)
2. Truy cập trang Admin 
3. Truy cập vào mục Khách hàng</t>
  </si>
  <si>
    <t>Dữ liệu test: Admin đăng nhập, truy cập menu Khách hàng</t>
  </si>
  <si>
    <t>Bảng Grid với cột Email, Name, Customer roles, Company, Active</t>
  </si>
  <si>
    <t>Hiển thị bảng đầy đủ với các cột ...</t>
  </si>
  <si>
    <t>Hơn 20 khách hàng trong hệ thống</t>
  </si>
  <si>
    <t>1. Đăng nhập hệ thống (nếu cần)
 2. Truy cập trang Admin 
 3. Truy cập vào mục Khách hàng</t>
  </si>
  <si>
    <t>Dữ liệu test: Hơn 20 khách hàng trong hệ thống</t>
  </si>
  <si>
    <t>Danh sách phân trang đúng, điều hướng qua các trang bình thường</t>
  </si>
  <si>
    <t>có phân trang</t>
  </si>
  <si>
    <t>Mở danh sách khách hàng lần đầu</t>
  </si>
  <si>
    <t>Dữ liệu test: Mở danh sách khách hàng lần đầu</t>
  </si>
  <si>
    <t>Khách hàng tạo mới nhất xuất hiện ở đầu danh sách</t>
  </si>
  <si>
    <t>Truy cập trang Khách hàng khi chưa có dữ liệu</t>
  </si>
  <si>
    <t>Dữ liệu test: Truy cập trang Khách hàng khi chưa có dữ liệu</t>
  </si>
  <si>
    <t>Thông báo 'Không có lưu trữ nào', tiêu đề bảng và nút chức năng vẫn hiện</t>
  </si>
  <si>
    <t>vẫn hiển thị các nút và bảng trống với thông báo: Không có dữ liệu trong bảng</t>
  </si>
  <si>
    <t>Truy cập trang khi không có dữ liệu</t>
  </si>
  <si>
    <t>Dữ liệu test: Truy cập trang khi không có dữ liệu</t>
  </si>
  <si>
    <t>Các nút 'Thêm mới', 'Tìm kiếm' vẫn có thể sử dụng</t>
  </si>
  <si>
    <t>Nhập Email viết thường để tìm khách có Email viết hoa</t>
  </si>
  <si>
    <t>1. Đăng nhập hệ thống (nếu cần)
 2. Truy cập trang Admin 
 3. Truy cập vào mục Khách hàng
4. Nhập email theo yêu cầu
5. Ấn Tìm kiếm</t>
  </si>
  <si>
    <t>Email: testuser@example.com</t>
  </si>
  <si>
    <t>Trả về đúng khách hàng, không phân biệt hoa/thường</t>
  </si>
  <si>
    <t>Nhập 'Nguy' để tìm khách hàng tên 'Nguyen Van A'</t>
  </si>
  <si>
    <t>1. Đăng nhập hệ thống (nếu cần)
 2. Truy cập trang Admin 
 3. Truy cập vào mục Khách hàng
4. Nhập từ khóa theo yêu cầu
5. Ấn Tìm kiếm</t>
  </si>
  <si>
    <t>Tên: Nguyen Van A</t>
  </si>
  <si>
    <t>Trả về các khách hàng có Tên chứa chuỗi 'Nguy'</t>
  </si>
  <si>
    <t>Nhập cả Email và Họ để tìm kiếm</t>
  </si>
  <si>
    <t>Email: testuser@example.com
 Từ khóa: Apple</t>
  </si>
  <si>
    <t>Trả về kết quả thỏa mãn cả hai điều kiện</t>
  </si>
  <si>
    <t>Nhập Email 'notexist@test.com', click Search</t>
  </si>
  <si>
    <t>Danh sách rỗng kèm thông báo 'Không có lưu trữ nào'</t>
  </si>
  <si>
    <t>Danh sách rỗng kèm thông báo 'Không có dữ liệu trong bảng'</t>
  </si>
  <si>
    <t>Tìm kiếm với điều kiện không khớp</t>
  </si>
  <si>
    <t>Giao diện bình thường, không có lỗi hệ thống hay exception</t>
  </si>
  <si>
    <t>Nhập Email 'abc.com', nhấn Lưu</t>
  </si>
  <si>
    <r>
      <rPr>
        <rFont val="Arial"/>
        <sz val="10.0"/>
      </rPr>
      <t>1. Đăng nhập hệ thống (nếu cần)
 2. Truy cập trang Admin 
 3. Truy cập vào mục Khách hàng
4. Truy cập vào mục thêm mới 
5. Nhập email '</t>
    </r>
    <r>
      <rPr>
        <rFont val="Arial"/>
        <color rgb="FF1155CC"/>
        <sz val="10.0"/>
        <u/>
      </rPr>
      <t>abc.com</t>
    </r>
    <r>
      <rPr>
        <rFont val="Arial"/>
        <sz val="10.0"/>
      </rPr>
      <t>'</t>
    </r>
  </si>
  <si>
    <r>
      <rPr>
        <rFont val="Arial"/>
        <sz val="10.0"/>
      </rPr>
      <t xml:space="preserve">Email: </t>
    </r>
    <r>
      <rPr>
        <rFont val="Arial"/>
        <color rgb="FF1155CC"/>
        <sz val="10.0"/>
        <u/>
      </rPr>
      <t>abc.com</t>
    </r>
  </si>
  <si>
    <t>Hệ thống hiển thị lỗi Email không đúng định dạng, chặn lưu</t>
  </si>
  <si>
    <t>Nhập Password chỉ 3 ký tự, nhấn Lưu</t>
  </si>
  <si>
    <t>1. Đăng nhập hệ thống (nếu cần)
 2. Truy cập trang Admin 
 3. Truy cập vào mục Khách hàng
4. Truy cập vào mục thêm mới 
5. Nhập thông tin yêu cầu và mật khẩu không đúng độ dài
6. ấn tiết kiệm</t>
  </si>
  <si>
    <t>Password: 123</t>
  </si>
  <si>
    <t>Hệ thống hiển thị lỗi Password quá ngắn, chặn lưu</t>
  </si>
  <si>
    <t>Để trống Email, nhấn Lưu</t>
  </si>
  <si>
    <t>1. Đăng nhập hệ thống (nếu cần)
 2. Truy cập trang Admin 
 3. Truy cập vào mục Khách hàng
4. Truy cập vào mục thêm mới 
5. Nhập thông tin yêu cầu và bỏ trống email
6. ấn tiết kiệm</t>
  </si>
  <si>
    <t>Email: (để trống)</t>
  </si>
  <si>
    <t>Hệ thống hiển thị lỗi trường bắt buộc, chặn lưu</t>
  </si>
  <si>
    <t>Email duy nhất, Password đủ mạnh, nhấn Lưu</t>
  </si>
  <si>
    <t>1. Đăng nhập hệ thống (nếu cần)
 2. Truy cập trang Admin 
 3. Truy cập vào mục Khách hàng
4. Truy cập vào mục thêm mới 
5. Nhập thông tin đúng yêu cầu
6. ấn tiết kiệm</t>
  </si>
  <si>
    <t xml:space="preserve">Email:test@gmail.com
 Password: 123456
</t>
  </si>
  <si>
    <t>Khách hàng mới tạo, gán Role 'Registered' mặc định, thông báo thành công</t>
  </si>
  <si>
    <t>Email của khách hàng đã có trong hệ thống, nhấn Lưu</t>
  </si>
  <si>
    <t>1. Đăng nhập hệ thống (nếu cần)
 2. Truy cập trang Admin 
 3. Truy cập vào mục Khách hàng
4. Truy cập vào mục thêm mới 
5. Nhập thông tin yêu cầu và nhập email tồn tại
6. ấn tiết kiệm</t>
  </si>
  <si>
    <t>Email: buihoang3425@gmail.com</t>
  </si>
  <si>
    <t>Hệ thống báo lỗi Email đã tồn tại, không tạo mới</t>
  </si>
  <si>
    <t>Tạo khách hàng không chọn Role</t>
  </si>
  <si>
    <t>1. Đăng nhập hệ thống (nếu cần)
 2. Truy cập trang Admin 
 3. Truy cập vào mục Khách hàng
4. Truy cập vào mục thêm mới 
5. Nhập thông tin yêu cầu và không chọn role
6. ấn tiết kiệm</t>
  </si>
  <si>
    <t>Dữ liệu test: Tạo khách hàng không chọn Role</t>
  </si>
  <si>
    <t>Khách hàng được gán Role 'Registered' mặc định</t>
  </si>
  <si>
    <t>Thay đổi Tên, nhấn 'Tiết kiệm'</t>
  </si>
  <si>
    <t>1. Đăng nhập hệ thống (nếu cần)
 2. Truy cập trang Admin 
 3. Truy cập vào mục Khách hàng
4. Ấn vào chỉnh sửa trên 1 dòng khách hàng
5. Sửa thông tin đúng yêu cầu
6. ấn tiết kiệm</t>
  </si>
  <si>
    <t>Giới tín : Nữ</t>
  </si>
  <si>
    <t>Dữ liệu cập nhật, thời gian cập nhật được ghi nhận, thông báo thành công</t>
  </si>
  <si>
    <t>Click Edit tại một khách hàng</t>
  </si>
  <si>
    <t xml:space="preserve">1. Đăng nhập hệ thống (nếu cần)
 2. Truy cập trang Admin 
 3. Truy cập vào mục Khách hàng
4. Ấn vào chỉnh sửa trên 1 dòng khách hàng
</t>
  </si>
  <si>
    <t>Dữ liệu test: Click Edit tại một khách hàng</t>
  </si>
  <si>
    <t>Form hiển thị đúng tất cả thông tin hiện tại của khách hàng đó</t>
  </si>
  <si>
    <t>Sửa và lưu thành công</t>
  </si>
  <si>
    <t>1. Đăng nhập hệ thống (nếu cần)
 2. Truy cập trang Admin 
 3. Truy cập vào mục Khách hàng
4. Ấn vào chỉnh sửa trên 1 dòng khách hàng
5. Sửa thông tin đúng yêu cầu
6. ấn tiết kiệm
7. vào db và check so sánh</t>
  </si>
  <si>
    <t>Dữ liệu test: Sửa và lưu thành công</t>
  </si>
  <si>
    <t>Trường thời gian cập nhật thay đổi so với lần trước</t>
  </si>
  <si>
    <t>Thay Email thành chuỗi không đúng định dạng, nhấn Lưu</t>
  </si>
  <si>
    <t>1. Đăng nhập hệ thống (nếu cần)
 2. Truy cập trang Admin 
 3. Truy cập vào mục Khách hàng
4. Ấn vào chỉnh sửa trên 1 dòng khách hàng
5. Sửa email không đúng định dạng
6. ấn tiết kiệm</t>
  </si>
  <si>
    <t>Email: abc.com</t>
  </si>
  <si>
    <t>Hệ thống hiển thị lỗi định dạng Email, chặn lưu</t>
  </si>
  <si>
    <t>Xóa trắng trường Email, nhấn Lưu</t>
  </si>
  <si>
    <t>1. Đăng nhập hệ thống (nếu cần)
 2. Truy cập trang Admin 
 3. Truy cập vào mục Khách hàng
4. Ấn vào chỉnh sửa trên 1 dòng khách hàng
5. Xóa bỏ field email
6. ấn tiết kiệm</t>
  </si>
  <si>
    <t>Email: xóa</t>
  </si>
  <si>
    <t>Chọn khách hàng thường, click Xóa, xác nhận popup</t>
  </si>
  <si>
    <t>1. Đăng nhập hệ thống (nếu cần)
 2. Truy cập trang Admin 
 3. Truy cập vào mục Khách hàng
4. Ấn vào chỉnh sửa trên 1 dòng khách hàng
5. Ấn vào xóa bỏ
6. hiện popup xác nhận và chọn xóa bỏ</t>
  </si>
  <si>
    <t>Dữ liệu test: Chọn khách hàng thường, click Xóa, xác nhận popup</t>
  </si>
  <si>
    <t>Bản ghi bị xóa, liên kết Role trong bảng Mapping cũng bị gỡ</t>
  </si>
  <si>
    <t>Thông báo: Khách hàng đã bị xóa thành công.</t>
  </si>
  <si>
    <t>Cấm xóa tài khoản Administrator</t>
  </si>
  <si>
    <t xml:space="preserve">Chọn tài khoản 'Administrator', nhấn Xóa
</t>
  </si>
  <si>
    <t>1. Đăng nhập hệ thống với role Administrator
 2. Truy cập trang Admin 
 3. Truy cập vào mục Khách hàng
4. Ấn vào chỉnh sửa trên 1 dòng khách hàng
5. Ấn vào xóa bỏ
6. hiện popup xác nhận và chọn xóa bỏ</t>
  </si>
  <si>
    <t>Dữ liệu test: Chọn tài khoản 'Administrator', nhấn Xóa</t>
  </si>
  <si>
    <t>Hệ thống chặn và thông báo không được phép xóa tài khoản này</t>
  </si>
  <si>
    <t>Hệ thống vẫn cho phép xóa khi có nhiều Administrator</t>
  </si>
  <si>
    <t>DEF_09</t>
  </si>
  <si>
    <t>Click Xóa tại một khách hàng</t>
  </si>
  <si>
    <t>1. Đăng nhập hệ thống (nếu cần)
 2. Truy cập trang Admin 
 3. Truy cập vào mục Khách hàng
4. Ấn vào chỉnh sửa trên 1 dòng khách hàng
5. Ấn vào xóa bỏ
6. hiện popup xác nhận</t>
  </si>
  <si>
    <t>Dữ liệu test: Click Xóa tại một khách hàng</t>
  </si>
  <si>
    <t>Popup xác nhận hiện ra, không xóa ngay</t>
  </si>
  <si>
    <t>popup xác nhận có xuất hiện để xác nhận xóa</t>
  </si>
  <si>
    <t>Admin truy cập 'Vai trò khách hàng'</t>
  </si>
  <si>
    <t>1. Đăng nhập hệ thống (nếu cần)
 2. Truy cập trang Admin 
 3. Truy cập vào mục vai trò khách hàng
4. Kiểm tra kết quả: Bảng Grid với cột Tên, Miễn phí vận chuyển, Miễn thuế, Hoạt động</t>
  </si>
  <si>
    <t>Dữ liệu test: Admin truy cập 'Vai trò khách hàng'</t>
  </si>
  <si>
    <t>Bảng Grid với cột Tên, Miễn phí vận chuyển, Miễn thuế, Hoạt động</t>
  </si>
  <si>
    <t>hiện thị bảng đúng yêu cầu</t>
  </si>
  <si>
    <t>Tài khoản không có quyền Admin cố truy cập URL trang vai trò</t>
  </si>
  <si>
    <t xml:space="preserve">1. Đăng nhập hệ thống (nếu cần)
 2. Truy cập trang Admin 
 3. Nhập đường dẫn url </t>
  </si>
  <si>
    <t>Dữ liệu test: Tài khoản không có quyền Admin cố truy cập URL trang vai trò (https://localhost:59579/Admin/Customer)</t>
  </si>
  <si>
    <t>Hệ thống chặn và hiển thị trang lỗi truy cập bị từ chối</t>
  </si>
  <si>
    <t>hệ thống chặn và thông báo truy cập bị từ chối</t>
  </si>
  <si>
    <t>Truy cập trang quản lý vai trò khi không có dữ liệu</t>
  </si>
  <si>
    <t xml:space="preserve">1. Đăng nhập hệ thống (nếu cần)
 2. Truy cập trang Admin 
 3. Truy cập vào mục vai trò khách hàng
</t>
  </si>
  <si>
    <t>Dữ liệu test: Truy cập trang quản lý vai trò khi không có dữ liệu</t>
  </si>
  <si>
    <t>Thông báo 'Không có dữ liệu trong bảng', nút 'Thêm mới' vẫn hiển thị</t>
  </si>
  <si>
    <t>Nhập Tên vai trò, cấu hình các thuộc tính, nhấn Lưu</t>
  </si>
  <si>
    <t xml:space="preserve">1. Đăng nhập hệ thống (nếu cần)
 2. Truy cập trang Admin 
 3. Truy cập vào mục vai trò khách hàng
4. ấn vào thêm mơi
5. nhập thông tin theo yêu cầu và ấn tiếm kiệm
</t>
  </si>
  <si>
    <t>Vai trò lưu vào CustomerRole, thông báo thành công</t>
  </si>
  <si>
    <t>Thông báo: Vai trò khách hàng mới đã được thêm thành công.và lưu vào db</t>
  </si>
  <si>
    <t>Tạo vai trò, tích checkbox Hoạt động</t>
  </si>
  <si>
    <t>1. Đăng nhập hệ thống (nếu cần)
 2. Truy cập trang Admin 
 3. Truy cập vào mục vai trò khách hàng
4. ấn vào thêm mơi
5. nhập thông tin theo yêu cầu và ấn tiếm kiệm
6. kiểm tra checkbox ở danh sách hiển thị</t>
  </si>
  <si>
    <t>Dữ liệu test: Tạo vai trò, tích checkbox Hoạt động</t>
  </si>
  <si>
    <t>Vai trò được tạo với trạng thái Hoạt động = true</t>
  </si>
  <si>
    <t>Không nhập Tên, nhấn Lưu</t>
  </si>
  <si>
    <t xml:space="preserve">1. Đăng nhập hệ thống (nếu cần)
 2. Truy cập trang Admin 
 3. Truy cập vào mục vai trò khách hàng
4. ấn vào thêm mơi
5. nhập thông tin theo yêu cầu và bỏ trống tên và ấn tiếm kiệm
</t>
  </si>
  <si>
    <t>Tên: Trống</t>
  </si>
  <si>
    <t>Hệ thống chặn và hiển thị lỗi trường Tên bắt buộc</t>
  </si>
  <si>
    <t>Nhập Tên trùng với vai trò hiện có, nhấn Lưu</t>
  </si>
  <si>
    <t xml:space="preserve">1. Đăng nhập hệ thống (nếu cần)
 2. Truy cập trang Admin 
 3. Truy cập vào mục vai trò khách hàng
4. ấn vào thêm mơi
5. nhập thông tin theo yêu cầu và nhập tên tồn tại và ấn tiếm kiệm
</t>
  </si>
  <si>
    <t>Tên: Administrators</t>
  </si>
  <si>
    <t>Hệ thống báo lỗi tên đã tồn tại, không lưu</t>
  </si>
  <si>
    <t>Để trống trường Tên, nhấn Lưu</t>
  </si>
  <si>
    <t>Hệ thống hiển thị lỗi Tên bắt buộc, chặn lưu</t>
  </si>
  <si>
    <t>Nhập Tên vai trò mới chưa có trong hệ thống</t>
  </si>
  <si>
    <t>Hệ thống tạo thành công, không hiển thị lỗi</t>
  </si>
  <si>
    <t>Thay đổi Miễn phí vận chuyển, nhấn Lưu</t>
  </si>
  <si>
    <t xml:space="preserve">1. Đăng nhập hệ thống (nếu cần)
 2. Truy cập trang Admin 
 3. Truy cập vào mục vai trò khách hàng
4. ấn vào chỉnh sửa trên 1 dòng vai trò
5. tick checkbox theo yêu cầu
</t>
  </si>
  <si>
    <t>Dữ liệu test: Thay đổi Miễn phí vận chuyển, nhấn Lưu</t>
  </si>
  <si>
    <t>Cập nhật thành công, thông báo xuất hiện</t>
  </si>
  <si>
    <t>thông báo: Vai trò của khách hàng đã được cập nhật thành công. và sửa ở db</t>
  </si>
  <si>
    <t>Mở form sửa vai trò 'Administrators'</t>
  </si>
  <si>
    <t xml:space="preserve">1. Đăng nhập hệ thống (nếu cần)
 2. Truy cập trang Admin 
 3. Truy cập vào mục vai trò khách hàng
4. ấn vào chỉnh sửa trên dòng Administrators
5. sửa tên hệ thống thành super admin và nhấn tiết kiệm
</t>
  </si>
  <si>
    <t>Dữ liệu test: Mở form sửa vai trò 'Administrators' sửa thành super admin</t>
  </si>
  <si>
    <t>Trường Tên hệ thống bị khóa, không cho phép chỉnh sửa</t>
  </si>
  <si>
    <t>Thông báo: Không thể chỉnh sửa tên hệ thống của vai trò khách hàng hệ thống.</t>
  </si>
  <si>
    <t>Xóa nội dung trường Tên, nhấn Lưu</t>
  </si>
  <si>
    <t xml:space="preserve">1. Đăng nhập hệ thống (nếu cần)
 2. Truy cập trang Admin 
 3. Truy cập vào mục vai trò khách hàng
4. ấn vào chỉnh sửa trên dòng Administrators
5. xóa trắng trường tên và nhấn tiết kiệm
</t>
  </si>
  <si>
    <t>Tên: xóa</t>
  </si>
  <si>
    <t>Thông báo: Vui lòng cung cấp tên.</t>
  </si>
  <si>
    <t>Xóa Tên, nhập lại Tên mới hợp lệ, nhấn Lưu</t>
  </si>
  <si>
    <t xml:space="preserve">1. Đăng nhập hệ thống (nếu cần)
 2. Truy cập trang Admin 
 3. Truy cập vào mục vai trò khách hàng
4. ấn vào chỉnh sửa trên dòng Administrators
5. nhập tên hợp lệ và nhấn tiết kiệm
</t>
  </si>
  <si>
    <t>Hệ thống lưu thành công, không hiện lỗi</t>
  </si>
  <si>
    <t>Thông báo: Vai trò của khách hàng đã được cập nhật thành công.</t>
  </si>
  <si>
    <t>Click Xóa trên vai trò tự tạo, xác nhận popup</t>
  </si>
  <si>
    <t>1. Đăng nhập hệ thống (nếu cần)
 2. Truy cập trang Admin 
 3. Truy cập vào mục vai trò khách hàng
4. ấn vào chỉnh sửa trên 1 dòng 
5. nhập tên hợp lệ và nhấn tiết kiệm
6. hiện popup xác nhận và chọn xóa bỏ</t>
  </si>
  <si>
    <t>Dữ liệu test: Click Xóa trên vai trò tự tạo, xác nhận popup</t>
  </si>
  <si>
    <t>Vai trò bị xóa, danh sách cập nhật</t>
  </si>
  <si>
    <t>Thông báo: Vai trò của khách hàng đã bị xóa thành công.</t>
  </si>
  <si>
    <t>Click Xóa trên vai trò 'Administrators'</t>
  </si>
  <si>
    <t>1. Đăng nhập hệ thống (nếu cần)
 2. Truy cập trang Admin 
 3. Truy cập vào mục vai trò khách hàng
4. ấn vào chỉnh sửa trên dòng Administrators
5. nhập tên hợp lệ và nhấn tiết kiệm
6. hiện popup xác nhận và chọn xóa bỏ</t>
  </si>
  <si>
    <t>Dữ liệu test: Click Xóa trên vai trò 'Administrators'</t>
  </si>
  <si>
    <t>Hệ thống chặn và thông báo không thể xóa vai trò hệ thống</t>
  </si>
  <si>
    <t>Thông báo: System role could not be deleted</t>
  </si>
  <si>
    <t>Click nút Xóa bỏ tại form chỉnh sửa</t>
  </si>
  <si>
    <t xml:space="preserve">1. Đăng nhập hệ thống (nếu cần)
 2. Truy cập trang Admin 
 3. Truy cập vào mục vai trò khách hàng
4. ấn vào chỉnh sửa trên 1 dòng 
5. nhập tên hợp lệ và nhấn tiết kiệm
6. hiện popup xác nhận </t>
  </si>
  <si>
    <t>Dữ liệu test: Click nút Xóa bỏ tại form chỉnh sửa</t>
  </si>
  <si>
    <t>Popup 'Bạn có chắc chắn muốn xóa không?' hiển thị, không xóa ngay</t>
  </si>
  <si>
    <t>hiện thị popup xác nhận</t>
  </si>
  <si>
    <t>Click Xóa vai trò có ít nhất 1 khách hàng đang sử dụng</t>
  </si>
  <si>
    <t>1. Đăng nhập hệ thống (nếu cần)
 2. Truy cập trang Admin 
 3. Truy cập vào mục vai trò khách hàng
4. ấn vào chỉnh sửa trên 1 dòng vai trò đang đc sử dụng
5. nhập tên hợp lệ và nhấn tiết kiệm
6. hiện popup xác nhận và chọn xóa bỏ</t>
  </si>
  <si>
    <t>Dữ liệu test: Click Xóa vai trò có ít nhất 1 khách hàng đang sử dụng</t>
  </si>
  <si>
    <t>Hệ thống chặn và thông báo yêu cầu gỡ vai trò trước</t>
  </si>
  <si>
    <t>Click Xóa vai trò có 0 khách hàng</t>
  </si>
  <si>
    <t>1. Đăng nhập hệ thống (nếu cần)
 2. Truy cập trang Admin 
 3. Truy cập vào mục vai trò khách hàng
4. ấn vào chỉnh sửa trên 1 dòng vai trò không đc sử dụng
5. nhập tên hợp lệ và nhấn tiết kiệm
6. hiện popup xác nhận và chọn xóa bỏ</t>
  </si>
  <si>
    <t>Dữ liệu test: Click Xóa vai trò có 0 khách hàng</t>
  </si>
  <si>
    <t>Hệ thống cho phép xóa sau xác nhận popup</t>
  </si>
  <si>
    <t>Xem danh sách Danh mục dạng Grid</t>
  </si>
  <si>
    <t>Truy cập Catalog &gt; Categories</t>
  </si>
  <si>
    <t>1. Truy cập Admin &gt; Catalog &gt; Categories.
2. Quan sát bảng danh sách (Grid).
3. Kiểm tra các cột hiển thị.</t>
  </si>
  <si>
    <t>Action: Truy cập URL</t>
  </si>
  <si>
    <t>Hiển thị bảng lưới đủ cột: Tên, Published, Order.</t>
  </si>
  <si>
    <t>Hiển thị sơ đồ cây (Tree view)</t>
  </si>
  <si>
    <t>Chuyển chế độ Tree view</t>
  </si>
  <si>
    <t>1. Truy cập Catalog &gt; Categories.
2. Nhấn nút chuyển chế độ "Tree view" ở góc trên bảng.
3. Quan sát cấu trúc phân cấp.</t>
  </si>
  <si>
    <t>Mode: Tree view</t>
  </si>
  <si>
    <t>Hiển thị cấu trúc DM dạng cây phân cấp Cha-Con.</t>
  </si>
  <si>
    <t>Khi chuyển chế độ Tree view, các danh mục được phân cấp chính xác theo quan hệ cha-con.</t>
  </si>
  <si>
    <t>Tạo DM mới thành công</t>
  </si>
  <si>
    <t>Điền Name hợp lệ</t>
  </si>
  <si>
    <t>1. Nhấn nút "Add new".
2. Tại tab "Info", nhập Name: "Smartphones".
3. Nhấn "Save".</t>
  </si>
  <si>
    <t>Name: Smartphones</t>
  </si>
  <si>
    <t>DM lưu thành công, hiện báo xanh, lưới cập nhật.</t>
  </si>
  <si>
    <t>Danh mục "Smartphones" được lưu, hệ thống hiển thị thông báo thành công.</t>
  </si>
  <si>
    <t>Bỏ trống Tên khi tạo DM</t>
  </si>
  <si>
    <t>Để trống trường Name</t>
  </si>
  <si>
    <t>1. Nhấn nút "Add new".
2. Để trống trường Name.
3. Nhấn "Save" và quan sát báo lỗi.</t>
  </si>
  <si>
    <t>Name: (trống)</t>
  </si>
  <si>
    <t>Cảnh báo đỏ ở trường Name, chặn lưu vào DB.</t>
  </si>
  <si>
    <t>Hệ thống báo lỗi "Name is required" và ngăn chặn việc lưu dữ liệu trống.</t>
  </si>
  <si>
    <t>Tạo Danh mục con</t>
  </si>
  <si>
    <t>Chọn Parent Category</t>
  </si>
  <si>
    <t>1. Nhấn "Add new", nhập Name: "Laptops".
2. Mục "Parent category", chọn "Computers".
3. Nhấn "Save".</t>
  </si>
  <si>
    <t>Parent: Computers
 Name: Laptops</t>
  </si>
  <si>
    <t>DM "Laptops" lưu và trở thành con của "Computers".</t>
  </si>
  <si>
    <t>Danh mục con được tạo và hiển thị .</t>
  </si>
  <si>
    <t>Upload ảnh JPG hợp lệ</t>
  </si>
  <si>
    <t>Tab Pictures</t>
  </si>
  <si>
    <t>1. Mở form Edit DM, chuyển sang tab "Pictures".
2. Nhấn "Upload a file", chọn ảnh .JPG.
3. Nhấn "Save".</t>
  </si>
  <si>
    <t>File: cate_img.jpg</t>
  </si>
  <si>
    <t>Ảnh upload thành công, hiện thumbnail nhỏ.</t>
  </si>
  <si>
    <t>File cate_img.jpg tải lên thành công.</t>
  </si>
  <si>
    <t>Upload file sai định dạng</t>
  </si>
  <si>
    <t>Upload file PDF</t>
  </si>
  <si>
    <t>1. Mở tab "Pictures", nhấn "Upload a file".
2. Chọn file định dạng .PDF.
3. Quan sát phản hồi chặn của hệ thống.</t>
  </si>
  <si>
    <t>File: doc.pdf</t>
  </si>
  <si>
    <t>Hệ thống báo lỗi đuôi file không hợp lệ, chặn upload.</t>
  </si>
  <si>
    <t>Hệ thống hiển thị cảnh báo định dạng tệp không được hỗ trợ.</t>
  </si>
  <si>
    <t>Upload ảnh đuôi WEBP/PNG</t>
  </si>
  <si>
    <t>1. Mở tab "Pictures", nhấn "Upload a file".
2. Chọn file định dạng .WEBP hoặc .PNG.
3. Nhấn "Save".</t>
  </si>
  <si>
    <t>File: img.webp</t>
  </si>
  <si>
    <t>Hệ thống chấp nhận và lưu ảnh thành công.</t>
  </si>
  <si>
    <t>Các định dạng WEBP/PNG được tải lên và hiển thị bình thường ngoài giao diện.</t>
  </si>
  <si>
    <t>Cập nhật thông tin SEO</t>
  </si>
  <si>
    <t>Tab SEO</t>
  </si>
  <si>
    <t>1. Mở tab "SEO".
2. Nhập các trường Meta title, Meta keywords.
3. Nhấn "Save".</t>
  </si>
  <si>
    <t>Title: Buy Cheap Laptops</t>
  </si>
  <si>
    <t>Thông tin SEO lưu thành công, render đúng ra thẻ &lt;head&gt;.</t>
  </si>
  <si>
    <t>Các thẻ Meta title và Keywords lưu thành công,.</t>
  </si>
  <si>
    <t>SEO Friendly URL tự sinh</t>
  </si>
  <si>
    <t>Bỏ trống URL alias</t>
  </si>
  <si>
    <t>1. Mở tab "SEO".
2. Để trống mục "Search engine friendly page name".
3. Nhấn "Save".</t>
  </si>
  <si>
    <t>Name: Điện thoại</t>
  </si>
  <si>
    <t>URL tự động gen ra chuỗi "dien-thoai".</t>
  </si>
  <si>
    <t>Khi để trống URL alias, hệ thống tự động sinh chuỗi từ tên danh mục.</t>
  </si>
  <si>
    <t>Gán hiển thị DM theo Role</t>
  </si>
  <si>
    <t>Chọn Role Registered</t>
  </si>
  <si>
    <t>1. Mở block "Access control list".
2. Tích chọn quyền "Registered".
3. Nhấn "Save" và check ngoài Frontend.</t>
  </si>
  <si>
    <t>Role: Registered</t>
  </si>
  <si>
    <t>DM chỉ xuất hiện với khách hàng đã đăng nhập.</t>
  </si>
  <si>
    <t>Danh mục chỉ hiển thị khi đăng nhập đúng tài khoản có quyền Registered.</t>
  </si>
  <si>
    <t>Không chọn Role (Hiển thị public)</t>
  </si>
  <si>
    <t>Để trống ACL</t>
  </si>
  <si>
    <t>1. Mở block "Access control list".
2. Bỏ tích tất cả các ô Role.
3. Nhấn "Save" và check bằng tài khoản khách.</t>
  </si>
  <si>
    <t>Role: (trống)</t>
  </si>
  <si>
    <t>Danh mục public, ai cũng xem được trên Frontend.</t>
  </si>
  <si>
    <t>Danh mục hiển thị công khai, khách vãng lai (Guest) vẫn có thể truy cập được.</t>
  </si>
  <si>
    <t>Gán Sản phẩm vào DM</t>
  </si>
  <si>
    <t>Tab Products</t>
  </si>
  <si>
    <t>1. Mở tab "Products".
2. Nhấn "Add a new product".
3. Tích chọn sản phẩm "MacBook", nhấn "Save".</t>
  </si>
  <si>
    <t>Sản phẩm: MacBook</t>
  </si>
  <si>
    <t>SP được liên kết và hiển thị bên trong DM này.</t>
  </si>
  <si>
    <t>Sản phẩm "MacBook" xuất hiện chính xác bên trong danh mục đã gán.</t>
  </si>
  <si>
    <t>1 Sản phẩm gán nhiều DM</t>
  </si>
  <si>
    <t>Gán chéo DM</t>
  </si>
  <si>
    <t>1. Gán SP "MacBook" vào DM "Computers".
2. Gán tiếp SP "MacBook" vào DM "Apple".
3. Check hiển thị ngoài Frontend.</t>
  </si>
  <si>
    <t>Gán: 2 Danh mục</t>
  </si>
  <si>
    <t>SP hiển thị xuất hiện ở lưới của cả 2 danh mục.</t>
  </si>
  <si>
    <t>Sản phẩm hiển thị đồng thời tại cả hai danh mục đã chọn ngoài Frontend.</t>
  </si>
  <si>
    <t>Tắt Published của DM cha</t>
  </si>
  <si>
    <t>Bỏ tích Published</t>
  </si>
  <si>
    <t>1. Edit DM Cha, bỏ tích chọn "Published".
2. Nhấn "Save".
3. Check Frontend xem DM Cha và Con có bị ẩn không.</t>
  </si>
  <si>
    <t>Published: OFF</t>
  </si>
  <si>
    <t>DM cha và toàn bộ DM con bị ẩn hoàn toàn.</t>
  </si>
  <si>
    <t>Khi bỏ tích Published ở mục cha, toàn bộ mục con bị ẩn khỏi Menu .</t>
  </si>
  <si>
    <t>Bật Published DM</t>
  </si>
  <si>
    <t>Tích Published</t>
  </si>
  <si>
    <t>1. Edit DM, tích chọn "Published".
2. Nhấn "Save".
3. Check Menu ngoài Frontend.</t>
  </si>
  <si>
    <t>Published: ON</t>
  </si>
  <si>
    <t>DM hiển thị bình thường trên top menu Frontend.</t>
  </si>
  <si>
    <t>Danh mục xuất hiện .</t>
  </si>
  <si>
    <t>Logic hiển thị DM Con khi Cha bị tắt</t>
  </si>
  <si>
    <t>Cha = OFF, Con = ON</t>
  </si>
  <si>
    <t>1. Đảm bảo DM Con đang tích Published.
2. Bỏ tích Published ở DM Cha.
3. Dùng link truy cập thẳng vào DM Con.</t>
  </si>
  <si>
    <t>Cha OFF
 Con ON</t>
  </si>
  <si>
    <t>DM Con bị ẩn lây do DM Cha đã bị vô hiệu hóa.</t>
  </si>
  <si>
    <t>Danh mục con không thể truy cập trực tiếp khi danh mục cha đang trạng thái OFF.</t>
  </si>
  <si>
    <t>Xóa Danh mục (Soft Delete)</t>
  </si>
  <si>
    <t>Nút Delete</t>
  </si>
  <si>
    <t>1. Nhấn nút "Delete" tại form Edit DM.
2. Xác nhận popup Xóa.
3. Quan sát danh sách còn lại.</t>
  </si>
  <si>
    <t>Thao tác: Xóa</t>
  </si>
  <si>
    <t>DM biến mất khỏi lưới, field Deleted=1 trong DB.</t>
  </si>
  <si>
    <t>Danh mục biến mất khỏi Admin.</t>
  </si>
  <si>
    <t>Hành vi DM con khi xóa DM cha</t>
  </si>
  <si>
    <t>Xóa DM cha</t>
  </si>
  <si>
    <t>1. Chọn DM Cha đang chứa DM Con.
2. Nhấn "Delete" DM Cha.
3. Kiểm tra trong DB xem DM Con còn tồn tại không.</t>
  </si>
  <si>
    <t>Thao tác: Xóa Cha</t>
  </si>
  <si>
    <t>DM con vẫn còn DB, mất parent_id.</t>
  </si>
  <si>
    <t>Danh mục con vẫn tồn tại trong Database nhưng bị xóa bỏ quan hệ phân cấp cũ.</t>
  </si>
  <si>
    <t>Hiển thị list Specification Attributes</t>
  </si>
  <si>
    <t>Catalog &gt; Attributes</t>
  </si>
  <si>
    <t>1. Đăng nhập Admin, truy cập Catalog &gt; Attributes &gt; Specification attributes.
2. Quan sát bảng hiển thị danh sách.</t>
  </si>
  <si>
    <t>Bảng hiển thị danh sách các Thuộc tính kỹ thuật.</t>
  </si>
  <si>
    <t>Hệ thống hiển thị đầy đủ bảng danh sách các thuộc tính kỹ thuật hiện có .</t>
  </si>
  <si>
    <t>Bảng trống khi chưa có dữ liệu</t>
  </si>
  <si>
    <t>DB rỗng</t>
  </si>
  <si>
    <t>1. Truy cập trang Specification attributes khi DB chưa có dữ liệu nào.
2. Kiểm tra thông báo hiển thị trên bảng.</t>
  </si>
  <si>
    <t>DB: 0 bản ghi</t>
  </si>
  <si>
    <t>Bảng trống kèm text không có dữ liệu, không lỗi.</t>
  </si>
  <si>
    <t>Trang hiển thị thông báo không có dữ liệu và không phát sinh lỗi mã nguồn.</t>
  </si>
  <si>
    <t>Tạo Thuộc tính mới hợp lệ</t>
  </si>
  <si>
    <t>Add new &gt; Điền Name</t>
  </si>
  <si>
    <t>1. Nhấn nút "Add new".
2. Nhập Name: "Screen Size".
3. Nhấn "Save" và kiểm tra ngoài Grid.</t>
  </si>
  <si>
    <t>Name: Screen Size</t>
  </si>
  <si>
    <t>Thuộc tính lưu thành công, hiện trên Grid.</t>
  </si>
  <si>
    <t>Thuộc tính "Screen Size" được lưu thành công và hiển thị.</t>
  </si>
  <si>
    <t>Bỏ trống Tên thuộc tính</t>
  </si>
  <si>
    <t>Để trống Name</t>
  </si>
  <si>
    <t>1. Nhấn nút "Add new".
2. Để trống trường Name.
3. Nhấn "Save" và quan sát báo lỗi đỏ.</t>
  </si>
  <si>
    <t>Báo lỗi màu đỏ yêu cầu nhập Tên.</t>
  </si>
  <si>
    <t>Hệ thống  cầu nhập tên .</t>
  </si>
  <si>
    <t>Nhập Tên đa ngôn ngữ</t>
  </si>
  <si>
    <t>Tab Standard &amp; Locale</t>
  </si>
  <si>
    <t>1. Tại tab Standard, nhập Name tiếng Anh.
2. Chuyển sang tab Tiếng Việt, nhập Name tiếng Việt.
3. Nhấn "Save".</t>
  </si>
  <si>
    <t>Name VN: Kích cỡ</t>
  </si>
  <si>
    <t>Lưu thành công tên đa ngôn ngữ.</t>
  </si>
  <si>
    <t>TLưu thành công tên đa ngôn ngữ.</t>
  </si>
  <si>
    <t>Thêm Option (Tùy chọn) hợp lệ</t>
  </si>
  <si>
    <t>Tab Options</t>
  </si>
  <si>
    <t>1. Mở form Edit thuộc tính, chuyển sang tab "Options".
2. Nhập Name "15.6 inch", nhấn "Add option".</t>
  </si>
  <si>
    <t>Name: 15.6 inch</t>
  </si>
  <si>
    <t>Option tạo thành công, cập nhật vào bảng bên dưới.</t>
  </si>
  <si>
    <t>Tùy chọn mới "15.6 inch" được tạo thành công và cập nhật .</t>
  </si>
  <si>
    <t>Bỏ trống Tên Option</t>
  </si>
  <si>
    <t>Add option trống</t>
  </si>
  <si>
    <t>1. Tại tab "Options", để trống trường Name.
2. Nhấn "Add option" và kiểm tra lỗi bắt buộc nhập.</t>
  </si>
  <si>
    <t>Báo lỗi bắt buộc nhập tên Option.</t>
  </si>
  <si>
    <t>Hệ thống báo lỗi bắt buộc nhập tên cho tùy chọn.</t>
  </si>
  <si>
    <t>Gán mã màu (Color square) cho Option</t>
  </si>
  <si>
    <t>Ô RGB Color</t>
  </si>
  <si>
    <t>1. Chọn ô nhập mã màu (RGB Color).
2. Điền mã Hex "#FF0000".
3. Nhấn Save/Add option.</t>
  </si>
  <si>
    <t>Hex: #FF0000</t>
  </si>
  <si>
    <t>Option hiển thị ô vuông màu đỏ ngoài Frontend.</t>
  </si>
  <si>
    <t>Ô vuông hiển thị đúng màu đỏ (mã Hex #FF0000) .</t>
  </si>
  <si>
    <t>Đổi Display order của Option</t>
  </si>
  <si>
    <t>Sửa Order</t>
  </si>
  <si>
    <t>1. Sửa ô Display order của Option A (VD: 1) và Option B (VD: 5).
2. Nhấn Update.
3. Check thứ tự ngoài Frontend.</t>
  </si>
  <si>
    <t>A=1, B=5</t>
  </si>
  <si>
    <t>Tùy chọn A hiện trước B trên Frontend.</t>
  </si>
  <si>
    <t>Thứ tự hiển thị của các tùy chọn thay đổi chính xác theo cấu hình ưu tiên ngoài Frontend.</t>
  </si>
  <si>
    <t>Nhập Display order số âm</t>
  </si>
  <si>
    <t>Order &lt; 0</t>
  </si>
  <si>
    <t>1. Nhập giá trị âm (-1) vào ô Display order.
2. Nhấn "Save" và kiểm tra hệ thống chặn lỗi.</t>
  </si>
  <si>
    <t>Order: -1</t>
  </si>
  <si>
    <t>Admin validate chặn hoặc reset giá trị.</t>
  </si>
  <si>
    <t>Bật 'Show on product page'</t>
  </si>
  <si>
    <t>Tích checkbox UI</t>
  </si>
  <si>
    <t>1. Mở trang Edit sản phẩm &gt; tab Specification.
2. Gán thuộc tính và tích chọn "Show on product page".
3. Nhấn Save.</t>
  </si>
  <si>
    <t>Show: ON</t>
  </si>
  <si>
    <t>Hiện thuộc tính ở bảng thông số kỹ thuật SP Frontend.</t>
  </si>
  <si>
    <t>Thuộc tính xuất hiện rõ ràng trong bảng thông số kỹ thuật của sản phẩm .</t>
  </si>
  <si>
    <t>Tắt 'Show on product page'</t>
  </si>
  <si>
    <t>Bỏ tích checkbox UI</t>
  </si>
  <si>
    <t>1. Mở trang Edit sản phẩm &gt; tab Specification.
2. Gán thuộc tính và bỏ tích "Show on product page".
3. Nhấn Save.</t>
  </si>
  <si>
    <t>Show: OFF</t>
  </si>
  <si>
    <t>Lưu ngầm, không xuất hiện ở thông số Frontend.</t>
  </si>
  <si>
    <t>Thuộc tính được lưu ngầm trong hệ thống nhưng không hiển thị công khai cho người dùng.</t>
  </si>
  <si>
    <t>Bật 'Allow filtering' gán SP</t>
  </si>
  <si>
    <t>Tích Allow filter</t>
  </si>
  <si>
    <t>1. Gán thuộc tính vào sản phẩm.
2. Tích chọn ô "Allow filtering".
3. Ra trang danh mục Frontend kiểm tra sidebar.</t>
  </si>
  <si>
    <t>Filter: ON</t>
  </si>
  <si>
    <t>Option xuất hiện bên sidebar để khách lọc.</t>
  </si>
  <si>
    <t>Tắt 'Allow filtering' gán SP</t>
  </si>
  <si>
    <t>Bỏ tích Allow filter</t>
  </si>
  <si>
    <t>1. Gán thuộc tính vào sản phẩm.
2. Bỏ tích ô "Allow filtering".
3. Check lại Frontend xem filter có bị ẩn không.</t>
  </si>
  <si>
    <t>Filter: OFF</t>
  </si>
  <si>
    <t>Ẩn hoàn toàn Option này khỏi bộ lọc Frontend.</t>
  </si>
  <si>
    <t>Hệ thống ẩn  tùy chọn này khỏi bộ lọc tìm kiếm ngoài giao diện .</t>
  </si>
  <si>
    <t>Gom nhóm Thuộc tính (Attribute groups)</t>
  </si>
  <si>
    <t>Spec attribute groups</t>
  </si>
  <si>
    <t>1. Truy cập Specification attribute groups.
2. Tạo Group tên "CPU".
3. Gán các thuộc tính liên quan vào group này.</t>
  </si>
  <si>
    <t>Group: CPU</t>
  </si>
  <si>
    <t>Dữ liệu gom cấu trúc nhóm thành công.</t>
  </si>
  <si>
    <t>Nhóm "CPU" thành công</t>
  </si>
  <si>
    <t>Check hiển thị Nhóm Frontend</t>
  </si>
  <si>
    <t>Xem chi tiết SP</t>
  </si>
  <si>
    <t>1. Truy cập chi tiết sản phẩm ngoài Frontend.
2. Kiểm tra phần hiển thị thông số có lồng ghép theo nhóm không.</t>
  </si>
  <si>
    <t>Thuộc tính con nằm lồng ghép dưới tiêu đề Nhóm (CPU).</t>
  </si>
  <si>
    <t>Thuộc tính con xuất hiện dưới tiêu đề Nhóm (CPU).</t>
  </si>
  <si>
    <t>Xóa Thuộc tính đang gán cho SP</t>
  </si>
  <si>
    <t>1. Chọn một thuộc tính đang được gán cho sản phẩm.
2. Nhấn nút "Delete" và xác nhận.</t>
  </si>
  <si>
    <t>Trạng thái: Đang dùng</t>
  </si>
  <si>
    <t>Xóa an toàn, gỡ thuộc tính đó khỏi tất cả SP liên quan.</t>
  </si>
  <si>
    <t>Thuộc tính được xóa an toàn.</t>
  </si>
  <si>
    <t>Xóa Option đang gán cho SP</t>
  </si>
  <si>
    <t>Delete Option</t>
  </si>
  <si>
    <t>1. Chọn một Option đang được sử dụng ở SP.
2. Nhấn nút "Delete" ở dòng option đó.</t>
  </si>
  <si>
    <t>Xóa Option an toàn khỏi DB và SP liên quan.</t>
  </si>
  <si>
    <t>Tùy chọn bị loại bỏ hoàn toàn khỏi Database .</t>
  </si>
  <si>
    <t>Xóa Thuộc tính độc lập</t>
  </si>
  <si>
    <t>Chưa gán cho SP nào</t>
  </si>
  <si>
    <t>1. Chọn một thuộc tính vừa tạo (chưa gán SP nào).
2. Nhấn "Delete" và kiểm tra lưới Admin.</t>
  </si>
  <si>
    <t>Trạng thái: Rảnh</t>
  </si>
  <si>
    <t>Xóa thành công, mất khỏi bảng lưới Admin.</t>
  </si>
  <si>
    <t>Nhập Tên, Giá = 100000, SKU duy nhất, nhấn Save</t>
  </si>
  <si>
    <t>1. Đăng nhập hệ thống
 2. Truy cập trang Admin quản lý sản phẩm
 3. Nhập Tên, Giá = 100000, SKU duy nhất, nhấn Save
 4. Thực hiện thao tác chính theo mô tả
 5. Nhấn nút xác nhận/lưu
 6. Kiểm tra kết quả: SP được lưu, chuyển về danh sách, thông báo thành công</t>
  </si>
  <si>
    <t>Tên: Laptop Acer
Giá: 100000
SKU: 1</t>
  </si>
  <si>
    <t>SP được lưu, chuyển về danh sách, thông báo thành công</t>
  </si>
  <si>
    <t>Nhập Tên, Giá = 0, nhấn Save</t>
  </si>
  <si>
    <t>1. Đăng nhập hệ thống
 2. Truy cập trang Admin quản lý sản phẩm
 3. Chuẩn bị dữ liệu edge case: Nhập Tên, Giá = 0, nhấn Save
 4. Thực hiện thao tác
 5. Ghi nhận hành vi hệ thống
 6. So sánh với kết quả mong đợi</t>
  </si>
  <si>
    <t>Tên: Laptop Acer
Giá: 0</t>
  </si>
  <si>
    <t>SP được lưu thành công với giá 0</t>
  </si>
  <si>
    <t>SP được lưu thành công với giá 1</t>
  </si>
  <si>
    <t>Thêm SP mới không thay đổi trạng thái Published</t>
  </si>
  <si>
    <t>1. Đăng nhập hệ thống
 2. Truy cập trang Admin quản lý sản phẩm
 3. Thêm SP mới không thay đổi trạng thái Published
 4. Thực hiện thao tác chính theo mô tả
 5. Nhấn nút xác nhận/lưu
 6. Kiểm tra kết quả: SP được lưu với Published = true mặc định</t>
  </si>
  <si>
    <t>Dữ liệu test: Thêm SP mới không thay đổi trạng thái Published</t>
  </si>
  <si>
    <t>SP được lưu với Published = true mặc định</t>
  </si>
  <si>
    <t>Để trống Tên, nhấn Save</t>
  </si>
  <si>
    <t>1. Đăng nhập hệ thống
 2. Truy cập trang Admin quản lý sản phẩm
 3. Thiết lập điều kiện: Để trống Tên, nhấn Save
 4. Thực hiện thao tác
 5. Kiểm tra thông báo lỗi hoặc hành vi hệ thống</t>
  </si>
  <si>
    <t>Tên: để trống</t>
  </si>
  <si>
    <t>Cảnh báo đỏ xuất hiện cạnh ô Tên, chặn lưu</t>
  </si>
  <si>
    <t>Nhập 'abc' vào trường Price, nhấn Save</t>
  </si>
  <si>
    <t>1. Đăng nhập hệ thống
 2. Truy cập trang Admin quản lý sản phẩm
 3. Thiết lập điều kiện: Nhập 'abc' vào trường Price, nhấn Save
 4. Thực hiện thao tác
 5. Kiểm tra thông báo lỗi hoặc hành vi hệ thống</t>
  </si>
  <si>
    <t>Dữ liệu test: Nhập 'abc' vào trường Price, nhấn Save</t>
  </si>
  <si>
    <t>Hệ thống hiển thị lỗi kiểu dữ liệu không hợp lệ, chặn lưu</t>
  </si>
  <si>
    <t>Hệ thống không cho nhập chữ cái, chặn lưu</t>
  </si>
  <si>
    <t>Nhập -500 vào trường Price, nhấn Save</t>
  </si>
  <si>
    <t>1. Đăng nhập hệ thống
 2. Truy cập trang Admin quản lý sản phẩm
 3. Thiết lập điều kiện: Nhập -500 vào trường Price, nhấn Save
 4. Thực hiện thao tác
 5. Kiểm tra thông báo lỗi hoặc hành vi hệ thống</t>
  </si>
  <si>
    <t>Dữ liệu test: Nhập -500 vào trường Price, nhấn Save</t>
  </si>
  <si>
    <t>Hệ thống hiển thị lỗi giá trị không hợp lệ, chặn lưu</t>
  </si>
  <si>
    <t>Hệ thống lưu với 1 giá ảo và mặc định là 0</t>
  </si>
  <si>
    <t>DEF_10</t>
  </si>
  <si>
    <t>Chọn file .jpg, nhập Alt text, nhấn 'Add product picture'</t>
  </si>
  <si>
    <t>1. Đăng nhập hệ thống
 2. Truy cập trang Admin quản lý sản phẩm
 3. Upload file .jpg
 4. Kiểm tra kết quả: Ảnh tải lên thành công, thumbnail hiển thị trong danh sách ảnh SP</t>
  </si>
  <si>
    <t>Sản phẩm: Apple MacBook Pro
 Số lượng: 1</t>
  </si>
  <si>
    <t>Ảnh tải lên thành công, thumbnail hiển thị trong danh sách ảnh SP</t>
  </si>
  <si>
    <t>Chọn file .png, nhấn upload</t>
  </si>
  <si>
    <t>1. Đăng nhập hệ thống
 2. Truy cập trang Admin quản lý sản phẩm
 3. Upload file .png
 4. Nhấn nút xác nhận/lưu
 5. Kiểm tra kết quả: Ảnh được chấp nhận và hiển thị thumbnail</t>
  </si>
  <si>
    <t>Dữ liệu test: Chọn file .png, nhấn upload</t>
  </si>
  <si>
    <t>Ảnh được chấp nhận và hiển thị thumbnail</t>
  </si>
  <si>
    <t>Upload 3 ảnh cho một sản phẩm</t>
  </si>
  <si>
    <t>1. Đăng nhập hệ thống
 2. Truy cập trang Admin quản lý sản phẩm
 3. Chuẩn bị dữ liệu edge case: Upload 3 ảnh cho một sản phẩm
 4. Thực hiện thao tác
 5. Ghi nhận hành vi hệ thống
 6. So sánh với kết quả mong đợi</t>
  </si>
  <si>
    <t>Cả 3 thumbnail hiển thị trong danh sách ảnh SP</t>
  </si>
  <si>
    <t>Chọn 'Track inventory', nhập Stock quantity = 10, lưu</t>
  </si>
  <si>
    <t>1. Đăng nhập hệ thống
 2. Truy cập trang Admin quản lý sản phẩm
 3. Chọn 'Track inventory', nhập Stock quantity = 10, lưu
 4. Thực hiện thao tác chính theo mô tả
 5. Nhấn nút xác nhận/lưu
 6. Kiểm tra kết quả: SP lưu với tồn kho = 10, tự động trừ khi có đơn</t>
  </si>
  <si>
    <t>SP lưu với tồn kho = 10, tự động trừ khi có đơn</t>
  </si>
  <si>
    <t>Chọn 'Track inventory', nhập 5.5, lưu</t>
  </si>
  <si>
    <t>1. Đăng nhập hệ thống
 2. Truy cập trang Admin quản lý sản phẩm
 3. Thiết lập điều kiện: Chọn 'Track inventory', nhập 5.5, lưu
 4. Thực hiện thao tác
 5. Kiểm tra thông báo lỗi hoặc hành vi hệ thống</t>
  </si>
  <si>
    <t>Dữ liệu test: Chọn 'Track inventory', nhập 5.5, lưu</t>
  </si>
  <si>
    <t>Hệ thống báo lỗi phải là số nguyên, chặn lưu</t>
  </si>
  <si>
    <t>Nhập SKU = 'LAPTOP-001' (đã có), nhấn Save</t>
  </si>
  <si>
    <t>1. Đăng nhập hệ thống
 2. Truy cập trang Admin quản lý sản phẩm
 3. Thiết lập điều kiện: Nhập SKU = 'LAPTOP-001' (đã có), nhấn Save
 4. Thực hiện thao tác
 5. Kiểm tra thông báo lỗi hoặc hành vi hệ thống</t>
  </si>
  <si>
    <t>Dữ liệu test: Nhập SKU = 'LAPTOP-001' (đã có), nhấn Save</t>
  </si>
  <si>
    <t>Hệ thống hiển thị lỗi 'SKU đã tồn tại', chặn lưu</t>
  </si>
  <si>
    <t>Nhập SKU hoàn toàn mới chưa có trong CSDL</t>
  </si>
  <si>
    <t>1. Đăng nhập hệ thống
 2. Truy cập trang Admin quản lý sản phẩm
 3. Nhập SKU hoàn toàn mới chưa có trong CSDL
 4. Thực hiện thao tác chính theo mô tả
 5. Nhấn nút xác nhận/lưu
 6. Kiểm tra kết quả: SP được lưu thành công</t>
  </si>
  <si>
    <t>Dữ liệu test: Nhập SKU hoàn toàn mới chưa có trong CSDL</t>
  </si>
  <si>
    <t>SP được lưu thành công</t>
  </si>
  <si>
    <t>Chọn file .pdf, cố tải lên</t>
  </si>
  <si>
    <t>1. Đăng nhập hệ thống
 2. Truy cập trang Admin quản lý sản phẩm
 3. Thiết lập điều kiện: Chọn file .pdf, cố tải lên
 4. Thực hiện thao tác
 5. Kiểm tra thông báo lỗi hoặc hành vi hệ thống</t>
  </si>
  <si>
    <t>Dữ liệu test: Chọn file .pdf, cố tải lên</t>
  </si>
  <si>
    <t>Hệ thống báo lỗi 'File định dạng không hợp lệ', chặn upload</t>
  </si>
  <si>
    <t>Chọn file .exe, cố tải lên</t>
  </si>
  <si>
    <t>1. Đăng nhập hệ thống
 2. Truy cập trang Admin quản lý sản phẩm
 3. Thiết lập điều kiện: Chọn file .exe, cố tải lên
 4. Thực hiện thao tác
 5. Kiểm tra thông báo lỗi hoặc hành vi hệ thống</t>
  </si>
  <si>
    <t>Dữ liệu test: Chọn file .exe, cố tải lên</t>
  </si>
  <si>
    <t>Hệ thống báo lỗi định dạng không hợp lệ, chặn upload</t>
  </si>
  <si>
    <t>Chọn file .gif, tải lên</t>
  </si>
  <si>
    <t>1. Đăng nhập hệ thống
 2. Truy cập trang Admin quản lý sản phẩm
 3. Chọn file .gif, tải lên
 4. Thực hiện thao tác chính theo mô tả
 5. Nhấn nút xác nhận/lưu
 6. Kiểm tra kết quả: Hệ thống chấp nhận và lưu ảnh GIF thành công</t>
  </si>
  <si>
    <t>Dữ liệu test: Chọn file .gif, tải lên</t>
  </si>
  <si>
    <t>Hệ thống chấp nhận và lưu ảnh GIF thành công</t>
  </si>
  <si>
    <t>Admin truy cập trang Bulk edit</t>
  </si>
  <si>
    <t>1. Đăng nhập hệ thống
 2. Admin truy cập trang Bulk edit
 3. Thực hiện thao tác chính theo mô tả
 4. Nhấn nút xác nhận/lưu
 5. Kiểm tra kết quả: Bảng hiển thị đủ: Tên SP, SKU, Price, Old Price, Manage inventory, Stock qty, Pu</t>
  </si>
  <si>
    <t>Dữ liệu test: Admin truy cập trang Bulk edit</t>
  </si>
  <si>
    <t>Bảng hiển thị đủ: Tên SP, SKU, Price, Old Price, Manage inventory, Stock qty, Published</t>
  </si>
  <si>
    <t>CSDL có hơn 50 SP</t>
  </si>
  <si>
    <t>1. Đăng nhập hệ thống 
 2. Admin truy cập trang Bulk edit
 3. Chuẩn bị dữ liệu edge case: CSDL có hơn 50 SP
 4. Thực hiện thao tác
 5. Ghi nhận hành vi hệ thống
 6. So sánh với kết quả mong đợi</t>
  </si>
  <si>
    <t>Dữ liệu test: CSDL có hơn 50 SP</t>
  </si>
  <si>
    <t>Phân trang đúng, không treo trình duyệt</t>
  </si>
  <si>
    <t>Thay Stock qty từ 5 lên 20, click Save</t>
  </si>
  <si>
    <t>1. Đăng nhập hệ thống 
 2. Admin truy cập trang Bulk edit
 3. Thay Stock qty từ 5 lên 20, click Save
 4. Thực hiện thao tác chính theo mô tả
 5. Nhấn nút xác nhận/lưu
 6. Kiểm tra kết quả: DB cập nhật đúng, dữ liệu mới hiển thị trên bảng, thông báo thành công</t>
  </si>
  <si>
    <t>Dữ liệu test: Thay Stock qty từ 5 lên 20, click Save</t>
  </si>
  <si>
    <t>DB cập nhật đúng, dữ liệu mới hiển thị trên bảng, thông báo thành công</t>
  </si>
  <si>
    <t>Thay đổi 2 trong 10 SP, click Save</t>
  </si>
  <si>
    <t>1. Đăng nhập hệ thống 
 2. Admin truy cập trang Bulk edit
 3. Chuẩn bị dữ liệu edge case: Thay đổi 2 trong 10 SP, click Save
 4. Thực hiện thao tác
 5. Ghi nhận hành vi hệ thống
 6. So sánh với kết quả mong đợi</t>
  </si>
  <si>
    <t>Dữ liệu test: Thay đổi 2 trong 10 SP, click Save</t>
  </si>
  <si>
    <t>Chỉ 2 request cập nhật được gửi lên server</t>
  </si>
  <si>
    <t>Tích Published cho SP đang ẩn, Save</t>
  </si>
  <si>
    <t>1. Đăng nhập hệ thống 
 2. Admin truy cập trang Bulk edit
 3. Tích Published cho SP đang ẩn, Save
 4. Thực hiện thao tác chính theo mô tả
 5. Nhấn nút xác nhận/lưu
 6. Kiểm tra kết quả: SP xuất hiện trên Frontend</t>
  </si>
  <si>
    <t>Dữ liệu test: Tích Published cho SP đang ẩn, Save</t>
  </si>
  <si>
    <t>SP xuất hiện trên Frontend</t>
  </si>
  <si>
    <t>Nhập 'abc' vào ô Price</t>
  </si>
  <si>
    <t>1. Đăng nhập hệ thống 
 2. Admin truy cập trang Bulk edit
 3. Thiết lập điều kiện: Nhập 'abc' vào ô Price
 4. Thực hiện thao tác
 5. Kiểm tra thông báo lỗi hoặc hành vi hệ thống</t>
  </si>
  <si>
    <t>Dữ liệu test: Nhập 'abc' vào ô Price</t>
  </si>
  <si>
    <t>Viền đỏ tại ô đó, nút Save bị chặn</t>
  </si>
  <si>
    <t>Lỗi hệ thống, chưa xử lý dữ liệu</t>
  </si>
  <si>
    <t>DEF_11</t>
  </si>
  <si>
    <t>Bị cash hệ thống</t>
  </si>
  <si>
    <t>Xóa hết nội dung ô Name của một SP</t>
  </si>
  <si>
    <t>1. Đăng nhập hệ thống 
 2. Admin truy cập trang Bulk edit
 3. Thiết lập điều kiện: Xóa hết nội dung ô Name của một SP
 4. Thực hiện thao tác
 5. Kiểm tra thông báo lỗi hoặc hành vi hệ thống</t>
  </si>
  <si>
    <t>Dữ liệu test: Xóa hết nội dung ô Name của một SP</t>
  </si>
  <si>
    <t>Viền đỏ tại ô Name, nút Save bị chặn</t>
  </si>
  <si>
    <t>Hệ thống không kiểm tra dữ liệu, vẫn thực hiện lưu</t>
  </si>
  <si>
    <t>DEF_12</t>
  </si>
  <si>
    <t>Nhập 5.5 vào ô Stock Quantity</t>
  </si>
  <si>
    <t>1. Đăng nhập hệ thống 
 2. Admin truy cập trang Bulk edit
 3. Thiết lập điều kiện: Nhập 5.5 vào ô Stock Quantity
 4. Thực hiện thao tác
 5. Kiểm tra thông báo lỗi hoặc hành vi hệ thống</t>
  </si>
  <si>
    <t>Stock Quantity: 5.5</t>
  </si>
  <si>
    <t>Hệ thống báo lỗi cần nhập số nguyên, chặn Save</t>
  </si>
  <si>
    <t>DEF_13</t>
  </si>
  <si>
    <t>Chọn danh mục 'Laptop', áp dụng</t>
  </si>
  <si>
    <t>1. Đăng nhập hệ thống 
 2. Admin truy cập trang Bulk edit
 3. Chọn danh mục 'Laptop', áp dụng
 4. Thực hiện thao tác chính theo mô tả
 5. Nhấn nút xác nhận/lưu
 6. Kiểm tra kết quả: Lưới chỉ hiển thị SP thuộc danh mục Laptop, hỗ trợ phân trang</t>
  </si>
  <si>
    <t>Dữ liệu test: Chọn danh mục 'Laptop', áp dụng</t>
  </si>
  <si>
    <t>Lưới chỉ hiển thị SP thuộc danh mục Laptop, hỗ trợ phân trang</t>
  </si>
  <si>
    <t>Chọn nhà sản xuất 'Apple', áp dụng</t>
  </si>
  <si>
    <t>1. Đăng nhập hệ thống (nếu cần)
 2. Truy cập trang Admin báo cáo
 3. Chọn nhà sản xuất 'Apple', áp dụng
 4. Thực hiện thao tác chính theo mô tả
 5. Nhấn nút xác nhận/lưu
 6. Kiểm tra kết quả: Lưới chỉ hiển thị SP của Apple, hỗ trợ phân trang</t>
  </si>
  <si>
    <t>Dữ liệu test: Chọn nhà sản xuất 'Apple', áp dụng</t>
  </si>
  <si>
    <t>Lưới chỉ hiển thị SP của Apple, hỗ trợ phân trang</t>
  </si>
  <si>
    <t>Nhập Start date và End date hợp lệ, click Search</t>
  </si>
  <si>
    <t>1. Đăng nhập hệ thống 
2. Admin truy cập trang “Sales” =&gt; “Orders”
3. Thiết lập điều kiện: Nhập Start date và End date, click Search
4. Thực hiện thao tác
5. Kiểm tra thông báo lỗi hoặc hành vi hệ thống</t>
  </si>
  <si>
    <t>Dữ liệu test: Nhập Start date: 28/04/2026 và End date: 03/05/2026, click Search</t>
  </si>
  <si>
    <t>Danh sách đơn hàng trong khoảng ngày đó được hiển thị</t>
  </si>
  <si>
    <t>Tiêu chí tìm kiếm không khớp đơn hàng nào</t>
  </si>
  <si>
    <t>1. Đăng nhập hệ thống 
2. Admin truy cập trang “Sales” =&gt; “Orders”
3. Thiết lập điều kiện: Tiêu chí tìm kiếm không khớp đơn hàng nào
4. Thực hiện thao tác
5. Kiểm tra thông báo lỗi hoặc hành vi hệ thống</t>
  </si>
  <si>
    <t>Dữ liệu test: Billing phone number: 0123456789</t>
  </si>
  <si>
    <t>Bảng trống kèm 'No orders found', không báo lỗi hệ thống</t>
  </si>
  <si>
    <t>Không nhập điều kiện lọc, click Search</t>
  </si>
  <si>
    <t>1. Đăng nhập hệ thống 
2. Admin truy cập trang “Sales” =&gt; “Orders”
3. Không nhập điều kiện lọc, click Search
4. Thực hiện thao tác
5. Kiểm tra kết quả: Tất cả đơn hàng trong hệ thống được hiển thị</t>
  </si>
  <si>
    <t>Dữ liệu test: Không nhập điều kiện lọc, click Search</t>
  </si>
  <si>
    <t>Tất cả đơn hàng trong hệ thống được hiển thị</t>
  </si>
  <si>
    <t>Click View tại một đơn hàng</t>
  </si>
  <si>
    <t>1. Đăng nhập hệ thống 
2. Admin truy cập trang “Sales” =&gt; “Orders”
3. Click View tại một đơn hàng
4. Thực hiện thao tác
5. Kiểm tra kết quả: Hiển thị đầy đủ thông tin khách hàng, SP, thanh toán, vận chuyển</t>
  </si>
  <si>
    <t>Dữ liệu test: Click View tại một đơn hàng</t>
  </si>
  <si>
    <t>Hiển thị đầy đủ thông tin khách hàng, SP, thanh toán, vận chuyển</t>
  </si>
  <si>
    <t>Tài khoản không có quyền Sales, cố vào chi tiết đơn</t>
  </si>
  <si>
    <t>1. Đăng nhập hệ thống 
2. Admin truy cập trang “Sales” =&gt; “Orders”
3. Thiết lập điều kiện: Tài khoản không có quyền Sales, cố vào chi tiết đơn
4. Thực hiện thao tác
5. Kiểm tra thông báo lỗi hoặc hành vi hệ thống</t>
  </si>
  <si>
    <t>Dữ liệu test: Tài khoản không có quyền Sales, cố vào chi tiết đơn</t>
  </si>
  <si>
    <t>Hệ thống chặn, hiển thị lỗi quyền hạn</t>
  </si>
  <si>
    <t>Hệ thống chặn, hiển thị lỗi quyền hạn "You do not have permission to perform the selected operation."</t>
  </si>
  <si>
    <t>Đổi Order status, nhấn Save</t>
  </si>
  <si>
    <t>1. Đăng nhập hệ thống 
2. Admin truy cập trang “Sales” =&gt; “Orders”
3. Đổi Order status, nhấn Save
4. Thực hiện thao tác
5. Kiểm tra kết quả: Trạng thái mới lưu vào DB, lịch sử ghi nhận, UI phản hồi ngay</t>
  </si>
  <si>
    <t>Dữ liệu test: Đổi Order status, nhấn Save</t>
  </si>
  <si>
    <t>Trạng thái mới lưu vào DB, lịch sử ghi nhận, UI phản hồi ngay</t>
  </si>
  <si>
    <t>Đổi Payment status sang 'Paid'</t>
  </si>
  <si>
    <t>1. Đăng nhập hệ thống 
2. Admin truy cập trang “Sales” =&gt; “Orders”
3. Đổi Payment status sang 'Paid', nhấn Save
4. Thực hiện thao tác
5. Kiểm tra kết quả: Trạng thái thanh toán cập nhật và lịch sử ghi nhận</t>
  </si>
  <si>
    <t>Dữ liệu test: Đổi Payment status sang 'Paid'</t>
  </si>
  <si>
    <t>Trạng thái thanh toán cập nhật và lịch sử ghi nhận</t>
  </si>
  <si>
    <t>Thay đổi trạng thái 2 lần</t>
  </si>
  <si>
    <t>1. Đăng nhập hệ thống 
2. Admin truy cập trang “Sales” =&gt; “Orders”
3.Thay đổi trạng thái 2 lần
4. Thực hiện thao tác
5. Ghi nhận hành vi hệ thống
6. So sánh với kết quả mong đợi</t>
  </si>
  <si>
    <t>Dữ liệu test: Thay đổi trạng thái 2 lần</t>
  </si>
  <si>
    <t>Danh sách lịch sử hiển thị cả 2 lần với timestamp</t>
  </si>
  <si>
    <t>Chọn tệp Excel đúng định dạng, đầy đủ thông tin bắt buộc, click "Import from Excel"</t>
  </si>
  <si>
    <t>1. Đăng nhập hệ thống 
2. Admin truy cập trang “Sales” =&gt; “Orders”
3. Chọn tệp Excel đúng định dạng, đầy đủ thông tin bắt buộc, click "Import from Excel"
4. Thực hiện thao tác chính theo mô tả
5. Nhấn nút xác nhận/lưu
6. Kiểm tra kết quả: Hệ thống lưu đơn hàng mới vào CSDL, cập nhật danh sách và báo thành công</t>
  </si>
  <si>
    <t>Dữ liệu test: Chọn tệp Excel đúng định dạng, đầy đủ thông tin bắt buộc, click "Import from Excel"</t>
  </si>
  <si>
    <t>Hệ thống lưu đơn hàng mới vào CSDL, cập nhật danh sách và báo thành công</t>
  </si>
  <si>
    <t>Hệ thống hiển thị thông báo lỗi: 'Cannot add or update a child row: a foreign key constraint fails'. Đơn hàng không được lưu vào cơ sở dữ liệu và không xuất hiện trong danh sách quản trị đơn hàng.</t>
  </si>
  <si>
    <t>DEF_14</t>
  </si>
  <si>
    <t>Chọn tệp Excel không có dữ liệu hoặc sai kiểu dữ liệu ở các trường bắt buộc</t>
  </si>
  <si>
    <t>1. Đăng nhập hệ thống 
2. Admin truy cập trang “Sales” =&gt; “Orders”
3. Thiết lập điều kiện: Chọn tệp Excel không có dữ liệu hoặc sai kiểu dữ liệu ở các trường bắt buộc
4. Thực hiện thao tác
5. Kiểm tra thông báo lỗi hoặc hành vi hệ thống</t>
  </si>
  <si>
    <t>Dữ liệu test: Chọn tệp Excel không có dữ liệu hoặc sai kiểu dữ liệu ở các trường bắt buộc</t>
  </si>
  <si>
    <t>Hệ thống báo lỗi chi tiết các trường sai và chặn toàn bộ thao tác lưu</t>
  </si>
  <si>
    <t>Chọn tệp không phải đuôi .xls hoặc .xlsx</t>
  </si>
  <si>
    <t>1. Đăng nhập hệ thống 
2. Admin truy cập trang “Sales” =&gt; “Orders”
3. Thiết lập điều kiện: Chọn tệp không phải đuôi .xls hoặc .xlsx
4. Thực hiện thao tác
5. Kiểm tra thông báo lỗi hoặc hành vi hệ thống</t>
  </si>
  <si>
    <t>Dữ liệu test: Chọn tệp không phải đuôi .xls hoặc .xlsx</t>
  </si>
  <si>
    <t>Hệ thống hiển thị thông báo lỗi định dạng tệp tin không hợp lệ</t>
  </si>
  <si>
    <t>Đơn trạng thái 'Pending', click Xóa bỏ, xác nhận</t>
  </si>
  <si>
    <t>1. Đăng nhập hệ thống 
2. Admin truy cập trang “Sales” =&gt; “Orders”
3. Đơn trạng thái 'Pending', click Xóa bỏ, xác nhận
4. Thực hiện thao tác 
5. Kiểm tra kết quả: Đơn bị xóa, tồn kho SP được cộng lại, thông báo thành công</t>
  </si>
  <si>
    <t>Dữ liệu test: Đơn trạng thái 'Pending', click Xóa bỏ, xác nhận</t>
  </si>
  <si>
    <t>Đơn bị xóa, tồn kho SP được cộng lại, thông báo thành công</t>
  </si>
  <si>
    <t>Đơn có 2 SP A và 3 SP B, tồn kho A=5 B=2, hủy đơn</t>
  </si>
  <si>
    <t>1. Đăng nhập hệ thống 
2. Admin truy cập trang “Sales” =&gt; “Orders”
3. Chuẩn bị dữ liệu: Đơn có 2 SP A và 3 SP B, tồn kho A=5 B=2, hủy đơn
4. Thực hiện thao tác
5. Ghi nhận hành vi hệ thống
6. So sánh với kết quả mong đợi</t>
  </si>
  <si>
    <t>Dữ liệu test: Đơn có 2 SP A và 3 SP B, tồn kho A=5 B=2, hủy đơn</t>
  </si>
  <si>
    <t>Sau hủy: tồn kho A=7, B=5</t>
  </si>
  <si>
    <t>Hủy một đơn hàng đã được lưu</t>
  </si>
  <si>
    <t>1. Đăng nhập hệ thống 
2. Admin truy cập trang “Sales” =&gt; “Orders”
3. Chuẩn bị dữ liệu: Hủy một đơn hàng đã được lưu
4. Thực hiện thao tác
5. Ghi nhận hành vi hệ thống
6. So sánh với kết quả mong đợi</t>
  </si>
  <si>
    <t>Dữ liệu test: Hủy một đơn hàng đã được lưu</t>
  </si>
  <si>
    <t>Giỏ hàng hiện tại không bị xóa hay thay đổi</t>
  </si>
  <si>
    <t>Đơn trạng thái 'Completed', click Xóa bỏ</t>
  </si>
  <si>
    <t>1. Đăng nhập hệ thống 
2. Admin truy cập trang “Sales” =&gt; “Orders”
3. Thiết lập điều kiện: Đơn trạng thái 'Completed', click Xóa bỏ
4. Thực hiện thao tác
5. Kiểm tra thông báo lỗi hoặc hành vi hệ thống</t>
  </si>
  <si>
    <t>Dữ liệu test: Đơn trạng thái 'Completed', click Xóa bỏ</t>
  </si>
  <si>
    <t>Thông báo đơn không được phép hủy, không thực hiện xóa</t>
  </si>
  <si>
    <t>Hệ thống thực hiện xóa đơn hàng thành công mà không có bất kỳ thông báo chặn nào</t>
  </si>
  <si>
    <t>DEF_15</t>
  </si>
  <si>
    <t>Đơn Completed không có nút Delete hoặc bị khóa</t>
  </si>
  <si>
    <t>Xem chi tiết đơn đã Completed</t>
  </si>
  <si>
    <t>1. Đăng nhập hệ thống 
2. Admin truy cập trang “Sales” =&gt; “Orders”
3. Chuẩn bị dữ liệu: Xem chi tiết đơn đã Completed
4. Thực hiện thao tác
5. Ghi nhận hành vi hệ thống
6. So sánh với kết quả mong đợi</t>
  </si>
  <si>
    <t>Dữ liệu test: Xem chi tiết đơn đã Completed</t>
  </si>
  <si>
    <t>Nút Delete bỏ bị ẩn hoặc disabled trên giao diện</t>
  </si>
  <si>
    <t>Nút Delete vẫn hiển thị và cho phép thực hiện thao tác xóa đối với đơn hàng ở trạng thái Completed.</t>
  </si>
  <si>
    <t>DEF_16</t>
  </si>
  <si>
    <t>Nhập tên chương trình tồn tại, click Search</t>
  </si>
  <si>
    <t>1. Đăng nhập hệ thống 
2. Admin truy cập trang Promotions-&gt; Discounts
 3. Nhập tên chương trình tồn tại, click Search
 4. Thực hiện thao tác
 5. Kiểm tra kết quả: Danh sách hiển thị các chương trình khớp</t>
  </si>
  <si>
    <t>Dữ liệu test: Discount name: sample</t>
  </si>
  <si>
    <t>Danh sách hiển thị các chương trình khớp</t>
  </si>
  <si>
    <t>Nhập tên không tồn tại, click Search</t>
  </si>
  <si>
    <t>1. Đăng nhập hệ thống 
2. Admin truy cập trang Promotions-&gt; Discounts
3. Thiết lập điều kiện: Nhập tên không tồn tại, click Search
4. Thực hiện thao tác
5. Kiểm tra thông báo lỗi hoặc hành vi hệ thống</t>
  </si>
  <si>
    <t>Dữ liệu test: Discount name: sampleeee</t>
  </si>
  <si>
    <t>Bảng trống kèm 'No records found', không có lỗi hệ thống</t>
  </si>
  <si>
    <t>Nhập đủ Tên, loại, số tiền hợp lệ, nhấn Save</t>
  </si>
  <si>
    <t>1. Đăng nhập hệ thống 
2. Admin truy cập trang Promotions-&gt; Discounts, click Add new
3. Nhập đủ Tên, loại, số tiền hợp lệ, nhấn Save
4. Thực hiện thao tác
5. Kiểm tra kết quả: Chương trình tạo thành công, chuyển về danh sách</t>
  </si>
  <si>
    <t>Dữ liệu test: Discount name: '15% order total' discount, Start date: 28/04/2026, End date: 03/05/2026</t>
  </si>
  <si>
    <t>Chương trình tạo thành công, chuyển về danh sách</t>
  </si>
  <si>
    <t>Nhập số tiền = 50000, lưu</t>
  </si>
  <si>
    <t>1. Đăng nhập hệ thống 
2. Admin truy cập trang Promotions-&gt; Discounts, click Add new
3. Nhập số tiền = 50000, Save
4. Thực hiện thao tác
5. Kiểm tra kết quả: Chương trình tạo thành công với số tiền đúng</t>
  </si>
  <si>
    <t>Dữ liệu test: Nhập số tiền = 50000, Save</t>
  </si>
  <si>
    <t>Chương trình tạo thành công với số tiền đúng</t>
  </si>
  <si>
    <t>Ngày bắt đầu 01/05/2026, kết thúc 31/05/2026, lưu</t>
  </si>
  <si>
    <t>1. Đăng nhập hệ thống 
2. Admin truy cập trang Promotions-&gt; Discounts, click Add new
3. Ngày bắt đầu 01/05/2026, kết thúc 31/05/2026, click Save
4. Thực hiện thao tác
5. Kiểm tra kết quả: Chương trình tạo thành công với thời gian hợp lệ</t>
  </si>
  <si>
    <t>Dữ liệu test: Ngày bắt đầu 01/05/2026, kết thúc 31/05/2026, lưu</t>
  </si>
  <si>
    <t>Chương trình tạo thành công với thời gian hợp lệ</t>
  </si>
  <si>
    <t>Để trống name, nhấn Save</t>
  </si>
  <si>
    <t>1. Đăng nhập hệ thống 
2. Admin truy cập trang Promotions-&gt; Discounts, click Add new
3. Thiết lập điều kiện: Để trống name, click Save
4. Thực hiện thao tác
5. Kiểm tra thông báo lỗi hoặc hành vi hệ thống</t>
  </si>
  <si>
    <t>Dữ liệu test: Để trống name, click Save</t>
  </si>
  <si>
    <t>Lỗi chữ đỏ tại trường name, chặn lưu</t>
  </si>
  <si>
    <t>Để trống các trường bắt buộc hoặc điền sai logic</t>
  </si>
  <si>
    <t>1. Đăng nhập hệ thống 
2. Admin truy cập trang Promotions-&gt; Discounts, click Add new
3. Thiết lập điều kiện: Để trống các trường bắt buộc hoặc điền sai logic
4. Thực hiện thao tác
5. Kiểm tra thông báo lỗi hoặc hành vi hệ thống</t>
  </si>
  <si>
    <t>Dữ liệu test: Để trống các trường bắt buộc hoặc điền sai logic</t>
  </si>
  <si>
    <t>Lỗi chữ đỏ tại các trường bỏ trống, chặn lưu</t>
  </si>
  <si>
    <t>Thay đổi mức giảm từ 10% lên 20%, Save</t>
  </si>
  <si>
    <t>1. Đăng nhập hệ thống 
2. Admin truy cập trang Promotions-&gt; Discounts, click Edit
3. Thay đổi mức giảm từ 10% lên 20%, Save
4. Thực hiện thao tác
5. Kiểm tra kết quả: Bản ghi cập nhật, thông báo thành công</t>
  </si>
  <si>
    <t>Dữ liệu test: Thay đổi mức giảm từ 10% lên 20%, lưu</t>
  </si>
  <si>
    <t>Bản ghi cập nhật, thông báo thành công</t>
  </si>
  <si>
    <t>Click Edit tại một chương trình</t>
  </si>
  <si>
    <t>1. Đăng nhập hệ thống 
2. Admin truy cập trang Promotions-&gt; Discounts
3. Click Edit tại một chương trình
4. Thực hiện thao tác
5. Kiểm tra kết quả: Form hiển thị đúng tất cả thông tin hiện tại</t>
  </si>
  <si>
    <t>Dữ liệu test: Click Edit tại một chương trình</t>
  </si>
  <si>
    <t>Form hiển thị đúng tất cả thông tin hiện tại</t>
  </si>
  <si>
    <t>Nhập 'abc' vào ô Discount amount
, Save</t>
  </si>
  <si>
    <t>1. Đăng nhập hệ thống 
2. Admin truy cập trang Promotions-&gt; Discounts
3. Click Edit tại một chương trình
4. Thiết lập điều kiện: Nhập 'abc' vào Discount amount
, Save
5. Thực hiện thao tác
6. Kiểm tra thông báo lỗi hoặc hành vi hệ thống</t>
  </si>
  <si>
    <t>Dữ liệu test: Nhập 'abc' vào Discount amount, Save</t>
  </si>
  <si>
    <t>Hệ thống hiển thị lỗi dữ liệu không hợp lệ, chặn lưu</t>
  </si>
  <si>
    <t xml:space="preserve">Hệ thống chặn không cho điền chữ vào ô Discount amount
</t>
  </si>
  <si>
    <t>Nhập -100 vào Discount amount, click Save</t>
  </si>
  <si>
    <t>1. Đăng nhập hệ thống 
2. Admin truy cập trang Promotions-&gt; Discounts
3. Click Edit tại một chương trình
4. Thiết lập điều kiện: Nhập -100 vào Discount amount, click Save
5. Thực hiện thao tác
6. Kiểm tra thông báo lỗi hoặc hành vi hệ thống</t>
  </si>
  <si>
    <t>Dữ liệu test: Nhập -100 vào Discount amount, click Save</t>
  </si>
  <si>
    <t>Hệ thống chấp nhận giá trị (-100), cập nhật thành công vào DB.</t>
  </si>
  <si>
    <t>DEF_17</t>
  </si>
  <si>
    <t>Click Delete, popup hiện, xác nhận</t>
  </si>
  <si>
    <t>1. Đăng nhập hệ thống 
2. Admin truy cập trang Promotions-&gt; Discounts
3. Click Edit tại một chương trình
4. Click Delete, popup hiện, xác nhận
5. Thực hiện thao tác
6. Kiểm tra kết quả: Bản ghi bị xóa, danh sách cập nhật, thông báo thành công</t>
  </si>
  <si>
    <t>Dữ liệu test: Click Delete, popup hiện, xác nhận</t>
  </si>
  <si>
    <t>Bản ghi bị xóa, danh sách cập nhật, thông báo thành công</t>
  </si>
  <si>
    <t>Click Delete, popup hiện, click "No, cancel"</t>
  </si>
  <si>
    <t>1. Đăng nhập hệ thống 
2. Admin truy cập trang Promotions-&gt; Discounts
3. Click Edit tại một chương trình
3. Thiết lập điều kiện: Click Delete, popup hiện, click "No, cancel"
4. Thực hiện thao tác
5. Kiểm tra thông báo lỗi hoặc hành vi hệ thống</t>
  </si>
  <si>
    <t>Chương trình vẫn còn trong danh sách</t>
  </si>
  <si>
    <t>Click Delete</t>
  </si>
  <si>
    <t>1. Đăng nhập hệ thống 
2. Admin truy cập trang Promotions-&gt; Discounts
3. Click Edit tại một chương trình
4. Click Delete
5. Thực hiện thao tác
6. Kiểm tra kết quả: Popup xác nhận hiện ra, không xóa trước khi xác nhận</t>
  </si>
  <si>
    <t>Dữ liệu test: Click Delete</t>
  </si>
  <si>
    <t>Popup xác nhận hiện ra, không xóa trước khi xác nhận</t>
  </si>
  <si>
    <t>Cố xóa mã đã dùng trong đơn 'Completed'</t>
  </si>
  <si>
    <t>1. Đăng nhập hệ thống 
2. Admin truy cập trang Promotions-&gt; Discounts
3. Click Edit tại một chương trình
4. Thiết lập điều kiện: Cố xóa mã đã dùng trong đơn 'Completed'
5. Thực hiện thao tác
6. Kiểm tra thông báo lỗi hoặc hành vi hệ thống</t>
  </si>
  <si>
    <t>Dữ liệu test: Cố xóa mã đã dùng trong đơn 'Completed'</t>
  </si>
  <si>
    <t>Hệ thống cảnh báo lỗi, không cho xóa, bảo vệ dữ liệu kế toán</t>
  </si>
  <si>
    <t>Hệ thống cho phép xóa mã giảm giá thành công mặc dù mã này đã được sử dụng trong các đơn hàng ở trạng thái "Completed"</t>
  </si>
  <si>
    <t>DEF_18</t>
  </si>
  <si>
    <t>Xóa mã có 0 lần sử dụng</t>
  </si>
  <si>
    <t>1. Đăng nhập hệ thống 
2. Admin truy cập trang Promotions-&gt; Discounts
3. Click Edit tại một chương trình
 3. Xóa mã có 0 lần sử dụng
 4. Thực hiện thao tác
 6. Kiểm tra kết quả: Hệ thống cho phép xóa thành công sau xác nhận</t>
  </si>
  <si>
    <t>Dữ liệu test: Xóa mã có 0 lần sử dụng</t>
  </si>
  <si>
    <t>Hệ thống cho phép xóa thành công sau xác nhận</t>
  </si>
  <si>
    <t>Tổng số test case</t>
  </si>
  <si>
    <t>Blocked</t>
  </si>
  <si>
    <t>Untested</t>
  </si>
  <si>
    <t>TEST DATA</t>
  </si>
  <si>
    <t>TD_ID</t>
  </si>
  <si>
    <t>Mô tả Test Data</t>
  </si>
  <si>
    <t>Input Data</t>
  </si>
  <si>
    <t>Expected Value</t>
  </si>
  <si>
    <t>Loại dữ liệu</t>
  </si>
  <si>
    <t>TD_0001</t>
  </si>
  <si>
    <t>Valid</t>
  </si>
  <si>
    <t>Active</t>
  </si>
  <si>
    <t>Valid: Hợp lệ
Invalid: Không hợp lệ
Boundary:Dữ liệu biên
Edge Case: tình huống cực đoan</t>
  </si>
  <si>
    <t>TD_0002</t>
  </si>
  <si>
    <t>Invalid / Boundary</t>
  </si>
  <si>
    <t>TD_0003</t>
  </si>
  <si>
    <t>Edge Case</t>
  </si>
  <si>
    <t>TD_0004</t>
  </si>
  <si>
    <t>TD_0005</t>
  </si>
  <si>
    <t>TD_0006</t>
  </si>
  <si>
    <t>TD_0007</t>
  </si>
  <si>
    <t>Thông báo lỗi 'Thông tin đăng nhập không chính xác' hiển thị ở đầu form, không phân biệt lỗi Email h</t>
  </si>
  <si>
    <t>TD_0008</t>
  </si>
  <si>
    <t>TD_0009</t>
  </si>
  <si>
    <t>TD_0010</t>
  </si>
  <si>
    <t>TD_0011</t>
  </si>
  <si>
    <t>TD_0012</t>
  </si>
  <si>
    <t>TD_0013</t>
  </si>
  <si>
    <t>TD_0014</t>
  </si>
  <si>
    <t>TD_0015</t>
  </si>
  <si>
    <t>TD_0016</t>
  </si>
  <si>
    <t>TD_0017</t>
  </si>
  <si>
    <t>TD_0018</t>
  </si>
  <si>
    <t>TD_0019</t>
  </si>
  <si>
    <t>TD_0020</t>
  </si>
  <si>
    <t>TD_0021</t>
  </si>
  <si>
    <t>TD_0022</t>
  </si>
  <si>
    <t>TD_0023</t>
  </si>
  <si>
    <t>TD_0024</t>
  </si>
  <si>
    <t>TD_0025</t>
  </si>
  <si>
    <t>TD_0026</t>
  </si>
  <si>
    <t>TD_0027</t>
  </si>
  <si>
    <t>TD_0028</t>
  </si>
  <si>
    <t>TD_0029</t>
  </si>
  <si>
    <t>TD_0030</t>
  </si>
  <si>
    <t>Hệ thống trả về đúng sản phẩm khớp, không phân biệt hoa/thường</t>
  </si>
  <si>
    <t>TD_0031</t>
  </si>
  <si>
    <t>Hệ thống trả về sản phẩm có SKU tương ứng</t>
  </si>
  <si>
    <t>TD_0032</t>
  </si>
  <si>
    <t>Hệ thống trả về danh sách rỗng hoặc thông báo không có kết quả</t>
  </si>
  <si>
    <t>TD_0033</t>
  </si>
  <si>
    <t>Hệ thống trả về sản phẩm có từ khóa trong mô tả chi tiết</t>
  </si>
  <si>
    <t>TD_0034</t>
  </si>
  <si>
    <t>Hệ thống trả về sản phẩm thuộc cả danh mục con</t>
  </si>
  <si>
    <t>TD_0035</t>
  </si>
  <si>
    <t>Hệ thống chỉ tìm trong danh mục cha, không bao gồm danh mục con</t>
  </si>
  <si>
    <t>TD_0036</t>
  </si>
  <si>
    <t>Dropdown gợi ý xuất hiện sau khoảng 300ms với tối đa 10 kết quả</t>
  </si>
  <si>
    <t>TD_0037</t>
  </si>
  <si>
    <t>Dropdown chưa hiện ra, chỉ hiện sau khi dừng gõ đủ thời gian delay</t>
  </si>
  <si>
    <t>TD_0038</t>
  </si>
  <si>
    <t>Dropdown chỉ hiển thị tối đa 10 gợi ý, không hiển thị toàn bộ</t>
  </si>
  <si>
    <t>TD_0039</t>
  </si>
  <si>
    <t>Mỗi gợi ý trong dropdown hiển thị ảnh thumbnail kèm tên sản phẩm</t>
  </si>
  <si>
    <t>TD_0040</t>
  </si>
  <si>
    <t>Dropdown hiển thị chỉ có tên sản phẩm, không có ảnh thumbnail</t>
  </si>
  <si>
    <t>TD_0041</t>
  </si>
  <si>
    <t>Trang kết quả hiển thị thông báo 'No products were found that matched your criteria.'</t>
  </si>
  <si>
    <t>TD_0042</t>
  </si>
  <si>
    <t>Hệ thống không hiển thị thông báo 'No products found', hiển thị danh sách kết quả</t>
  </si>
  <si>
    <t>TD_0043</t>
  </si>
  <si>
    <t>Mỗi sản phẩm hiển thị đầy đủ: Ảnh, Tên, Giá bán, Đánh giá, nút Mua và So sánh</t>
  </si>
  <si>
    <t>TD_0044</t>
  </si>
  <si>
    <t>Sản phẩm hiển thị theo thứ tự Display order đã cấu hình trong Admin</t>
  </si>
  <si>
    <t>TD_0045</t>
  </si>
  <si>
    <t>Hệ thống hiển thị lưới rỗng hoặc thông báo không có sản phẩm</t>
  </si>
  <si>
    <t>TD_0046</t>
  </si>
  <si>
    <t>Giao diện chuyển sang hiển thị dạng danh sách</t>
  </si>
  <si>
    <t>TD_0047</t>
  </si>
  <si>
    <t>Giao diện chuyển sang hiển thị dạng lưới</t>
  </si>
  <si>
    <t>TD_0048</t>
  </si>
  <si>
    <t>Kiểu hiển thị Danh sách vẫn được duy trì</t>
  </si>
  <si>
    <t>TD_0049</t>
  </si>
  <si>
    <t>Sản phẩm được sắp xếp theo bảng chữ cái từ A đến Z ngay lập tức</t>
  </si>
  <si>
    <t>TD_0050</t>
  </si>
  <si>
    <t>Sản phẩm được sắp xếp theo giá tăng dần ngay lập tức</t>
  </si>
  <si>
    <t>TD_0051</t>
  </si>
  <si>
    <t>Sản phẩm được sắp xếp theo ngày thêm vào, mới nhất lên đầu</t>
  </si>
  <si>
    <t>TD_0052</t>
  </si>
  <si>
    <t>Trang tải lại và hiển thị đúng 6 sản phẩm mỗi trang</t>
  </si>
  <si>
    <t>TD_0053</t>
  </si>
  <si>
    <t>Tổng số trang chuyển từ 4 xuống 2 trang</t>
  </si>
  <si>
    <t>TD_0054</t>
  </si>
  <si>
    <t>Danh sách danh mục con kèm ảnh đại diện xuất hiện phía trên lưới SP</t>
  </si>
  <si>
    <t>TD_0055</t>
  </si>
  <si>
    <t>Không hiển thị danh mục con nào phía trên lưới sản phẩm</t>
  </si>
  <si>
    <t>TD_0056</t>
  </si>
  <si>
    <t>Không hiển thị khối danh mục con, chỉ hiển thị lưới sản phẩm</t>
  </si>
  <si>
    <t>TD_0057</t>
  </si>
  <si>
    <t>Chỉ hiển thị sản phẩm có giá trong khoảng 500k-2tr</t>
  </si>
  <si>
    <t>TD_0058</t>
  </si>
  <si>
    <t>Slider hiển thị min bằng giá thấp nhất và max bằng giá cao nhất trong danh mục</t>
  </si>
  <si>
    <t>TD_0059</t>
  </si>
  <si>
    <t>Hệ thống không trả về kết quả hoặc hoán đổi min/max hợp lệ</t>
  </si>
  <si>
    <t>TD_0060</t>
  </si>
  <si>
    <t>Chỉ các thuộc tính được đánh dấu 'Allow filtering' mới hiển thị ở sidebar</t>
  </si>
  <si>
    <t>TD_0061</t>
  </si>
  <si>
    <t>Chỉ hiển thị sản phẩm có thuộc tính màu Đỏ</t>
  </si>
  <si>
    <t>TD_0062</t>
  </si>
  <si>
    <t>Thuộc tính đó không xuất hiện trong sidebar bộ lọc Frontend</t>
  </si>
  <si>
    <t>TD_0063</t>
  </si>
  <si>
    <t>Chỉ hiển thị sản phẩm thuộc thương hiệu Apple trong danh mục</t>
  </si>
  <si>
    <t>TD_0064</t>
  </si>
  <si>
    <t>Bộ lọc thương hiệu chỉ hiển thị Apple và Samsung</t>
  </si>
  <si>
    <t>TD_0065</t>
  </si>
  <si>
    <t>Chỉ hiển thị SP Apple, màu Đỏ, giá dưới 2tr</t>
  </si>
  <si>
    <t>TD_0066</t>
  </si>
  <si>
    <t>Hiển thị cả SP màu Đỏ lẫn màu Xanh</t>
  </si>
  <si>
    <t>TD_0067</t>
  </si>
  <si>
    <t>Lưới SP trở về hiển thị toàn bộ sản phẩm của danh mục</t>
  </si>
  <si>
    <t>TD_0068</t>
  </si>
  <si>
    <t>Chỉ phần Product Grid cập nhật, trang không reload hoàn toàn</t>
  </si>
  <si>
    <t>TD_0069</t>
  </si>
  <si>
    <t>Trang tải lại toàn bộ (full page reload)</t>
  </si>
  <si>
    <t>TD_0070</t>
  </si>
  <si>
    <t>TD_0071</t>
  </si>
  <si>
    <t>TD_0072</t>
  </si>
  <si>
    <t>TD_0073</t>
  </si>
  <si>
    <t>TD_0074</t>
  </si>
  <si>
    <t>TD_0075</t>
  </si>
  <si>
    <t>TD_0076</t>
  </si>
  <si>
    <t>TD_0077</t>
  </si>
  <si>
    <t>Giá hiển thị tự động tăng thêm 200k so với giá gốc</t>
  </si>
  <si>
    <t>TD_0078</t>
  </si>
  <si>
    <t>TD_0079</t>
  </si>
  <si>
    <t>TD_0080</t>
  </si>
  <si>
    <t>TD_0081</t>
  </si>
  <si>
    <t>TD_0082</t>
  </si>
  <si>
    <t>TD_0083</t>
  </si>
  <si>
    <t>TD_0084</t>
  </si>
  <si>
    <t>TD_0085</t>
  </si>
  <si>
    <t>TD_0086</t>
  </si>
  <si>
    <t>TD_0087</t>
  </si>
  <si>
    <t>TD_0088</t>
  </si>
  <si>
    <t>TD_0089</t>
  </si>
  <si>
    <t>TD_0090</t>
  </si>
  <si>
    <t>TD_0091</t>
  </si>
  <si>
    <t>TD_0092</t>
  </si>
  <si>
    <t>TD_0093</t>
  </si>
  <si>
    <t>TD_0094</t>
  </si>
  <si>
    <t>TD_0095</t>
  </si>
  <si>
    <t>TD_0096</t>
  </si>
  <si>
    <t>TD_0097</t>
  </si>
  <si>
    <t>TD_0098</t>
  </si>
  <si>
    <t>TD_0099</t>
  </si>
  <si>
    <t>TD_0100</t>
  </si>
  <si>
    <t>TD_0101</t>
  </si>
  <si>
    <t>TD_0102</t>
  </si>
  <si>
    <t>TD_0103</t>
  </si>
  <si>
    <t>TD_0104</t>
  </si>
  <si>
    <t>TD_0105</t>
  </si>
  <si>
    <t>TD_0106</t>
  </si>
  <si>
    <t>TD_0107</t>
  </si>
  <si>
    <t>TD_0108</t>
  </si>
  <si>
    <t>TD_0109</t>
  </si>
  <si>
    <t>TD_0110</t>
  </si>
  <si>
    <t>Giỏ hàng hiển thị SP A với tổng số lượng 3</t>
  </si>
  <si>
    <t>TD_0111</t>
  </si>
  <si>
    <t>Nút "add to cart" bị disabled hoặc hệ thống chặn không cho thêm</t>
  </si>
  <si>
    <t>TD_0112</t>
  </si>
  <si>
    <t>TD_0113</t>
  </si>
  <si>
    <t>TD_0114</t>
  </si>
  <si>
    <t>TD_0115</t>
  </si>
  <si>
    <t>Hệ thống báo lỗi và từ chối thêm vào giỏ</t>
  </si>
  <si>
    <t>TD_0116</t>
  </si>
  <si>
    <t>Hệ thống hiển thị lỗi số lượng không hợp lệ, chặn thêm vào giỏ</t>
  </si>
  <si>
    <t>TD_0117</t>
  </si>
  <si>
    <t>TD_0118</t>
  </si>
  <si>
    <t>Tổng tiền hiển thị 500k</t>
  </si>
  <si>
    <t>TD_0119</t>
  </si>
  <si>
    <t>TD_0120</t>
  </si>
  <si>
    <t>TD_0121</t>
  </si>
  <si>
    <t>Hệ thống cảnh báo hoặc xóa sản phẩm khỏi giỏ hàng</t>
  </si>
  <si>
    <t>TD_0122</t>
  </si>
  <si>
    <t>TD_0123</t>
  </si>
  <si>
    <t>TD_0124</t>
  </si>
  <si>
    <t>TD_0125</t>
  </si>
  <si>
    <t>Tổng tiền còn 100k</t>
  </si>
  <si>
    <t>TD_0126</t>
  </si>
  <si>
    <t>TD_0127</t>
  </si>
  <si>
    <t>Thông báo "Your Shopping Cart is empty!", các nút Thanh toán bị ẩn</t>
  </si>
  <si>
    <t>TD_0128</t>
  </si>
  <si>
    <t>TD_0129</t>
  </si>
  <si>
    <t>Kiểm tra tích chọn checkbox "I agree with the terms of service" trước khi Checko</t>
  </si>
  <si>
    <t>TD_0130</t>
  </si>
  <si>
    <t>Kích hoạt Checkout thành công sau khi tích chọn "I agree with the terms of servi</t>
  </si>
  <si>
    <t>TD_0131</t>
  </si>
  <si>
    <t>TD_0132</t>
  </si>
  <si>
    <t>TD_0133</t>
  </si>
  <si>
    <t>TD_0134</t>
  </si>
  <si>
    <t>Hệ thống không hiển thị Checkout, điều hướng về giỏ hoặc trang chủ</t>
  </si>
  <si>
    <t>TD_0135</t>
  </si>
  <si>
    <t>TD_0136</t>
  </si>
  <si>
    <t>TD_0137</t>
  </si>
  <si>
    <t>Hiển thị cảnh báo lỗi tại trường name, không chuyển bước tiếp</t>
  </si>
  <si>
    <t>TD_0138</t>
  </si>
  <si>
    <t>Hiển thị cảnh báo lỗi tại trường country, không chuyển bước tiếp</t>
  </si>
  <si>
    <t>TD_0139</t>
  </si>
  <si>
    <t>TD_0140</t>
  </si>
  <si>
    <t>TD_0141</t>
  </si>
  <si>
    <t>TD_0142</t>
  </si>
  <si>
    <t>TD_0143</t>
  </si>
  <si>
    <t>TD_0144</t>
  </si>
  <si>
    <t>TD_0145</t>
  </si>
  <si>
    <t>TD_0146</t>
  </si>
  <si>
    <t>Phiên thanh toán tự động hết hạn đúng 15 phút, mọi dữ liệu tạm thời trong các bước checkout phải bị</t>
  </si>
  <si>
    <t>TD_0147</t>
  </si>
  <si>
    <t>TD_0148</t>
  </si>
  <si>
    <t>TD_0149</t>
  </si>
  <si>
    <t>TD_0150</t>
  </si>
  <si>
    <t>TD_0151</t>
  </si>
  <si>
    <t>TD_0152</t>
  </si>
  <si>
    <t>TD_0153</t>
  </si>
  <si>
    <t>TD_0154</t>
  </si>
  <si>
    <t>TD_0155</t>
  </si>
  <si>
    <t>TD_0156</t>
  </si>
  <si>
    <t>TD_0157</t>
  </si>
  <si>
    <t>TD_0158</t>
  </si>
  <si>
    <t>TD_0159</t>
  </si>
  <si>
    <r>
      <rPr>
        <rFont val="Arial"/>
        <sz val="10.0"/>
      </rPr>
      <t xml:space="preserve">Email: </t>
    </r>
    <r>
      <rPr>
        <rFont val="Arial"/>
        <color rgb="FF1155CC"/>
        <sz val="10.0"/>
        <u/>
      </rPr>
      <t>abc.com</t>
    </r>
  </si>
  <si>
    <t>TD_0160</t>
  </si>
  <si>
    <t>TD_0161</t>
  </si>
  <si>
    <t>TD_0162</t>
  </si>
  <si>
    <t>TD_0163</t>
  </si>
  <si>
    <t>TD_0164</t>
  </si>
  <si>
    <t>TD_0165</t>
  </si>
  <si>
    <t>TD_0166</t>
  </si>
  <si>
    <t>TD_0167</t>
  </si>
  <si>
    <t>TD_0168</t>
  </si>
  <si>
    <t>TD_0169</t>
  </si>
  <si>
    <t>TD_0170</t>
  </si>
  <si>
    <t>TD_0171</t>
  </si>
  <si>
    <t>TD_0172</t>
  </si>
  <si>
    <t>TD_0173</t>
  </si>
  <si>
    <t>TD_0174</t>
  </si>
  <si>
    <t>Hệ thống chặn và hiển thị trang lỗi quyền hạn</t>
  </si>
  <si>
    <t>TD_0175</t>
  </si>
  <si>
    <t>TD_0176</t>
  </si>
  <si>
    <t>TD_0177</t>
  </si>
  <si>
    <t>TD_0178</t>
  </si>
  <si>
    <t>TD_0179</t>
  </si>
  <si>
    <t>TD_0180</t>
  </si>
  <si>
    <t>TD_0181</t>
  </si>
  <si>
    <t>TD_0182</t>
  </si>
  <si>
    <t>TD_0183</t>
  </si>
  <si>
    <t>TD_0184</t>
  </si>
  <si>
    <t>TD_0185</t>
  </si>
  <si>
    <t>TD_0186</t>
  </si>
  <si>
    <t>TD_0187</t>
  </si>
  <si>
    <t>TD_0188</t>
  </si>
  <si>
    <t>TD_0189</t>
  </si>
  <si>
    <t>TD_0190</t>
  </si>
  <si>
    <t>TD_0191</t>
  </si>
  <si>
    <t>Danh sách hiển thị dạng Grid với cột Tên, Published, Display order</t>
  </si>
  <si>
    <t>TD_0192</t>
  </si>
  <si>
    <t>Cấu trúc cha-con của danh mục hiển thị đúng dạng cây phân cấp</t>
  </si>
  <si>
    <t>TD_0193</t>
  </si>
  <si>
    <t>Danh mục mới được tạo thành công</t>
  </si>
  <si>
    <t>TD_0194</t>
  </si>
  <si>
    <t>TD_0195</t>
  </si>
  <si>
    <t>Danh mục mới là con của danh mục đã chọn</t>
  </si>
  <si>
    <t>TD_0196</t>
  </si>
  <si>
    <t>Ảnh được lưu và hiển thị trên trang quản lý danh mục</t>
  </si>
  <si>
    <t>TD_0197</t>
  </si>
  <si>
    <t>TD_0198</t>
  </si>
  <si>
    <t>Ảnh được chấp nhận và lưu thành công</t>
  </si>
  <si>
    <t>TD_0199</t>
  </si>
  <si>
    <t>Dữ liệu SEO được cập nhật thành công</t>
  </si>
  <si>
    <t>TD_0200</t>
  </si>
  <si>
    <t>SEO friendly URL tự động sinh từ Tên danh mục</t>
  </si>
  <si>
    <t>TD_0201</t>
  </si>
  <si>
    <t>Danh mục chỉ hiển thị cho khách hàng thuộc Role 'Registered'</t>
  </si>
  <si>
    <t>TD_0202</t>
  </si>
  <si>
    <t>Danh mục hiển thị cho tất cả khách hàng trên Frontend</t>
  </si>
  <si>
    <t>TD_0203</t>
  </si>
  <si>
    <t>SP được liên kết và hiển thị trong lưới sản phẩm của danh mục</t>
  </si>
  <si>
    <t>TD_0204</t>
  </si>
  <si>
    <t>SP A xuất hiện ở cả 2 danh mục X và Y</t>
  </si>
  <si>
    <t>TD_0205</t>
  </si>
  <si>
    <t>Danh mục cha và tất cả danh mục con không hiển thị trên Frontend</t>
  </si>
  <si>
    <t>TD_0206</t>
  </si>
  <si>
    <t>Danh mục xuất hiện trên Frontend</t>
  </si>
  <si>
    <t>TD_0207</t>
  </si>
  <si>
    <t>Danh mục con không hiển thị dù chính nó đang Published</t>
  </si>
  <si>
    <t>TD_0208</t>
  </si>
  <si>
    <t>Danh mục không hiển thị nữa; trong DB trường Deleted = 1</t>
  </si>
  <si>
    <t>TD_0209</t>
  </si>
  <si>
    <t>Danh mục con vẫn tồn tại trong DB</t>
  </si>
  <si>
    <t>TD_0210</t>
  </si>
  <si>
    <t>Bảng danh sách hiển thị các thuộc tính hiện có</t>
  </si>
  <si>
    <t>TD_0211</t>
  </si>
  <si>
    <t>Bảng trống, không báo lỗi</t>
  </si>
  <si>
    <t>TD_0212</t>
  </si>
  <si>
    <t>Thuộc tính tạo thành công, xuất hiện trong danh sách</t>
  </si>
  <si>
    <t>TD_0213</t>
  </si>
  <si>
    <t>Hệ thống báo lỗi Tên bắt buộc, chặn lưu</t>
  </si>
  <si>
    <t>TD_0214</t>
  </si>
  <si>
    <t>Tên hiển thị đúng theo ngôn ngữ tương ứng trên Frontend</t>
  </si>
  <si>
    <t>TD_0215</t>
  </si>
  <si>
    <t>Option tạo và xuất hiện trong danh sách Options</t>
  </si>
  <si>
    <t>TD_0216</t>
  </si>
  <si>
    <t>TD_0217</t>
  </si>
  <si>
    <t>Option hiển thị ô màu đỏ tương ứng trên Frontend</t>
  </si>
  <si>
    <t>TD_0218</t>
  </si>
  <si>
    <t>Option hiển thị trước các option có Display order lớn hơn</t>
  </si>
  <si>
    <t>TD_0219</t>
  </si>
  <si>
    <t>Hệ thống chặn hoặc xử lý giá trị không hợp lệ</t>
  </si>
  <si>
    <t>TD_0220</t>
  </si>
  <si>
    <t>Thuộc tính xuất hiện ở bảng thông số kỹ thuật trên trang SP</t>
  </si>
  <si>
    <t>TD_0221</t>
  </si>
  <si>
    <t>Thuộc tính không hiển thị trên trang chi tiết SP</t>
  </si>
  <si>
    <t>TD_0222</t>
  </si>
  <si>
    <t>Thuộc tính xuất hiện ở thanh bộ lọc bên trái danh mục</t>
  </si>
  <si>
    <t>TD_0223</t>
  </si>
  <si>
    <t>Thuộc tính không xuất hiện ở thanh bộ lọc Frontend</t>
  </si>
  <si>
    <t>TD_0224</t>
  </si>
  <si>
    <t>Nhóm tạo thành công và hiển thị đúng cấu trúc phân nhóm</t>
  </si>
  <si>
    <t>TD_0225</t>
  </si>
  <si>
    <t>Các thuộc tính gom lại và hiển thị dưới tiêu đề nhóm</t>
  </si>
  <si>
    <t>TD_0226</t>
  </si>
  <si>
    <t>Thuộc tính bị gỡ khỏi cả 3 SP</t>
  </si>
  <si>
    <t>TD_0227</t>
  </si>
  <si>
    <t>Option 'Đỏ' bị gỡ khỏi các SP đã gán, không báo lỗi hệ thống</t>
  </si>
  <si>
    <t>TD_0228</t>
  </si>
  <si>
    <t>Thuộc tính bị xóa thành công khỏi danh sách</t>
  </si>
  <si>
    <t>TD_0229</t>
  </si>
  <si>
    <t>TD_0230</t>
  </si>
  <si>
    <t>TD_0231</t>
  </si>
  <si>
    <t>TD_0232</t>
  </si>
  <si>
    <t>TD_0233</t>
  </si>
  <si>
    <t>TD_0234</t>
  </si>
  <si>
    <t>TD_0235</t>
  </si>
  <si>
    <t>TD_0236</t>
  </si>
  <si>
    <t>TD_0237</t>
  </si>
  <si>
    <t>TD_0238</t>
  </si>
  <si>
    <t>TD_0239</t>
  </si>
  <si>
    <t>TD_0240</t>
  </si>
  <si>
    <t>TD_0241</t>
  </si>
  <si>
    <t>TD_0242</t>
  </si>
  <si>
    <t>TD_0243</t>
  </si>
  <si>
    <t>TD_0244</t>
  </si>
  <si>
    <t>TD_0245</t>
  </si>
  <si>
    <t>TD_0246</t>
  </si>
  <si>
    <t>TD_0247</t>
  </si>
  <si>
    <t>TD_0248</t>
  </si>
  <si>
    <t>TD_0249</t>
  </si>
  <si>
    <t>TD_0250</t>
  </si>
  <si>
    <t>TD_0251</t>
  </si>
  <si>
    <t>TD_0252</t>
  </si>
  <si>
    <t>TD_0253</t>
  </si>
  <si>
    <t>TD_0254</t>
  </si>
  <si>
    <t>TD_0255</t>
  </si>
  <si>
    <t>TD_0256</t>
  </si>
  <si>
    <t>TD_0257</t>
  </si>
  <si>
    <t>TD_0258</t>
  </si>
  <si>
    <t>TD_0259</t>
  </si>
  <si>
    <t>TD_0260</t>
  </si>
  <si>
    <t>Trạng thái mới lưu vào DB, lịch sử ghi nhận, UI phản ánh ngay</t>
  </si>
  <si>
    <t>TD_0261</t>
  </si>
  <si>
    <t>TD_0262</t>
  </si>
  <si>
    <t>TD_0263</t>
  </si>
  <si>
    <t>TD_0264</t>
  </si>
  <si>
    <t>Hệ thống báo lỗi và chặn lưu khi tệp tin trống hoặc sai định dạng trường dữ liệu</t>
  </si>
  <si>
    <t>TD_0265</t>
  </si>
  <si>
    <t>Kiểm tra thông báo lỗi khi upload tệp không đúng định dạng file hệ thống yêu cầu</t>
  </si>
  <si>
    <t>TD_0266</t>
  </si>
  <si>
    <t>TD_0267</t>
  </si>
  <si>
    <t>TD_0268</t>
  </si>
  <si>
    <t>TD_0269</t>
  </si>
  <si>
    <t>TD_0270</t>
  </si>
  <si>
    <t>Nút Xóa bỏ bị ẩn hoặc disabled trên giao diện</t>
  </si>
  <si>
    <t>TD_0271</t>
  </si>
  <si>
    <t>TD_0272</t>
  </si>
  <si>
    <t>TD_0273</t>
  </si>
  <si>
    <t>TD_0274</t>
  </si>
  <si>
    <t>TD_0275</t>
  </si>
  <si>
    <t>TD_0276</t>
  </si>
  <si>
    <t>Bỏ trống trường Name khi tạo giảm giá</t>
  </si>
  <si>
    <t>Lỗi chữ đỏ tại trường Name, chặn lưu</t>
  </si>
  <si>
    <t>TD_0277</t>
  </si>
  <si>
    <t>TD_0278</t>
  </si>
  <si>
    <t>TD_0279</t>
  </si>
  <si>
    <t>TD_0280</t>
  </si>
  <si>
    <t>Nhập ký tự chữ vào trường số tiền giảm</t>
  </si>
  <si>
    <t>TD_0281</t>
  </si>
  <si>
    <t>Nhập số âm vào trường số tiền giảm</t>
  </si>
  <si>
    <t>TD_0282</t>
  </si>
  <si>
    <t>TD_0283</t>
  </si>
  <si>
    <t>TD_0284</t>
  </si>
  <si>
    <t>TD_0285</t>
  </si>
  <si>
    <t>TD_0286</t>
  </si>
  <si>
    <t>NHẬT KÝ THỰC HIỆN KIỂM THỬ</t>
  </si>
  <si>
    <t>Dự án:</t>
  </si>
  <si>
    <t>Đảm bảo chất lượng phần mềm nopCommerce</t>
  </si>
  <si>
    <t>Phiên kiểm thử:</t>
  </si>
  <si>
    <t>Sprint 1 - Round 1</t>
  </si>
  <si>
    <t>Người thực hiện:</t>
  </si>
  <si>
    <t>Nhóm QA</t>
  </si>
  <si>
    <t>Ngày bắt đầu:</t>
  </si>
  <si>
    <t>Môi trường test:</t>
  </si>
  <si>
    <t>Staging - nopCommerce v4.60</t>
  </si>
  <si>
    <t>Ngày kết thúc:</t>
  </si>
  <si>
    <t>STT</t>
  </si>
  <si>
    <t>Người thực hiện</t>
  </si>
  <si>
    <t>Ngày thực hiện</t>
  </si>
  <si>
    <t>Kết quả thực tế</t>
  </si>
  <si>
    <t>DEF_ID liên quan</t>
  </si>
  <si>
    <t>ĐĂNG NHẬP</t>
  </si>
  <si>
    <t>CẬP NHẬT THÔNG TIN CÁ NHÂN</t>
  </si>
  <si>
    <t>ĐỔI MẬT KHẨU</t>
  </si>
  <si>
    <t>Kiểm tra tích chọn checkbox "I agree with the terms of service" trước khi Checkout</t>
  </si>
  <si>
    <t>QUẢN LÝ KHÁCH HÀNG</t>
  </si>
  <si>
    <t>Khi mà có 2 Administrator trở lên thì vẫn xóa được, chỉ không được phép xóa khi còn 1 Administrator</t>
  </si>
  <si>
    <t>QUẢN LÝ VAI TRÒ KHÁCH HÀNG</t>
  </si>
  <si>
    <t>Nút Xóa (Delete) vẫn hiển thị và cho phép thực hiện thao tác xóa đối với đơn hàng ở trạng thái Completed.</t>
  </si>
  <si>
    <t>BÁO CÁO LỖI</t>
  </si>
  <si>
    <t>TC_ID liên quan</t>
  </si>
  <si>
    <t>Tiêu đề lỗi</t>
  </si>
  <si>
    <t>Mô tả chi tiết</t>
  </si>
  <si>
    <t>Bước tái hiện</t>
  </si>
  <si>
    <t>Kết quả mong đợi</t>
  </si>
  <si>
    <t>Mức độ nghiêm trọng</t>
  </si>
  <si>
    <t>Mức ưu tiên</t>
  </si>
  <si>
    <t>Người phát hiện</t>
  </si>
  <si>
    <t>Ngày phát hiện</t>
  </si>
  <si>
    <t>Validation độ dài từ khóa chặn kiểm tra Dropdown gợi ý</t>
  </si>
  <si>
    <t>Khi nhập từ khóa 1 ký tự ("a") để test giới hạn 10 sản phẩm gợi ý, hệ thống chặn lại do validation ngầm bắt buộc tối thiểu 3 ký tự</t>
  </si>
  <si>
    <t>1. Gõ từ khóa "a".
 2. Đếm số kết quả trong dropdown</t>
  </si>
  <si>
    <t>Hệ thống báo lỗi "Search term minimum length is 3 characters", không hiển thị dropdown.</t>
  </si>
  <si>
    <t>Dropdown gợi ý xuất hiện và chỉ hiển thị tối đa 10 sản phẩm.</t>
  </si>
  <si>
    <t>Open</t>
  </si>
  <si>
    <t>Vừa report → Open
Dev đang làm → In Progress
Dev fix xong → Fixed
QA test ok → Closed
Không phải bug → Rejected / Invalid</t>
  </si>
  <si>
    <t>Ví dụ thực tế</t>
  </si>
  <si>
    <t>Trạng thái (Status)</t>
  </si>
  <si>
    <t>Mô tả ý nghĩa</t>
  </si>
  <si>
    <t>Lỗi không hiển thị giá khuyến mãi trên trang chi tiết</t>
  </si>
  <si>
    <t>Khi truy cập vào SP có giảm giá, hệ thống không áp dụng UI giá mới mà vẫn hiển thị giá gốc.</t>
  </si>
  <si>
    <t>1. Đăng nhập (nếu cần)
2. Chọn danh mục
3. Click vào SP đang áp dụng giảm giá</t>
  </si>
  <si>
    <t>Hệ thống ngừng hoạt động hoàn toàn, không có workaround (không thể tiếp tục kiểm thử).</t>
  </si>
  <si>
    <t>Không thể đăng nhập; crash khi mở ứng dụng; mất dữ liệu.</t>
  </si>
  <si>
    <t>New</t>
  </si>
  <si>
    <t>Tester mới ghi lỗi, đang chờ được xác nhận.</t>
  </si>
  <si>
    <t>Gửi đánh giá thành công khi nội dung &lt; 10 ký tự</t>
  </si>
  <si>
    <t>Form đánh giá bỏ qua validation giới hạn ký tự tối thiểu của nội dung.</t>
  </si>
  <si>
    <t>1. Đăng nhập hệ thống
2. Truy cập trang Product detail
3. Nhập nội dung 5 ký tự, nhấn Gửi</t>
  </si>
  <si>
    <t>Vẫn gửi được nội dung &lt; 10 ký tự</t>
  </si>
  <si>
    <t>Ảnh hưởng chức năng chính, có workaround nhưng gây gián đoạn nghiêm trọng.</t>
  </si>
  <si>
    <t>Đăng nhập không hiển thị thông báo lỗi khi sai mật khẩu; thanh toán lỗi logic.</t>
  </si>
  <si>
    <t>Lỗi đã được xác nhận là hợp lệ, đang chờ Developer xử lý.</t>
  </si>
  <si>
    <t>Gửi đánh giá thành công khi nội dung &gt; 2000 ký tự</t>
  </si>
  <si>
    <t>Form đánh giá bỏ qua validation giới hạn ký tự tối đa của nội dung.</t>
  </si>
  <si>
    <t>1. Đăng nhập hệ thống
2. Truy cập trang Product detail
3. Nhập nội dung 2001 ký tự, nhấn Gửi</t>
  </si>
  <si>
    <t>Không bị giới hạn ký tự, vẫn gửi được nội dung &gt; 2000 ký tự</t>
  </si>
  <si>
    <t>Ảnh hưởng một phần chức năng phụ, hệ thống vẫn hoạt động bình thường.</t>
  </si>
  <si>
    <t>Hiển thị sai label, form validate thiếu, bảng không căn chỉnh đúng.</t>
  </si>
  <si>
    <t>In Progress / Assigned</t>
  </si>
  <si>
    <t>Lỗi đã được giao cho Developer và đang được sửa.</t>
  </si>
  <si>
    <t>Lưu địa chỉ thành công khi SĐT nhập chuỗi ký tự chữ</t>
  </si>
  <si>
    <t>Trường số điện thoại (Phone) không validate định dạng text trước khi lưu.</t>
  </si>
  <si>
    <t>1. Đăng nhập hệ thống
2. Truy cập trang Addresses
3. Điền số điện thoại là chuỗi ký tự chữ, nhấn Save</t>
  </si>
  <si>
    <t>Lỗi giao diện, thẩm mỹ, hoặc nội dung nhỏ, không ảnh hưởng chức năng.</t>
  </si>
  <si>
    <t>Sai chính tả, màu nút không đồng nhất, icon lệch.</t>
  </si>
  <si>
    <t>Fixed</t>
  </si>
  <si>
    <t>Developer đã sửa xong, gửi lại để kiểm tra.</t>
  </si>
  <si>
    <t>Lỗi cho phép xóa địa chỉ đang là khóa ngoại của đơn hàng (Processing)</t>
  </si>
  <si>
    <t>Hệ thống cho xóa địa chỉ hiện tại ngay cả khi địa chỉ này đang gắn với một đơn hàng chưa xử lý xong.</t>
  </si>
  <si>
    <t>1. Đăng nhập hệ thống
2. Truy cập trang Addresses
3. Click Delete địa chỉ là Foreign Key của đơn hàng trạng thái 'Processing'</t>
  </si>
  <si>
    <t>Hệ thống chặn xóa và thông báo lỗi không thể xóa</t>
  </si>
  <si>
    <t>Retest / Ready for Retest</t>
  </si>
  <si>
    <t>Tester thực hiện kiểm thử lại để xác nhận fix.</t>
  </si>
  <si>
    <t>Không validation SĐT có số âm hoặc ký tự đặc biệt</t>
  </si>
  <si>
    <t>Form thêm địa chỉ chấp nhận các giá trị không hợp lệ như "-12345" hoặc "###" ở trường SĐT.</t>
  </si>
  <si>
    <t>1. Đăng nhập hệ thống
2. Truy cập trang Addresses
3. Nhập '-12345' hoặc '###' vào trường số điện thoại</t>
  </si>
  <si>
    <t>Số điện thoại chưa được xử lý định dạng (vẫn lưu)</t>
  </si>
  <si>
    <t>Verified / Closed</t>
  </si>
  <si>
    <t>Tester xác nhận lỗi đã được sửa thành công, đóng lỗi.</t>
  </si>
  <si>
    <t>Phiên thanh toán đã hết hạn</t>
  </si>
  <si>
    <t>Reopened</t>
  </si>
  <si>
    <t>Lỗi từng được fix nhưng tái xuất hiện khi kiểm thử lại.</t>
  </si>
  <si>
    <t>Khi tài khoản ở trạng thái Inactive trong Admin, hệ thống vẫn cho phép đăng nhập thành công</t>
  </si>
  <si>
    <t>Deferred / Postponed</t>
  </si>
  <si>
    <t>Lỗi tạm hoãn xử lý (do ưu tiên thấp hoặc phụ thuộc bản phát hành khác).</t>
  </si>
  <si>
    <t>Hệ thống lưu giá ảo = 0 khi nhập giá âm vào SP</t>
  </si>
  <si>
    <t>Validate giá sản phẩm sai, thay vì chặn lưu thì hệ thống tự động gán giá SP bằng 0 khi người dùng nhập số âm.</t>
  </si>
  <si>
    <t>1. Đăng nhập quản trị (Admin)
2. Quản lý sản phẩm
3. Nhập -500 vào trường Price, nhấn Save</t>
  </si>
  <si>
    <t>Rejected / Not a Bug</t>
  </si>
  <si>
    <t>Lỗi không hợp lệ hoặc do hiểu nhầm (tính năng đúng như thiết kế).</t>
  </si>
  <si>
    <t>Crash hệ thống khi nhập chữ vào ô Price (Bulk edit)</t>
  </si>
  <si>
    <t>Bảng Bulk edit không handle exception khi giá trị Price bị nhập sai kiểu dữ liệu chữ cái.</t>
  </si>
  <si>
    <t>1. Đăng nhập quản trị (Admin)
2. Truy cập Bulk edit
3. Nhập 'abc' vào ô Price</t>
  </si>
  <si>
    <t>Lỗi hệ thống, chưa xử lý dữ liệu (Bị crash hệ thống)</t>
  </si>
  <si>
    <t>Duplicate</t>
  </si>
  <si>
    <t>Trùng với lỗi đã được ghi nhận trước đó.</t>
  </si>
  <si>
    <t>Vẫn lưu thành công khi xóa trắng trường Name (Bulk edit)</t>
  </si>
  <si>
    <t>Bảng Bulk edit không validate trường bắt buộc (Name) trước khi gửi request lưu.</t>
  </si>
  <si>
    <t>1. Đăng nhập quản trị (Admin)
2. Truy cập Bulk edit
3. Xóa hết nội dung ô Name của một SP</t>
  </si>
  <si>
    <t>Cannot Reproduce</t>
  </si>
  <si>
    <t>Developer hoặc QA không tái hiện được lỗi.</t>
  </si>
  <si>
    <t>Crash hệ thống khi nhập số thập phân vào Stock Quantity</t>
  </si>
  <si>
    <t>Bulk edit không kiểm tra kiểu dữ liệu INT cho Stock Quantity, gây lỗi server khi nhập số thập phân.</t>
  </si>
  <si>
    <t>1. Đăng nhập quản trị (Admin)
2. Truy cập Bulk edit
3. Nhập 5.5 vào ô Stock Quantity</t>
  </si>
  <si>
    <t>Won’t Fix / As Designed</t>
  </si>
  <si>
    <t>Xác nhận là lỗi thật nhưng quyết định không sửa (vì lý do kỹ thuật/kinh doanh).</t>
  </si>
  <si>
    <t>Lỗi import dữ liệu</t>
  </si>
  <si>
    <t>"1. Đăng nhập hệ thống 
2. Admin truy cập trang “Sales” =&gt; “Orders”
3. Chọn tệp Excel đúng định dạng, đầy đủ thông tin bắt buộc, click ""Import from Excel""
4. Thực hiện thao tác chính theo mô tả
5. Nhấn nút xác nhận/lưu
6. Kiểm tra kết quả: Hệ thống lưu đơn hàng mới vào CSDL, cập nhật danh sách và báo thành công"</t>
  </si>
  <si>
    <t>Thiếu kiểm tra ràng buộc (validation) khi thực hiện hủy đơn hàng đã hoàn tất</t>
  </si>
  <si>
    <t>Nút Delete vẫn hiển thị cho đơn hàng ở trạng thái Completed</t>
  </si>
  <si>
    <t>"1. Đăng nhập hệ thống 
2. Admin truy cập trang “Sales” =&gt; “Orders”
3. Chuẩn bị dữ liệu: Xem chi tiết đơn đã Completed
4. Thực hiện thao tác
5. Ghi nhận hành vi hệ thống
6. So sánh với kết quả mong đợi"</t>
  </si>
  <si>
    <t>Hệ thống cho phép nhập giá trị âm tại trường Discount Amount</t>
  </si>
  <si>
    <t>"1. Đăng nhập hệ thống 
2. Admin truy cập trang Promotions-&gt; Discounts
3. Click Edit tại một chương trình
4. Thiết lập điều kiện: Nhập -100 vào Discount amount, click Save
5. Thực hiện thao tác
6. Kiểm tra thông báo lỗi hoặc hành vi hệ thống"</t>
  </si>
  <si>
    <t>Thiếu ràng buộc dữ liệu khi xóa mã giảm giá cho đơn hàng Completed</t>
  </si>
  <si>
    <t>"1. Đăng nhập hệ thống 
2. Admin truy cập trang Promotions-&gt; Discounts
3. Click Edit tại một chương trình
4. Thiết lập điều kiện: Cố xóa mã đã dùng trong đơn 'Completed'
5. Thực hiện thao tác
6. Kiểm tra thông báo lỗi hoặc hành vi hệ thống"</t>
  </si>
  <si>
    <t>BÁO CÁO TIẾN TRÌNH KIỂM THỬ 1</t>
  </si>
  <si>
    <t>Số báo cáo:</t>
  </si>
  <si>
    <t>#1</t>
  </si>
  <si>
    <t>Người lập báo cáo:</t>
  </si>
  <si>
    <t>Ngày lập:</t>
  </si>
  <si>
    <t>Giai đoạn:</t>
  </si>
  <si>
    <t>Môi trường:</t>
  </si>
  <si>
    <t>Staging v4.60</t>
  </si>
  <si>
    <t>Ngày bắt đầu KT:</t>
  </si>
  <si>
    <t>Ngày kết thúc KT:</t>
  </si>
  <si>
    <t>1. TỔNG QUAN KẾT QUẢ KIỂM THỬ</t>
  </si>
  <si>
    <t>Hạng mục</t>
  </si>
  <si>
    <t>Số lượng</t>
  </si>
  <si>
    <t>Tỷ lệ %</t>
  </si>
  <si>
    <t>Tổng số Test Case</t>
  </si>
  <si>
    <t>Tổng lỗi phát hiện</t>
  </si>
  <si>
    <t>93.71%</t>
  </si>
  <si>
    <t>Lỗi Critical</t>
  </si>
  <si>
    <t>16.67%</t>
  </si>
  <si>
    <t>6.29%</t>
  </si>
  <si>
    <t>Lỗi High</t>
  </si>
  <si>
    <t>44.44%</t>
  </si>
  <si>
    <t>0.0%</t>
  </si>
  <si>
    <t>Lỗi Medium</t>
  </si>
  <si>
    <t>27.78%</t>
  </si>
  <si>
    <t>Lỗi Low</t>
  </si>
  <si>
    <t>11.11%</t>
  </si>
  <si>
    <t>Tỷ lệ hoàn thành</t>
  </si>
  <si>
    <t>100.0%</t>
  </si>
  <si>
    <t>Lỗi chưa fix</t>
  </si>
  <si>
    <t>2. KẾT QUẢ KIỂM THỬ THEO USER STORY</t>
  </si>
  <si>
    <t>Chức năng</t>
  </si>
  <si>
    <t>Tổng TC</t>
  </si>
  <si>
    <t>Đăng nhập</t>
  </si>
  <si>
    <t>Cập nhật thông tin cá nhân</t>
  </si>
  <si>
    <t>Đổi mật khẩu</t>
  </si>
  <si>
    <t>Tìm kiếm sản phẩm</t>
  </si>
  <si>
    <t>Xem danh mục sản phẩm</t>
  </si>
  <si>
    <t>Lọc sản phẩm</t>
  </si>
  <si>
    <t>Xem chi tiết sản phẩm</t>
  </si>
  <si>
    <t>Đánh giá sản phẩm</t>
  </si>
  <si>
    <t>Quản lý địa chỉ</t>
  </si>
  <si>
    <t>Thêm vào giỏ hàng</t>
  </si>
  <si>
    <t>Quản lý giỏ hàng</t>
  </si>
  <si>
    <t>Thanh toán</t>
  </si>
  <si>
    <t>Admin - Quản lý khách hàng</t>
  </si>
  <si>
    <t>Admin - Quản lý vai trò khách hàng</t>
  </si>
  <si>
    <t>Admin - Bảo trì danh mục</t>
  </si>
  <si>
    <t>Admin - Bảo trì thuộc tính</t>
  </si>
  <si>
    <t>Admin - Thêm sản phẩm</t>
  </si>
  <si>
    <t>Admin - Chỉnh sửa hàng loạt</t>
  </si>
  <si>
    <t>Admin - Bảo trì đơn đặt hàng</t>
  </si>
  <si>
    <t>Admin - Bảo trì giảm giá</t>
  </si>
  <si>
    <t>Tổng</t>
  </si>
  <si>
    <t>3. NHẬN XÉT VÀ RỦI RO</t>
  </si>
  <si>
    <t>Nhận xét tổng quan:</t>
  </si>
  <si>
    <t>Đợt kiểm thử đã thực thi tổng cộng 286 test case cho 20 User Story của hệ thống nopCommerce. Kết quả ghi nhận 268 test case Pass và 18 test case Fail, không có test case ở trạng thái Blocked hoặc Untested. Tỷ lệ thực thi đạt 100%, cho thấy phạm vi kiểm thử đã được bao phủ đầy đủ theo kế hoạch đề ra.</t>
  </si>
  <si>
    <t>Lỗi nổi bật:</t>
  </si>
  <si>
    <t>Đã ghi nhận tổng cộng 18 lỗi, gồm: 3 lỗi Critical, 8 lỗi High, 5 lỗi Medium và 2 lỗi Low. Các lỗi nghiêm trọng chủ yếu tập trung ở các chức năng quản trị và xử lý dữ liệu như Bulk Edit, quản lý đơn hàng và mã giảm giá. Một số lỗi Critical gây crash hệ thống hoặc ảnh hưởng trực tiếp đến tính toàn vẹn dữ liệu, cần được ưu tiên xử lý ngay trước khi triển khai tiếp theo.</t>
  </si>
  <si>
    <t>Rủi ro:</t>
  </si>
  <si>
    <t>1. Các lỗi Critical liên quan đến Bulk Edit và Discount có nguy cơ gây mất ổn định hệ thống và sai lệch dữ liệu nghiệp vụ.
2. Chức năng quản lý đơn hàng và địa chỉ còn thiếu ràng buộc dữ liệu, có thể ảnh hưởng đến tính toàn vẹn dữ liệu và lịch sử giao dịch.
3. Một số validation phía client/server chưa được kiểm soát đầy đủ, dễ phát sinh lỗi nhập liệu không hợp lệ trong môi trường thực tế.
4. Nếu chưa fix các lỗi High/Critical trước Regression Test, nguy cơ fail dây chuyền ở các module liên quan là khá cao.</t>
  </si>
  <si>
    <t>Kế hoạch tiếp theo:</t>
  </si>
  <si>
    <t>1. Ưu tiên fix và retest toàn bộ lỗi Critical và High trước.
2. Thực hiện Regression Test cho các module: Product Management, Orders, Discounts và Bulk Edit sau khi fix lỗi.
3. Tiếp tục cập nhật kết quả vào Test Execution Log và theo dõi trạng thái defect hằng ngày.
4. Chuẩn bị vòng kiểm thử tiếp theo nhằm xác nhận tính ổn định hệ thống trước giai đoạn UAT.</t>
  </si>
  <si>
    <t>BÁO CÁO TRẠNG THÁI LỖI - TUẦN 6</t>
  </si>
  <si>
    <t>Vòng kiểm thử:</t>
  </si>
  <si>
    <t>Sprint 1 - Round 2 (Regression)</t>
  </si>
  <si>
    <t>Người lập:</t>
  </si>
  <si>
    <t>Tổng lỗi ban đầu:</t>
  </si>
  <si>
    <t>Mô tả lỗi</t>
  </si>
  <si>
    <t>Mức độ
 nghiêm trọng</t>
  </si>
  <si>
    <t>Trạng thái
 W5</t>
  </si>
  <si>
    <t>Trạng thái
 W6</t>
  </si>
  <si>
    <t>Người sửa</t>
  </si>
  <si>
    <t>Ngày sửa</t>
  </si>
  <si>
    <t>Nghĩa</t>
  </si>
  <si>
    <t>Closed</t>
  </si>
  <si>
    <t>Mới tạo bug</t>
  </si>
  <si>
    <t>Assigned</t>
  </si>
  <si>
    <t>Đã giao cho dev</t>
  </si>
  <si>
    <t>Dev báo đã sửa</t>
  </si>
  <si>
    <t>Retest</t>
  </si>
  <si>
    <t>Tester đang test lại</t>
  </si>
  <si>
    <t>Xác nhận fix thành công</t>
  </si>
  <si>
    <t>Lỗi vẫn còn sau khi fix</t>
  </si>
  <si>
    <t>Rejected/Invalid</t>
  </si>
  <si>
    <t>Tester hiểu sai requirement</t>
  </si>
  <si>
    <t>Lỗi import dữ liệu - foreign key constraint</t>
  </si>
  <si>
    <t>Thiếu kiểm tra ràng buộc khi hủy đơn hàng đã hoàn tất</t>
  </si>
  <si>
    <t>Thiếu ràng buộc dữ liệu khi xóa mã giảm giá cho đơn Completed</t>
  </si>
  <si>
    <t>TỔNG KẾT TRẠNG THÁI</t>
  </si>
  <si>
    <t>Tổng lỗi ban đầu (W5)</t>
  </si>
  <si>
    <t>Đã sửa &amp; Closed</t>
  </si>
  <si>
    <t>Còn Open</t>
  </si>
  <si>
    <t>Tỷ lệ fix thành công</t>
  </si>
  <si>
    <t>Tiêu đề Test Case</t>
  </si>
  <si>
    <t>Loại kiểm thử</t>
  </si>
  <si>
    <t>Module liên quan</t>
  </si>
  <si>
    <t>Kiểm tra dropdown gợi ý khi nhập từ khóa 1 ký tự</t>
  </si>
  <si>
    <t>Tìm kiếm SP</t>
  </si>
  <si>
    <t>Kiểm tra hiển thị giá khuyến mãi trên trang chi tiết SP</t>
  </si>
  <si>
    <t>Chi tiết SP</t>
  </si>
  <si>
    <t>Kiểm tra validation nội dung đánh giá &lt; 10 ký tự</t>
  </si>
  <si>
    <t>Đánh giá SP</t>
  </si>
  <si>
    <t>Kiểm tra validation nội dung đánh giá &gt; 2000 ký tự</t>
  </si>
  <si>
    <t>Kiểm tra validation SĐT không cho nhập chuỗi chữ</t>
  </si>
  <si>
    <t>Kiểm tra chặn xóa địa chỉ khi có đơn hàng Processing</t>
  </si>
  <si>
    <t>Kiểm tra validation SĐT chặn số âm và ký tự đặc biệt</t>
  </si>
  <si>
    <t>Kiểm tra timeout phiên thanh toán sau 15 phút</t>
  </si>
  <si>
    <t>Kiểm tra chặn xóa tài khoản Built-in Administrator</t>
  </si>
  <si>
    <t>Quản lý vai trò khách hàng</t>
  </si>
  <si>
    <t>Kiểm tra validation chặn lưu giá âm cho sản phẩm</t>
  </si>
  <si>
    <t>Thêm SP</t>
  </si>
  <si>
    <t>Kiểm tra không crash khi nhập chữ vào Price (Bulk edit)</t>
  </si>
  <si>
    <t>Bulk Edit</t>
  </si>
  <si>
    <t>Kiểm tra chặn lưu khi xóa trắng trường Name (Bulk edit)</t>
  </si>
  <si>
    <t>Kiểm tra không crash khi nhập số thập phân vào Stock Qty</t>
  </si>
  <si>
    <t>Kiểm tra import Excel hợp lệ lưu thành công vào DB</t>
  </si>
  <si>
    <t>Quản lý đơn hàng</t>
  </si>
  <si>
    <t>Kiểm tra chặn hủy đơn hàng ở trạng thái Completed</t>
  </si>
  <si>
    <t>Kiểm tra nút Delete ẩn/disabled với đơn Completed</t>
  </si>
  <si>
    <t>Kiểm tra chặn lưu giá trị âm vào Discount Amount</t>
  </si>
  <si>
    <t>Giảm giá</t>
  </si>
  <si>
    <t>Kiểm tra chặn xóa mã giảm giá đã dùng trong đơn Completed</t>
  </si>
  <si>
    <t>[Regression] Đăng nhập thành công với tài khoản Active</t>
  </si>
  <si>
    <t>Regression</t>
  </si>
  <si>
    <t>[Regression] Xem chi tiết sản phẩm hiển thị đúng thông tin</t>
  </si>
  <si>
    <t>[Regression] Gửi đánh giá hợp lệ (10-2000 ký tự) thành công</t>
  </si>
  <si>
    <t>[Regression] Thêm địa chỉ hợp lệ lưu thành công</t>
  </si>
  <si>
    <t>[Regression] Luồng thanh toán chuẩn hoàn thành thành công</t>
  </si>
  <si>
    <t>[Regression] Thêm sản phẩm mới với đầy đủ thông tin hợp lệ</t>
  </si>
  <si>
    <t>[Regression] Bulk edit cập nhật đúng nhiều SP cùng lúc</t>
  </si>
  <si>
    <t>[Regression] Tìm kiếm đơn hàng theo mã trả về đúng kết quả</t>
  </si>
  <si>
    <t>[Regression] Tạo chương trình giảm giá mới thành công</t>
  </si>
  <si>
    <t>[Regression] Tìm kiếm sản phẩm trả về đúng kết quả</t>
  </si>
  <si>
    <t>[Regression] Bộ lọc sản phẩm hoạt động đúng sau cập nhật dữ liệu</t>
  </si>
  <si>
    <t>[Regression] Gửi đánh giá hợp lệ thành công</t>
  </si>
  <si>
    <t>[Regression] Cập nhật địa chỉ hợp lệ thành công</t>
  </si>
  <si>
    <t>[Regression] Thanh toán thành công tạo đơn hàng đúng trạng thái</t>
  </si>
  <si>
    <t>TC_REQ_US19_07_01</t>
  </si>
  <si>
    <t>[Regression] Trạng thái đơn hàng cập nhật đúng sau thanh toán</t>
  </si>
  <si>
    <t>[Regression] Áp dụng mã giảm giá hợp lệ thành công</t>
  </si>
  <si>
    <t>DASHBOARD METRIC - TUẦN 6 (SAU FIX &amp; REGRESSION TEST)</t>
  </si>
  <si>
    <t>1. TỔNG QUAN THỰC THI KIỂM THỬ</t>
  </si>
  <si>
    <t>Tuần 5 (Trước fix)</t>
  </si>
  <si>
    <t>Tuần 6 (Sau fix)</t>
  </si>
  <si>
    <t>Thay đổi</t>
  </si>
  <si>
    <t>Tổng Test Case</t>
  </si>
  <si>
    <t>268 (93.71%)</t>
  </si>
  <si>
    <t>313 (100%)</t>
  </si>
  <si>
    <t>18 (6.29%)</t>
  </si>
  <si>
    <t>0 (0%)</t>
  </si>
  <si>
    <t>–</t>
  </si>
  <si>
    <t>2. METRICS LỖI (DEFECT METRICS)</t>
  </si>
  <si>
    <t>W5 - Số lỗi</t>
  </si>
  <si>
    <t>W5 - Tỷ lệ</t>
  </si>
  <si>
    <t>W6 - Trạng thái</t>
  </si>
  <si>
    <t>Số lỗi đã fix</t>
  </si>
  <si>
    <t>Tỷ lệ fix</t>
  </si>
  <si>
    <t>Tất cả đã Closed</t>
  </si>
  <si>
    <t>TỔNG</t>
  </si>
  <si>
    <t>18/18 Closed</t>
  </si>
  <si>
    <t xml:space="preserve">3. CHỈ SỐ CHẤT LƯỢNG </t>
  </si>
  <si>
    <t>KPI</t>
  </si>
  <si>
    <t>Giá trị</t>
  </si>
  <si>
    <t>Mục tiêu</t>
  </si>
  <si>
    <t>Defect Fix Rate</t>
  </si>
  <si>
    <t>100% (18/18)</t>
  </si>
  <si>
    <t>≥ 95%</t>
  </si>
  <si>
    <t>ĐẠT</t>
  </si>
  <si>
    <t>Tất cả lỗi đã được sửa và xác nhận</t>
  </si>
  <si>
    <t>Regression Pass Rate</t>
  </si>
  <si>
    <t>100% (27/27)</t>
  </si>
  <si>
    <t>Không phát sinh lỗi hồi quy mới</t>
  </si>
  <si>
    <t>Test Case Pass Rate</t>
  </si>
  <si>
    <t>100% (313/313)</t>
  </si>
  <si>
    <t>≥ 98%</t>
  </si>
  <si>
    <t>Tăng từ 93.71% (W5) lên 100%</t>
  </si>
  <si>
    <t>Critical Defect Open</t>
  </si>
  <si>
    <t>3 lỗi Critical đã Closed</t>
  </si>
  <si>
    <t>Defect Density</t>
  </si>
  <si>
    <t>18 / 286 TC = 6.29%</t>
  </si>
  <si>
    <t>≤ 10%</t>
  </si>
  <si>
    <t>Nằm trong ngưỡng chấp nhận</t>
  </si>
  <si>
    <t>New Defects Found</t>
  </si>
  <si>
    <t>Không phát sinh lỗi mới trong Regression</t>
  </si>
  <si>
    <t>Test Coverage</t>
  </si>
  <si>
    <t>286 / 286 TC = 100%</t>
  </si>
  <si>
    <t>Đã bao phủ đủ 20 User Story</t>
  </si>
  <si>
    <t>4. TRẠNG THÁI CHẤT LƯỢNG THEO MODULE</t>
  </si>
  <si>
    <t>Module</t>
  </si>
  <si>
    <t>TC Tổng</t>
  </si>
  <si>
    <t>Pass W5</t>
  </si>
  <si>
    <t>Fail W5</t>
  </si>
  <si>
    <t>Fix W6</t>
  </si>
  <si>
    <t>Pass W6</t>
  </si>
  <si>
    <t>Stable</t>
  </si>
  <si>
    <t>Admin - Vai trò khách hàng</t>
  </si>
  <si>
    <t>Admin - Bulk Edit</t>
  </si>
  <si>
    <t>Admin - Quản lý đơn hàng</t>
  </si>
  <si>
    <t>KẾT LUẬN &amp; ĐỀ XUẤT</t>
  </si>
  <si>
    <t>Kết quả tổng thể:</t>
  </si>
  <si>
    <t>Tuần 6 hoàn thành toàn bộ chu trình Fix → Retest → Regression. 18/18 lỗi đã được sửa và xác nhận thành công. Không phát sinh lỗi mới trong quá trình Regression Test.</t>
  </si>
  <si>
    <t>Sẵn sàng UAT:</t>
  </si>
  <si>
    <t>Hệ thống đạt 100% Pass Rate sau Regression. Tất cả lỗi Critical và High đã Closed. Đề xuất chuyển sang giai đoạn UAT (User Acceptance Testing).</t>
  </si>
  <si>
    <t>Đề xuất tiếp theo:</t>
  </si>
  <si>
    <t>1. Tiến hành UAT với người dùng thực tế.
 2. Theo dõi Production sau khi deploy để phát hiện kịp thời lỗi phát sinh.
 3. Cập nhật Test Suite cho các tính năng mới trong Sprint tiếp theo.</t>
  </si>
  <si>
    <t>KIỂM THỬ PHI CHỨC NĂNG</t>
  </si>
  <si>
    <t>REQ_ID / UC_ID</t>
  </si>
  <si>
    <t>Công cụ</t>
  </si>
  <si>
    <t>Kiểm thử hiệu năng (Performance Testing)</t>
  </si>
  <si>
    <t>TC_PERF_01</t>
  </si>
  <si>
    <t>REQ_US01</t>
  </si>
  <si>
    <t>Trang đăng nhập tải dưới 2s với 1 người dùng</t>
  </si>
  <si>
    <t>1 user, Chrome, đã xóa cache</t>
  </si>
  <si>
    <t>1. Mở Chrome DevTools (F12) → tab Network
 2. Tick 'Disable cache'
 3. Nhập URL /login → nhấn Enter
 4. Đọc giá trị 'Finish' ở cuối cột Waterfall
 5. Lặp lại 3 lần, ghi nhận trung bình</t>
  </si>
  <si>
    <t>URL: /login</t>
  </si>
  <si>
    <t>Load time trung bình ≤ 2s | Trang hiển thị đầy đủ | Không lỗi console</t>
  </si>
  <si>
    <t>Lần 1: 1.88 s
Lần 2: 1.26 s
Lần 3: 1.36s
Trung bình: 
1.50 s &lt;= 2s</t>
  </si>
  <si>
    <t>Response Time</t>
  </si>
  <si>
    <t>Chrome DevTools</t>
  </si>
  <si>
    <t>TC_PERF_02</t>
  </si>
  <si>
    <t>REQ_US04</t>
  </si>
  <si>
    <t>Trang tìm kiếm sản phẩm trả kết quả dưới 2s</t>
  </si>
  <si>
    <t>1 user, Chrome, cache đã xóa</t>
  </si>
  <si>
    <t>1. Mở DevTools → Network, Disable cache
 2. Nhập từ khóa 'laptop' vào ô tìm kiếm
 3. Nhấn Enter, quan sát tab Network
 4. Ghi nhận thời gian request GET /search hoàn thành
 5. Lặp lại 3 lần</t>
  </si>
  <si>
    <t>Từ khóa: 'laptop'</t>
  </si>
  <si>
    <t>Avg RT ≤ 2s | Danh sách sản phẩm hiển thị đúng | Không lỗi 500</t>
  </si>
  <si>
    <t>Lần 1: 1.80 s
Lần 2: 1.91 s
Lần 3: 1.87s
Trung bình: 
1.86 s &lt;= 2s</t>
  </si>
  <si>
    <t>TC_PERF_03</t>
  </si>
  <si>
    <t>REQ_US10</t>
  </si>
  <si>
    <t>Thêm sản phẩm vào giỏ hàng phản hồi dưới 1s</t>
  </si>
  <si>
    <t>1 user đã đăng nhập, sản phẩm có hàng</t>
  </si>
  <si>
    <t>1. Mở DevTools → Network
 2. Vào trang chi tiết sản phẩm
 3. Click 'Add to Cart'
 4. Ghi nhận thời gian POST /addproducttocart hoàn thành
 5. Lặp lại 3 lần, tính trung bình</t>
  </si>
  <si>
    <t>1 sản phẩm, qty = 1</t>
  </si>
  <si>
    <t>Avg RT ≤ 1s | Số lượng giỏ hàng cập nhật đúng | Không lỗi</t>
  </si>
  <si>
    <t>Lần 1: 0.68 s
Lần 2: 0.57 s
Lần 3: 0.61s
Trung bình: 
0.62s &lt;= 2s</t>
  </si>
  <si>
    <t>TC_PERF_04</t>
  </si>
  <si>
    <t>REQ_US12</t>
  </si>
  <si>
    <t>Trang Checkout bước 1 tải dưới 2s</t>
  </si>
  <si>
    <t>1 user, giỏ hàng đã có sản phẩm</t>
  </si>
  <si>
    <t>1. Mở DevTools → Network, Disable cache
 2. Click 'Proceed to Checkout'
 3. Ghi nhận thời gian GET /checkout load xong
 4. Chạy Lighthouse (tab Lighthouse → Analyze page load)
 5. Ghi nhận điểm Performance và LCP</t>
  </si>
  <si>
    <t>Giỏ hàng có 1 sản phẩm</t>
  </si>
  <si>
    <t>Load time ≤ 2s | Lighthouse Performance score ≥ 70 | LCP ≤ 2.5s</t>
  </si>
  <si>
    <t>Load time 1.3s
Lighthouse Performance score 74
LCP 1.3s</t>
  </si>
  <si>
    <t>DevTools + Lighthouse</t>
  </si>
  <si>
    <t>TC_PERF_05</t>
  </si>
  <si>
    <t>Trang tìm kiếm đáp ứng 30 người dùng đồng thời</t>
  </si>
  <si>
    <t>30 VU, ramp-up 30s, duration 2 phút</t>
  </si>
  <si>
    <t>1. Mở JMeter → Add Test Plan
 2. Add Thread Group: Threads=30, Ramp-up=30s, Loop=1
 3. Add HTTP Request: GET /search?q=laptop
 4. Add Listener: Summary Report
 5. Chạy → ghi nhận Average, Error%</t>
  </si>
  <si>
    <t>Keyword: laptop, 30 VU</t>
  </si>
  <si>
    <t>Average RT ≤ 2s | Error rate &lt; 1%</t>
  </si>
  <si>
    <t>Average RT = 8.45s | Error rate = 0%</t>
  </si>
  <si>
    <t>Load Test</t>
  </si>
  <si>
    <t>JMeter</t>
  </si>
  <si>
    <t>TC_PERF_06</t>
  </si>
  <si>
    <t>REQ_US05</t>
  </si>
  <si>
    <t>Trang danh mục sản phẩm đáp ứng 30 người dùng đồng thời</t>
  </si>
  <si>
    <t>1. Mở JMeter → Add Test Plan
 2. Add Thread Group: Threads=30, Ramp-up=30s, Loop=1
 3. Add HTTP Request: GET /electronics
 4. Add Listener: Summary Report
 5. Chạy → ghi nhận Average, Error%</t>
  </si>
  <si>
    <t>URL: /electronics, 30 VU</t>
  </si>
  <si>
    <t>Average RT = 4.4s| Error rate = 0%</t>
  </si>
  <si>
    <t>TC_PERF_07</t>
  </si>
  <si>
    <t>REQ_US07</t>
  </si>
  <si>
    <t>Trang chi tiết sản phẩm đáp ứng 20 người dùng đồng thời</t>
  </si>
  <si>
    <t>20 VU, ramp-up 20s, duration 2 phút</t>
  </si>
  <si>
    <t>1. Mở JMeter → Add Test Plan
 2. Add Thread Group: Threads=20, Ramp-up=20s, Loop=1
 3. Add HTTP Request: GET /product/build-your-own-computer
 4. Add Listener: Summary Report
 5. Chạy → ghi nhận Average, Error%</t>
  </si>
  <si>
    <t>URL: /product/build-your-own-computer, 20 VU</t>
  </si>
  <si>
    <t>Error: 0%
Average RT = 0.849s</t>
  </si>
  <si>
    <t>TC_PERF_08</t>
  </si>
  <si>
    <t>Trang Checkout đáp ứng 20 người dùng đồng thời</t>
  </si>
  <si>
    <t>1. Mở JMeter → Add Test Plan
 2. Add Thread Group: Threads=20, Ramp-up=20s, Loop=1
 3. Add HTTP Request: GET /checkout
 4. Add Listener: Summary Report
 5. Chạy → ghi nhận Average, Error%</t>
  </si>
  <si>
    <t>20 VU, user đã đăng nhập</t>
  </si>
  <si>
    <t>Average RT ≤ 5s | Error rate &lt; 1%</t>
  </si>
  <si>
    <t>Error: 0%
Average RT = 7.13s</t>
  </si>
  <si>
    <t>Kiểm thử khả năng truy cập (Accessibility Testing)</t>
  </si>
  <si>
    <t>TC_USA_01</t>
  </si>
  <si>
    <t>UC001</t>
  </si>
  <si>
    <t>Hệ thống phản hồi rõ ràng khi đang xử lý đăng nhập</t>
  </si>
  <si>
    <t>Người dùng nhập đúng thông tin và click Đăng nhập</t>
  </si>
  <si>
    <t>1. Click Đăng nhập với thông tin hợp lệ
 2. Quan sát ngay sau khi click: có spinner hay thay đổi giao diện không
 3. Ghi nhận thời gian đến khi redirect xong
 4. Thử đăng nhập sai: quan sát thông báo lỗi</t>
  </si>
  <si>
    <t>Email/Pass hợp lệ và không hợp lệ</t>
  </si>
  <si>
    <t>Có loading indicator sau click | Thông báo thành công/thất bại rõ ràng | Redirect &lt; 2s</t>
  </si>
  <si>
    <t>Visibility of System Status</t>
  </si>
  <si>
    <t>Manual</t>
  </si>
  <si>
    <t>TC_USA_02</t>
  </si>
  <si>
    <t>Thông báo lỗi form đăng nhập đủ rõ, có gợi ý hành động tiếp theo</t>
  </si>
  <si>
    <t>Người dùng nhập sai thông tin đăng nhập</t>
  </si>
  <si>
    <t>1. Để trống email → Submit, quan sát thông báo
 2. Nhập email sai format (vd: abc@) → Submit
 3. Nhập đúng email, sai password → Submit
 4. Kiểm tra mỗi trường hợp có thông báo lỗi rõ không
 5. Kiểm tra có link 'Quên mật khẩu' hiển thị không</t>
  </si>
  <si>
    <t>Để trống / sai format / sai password</t>
  </si>
  <si>
    <t>Mỗi lỗi có thông báo chỉ rõ vấn đề | Không hiện lỗi chung chung | Link 'Forgot password' dễ thấy</t>
  </si>
  <si>
    <t>Error Prevention &amp; Recovery</t>
  </si>
  <si>
    <t>TC_USA_03</t>
  </si>
  <si>
    <t>UC004</t>
  </si>
  <si>
    <t>Giao diện tìm kiếm dùng ngôn ngữ và icon quen thuộc với người dùng</t>
  </si>
  <si>
    <t>Quan sát giao diện trang tìm kiếm</t>
  </si>
  <si>
    <t>1. Nhìn vào ô tìm kiếm: có icon kính lúp không
 2. Đọc placeholder text trong ô tìm kiếm
 3. Xem nhãn nút Submit và các bộ lọc
 4. Hỏi 1 người không quen trang: họ có hiểu chức năng ngay không
 5. Ghi nhận điểm không rõ ràng</t>
  </si>
  <si>
    <t>Trang /search</t>
  </si>
  <si>
    <t>Icon kính lúp có mặt | Placeholder có gợi ý | Nhãn bộ lọc rõ nghĩa | Người dùng mới hiểu được</t>
  </si>
  <si>
    <t>Match: System &amp; Real World</t>
  </si>
  <si>
    <t>TC_USA_04</t>
  </si>
  <si>
    <t>Người dùng có thể quay lại bước trước trong quy trình Checkout</t>
  </si>
  <si>
    <t>User đang ở bước 2 hoặc 3 của Checkout</t>
  </si>
  <si>
    <t>1. Thực hiện checkout đến bước 2 (Shipping)
 2. Thử click vào 'Step 1 – Billing' trên thanh tiến trình
 3. Quan sát có được quay lại không
 4. Kiểm tra dữ liệu đã nhập ở bước 1 có còn không
 5. Thử nhấn nút Back của trình duyệt</t>
  </si>
  <si>
    <t>Checkout đến bước 2</t>
  </si>
  <si>
    <t>Có thể quay lại bước trước | Dữ liệu đã nhập được giữ lại | Không bị mất session</t>
  </si>
  <si>
    <t>User Control &amp; Freedom</t>
  </si>
  <si>
    <t>TC_USA_05</t>
  </si>
  <si>
    <t>UC010/UC011</t>
  </si>
  <si>
    <t>Nút CTA (Add to Cart, Checkout) nhất quán về màu sắc và vị trí trên toàn trang</t>
  </si>
  <si>
    <t>Duyệt qua nhiều trang khác nhau</t>
  </si>
  <si>
    <t>1. Xem trang Product Detail: ghi nhận màu, kích thước nút
 2. Xem trang Category List: so sánh
 3. Xem trang Cart: so sánh nút Checkout
 4. Kiểm tra font chữ, border-radius có đồng nhất không
 5. Ghi nhận bất kỳ điểm không nhất quán</t>
  </si>
  <si>
    <t>3 trang: detail, category, cart</t>
  </si>
  <si>
    <t>Màu nút CTA giống nhau trên tất cả trang | Kích thước, font đồng nhất | Không có sự khác biệt gây nhầm lẫn</t>
  </si>
  <si>
    <t>Consistency &amp; Standards</t>
  </si>
  <si>
    <t>TC_USA_06</t>
  </si>
  <si>
    <t>UC005</t>
  </si>
  <si>
    <t>Breadcrumb và menu giúp người dùng luôn biết mình đang ở đâu</t>
  </si>
  <si>
    <t>User điều hướng vào danh mục con</t>
  </si>
  <si>
    <t>1. Vào trang danh mục Electronics → Computers
 2. Kiểm tra breadcrumb: Home &gt; Electronics &gt; Computers
 3. Kiểm tra mục menu 'Electronics' có được highlight không
 4. Kiểm tra URL: /electronics/computers
 5. Click từng phần breadcrumb xem có navigate đúng không</t>
  </si>
  <si>
    <t>URL: /electronics/computers</t>
  </si>
  <si>
    <t>Breadcrumb hiển thị đúng đường dẫn | Active menu được highlight | Breadcrumb có thể click toàn bộ</t>
  </si>
  <si>
    <t>Recognition Rather Than Recall</t>
  </si>
  <si>
    <t>TC_USA_07</t>
  </si>
  <si>
    <t>Form đổi mật khẩu có tính năng hỗ trợ người dùng nhập chính xác</t>
  </si>
  <si>
    <t>User vào trang đổi mật khẩu</t>
  </si>
  <si>
    <t>1. Kiểm tra có icon 👁 để hiện/ẩn mật khẩu không
 2. Click icon 👁: kiểm tra ký tự hiện ra
 3. Kiểm tra có thanh đo độ mạnh mật khẩu không
 4. Gõ mật khẩu ngắn → xem thanh hiển thị 'Weak'
 5. Gõ mật khẩu mạnh → xem thanh đổi màu/nhãn</t>
  </si>
  <si>
    <t>Trang /customer/changepassword</t>
  </si>
  <si>
    <t>Icon show/hide password có mặt trên cả 3 ô | Strength meter hiển thị realtime | Nhãn: Weak/Medium/Strong</t>
  </si>
  <si>
    <t>Flexibility &amp; Efficiency of Use</t>
  </si>
  <si>
    <t>TC_USA_08</t>
  </si>
  <si>
    <t>Trang Checkout tập trung vào luồng thanh toán, không có thông tin thừa</t>
  </si>
  <si>
    <t>User đang thực hiện Checkout</t>
  </si>
  <si>
    <t>1. Mở trang Checkout
 2. Đếm số phần tử không liên quan đến thanh toán (banner, menu đầy đủ...)
 3. Kiểm tra header: có hiển thị toàn bộ menu điều hướng không
 4. Kiểm tra có thanh tiến trình (step indicator) rõ ràng không
 5. So sánh với các trang thương mại tương tự</t>
  </si>
  <si>
    <t>Trang Checkout</t>
  </si>
  <si>
    <t>Header rút gọn chỉ logo | Không có banner quảng cáo | Step indicator rõ | Sidebar ẩn</t>
  </si>
  <si>
    <t>Aesthetic &amp; Minimalist Design</t>
  </si>
  <si>
    <t>TC_USA_09</t>
  </si>
  <si>
    <t>Toàn trang</t>
  </si>
  <si>
    <t>Màu chữ trên màu nền đạt tỉ lệ tương phản tối thiểu WCAG AA (4.5:1)</t>
  </si>
  <si>
    <t>Dùng công cụ kiểm tra tương phản màu</t>
  </si>
  <si>
    <t>1. Cài Colour Contrast Analyser (miễn phí)
 2. Dùng eyedropper lấy màu chữ và màu nền trang chủ
 3. Kiểm tra tỉ lệ contrast: text thường cần ≥ 4.5:1
 4. Kiểm tra placeholder text trong form (ô tìm kiếm, đăng nhập)
 5. Ghi nhận những điểm không đạt</t>
  </si>
  <si>
    <t>Trang chủ, login, checkout</t>
  </si>
  <si>
    <t>Tất cả text đạt contrast ≥ 4.5:1 | Placeholder ≥ 3:1 | Không dùng màu đơn thuần để phân biệt thông tin</t>
  </si>
  <si>
    <t>WCAG 2.1 – Contrast Ratio</t>
  </si>
  <si>
    <t>TC_USA_10</t>
  </si>
  <si>
    <t>Khi tìm kiếm không có kết quả, hệ thống hướng dẫn người dùng bước tiếp theo</t>
  </si>
  <si>
    <t>User tìm kiếm với từ khóa không tồn tại</t>
  </si>
  <si>
    <t>1. Nhập từ khóa không tồn tại: 'xyzabc999'
 2. Quan sát trang kết quả
 3. Kiểm tra thông báo có rõ ràng không
 4. Kiểm tra có gợi ý hành động tiếp theo không (link danh mục, từ khóa gợi ý)
 5. Đánh giá người dùng có biết làm gì tiếp theo không</t>
  </si>
  <si>
    <t>Từ khóa: 'xyzabc999'</t>
  </si>
  <si>
    <t>Thông báo 'Không tìm thấy kết quả' rõ ràng | Có gợi ý hành động tiếp theo | Không trang trắng</t>
  </si>
  <si>
    <t>Help &amp; Documentation</t>
  </si>
  <si>
    <t>Kiểm thử bảo mật (Security Testing)</t>
  </si>
  <si>
    <t>TC_SEC_01</t>
  </si>
  <si>
    <t>CR-01 / UC001</t>
  </si>
  <si>
    <t>Trang đăng nhập chỉ cho phép truy cập qua HTTPS</t>
  </si>
  <si>
    <t>Trình duyệt Chrome, server đang chạy</t>
  </si>
  <si>
    <t>1. Gõ http://localhost/login vào trình duyệt
 2. Quan sát xem có tự redirect sang https:// không
 3. Kiểm tra biểu tượng 🔒 trên thanh địa chỉ
 4. Click vào 🔒 → xem thông tin chứng chỉ SSL
 5. Ghi nhận kết quả</t>
  </si>
  <si>
    <t>URL: http://localhost/login</t>
  </si>
  <si>
    <t>Redirect tự động sang HTTPS | Biểu tượng 🔒 hiển thị | Chứng chỉ hợp lệ</t>
  </si>
  <si>
    <t>Chặn truy cập từ http</t>
  </si>
  <si>
    <t>HTTPS – Kiểm tra thủ công</t>
  </si>
  <si>
    <t>Manual (Browser)</t>
  </si>
  <si>
    <t>TC_SEC_02</t>
  </si>
  <si>
    <t>CR-02 / UC012</t>
  </si>
  <si>
    <t>Phiên Checkout tự hết hạn sau 15 phút không hoạt động</t>
  </si>
  <si>
    <t>User đang ở trang Checkout, đã đăng nhập</t>
  </si>
  <si>
    <t>1. Đăng nhập → thêm SP → vào trang Checkout
 2. Để trình duyệt mở, không thao tác gì trong 15 phút
 3. Sau 15 phút, click nút 'Continue'
 4. Quan sát phản hồi của hệ thống
 5. Ghi nhận có redirect hay thông báo không</t>
  </si>
  <si>
    <t>15 phút không thao tác</t>
  </si>
  <si>
    <t>Hệ thống redirect về giỏ hàng hoặc trang đăng nhập | Thông báo phiên hết hạn rõ ràng</t>
  </si>
  <si>
    <t>Không giới hạn phiên checkout</t>
  </si>
  <si>
    <t>Session Timeout – Kiểm tra thủ công</t>
  </si>
  <si>
    <t>TC_SEC_03</t>
  </si>
  <si>
    <t>CR-03 / UC003</t>
  </si>
  <si>
    <t>Hệ thống từ chối mật khẩu yếu khi đổi mật khẩu</t>
  </si>
  <si>
    <t>User đã đăng nhập, vào trang đổi mật khẩu</t>
  </si>
  <si>
    <t>1. Thử mật khẩu mới: '123456' → ghi nhận kết quả
 2. Thử: 'password' → ghi nhận kết quả
 3. Thử: 'abc' (quá ngắn) → ghi nhận kết quả
 4. Thử hợp lệ: 'Admin@12345' → ghi nhận kết quả
 5. Đánh giá thông báo lỗi có rõ ràng không</t>
  </si>
  <si>
    <t>P1:123456 | P2:password | P3:abc | P4:Admin@12345</t>
  </si>
  <si>
    <t>3 MK yếu bị từ chối kèm thông báo lý do | MK hợp lệ được chấp nhận</t>
  </si>
  <si>
    <t>Ok</t>
  </si>
  <si>
    <t>Password Policy – Kiểm tra thủ công</t>
  </si>
  <si>
    <t>TC_SEC_04</t>
  </si>
  <si>
    <t>Form đăng nhập không bị bỏ qua xác thực bằng SQL Injection</t>
  </si>
  <si>
    <t>Trang đăng nhập đang hoạt động</t>
  </si>
  <si>
    <t>1. Vào trang /login
 2. Nhập Email: ' OR '1'='1' -- và Password: bất kỳ
 3. Click Đăng nhập, ghi nhận kết quả
 4. Thử thêm: admin'-- và Password: bất kỳ
 5. Kiểm tra trang có hiển thị lỗi SQL không</t>
  </si>
  <si>
    <t>Email: ' OR '1'='1' --
 Pass: 123</t>
  </si>
  <si>
    <t>Đăng nhập thất bại bình thường | Không hiển thị lỗi SQL | Không bypass được xác thực</t>
  </si>
  <si>
    <t>Email sai</t>
  </si>
  <si>
    <t>SQL Injection – Kiểm tra thủ công</t>
  </si>
  <si>
    <t>TC_SEC_05</t>
  </si>
  <si>
    <t>UC004 / UC008</t>
  </si>
  <si>
    <t>Form đánh giá sản phẩm không cho phép chèn script</t>
  </si>
  <si>
    <t>User đã đăng nhập, vào trang chi tiết sản phẩm</t>
  </si>
  <si>
    <t>1. Vào trang chi tiết sản phẩm
 2. Điền vào ô Review Title: &lt;script&gt;alert('XSS')&lt;/script&gt;
 3. Điền nội dung review tương tự
 4. Submit review, reload trang
 5. Quan sát có popup alert xuất hiện không</t>
  </si>
  <si>
    <t>&lt;script&gt;alert('XSS')&lt;/script&gt;</t>
  </si>
  <si>
    <t>Không có popup alert | Script bị hiển thị dưới dạng text thường | Nội dung được encode</t>
  </si>
  <si>
    <t>Không có popup alert</t>
  </si>
  <si>
    <t>XSS – Kiểm tra thủ công</t>
  </si>
  <si>
    <t>TC_SEC_06</t>
  </si>
  <si>
    <t>Hệ thống chặn sau nhiều lần đăng nhập sai liên tiếp</t>
  </si>
  <si>
    <t>Tài khoản hợp lệ, chưa bị khóa</t>
  </si>
  <si>
    <t>1. Nhập đúng email, sai password → lần 1
 2. Tiếp tục nhập sai → lần 2, 3, 4, 5
 3. Quan sát phản hồi sau lần thứ 5
 4. Ghi nhận có CAPTCHA hoặc thông báo khóa tài khoản không
 5. Thử đăng nhập đúng sau khi bị khóa</t>
  </si>
  <si>
    <t>5 lần nhập sai liên tiếp</t>
  </si>
  <si>
    <t>Sau 5 lần sai: xuất hiện CAPTCHA hoặc thông báo tài khoản bị khóa | Không cho phép tiếp tục thử</t>
  </si>
  <si>
    <t>Không chặn sau 5 lần đăng nhập sai</t>
  </si>
  <si>
    <t>Brute Force – Kiểm tra thủ công</t>
  </si>
  <si>
    <t>TC_SEC_07</t>
  </si>
  <si>
    <t>UC001 / UC013</t>
  </si>
  <si>
    <t>Tài khoản Customer không thể truy cập trang Admin</t>
  </si>
  <si>
    <t>Đăng nhập tài khoản Customer bình thường</t>
  </si>
  <si>
    <t>1. Đăng nhập bằng tài khoản Customer
 2. Gõ thẳng URL: /Admin/Customer/List
 3. Gõ thẳng URL: /Admin/Product/List
 4. Chạy OWASP ZAP: Quick Scan trên URL /Admin/*
 5. Xem báo cáo ZAP có cảnh báo Broken Access Control không</t>
  </si>
  <si>
    <t>URL: /Admin/Customer/List
 /Admin/Product/List</t>
  </si>
  <si>
    <t>HTTP 403 hoặc redirect về trang chủ | ZAP không phát hiện lỗ hổng phân quyền</t>
  </si>
  <si>
    <t>Redirect về trang chủ</t>
  </si>
  <si>
    <t>Phân quyền – OWASP ZAP Scan</t>
  </si>
  <si>
    <t>Manual + OWASP ZAP</t>
  </si>
  <si>
    <t>TC_SEC_08</t>
  </si>
  <si>
    <t>UC001 / UC012</t>
  </si>
  <si>
    <t>Quét toàn bộ ứng dụng phát hiện lỗ hổng phổ biến (OWASP Top 10)</t>
  </si>
  <si>
    <t>ZAP đã cài đặt, ứng dụng đang chạy trên localhost</t>
  </si>
  <si>
    <t>1. Mở OWASP ZAP → chọn 'Automated Scan'
 2. Nhập URL: http://localhost
 3. Click 'Attack' → chờ quét xong
 4. Xem tab Alerts: lọc theo Risk = High / Medium
 5. Ghi lại danh sách cảnh báo và URL bị ảnh hưởng</t>
  </si>
  <si>
    <t>URL gốc: http://localhost</t>
  </si>
  <si>
    <t>Không có cảnh báo mức High liên quan SQL Injection, XSS, Path Traversal | Medium alerts được ghi nhận để xử lý</t>
  </si>
  <si>
    <t>Khống có lỗi High</t>
  </si>
  <si>
    <t>Quét lỗ hổng – OWASP ZAP Automated Scan</t>
  </si>
  <si>
    <t>OWASP ZAP</t>
  </si>
  <si>
    <t>TC_SEC_09</t>
  </si>
  <si>
    <t>SEC-CORS-001</t>
  </si>
  <si>
    <t>Kiểm tra cấu hình CORS sử dụng Access-Control-Allow-Origin: *</t>
  </si>
  <si>
    <t>Response header từ external URL chứa:
 access-control-allow-origin: *
 URL: https://firefox.settings.services.mozilla.com/...</t>
  </si>
  <si>
    <t>1. Gửi request cross-origin từ domain khác tới endpoint.
 2. Kiểm tra response header Access-Control-Allow-Origin.
 3. Thử gửi AJAX request có credentials từ domain bên ngoài.
 4. Xác nhận có lấy được dữ liệu nhạy cảm không.
 5. Kiểm tra cấu hình whitelist domain trong server.</t>
  </si>
  <si>
    <t>URL: firefox.settings.services.mozilla.com
 Method: GET
 Evidence: access-control-allow-origin: *
 Attack script:
 fetch('https://target-api/data', {credentials: 'include'})</t>
  </si>
  <si>
    <t>Access-Control-Allow-Origin phải giới hạn đến domain cụ thể.
 Không cho phép wildcard (*) với endpoint có dữ liệu nhạy cảm.
 Request từ domain không được phép bị chặn với CORS error.</t>
  </si>
  <si>
    <t>CORS misconfiguration với wildcard (*) → bất kỳ trang web nào cũng có thể đọc response của API cross-origin.</t>
  </si>
  <si>
    <t>Security / Negative</t>
  </si>
  <si>
    <t>OWASP ZAP 2.17.0</t>
  </si>
  <si>
    <t xml:space="preserve">KHUYẾN NGHỊ CẢI TIẾN </t>
  </si>
  <si>
    <t>REC_ID</t>
  </si>
  <si>
    <t>TC liên quan</t>
  </si>
  <si>
    <t>UC</t>
  </si>
  <si>
    <t>Vấn đề phát hiện</t>
  </si>
  <si>
    <t>Tác động thực tế</t>
  </si>
  <si>
    <t>Nguyên nhân</t>
  </si>
  <si>
    <t>Khuyến nghị</t>
  </si>
  <si>
    <t>Hạn hoàn thành</t>
  </si>
  <si>
    <t>PERFORMANCE</t>
  </si>
  <si>
    <t>REC-01</t>
  </si>
  <si>
    <t>UC004 – Tìm kiếm sản phẩm</t>
  </si>
  <si>
    <t>Trang tìm kiếm đạt Average RT = 8.45s khi 30 VU đồng thời (vượt ngưỡng ≤ 2s).</t>
  </si>
  <si>
    <t>UX cực kém; người dùng bỏ trang → giảm conversion rate và doanh thu.</t>
  </si>
  <si>
    <t>Không có index tìm kiếm tối ưu; không có cache; gọi API mỗi keystroke không debounce.</t>
  </si>
  <si>
    <t>1. Triển khai debounce 300ms trước khi gọi search API.
 2. Cache kết quả tìm kiếm phổ biến vào Redis (TTL 5 phút).
 3. Thêm Full-Text Index trên bảng Product (Name, ShortDescription).
 4. Giới hạn autocomplete trả về max 10 kết quả.
 5. Re-test với JMeter sau khi tối ưu.</t>
  </si>
  <si>
    <t>Backend Dev + DBA</t>
  </si>
  <si>
    <t>Tuần 8</t>
  </si>
  <si>
    <t>REC-02</t>
  </si>
  <si>
    <t>UC012 – Checkout</t>
  </si>
  <si>
    <t>Trang Checkout đạt Average RT = 7.13s khi 20 VU đồng thời (vượt ngưỡng ≤ 5s).</t>
  </si>
  <si>
    <t>Người dùng bỏ giỏ hàng ở bước cuối – ảnh hưởng trực tiếp doanh thu.</t>
  </si>
  <si>
    <t>Database query không có index trên bảng Orders; không có cache layer cho session.</t>
  </si>
  <si>
    <t>1. Thêm index: Orders(CustomerId, CreatedOnUtc) và Orders(OrderStatusId).
 2. Triển khai Redis cache cho session checkout.
 3. Tối ưu DB connection pool (min/max connections).
 4. Review N+1 query trong luồng checkout bằng SQL Profiler.
 5. Load test lại sau khi sửa – mục tiêu RT ≤ 3s @ 20 VU.</t>
  </si>
  <si>
    <t>Dev Lead + DBA</t>
  </si>
  <si>
    <t>REC-03</t>
  </si>
  <si>
    <t>UC005 – Danh mục sản phẩm</t>
  </si>
  <si>
    <t>Trang danh mục đạt Average RT = 4.4s khi 30 VU đồng thời (vượt ngưỡng ≤ 2s).</t>
  </si>
  <si>
    <t>Trang duyệt sản phẩm chậm → người dùng mất kiên nhẫn, tỷ lệ bounce tăng.</t>
  </si>
  <si>
    <t>Thiếu output caching cho danh mục; query lấy toàn bộ sản phẩm không phân trang server-side.</t>
  </si>
  <si>
    <t>1. Bật Output Caching cho trang danh mục (TTL 5–10 phút).
 2. Sử dụng lazy loading cho ảnh sản phẩm (loading='lazy').
 3. Đảm bảo phân trang server-side (không load toàn bộ SP).
 4. Thêm CDN cho static assets (ảnh, CSS, JS).
 5. Chạy lại JMeter – mục tiêu RT ≤ 2s @ 30 VU.</t>
  </si>
  <si>
    <t>Backend Dev</t>
  </si>
  <si>
    <t>SECURITY</t>
  </si>
  <si>
    <t>REC-04</t>
  </si>
  <si>
    <t>Phiên Checkout không tự hết hạn sau 15 phút không hoạt động – hệ thống vẫn cho phép tiếp tục.</t>
  </si>
  <si>
    <t>Rủi ro session hijacking; người dùng để quên thiết bị có thể bị lạm dụng.</t>
  </si>
  <si>
    <t>nopCommerce default không enforce session timeout cho luồng checkout riêng biệt.</t>
  </si>
  <si>
    <t>1. Implement Session Timeout middleware: hủy checkout session sau 15 phút idle.
 2. Hiển thị cảnh báo trước 2 phút khi sắp hết hạn.
 3. Redirect về trang giỏ hàng kèm thông báo rõ ràng khi hết hạn.
 4. Cấu hình trong nopCommerce: Admin &gt; Configuration &gt; Settings &gt; Customer Settings.
 5. Test lại TC_SEC_02 sau khi cấu hình.</t>
  </si>
  <si>
    <t>DevOps / SysAdmin</t>
  </si>
  <si>
    <t>Ngay lập tức</t>
  </si>
  <si>
    <t>REC-05</t>
  </si>
  <si>
    <t>UC001 – Đăng nhập</t>
  </si>
  <si>
    <t>Hệ thống không chặn sau 5 lần đăng nhập sai liên tiếp – không có lockout hay CAPTCHA.</t>
  </si>
  <si>
    <t>Tài khoản dễ bị tấn công Brute Force / Dictionary Attack → lộ credential.</t>
  </si>
  <si>
    <t>nopCommerce default không có lockout policy mạnh; CAPTCHA chưa được kích hoạt.</t>
  </si>
  <si>
    <t>1. Admin &gt; Customers &gt; Customer Settings &gt; Password lockout:
  - Enable lockout: ON
  - Max failed attempts: 5
  - Lockout duration: 30 phút
 2. Cân nhắc tích hợp reCAPTCHA v3 sau lần thứ 3.
 3. Log và alert khi &gt; 10 failed login/minute từ 1 IP.
 4. Test lại TC_SEC_06 sau khi cấu hình.</t>
  </si>
  <si>
    <t>REC-06</t>
  </si>
  <si>
    <t>CORS – Toàn hệ thống</t>
  </si>
  <si>
    <t>Header Access-Control-Allow-Origin: * trên external endpoint → cho phép bất kỳ domain nào đọc response.</t>
  </si>
  <si>
    <t>Bất kỳ trang web độc hại nào cũng có thể gửi cross-origin request đọc dữ liệu API.</t>
  </si>
  <si>
    <t>Cấu hình CORS chưa giới hạn origin; wildcard (*) đang được dùng không phân biệt endpoint.</t>
  </si>
  <si>
    <t>1. Thay Access-Control-Allow-Origin: * bằng whitelist cụ thể:
  Access-Control-Allow-Origin: https://yourdomain.com
 2. Với endpoint cần credential: KHÔNG dùng wildcard.
 3. Review toàn bộ CORS config trong web.config / Startup.cs.
 4. Kiểm tra lại bằng OWASP ZAP sau khi sửa.</t>
  </si>
  <si>
    <t>Backend Dev + DevOps</t>
  </si>
  <si>
    <t>BÁO CÁO TỔNG HỢP – KIỂM THỬ PHI CHỨC NĂNG TUẦN 7</t>
  </si>
  <si>
    <t>1. TỔNG QUAN PHẠM VI KIỂM THỬ</t>
  </si>
  <si>
    <t>Lĩnh vực</t>
  </si>
  <si>
    <t>Phương pháp</t>
  </si>
  <si>
    <t>Số TC</t>
  </si>
  <si>
    <t>Scope</t>
  </si>
  <si>
    <t>Performance</t>
  </si>
  <si>
    <t>Load / Response Time</t>
  </si>
  <si>
    <t>JMeter, Lighthouse</t>
  </si>
  <si>
    <t>8 TC</t>
  </si>
  <si>
    <t>US01,04,05,07,10,12</t>
  </si>
  <si>
    <t>Security</t>
  </si>
  <si>
    <t>OWASP Top 10, Manual Pen-test</t>
  </si>
  <si>
    <t>Manual, OWASP ZAP</t>
  </si>
  <si>
    <t>9 TC</t>
  </si>
  <si>
    <t>UC001,003,004,005,010,012</t>
  </si>
  <si>
    <t>Usability</t>
  </si>
  <si>
    <t>Heuristic Eval + Cognitive Walkthrough</t>
  </si>
  <si>
    <t>10 TC</t>
  </si>
  <si>
    <t>UC001,003,004,008,012</t>
  </si>
  <si>
    <t>27 TC</t>
  </si>
  <si>
    <t>20 UC covered</t>
  </si>
  <si>
    <t>2. PHÂN BỐ TEST CASE THEO MỨC ĐỘ ƯU TIÊN</t>
  </si>
  <si>
    <t>3. TRẠNG THÁI THỰC THI</t>
  </si>
  <si>
    <t>Pending</t>
  </si>
  <si>
    <t>4. CHI TIẾT CÁC TEST CASE FAIL</t>
  </si>
  <si>
    <t>Ngưỡng kỳ vọng</t>
  </si>
  <si>
    <t>Trang tìm kiếm 30 VU đồng thời</t>
  </si>
  <si>
    <t>Avg RT = 8.45s | Error = 0%</t>
  </si>
  <si>
    <t>Avg RT ≤ 2s</t>
  </si>
  <si>
    <t>Trang danh mục 30 VU đồng thời</t>
  </si>
  <si>
    <t>Avg RT = 4.4s | Error = 0%</t>
  </si>
  <si>
    <t>Trang Checkout 20 VU đồng thời</t>
  </si>
  <si>
    <t>Avg RT = 7.13s | Error = 0%</t>
  </si>
  <si>
    <t>Avg RT ≤ 5s</t>
  </si>
  <si>
    <t>Phiên Checkout tự hết hạn 15 phút</t>
  </si>
  <si>
    <t>Redirect + thông báo hết hạn</t>
  </si>
  <si>
    <t>CR-02/UC012</t>
  </si>
  <si>
    <t>Chặn đăng nhập sai liên tiếp</t>
  </si>
  <si>
    <t>Không chặn sau 5 lần sai</t>
  </si>
  <si>
    <t>CAPTCHA hoặc lockout</t>
  </si>
  <si>
    <t>CORS Access-Control-Allow-Origin: *</t>
  </si>
  <si>
    <t>CORS wildcard – mọi domain đọc được</t>
  </si>
  <si>
    <t>Chỉ cho phép domain whitelist</t>
  </si>
  <si>
    <t>5. KẾT LUẬN VÀ ĐỀ XUẤT HÀNH ĐỘNG TIẾP THEO</t>
  </si>
  <si>
    <t>Điểm mạnh</t>
  </si>
  <si>
    <t>• Tất cả 10 TC Usability đều PASS – UX cơ bản được đảm bảo (Nielsen).
 • 6/9 TC Security PASS, trong đó SQL Injection và XSS được bảo vệ tốt.
 • Response time cho 1 user: tất cả ≤ 2s – nền tảng hiệu năng ổn định.</t>
  </si>
  <si>
    <t>Điểm yếu</t>
  </si>
  <si>
    <t>• 3/8 TC Performance FAIL khi load đồng thời (JMeter) – đặc biệt Search (8.45s) và Checkout (7.13s).
 • 2 lỗ hổng Security nghiêm trọng: không có Session Timeout và không có Brute Force lockout.
 • CORS wildcard (*) chưa được xử lý (Medium severity).</t>
  </si>
  <si>
    <t>Tuần</t>
  </si>
  <si>
    <t>Nội dung</t>
  </si>
  <si>
    <t xml:space="preserve">Test Type: </t>
  </si>
  <si>
    <t>Nhập đúng  =&gt; chạy đúng</t>
  </si>
  <si>
    <t>Nhập sai =&gt; hệ thống chăn và báo lỗi</t>
  </si>
  <si>
    <t>Nhập lạ, cận biện trên và dưới =&gt; lách luật =&gt; hệ thống phải xử lý đúng</t>
  </si>
  <si>
    <t>ví dụ: 
"   a@gmail.com " =&gt; khoảng trắng 2 đầu =&gt; dùng trim =&gt; cho user login 
nhập pass "   123456   "  =&gt; báo lỗi mật khẩu</t>
  </si>
  <si>
    <t>Tiêu đề công việc</t>
  </si>
  <si>
    <t>Ngày bắt đầu</t>
  </si>
  <si>
    <t>Ngày đến hạn</t>
  </si>
  <si>
    <t>Thời gian (Ngày)</t>
  </si>
  <si>
    <t>% Hoàn thành</t>
  </si>
  <si>
    <t>Tuần 1</t>
  </si>
  <si>
    <t>Tuần 2</t>
  </si>
  <si>
    <t>Tuần 3</t>
  </si>
  <si>
    <t>Tuần 4</t>
  </si>
  <si>
    <t>Tuần 5</t>
  </si>
  <si>
    <t>Tuần 6</t>
  </si>
  <si>
    <t>Tuần 7</t>
  </si>
  <si>
    <t>Khởi động dự án</t>
  </si>
  <si>
    <t>Project charter ngắn</t>
  </si>
  <si>
    <t>Mô tả phần mềm</t>
  </si>
  <si>
    <t>Danh sách yêu cầu ban đầu</t>
  </si>
  <si>
    <t>Sơ đồ use case hoặc user story map</t>
  </si>
  <si>
    <t>Xây dựng SQA/Test Plan</t>
  </si>
  <si>
    <t>SQA/Test Plan bản 1</t>
  </si>
  <si>
    <t>Sổ đăng ký rủi ro (Risk register)</t>
  </si>
  <si>
    <t>Tiêu chí đầu vào/đầu ra, Lịch thực hiện</t>
  </si>
  <si>
    <t>Cấu trúc thư mục quản lý cấu hình</t>
  </si>
  <si>
    <t>Review tài liệu và truy vết</t>
  </si>
  <si>
    <t>Checklist review &amp; Biên bản review</t>
  </si>
  <si>
    <t>Bản sửa yêu cầu</t>
  </si>
  <si>
    <t>Ma trận đối sánh yêu cầu (RTM) bản 1</t>
  </si>
  <si>
    <t>Thiết kế test</t>
  </si>
  <si>
    <t>Kế hoạch &amp; môi trường kiểm thử</t>
  </si>
  <si>
    <t>Kịch bản kiểm thử (Test scenario)</t>
  </si>
  <si>
    <t>Ca kiểm thử (Test case) &amp; Test data</t>
  </si>
  <si>
    <t>Thực thi vòng 1</t>
  </si>
  <si>
    <t>Nhật ký thực hiện kiểm thử</t>
  </si>
  <si>
    <t>Báo cáo lỗi (Defect report)</t>
  </si>
  <si>
    <t>Báo cáo tiến trình kiểm thử số 1</t>
  </si>
  <si>
    <t>Sửa lỗi, regression test</t>
  </si>
  <si>
    <t>Sửa lỗi &amp; Báo cáo trạng thái lỗi</t>
  </si>
  <si>
    <t>Bộ kiểm thử hồi quy (Regression suite)</t>
  </si>
  <si>
    <t>Cập nhật Dashboard metric</t>
  </si>
  <si>
    <t>Kiểm thử phi chức năng &amp; bảo mật</t>
  </si>
  <si>
    <t>Kiểm thử Performance/Security/Usability</t>
  </si>
  <si>
    <t>Viết khuyến nghị cải tiến</t>
  </si>
  <si>
    <t>Tổng kết dự án</t>
  </si>
  <si>
    <t>Báo cáo hoàn thành kiểm thử</t>
  </si>
  <si>
    <t>Báo cáo tổng hợp SQA</t>
  </si>
  <si>
    <t>Chuẩn bị Slide trình bày cuối kỳ</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</si>
</sst>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m"/>
    <numFmt numFmtId="165" formatCode="mm/dd/yy"/>
    <numFmt numFmtId="166" formatCode="hh:mm"/>
    <numFmt numFmtId="167" formatCode="[$-409]h:mm\ AM/PM"/>
    <numFmt numFmtId="168" formatCode="dd/mm/yyyy"/>
    <numFmt numFmtId="169" formatCode="d/m/yyyy"/>
    <numFmt numFmtId="170" formatCode="yyyy-mm-dd"/>
    <numFmt numFmtId="171" formatCode="dd/MM/yyyy"/>
    <numFmt numFmtId="172" formatCode="dd&quot;/&quot;mm"/>
  </numFmts>
  <fonts count="73">
    <font>
      <sz val="10.0"/>
      <color rgb="FF000000"/>
      <name val="Roboto"/>
      <scheme val="minor"/>
    </font>
    <font>
      <b/>
      <sz val="10.0"/>
      <color rgb="FFFFFFFF"/>
      <name val="Arial"/>
    </font>
    <font>
      <b/>
      <color theme="1"/>
      <name val="Roboto"/>
      <scheme val="minor"/>
    </font>
    <font>
      <b/>
      <sz val="11.0"/>
      <color rgb="FFFF0000"/>
      <name val="Calibri"/>
    </font>
    <font>
      <b/>
      <sz val="10.0"/>
      <color rgb="FF000000"/>
      <name val="Arial"/>
    </font>
    <font/>
    <font>
      <color theme="1"/>
      <name val="Roboto"/>
      <scheme val="minor"/>
    </font>
    <font>
      <sz val="11.0"/>
      <color rgb="FFFF0000"/>
      <name val="Calibri"/>
    </font>
    <font>
      <sz val="10.0"/>
      <color rgb="FF000000"/>
      <name val="Arial"/>
    </font>
    <font>
      <b/>
      <sz val="10.0"/>
      <color rgb="FF24260A"/>
      <name val="Arial"/>
    </font>
    <font>
      <b/>
      <sz val="11.0"/>
      <color rgb="FF24260A"/>
      <name val="Arial"/>
    </font>
    <font>
      <sz val="10.0"/>
      <color rgb="FF2E75B5"/>
      <name val="Arial"/>
    </font>
    <font>
      <sz val="14.0"/>
      <color theme="1"/>
      <name val="Calibri"/>
    </font>
    <font>
      <b/>
      <sz val="11.0"/>
      <color rgb="FFFFFFFF"/>
      <name val="Arial"/>
    </font>
    <font>
      <sz val="14.0"/>
      <color theme="1"/>
      <name val="Roboto"/>
      <scheme val="minor"/>
    </font>
    <font>
      <sz val="10.0"/>
      <color theme="1"/>
      <name val="Arial"/>
    </font>
    <font>
      <sz val="14.0"/>
      <color rgb="FF000000"/>
      <name val="&quot;Aptos Narrow&quot;"/>
    </font>
    <font>
      <sz val="14.0"/>
      <color theme="1"/>
      <name val="Roboto"/>
    </font>
    <font>
      <sz val="10.0"/>
      <color rgb="FF1F1F1F"/>
      <name val="Arial"/>
    </font>
    <font>
      <sz val="10.0"/>
      <color rgb="FFB10202"/>
      <name val="Arial"/>
    </font>
    <font>
      <b/>
      <sz val="12.0"/>
      <color rgb="FFFFFFFF"/>
      <name val="Arial"/>
    </font>
    <font>
      <b/>
      <sz val="12.0"/>
      <color theme="1"/>
      <name val="Roboto"/>
      <scheme val="minor"/>
    </font>
    <font>
      <b/>
      <sz val="12.0"/>
      <color rgb="FFFF0000"/>
      <name val="Calibri"/>
    </font>
    <font>
      <color rgb="FF434343"/>
      <name val="Arial"/>
    </font>
    <font>
      <color rgb="FFFFE5A0"/>
      <name val="Arial"/>
    </font>
    <font>
      <color theme="1"/>
      <name val="Arial"/>
    </font>
    <font>
      <color rgb="FFD4EDBC"/>
      <name val="Arial"/>
    </font>
    <font>
      <b/>
      <sz val="11.0"/>
      <color rgb="FFFFFFFF"/>
      <name val="Calibri"/>
    </font>
    <font>
      <sz val="11.0"/>
      <color rgb="FF000000"/>
      <name val="Calibri"/>
    </font>
    <font>
      <b/>
      <color rgb="FFFFFFFF"/>
      <name val="Arial"/>
    </font>
    <font>
      <sz val="10.0"/>
      <color theme="1"/>
      <name val="Roboto"/>
      <scheme val="minor"/>
    </font>
    <font>
      <b/>
      <color theme="1"/>
      <name val="Arial"/>
    </font>
    <font>
      <sz val="11.0"/>
      <color theme="1"/>
      <name val="Arial"/>
    </font>
    <font>
      <b/>
      <sz val="14.0"/>
      <color rgb="FFFFFFFF"/>
      <name val="Calibri"/>
    </font>
    <font>
      <sz val="14.0"/>
      <color rgb="FF000000"/>
      <name val="Calibri"/>
    </font>
    <font>
      <b/>
      <sz val="10.0"/>
      <color theme="1"/>
      <name val="Arial"/>
    </font>
    <font>
      <b/>
      <sz val="10.0"/>
      <color rgb="FF375623"/>
      <name val="Arial"/>
    </font>
    <font>
      <color rgb="FF3D3D3D"/>
      <name val="Arial"/>
    </font>
    <font>
      <b/>
      <sz val="10.0"/>
      <color rgb="FF9C0006"/>
      <name val="Arial"/>
    </font>
    <font>
      <b/>
      <sz val="10.0"/>
      <color rgb="FF7D5000"/>
      <name val="Arial"/>
    </font>
    <font>
      <sz val="11.0"/>
      <color rgb="FF000000"/>
      <name val="Arial"/>
    </font>
    <font>
      <color rgb="FF000000"/>
      <name val="Arial"/>
    </font>
    <font>
      <sz val="11.0"/>
      <color rgb="FF1F1F1F"/>
      <name val="Arial"/>
    </font>
    <font>
      <u/>
      <sz val="10.0"/>
      <color rgb="FF0000FF"/>
      <name val="Arial"/>
    </font>
    <font>
      <sz val="12.0"/>
      <color rgb="FF1F1F1F"/>
      <name val="Arial"/>
    </font>
    <font>
      <sz val="12.0"/>
      <color rgb="FF000000"/>
      <name val="Arial"/>
    </font>
    <font>
      <color theme="1"/>
      <name val="Roboto"/>
    </font>
    <font>
      <sz val="11.0"/>
      <color theme="1"/>
      <name val="Roboto"/>
      <scheme val="minor"/>
    </font>
    <font>
      <u/>
      <sz val="10.0"/>
      <color rgb="FF0000FF"/>
      <name val="Arial"/>
    </font>
    <font>
      <b/>
      <sz val="13.0"/>
      <color rgb="FFFFFFFF"/>
      <name val="Arial"/>
    </font>
    <font>
      <color rgb="FF000000"/>
      <name val="Roboto"/>
    </font>
    <font>
      <b/>
      <sz val="11.0"/>
      <color rgb="FFF6F8F9"/>
      <name val="Arial"/>
    </font>
    <font>
      <sz val="10.0"/>
      <color rgb="FFFFFFFF"/>
      <name val="Arial"/>
    </font>
    <font>
      <b/>
      <sz val="14.0"/>
      <color rgb="FFFFFFFF"/>
      <name val="Arial"/>
    </font>
    <font>
      <sz val="9.0"/>
      <color theme="1"/>
      <name val="Arial"/>
    </font>
    <font>
      <sz val="9.0"/>
      <color theme="1"/>
      <name val="&quot;Times New Roman&quot;"/>
    </font>
    <font>
      <b/>
      <color rgb="FF000000"/>
      <name val="Arial"/>
    </font>
    <font>
      <color rgb="FF9C0006"/>
      <name val="Arial"/>
    </font>
    <font>
      <b/>
      <color rgb="FF276221"/>
      <name val="Arial"/>
    </font>
    <font>
      <color rgb="FFFFFFFF"/>
      <name val="Arial"/>
    </font>
    <font>
      <b/>
      <color rgb="FF9C0006"/>
      <name val="Arial"/>
    </font>
    <font>
      <color rgb="FF276221"/>
      <name val="Arial"/>
    </font>
    <font>
      <sz val="9.0"/>
      <color rgb="FF000000"/>
      <name val="Arial"/>
    </font>
    <font>
      <sz val="9.0"/>
      <color rgb="FF3D3D3D"/>
      <name val="Arial"/>
    </font>
    <font>
      <b/>
      <sz val="9.0"/>
      <color rgb="FFFFFFFF"/>
      <name val="Arial"/>
    </font>
    <font>
      <b/>
      <sz val="9.0"/>
      <color rgb="FF1F3864"/>
      <name val="Arial"/>
    </font>
    <font>
      <b/>
      <sz val="9.0"/>
      <color rgb="FF7B1010"/>
      <name val="Arial"/>
    </font>
    <font>
      <b/>
      <sz val="9.0"/>
      <color rgb="FF843C0C"/>
      <name val="Arial"/>
    </font>
    <font>
      <b/>
      <sz val="9.0"/>
      <color rgb="FFC00000"/>
      <name val="Arial"/>
    </font>
    <font>
      <b/>
      <sz val="9.0"/>
      <color rgb="FF7D4E00"/>
      <name val="Arial"/>
    </font>
    <font>
      <b/>
      <sz val="9.0"/>
      <color theme="1"/>
      <name val="Arial"/>
    </font>
    <font>
      <b/>
      <sz val="9.0"/>
      <color rgb="FF000000"/>
      <name val="Arial"/>
    </font>
    <font>
      <sz val="13.0"/>
      <color theme="1"/>
      <name val="Roboto"/>
      <scheme val="minor"/>
    </font>
  </fonts>
  <fills count="49">
    <fill>
      <patternFill patternType="none"/>
    </fill>
    <fill>
      <patternFill patternType="lightGray"/>
    </fill>
    <fill>
      <patternFill patternType="solid">
        <fgColor rgb="FF1C4587"/>
        <bgColor rgb="FF1C4587"/>
      </patternFill>
    </fill>
    <fill>
      <patternFill patternType="solid">
        <fgColor rgb="FFCFE2F3"/>
        <bgColor rgb="FFCFE2F3"/>
      </patternFill>
    </fill>
    <fill>
      <patternFill patternType="solid">
        <fgColor rgb="FFFFFFFF"/>
        <bgColor rgb="FFFFFFFF"/>
      </patternFill>
    </fill>
    <fill>
      <patternFill patternType="solid">
        <fgColor theme="0"/>
        <bgColor theme="0"/>
      </patternFill>
    </fill>
    <fill>
      <patternFill patternType="solid">
        <fgColor rgb="FF4F81BD"/>
        <bgColor rgb="FF4F81BD"/>
      </patternFill>
    </fill>
    <fill>
      <patternFill patternType="solid">
        <fgColor rgb="FFC9DAF8"/>
        <bgColor rgb="FFC9DAF8"/>
      </patternFill>
    </fill>
    <fill>
      <patternFill patternType="solid">
        <fgColor rgb="FFF2F2F2"/>
        <bgColor rgb="FFF2F2F2"/>
      </patternFill>
    </fill>
    <fill>
      <patternFill patternType="solid">
        <fgColor rgb="FFF6F8F9"/>
        <bgColor rgb="FFF6F8F9"/>
      </patternFill>
    </fill>
    <fill>
      <patternFill patternType="solid">
        <fgColor rgb="FFDCE6F1"/>
        <bgColor rgb="FFDCE6F1"/>
      </patternFill>
    </fill>
    <fill>
      <patternFill patternType="solid">
        <fgColor rgb="FF243F60"/>
        <bgColor rgb="FF243F60"/>
      </patternFill>
    </fill>
    <fill>
      <patternFill patternType="solid">
        <fgColor rgb="FFEBF3FB"/>
        <bgColor rgb="FFEBF3FB"/>
      </patternFill>
    </fill>
    <fill>
      <patternFill patternType="solid">
        <fgColor rgb="FF0B5394"/>
        <bgColor rgb="FF0B5394"/>
      </patternFill>
    </fill>
    <fill>
      <patternFill patternType="solid">
        <fgColor rgb="FF2E75B6"/>
        <bgColor rgb="FF2E75B6"/>
      </patternFill>
    </fill>
    <fill>
      <patternFill patternType="solid">
        <fgColor rgb="FFBDD7EE"/>
        <bgColor rgb="FFBDD7EE"/>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EEAF1"/>
        <bgColor rgb="FFDEEAF1"/>
      </patternFill>
    </fill>
    <fill>
      <patternFill patternType="solid">
        <fgColor rgb="FF1F3864"/>
        <bgColor rgb="FF1F3864"/>
      </patternFill>
    </fill>
    <fill>
      <patternFill patternType="solid">
        <fgColor rgb="FF2E4057"/>
        <bgColor rgb="FF2E4057"/>
      </patternFill>
    </fill>
    <fill>
      <patternFill patternType="solid">
        <fgColor rgb="FF4A90D9"/>
        <bgColor rgb="FF4A90D9"/>
      </patternFill>
    </fill>
    <fill>
      <patternFill patternType="solid">
        <fgColor rgb="FFFFE0B2"/>
        <bgColor rgb="FFFFE0B2"/>
      </patternFill>
    </fill>
    <fill>
      <patternFill patternType="solid">
        <fgColor rgb="FFE3F2FD"/>
        <bgColor rgb="FFE3F2FD"/>
      </patternFill>
    </fill>
    <fill>
      <patternFill patternType="solid">
        <fgColor rgb="FFFF0000"/>
        <bgColor rgb="FFFF0000"/>
      </patternFill>
    </fill>
    <fill>
      <patternFill patternType="solid">
        <fgColor rgb="FFFF6600"/>
        <bgColor rgb="FFFF6600"/>
      </patternFill>
    </fill>
    <fill>
      <patternFill patternType="solid">
        <fgColor rgb="FFFFD966"/>
        <bgColor rgb="FFFFD966"/>
      </patternFill>
    </fill>
    <fill>
      <patternFill patternType="solid">
        <fgColor rgb="FFD9EAD3"/>
        <bgColor rgb="FFD9EAD3"/>
      </patternFill>
    </fill>
    <fill>
      <patternFill patternType="solid">
        <fgColor rgb="FFD6E4F0"/>
        <bgColor rgb="FFD6E4F0"/>
      </patternFill>
    </fill>
    <fill>
      <patternFill patternType="solid">
        <fgColor rgb="FF8BC34A"/>
        <bgColor rgb="FF8BC34A"/>
      </patternFill>
    </fill>
    <fill>
      <patternFill patternType="solid">
        <fgColor rgb="FFE2EFDA"/>
        <bgColor rgb="FFE2EFDA"/>
      </patternFill>
    </fill>
    <fill>
      <patternFill patternType="solid">
        <fgColor rgb="FFEA9999"/>
        <bgColor rgb="FFEA9999"/>
      </patternFill>
    </fill>
    <fill>
      <patternFill patternType="solid">
        <fgColor rgb="FFFFF0F0"/>
        <bgColor rgb="FFFFF0F0"/>
      </patternFill>
    </fill>
    <fill>
      <patternFill patternType="solid">
        <fgColor rgb="FFFFE6DD"/>
        <bgColor rgb="FFFFE6DD"/>
      </patternFill>
    </fill>
    <fill>
      <patternFill patternType="solid">
        <fgColor rgb="FF2E5090"/>
        <bgColor rgb="FF2E5090"/>
      </patternFill>
    </fill>
    <fill>
      <patternFill patternType="solid">
        <fgColor rgb="FF1F6B75"/>
        <bgColor rgb="FF1F6B75"/>
      </patternFill>
    </fill>
    <fill>
      <patternFill patternType="solid">
        <fgColor rgb="FFFADADD"/>
        <bgColor rgb="FFFADADD"/>
      </patternFill>
    </fill>
    <fill>
      <patternFill patternType="solid">
        <fgColor rgb="FFFDE9D9"/>
        <bgColor rgb="FFFDE9D9"/>
      </patternFill>
    </fill>
    <fill>
      <patternFill patternType="solid">
        <fgColor rgb="FFFCE4D6"/>
        <bgColor rgb="FFFCE4D6"/>
      </patternFill>
    </fill>
    <fill>
      <patternFill patternType="solid">
        <fgColor rgb="FFFFF2CC"/>
        <bgColor rgb="FFFFF2CC"/>
      </patternFill>
    </fill>
    <fill>
      <patternFill patternType="solid">
        <fgColor rgb="FFFDECEA"/>
        <bgColor rgb="FFFDECEA"/>
      </patternFill>
    </fill>
    <fill>
      <patternFill patternType="solid">
        <fgColor rgb="FFD4EDBC"/>
        <bgColor rgb="FFD4EDBC"/>
      </patternFill>
    </fill>
    <fill>
      <patternFill patternType="solid">
        <fgColor rgb="FFFFE5A0"/>
        <bgColor rgb="FFFFE5A0"/>
      </patternFill>
    </fill>
    <fill>
      <patternFill patternType="solid">
        <fgColor rgb="FF2E75B5"/>
        <bgColor rgb="FF2E75B5"/>
      </patternFill>
    </fill>
    <fill>
      <patternFill patternType="solid">
        <fgColor rgb="FFCC4125"/>
        <bgColor rgb="FFCC4125"/>
      </patternFill>
    </fill>
    <fill>
      <patternFill patternType="solid">
        <fgColor rgb="FFFFFF00"/>
        <bgColor rgb="FFFFFF00"/>
      </patternFill>
    </fill>
    <fill>
      <patternFill patternType="solid">
        <fgColor rgb="FFCCCCCC"/>
        <bgColor rgb="FFCCCCCC"/>
      </patternFill>
    </fill>
    <fill>
      <patternFill patternType="solid">
        <fgColor rgb="FFF9CB9C"/>
        <bgColor rgb="FFF9CB9C"/>
      </patternFill>
    </fill>
  </fills>
  <borders count="6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right/>
      <top/>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top style="thin">
        <color rgb="FF999999"/>
      </top>
      <bottom style="thin">
        <color rgb="FF999999"/>
      </bottom>
    </border>
    <border>
      <left/>
    </border>
    <border>
      <right/>
    </border>
    <border>
      <left style="thin">
        <color rgb="FF999999"/>
      </left>
      <top style="thin">
        <color rgb="FF999999"/>
      </top>
    </border>
    <border>
      <right style="thin">
        <color rgb="FF999999"/>
      </right>
      <top style="thin">
        <color rgb="FF999999"/>
      </top>
    </border>
    <border>
      <left style="thin">
        <color rgb="FF999999"/>
      </left>
      <right style="thin">
        <color rgb="FF999999"/>
      </right>
      <top style="thin">
        <color rgb="FF999999"/>
      </top>
    </border>
    <border>
      <left style="thin">
        <color rgb="FF000000"/>
      </left>
      <bottom style="thin">
        <color rgb="FF999999"/>
      </bottom>
    </border>
    <border>
      <right style="thin">
        <color rgb="FF999999"/>
      </right>
      <bottom style="thin">
        <color rgb="FF999999"/>
      </bottom>
    </border>
    <border>
      <bottom style="thin">
        <color rgb="FF999999"/>
      </bottom>
    </border>
    <border>
      <left style="thin">
        <color rgb="FF000000"/>
      </left>
      <top style="thin">
        <color rgb="FF000000"/>
      </top>
      <bottom style="thin">
        <color rgb="FF999999"/>
      </bottom>
    </border>
    <border>
      <right style="thin">
        <color rgb="FF999999"/>
      </right>
      <top style="thin">
        <color rgb="FF000000"/>
      </top>
      <bottom style="thin">
        <color rgb="FF999999"/>
      </bottom>
    </border>
    <border>
      <top style="thin">
        <color rgb="FF000000"/>
      </top>
      <bottom style="thin">
        <color rgb="FF999999"/>
      </bottom>
    </border>
    <border>
      <left style="thin">
        <color rgb="FF000000"/>
      </left>
      <top style="thin">
        <color rgb="FF000000"/>
      </top>
    </border>
    <border>
      <right style="thin">
        <color rgb="FF999999"/>
      </right>
      <top style="thin">
        <color rgb="FF000000"/>
      </top>
    </border>
    <border>
      <bottom style="thin">
        <color rgb="FF000000"/>
      </bottom>
    </border>
    <border>
      <right style="thin">
        <color rgb="FF000000"/>
      </right>
      <bottom style="thin">
        <color rgb="FF000000"/>
      </bottom>
    </border>
    <border>
      <top style="thin">
        <color rgb="FF999999"/>
      </top>
    </border>
    <border>
      <left style="thin">
        <color rgb="FFB0B0B0"/>
      </left>
      <right style="thin">
        <color rgb="FFB0B0B0"/>
      </right>
      <top style="thin">
        <color rgb="FFB0B0B0"/>
      </top>
      <bottom style="thin">
        <color rgb="FFB0B0B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99999"/>
      </left>
      <top style="thin">
        <color rgb="FF999999"/>
      </top>
      <bottom style="thin">
        <color rgb="FF000000"/>
      </bottom>
    </border>
    <border>
      <right style="thin">
        <color rgb="FF000000"/>
      </right>
      <top style="thin">
        <color rgb="FF999999"/>
      </top>
      <bottom style="thin">
        <color rgb="FF000000"/>
      </bottom>
    </border>
    <border>
      <left style="thin">
        <color rgb="FF999999"/>
      </left>
      <bottom style="thin">
        <color rgb="FF000000"/>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n">
        <color rgb="FFCCCCCC"/>
      </left>
      <right style="thin">
        <color rgb="FFCCCCCC"/>
      </right>
      <top style="thin">
        <color rgb="FFCCCCCC"/>
      </top>
      <bottom style="thin">
        <color rgb="FFCCCCCC"/>
      </bottom>
    </border>
    <border>
      <top style="thin">
        <color rgb="FFBFBFBF"/>
      </top>
      <bottom style="thin">
        <color rgb="FFBFBFBF"/>
      </bottom>
    </border>
    <border>
      <right style="thin">
        <color rgb="FFBFBFBF"/>
      </right>
      <top style="thin">
        <color rgb="FFBFBFBF"/>
      </top>
      <bottom style="thin">
        <color rgb="FFBFBFBF"/>
      </bottom>
    </border>
    <border>
      <left style="thin">
        <color rgb="FFB8CCE4"/>
      </left>
      <right style="thin">
        <color rgb="FFB8CCE4"/>
      </right>
      <top style="thin">
        <color rgb="FFB8CCE4"/>
      </top>
      <bottom style="thin">
        <color rgb="FFB8CCE4"/>
      </bottom>
    </border>
    <border>
      <left style="thin">
        <color rgb="FF1F3864"/>
      </left>
      <top style="thin">
        <color rgb="FF1F3864"/>
      </top>
      <bottom style="thin">
        <color rgb="FF1F3864"/>
      </bottom>
    </border>
    <border>
      <top style="thin">
        <color rgb="FF1F3864"/>
      </top>
      <bottom style="thin">
        <color rgb="FF1F3864"/>
      </bottom>
    </border>
    <border>
      <left style="thin">
        <color rgb="FF2E5090"/>
      </left>
      <right style="thin">
        <color rgb="FF2E5090"/>
      </right>
      <top style="thin">
        <color rgb="FF2E5090"/>
      </top>
      <bottom style="thin">
        <color rgb="FF2E5090"/>
      </bottom>
    </border>
    <border>
      <left style="thin">
        <color rgb="FF1F6B75"/>
      </left>
      <top style="thin">
        <color rgb="FF1F6B75"/>
      </top>
      <bottom style="thin">
        <color rgb="FF1F6B75"/>
      </bottom>
    </border>
    <border>
      <top style="thin">
        <color rgb="FF1F6B75"/>
      </top>
      <bottom style="thin">
        <color rgb="FF1F6B75"/>
      </bottom>
    </border>
    <border>
      <left style="thin">
        <color rgb="FFBF0000"/>
      </left>
      <top style="thin">
        <color rgb="FFBF0000"/>
      </top>
    </border>
    <border>
      <top style="thin">
        <color rgb="FFBF0000"/>
      </top>
    </border>
    <border>
      <left style="thin">
        <color rgb="FFB8CCE4"/>
      </left>
      <right style="thin">
        <color rgb="FFB8CCE4"/>
      </right>
      <bottom style="thin">
        <color rgb="FFB8CCE4"/>
      </bottom>
    </border>
    <border>
      <left style="thin">
        <color rgb="FF1F3864"/>
      </left>
      <top style="thin">
        <color rgb="FF1F3864"/>
      </top>
    </border>
    <border>
      <top style="thin">
        <color rgb="FF1F3864"/>
      </top>
    </border>
    <border>
      <left style="thin">
        <color rgb="FFB8CCE4"/>
      </left>
      <top style="thin">
        <color rgb="FFB8CCE4"/>
      </top>
      <bottom style="thin">
        <color rgb="FFB8CCE4"/>
      </bottom>
    </border>
    <border>
      <top style="thin">
        <color rgb="FFB8CCE4"/>
      </top>
      <bottom style="thin">
        <color rgb="FFB8CCE4"/>
      </bottom>
    </border>
    <border>
      <left style="thin">
        <color rgb="FF999999"/>
      </left>
      <right style="thin">
        <color rgb="FF999999"/>
      </right>
    </border>
    <border>
      <left style="thin">
        <color rgb="FF999999"/>
      </left>
      <right style="thin">
        <color rgb="FF999999"/>
      </right>
      <bottom style="thin">
        <color rgb="FF999999"/>
      </bottom>
    </border>
    <border>
      <left style="thin">
        <color rgb="FF999999"/>
      </left>
    </border>
    <border>
      <right style="thin">
        <color rgb="FF999999"/>
      </right>
    </border>
    <border>
      <left style="thin">
        <color rgb="FF999999"/>
      </left>
      <bottom style="thin">
        <color rgb="FF999999"/>
      </bottom>
    </border>
    <border>
      <left style="thin">
        <color rgb="FFB7B7B7"/>
      </left>
      <right style="thin">
        <color rgb="FFB7B7B7"/>
      </right>
      <top style="thin">
        <color rgb="FFB7B7B7"/>
      </top>
    </border>
    <border>
      <left style="thin">
        <color rgb="FFB7B7B7"/>
      </left>
      <right style="thin">
        <color rgb="FFB7B7B7"/>
      </right>
      <bottom style="thin">
        <color rgb="FFB7B7B7"/>
      </bottom>
    </border>
    <border>
      <left style="thin">
        <color rgb="FFB7B7B7"/>
      </left>
      <right style="thin">
        <color rgb="FFB7B7B7"/>
      </right>
    </border>
  </borders>
  <cellStyleXfs count="1">
    <xf borderId="0" fillId="0" fontId="0" numFmtId="0" applyAlignment="1" applyFont="1"/>
  </cellStyleXfs>
  <cellXfs count="5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0" fillId="0" fontId="3" numFmtId="0" xfId="0" applyAlignment="1" applyFont="1">
      <alignment horizontal="center" shrinkToFit="0" wrapText="1"/>
    </xf>
    <xf borderId="1" fillId="3" fontId="4" numFmtId="0" xfId="0" applyAlignment="1" applyBorder="1" applyFill="1" applyFont="1">
      <alignment horizontal="center" readingOrder="0" shrinkToFit="0" vertical="center" wrapText="1"/>
    </xf>
    <xf borderId="2" fillId="3" fontId="4" numFmtId="0" xfId="0" applyAlignment="1" applyBorder="1" applyFont="1">
      <alignment horizontal="center" readingOrder="0" shrinkToFit="0" vertical="center" wrapText="1"/>
    </xf>
    <xf borderId="3" fillId="0" fontId="5" numFmtId="0" xfId="0" applyBorder="1" applyFont="1"/>
    <xf borderId="4" fillId="0" fontId="5" numFmtId="0" xfId="0" applyBorder="1" applyFont="1"/>
    <xf borderId="0" fillId="0" fontId="6" numFmtId="0" xfId="0" applyAlignment="1" applyFont="1">
      <alignment vertical="center"/>
    </xf>
    <xf borderId="0" fillId="0" fontId="3" numFmtId="0" xfId="0" applyAlignment="1" applyFont="1">
      <alignment shrinkToFit="0" wrapText="1"/>
    </xf>
    <xf borderId="0" fillId="0" fontId="7" numFmtId="0" xfId="0" applyAlignment="1" applyFont="1">
      <alignment shrinkToFit="0" wrapText="1"/>
    </xf>
    <xf borderId="1" fillId="4" fontId="8" numFmtId="164" xfId="0" applyAlignment="1" applyBorder="1" applyFill="1" applyFont="1" applyNumberFormat="1">
      <alignment horizontal="center" readingOrder="0" shrinkToFit="0" vertical="center" wrapText="1"/>
    </xf>
    <xf borderId="1" fillId="4" fontId="8" numFmtId="0" xfId="0" applyAlignment="1" applyBorder="1" applyFont="1">
      <alignment horizontal="left" readingOrder="0" shrinkToFit="0" vertical="center" wrapText="1"/>
    </xf>
    <xf borderId="0" fillId="4" fontId="8" numFmtId="0" xfId="0" applyAlignment="1" applyFont="1">
      <alignment readingOrder="0" shrinkToFit="0" vertical="center" wrapText="1"/>
    </xf>
    <xf borderId="1" fillId="0" fontId="8" numFmtId="0" xfId="0" applyAlignment="1" applyBorder="1" applyFont="1">
      <alignment horizontal="left" readingOrder="0" shrinkToFit="0" vertical="center" wrapText="1"/>
    </xf>
    <xf borderId="1" fillId="5" fontId="9" numFmtId="0" xfId="0" applyAlignment="1" applyBorder="1" applyFill="1" applyFont="1">
      <alignment readingOrder="0" shrinkToFit="0" vertical="center" wrapText="1"/>
    </xf>
    <xf borderId="1" fillId="0" fontId="4" numFmtId="0" xfId="0" applyAlignment="1" applyBorder="1" applyFont="1">
      <alignment horizontal="center" readingOrder="0" shrinkToFit="0" vertical="center" wrapText="1"/>
    </xf>
    <xf borderId="1" fillId="5" fontId="10"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5" fillId="4" fontId="11" numFmtId="0" xfId="0" applyAlignment="1" applyBorder="1" applyFont="1">
      <alignment readingOrder="0" shrinkToFit="0" vertical="bottom" wrapText="1"/>
    </xf>
    <xf borderId="6" fillId="0" fontId="5" numFmtId="0" xfId="0" applyBorder="1" applyFont="1"/>
    <xf borderId="7" fillId="0" fontId="5" numFmtId="0" xfId="0" applyBorder="1" applyFont="1"/>
    <xf borderId="0" fillId="0" fontId="12" numFmtId="0" xfId="0" applyAlignment="1" applyFont="1">
      <alignment shrinkToFit="0" wrapText="1"/>
    </xf>
    <xf borderId="1" fillId="6" fontId="13" numFmtId="0" xfId="0" applyAlignment="1" applyBorder="1" applyFill="1" applyFont="1">
      <alignment horizontal="center" readingOrder="0" shrinkToFit="0" vertical="center" wrapText="1"/>
    </xf>
    <xf borderId="2" fillId="6" fontId="13" numFmtId="0" xfId="0" applyAlignment="1" applyBorder="1" applyFont="1">
      <alignment horizontal="center" readingOrder="0" shrinkToFit="0" vertical="center" wrapText="1"/>
    </xf>
    <xf borderId="0" fillId="0" fontId="14" numFmtId="0" xfId="0" applyAlignment="1" applyFont="1">
      <alignment readingOrder="0" shrinkToFit="0" wrapText="1"/>
    </xf>
    <xf borderId="8" fillId="0" fontId="15" numFmtId="165" xfId="0" applyAlignment="1" applyBorder="1" applyFont="1" applyNumberFormat="1">
      <alignment readingOrder="0" shrinkToFit="0" wrapText="1"/>
    </xf>
    <xf borderId="9" fillId="0" fontId="15" numFmtId="0" xfId="0" applyAlignment="1" applyBorder="1" applyFont="1">
      <alignment readingOrder="0" shrinkToFit="0" wrapText="1"/>
    </xf>
    <xf borderId="10" fillId="0" fontId="5" numFmtId="0" xfId="0" applyBorder="1" applyFont="1"/>
    <xf borderId="8" fillId="0" fontId="15" numFmtId="166" xfId="0" applyAlignment="1" applyBorder="1" applyFont="1" applyNumberFormat="1">
      <alignment readingOrder="0" shrinkToFit="0" wrapText="1"/>
    </xf>
    <xf borderId="9" fillId="7" fontId="15" numFmtId="0" xfId="0" applyAlignment="1" applyBorder="1" applyFill="1" applyFont="1">
      <alignment readingOrder="0" shrinkToFit="0" vertical="bottom" wrapText="1"/>
    </xf>
    <xf borderId="11" fillId="0" fontId="5" numFmtId="0" xfId="0" applyBorder="1" applyFont="1"/>
    <xf borderId="9" fillId="0" fontId="15" numFmtId="0" xfId="0" applyAlignment="1" applyBorder="1" applyFont="1">
      <alignment readingOrder="0" shrinkToFit="0" vertical="bottom" wrapText="1"/>
    </xf>
    <xf borderId="9" fillId="8" fontId="15" numFmtId="0" xfId="0" applyAlignment="1" applyBorder="1" applyFill="1" applyFont="1">
      <alignment readingOrder="0" shrinkToFit="0" vertical="bottom" wrapText="1"/>
    </xf>
    <xf borderId="12" fillId="4" fontId="11" numFmtId="0" xfId="0" applyAlignment="1" applyBorder="1" applyFont="1">
      <alignment readingOrder="0" shrinkToFit="0" vertical="bottom" wrapText="1"/>
    </xf>
    <xf borderId="13" fillId="0" fontId="5" numFmtId="0" xfId="0" applyBorder="1" applyFont="1"/>
    <xf borderId="8" fillId="0" fontId="15" numFmtId="0" xfId="0" applyAlignment="1" applyBorder="1" applyFont="1">
      <alignment readingOrder="0" shrinkToFit="0" wrapText="1"/>
    </xf>
    <xf borderId="8" fillId="4" fontId="15" numFmtId="167" xfId="0" applyAlignment="1" applyBorder="1" applyFont="1" applyNumberFormat="1">
      <alignment readingOrder="0" shrinkToFit="0" wrapText="1"/>
    </xf>
    <xf borderId="8" fillId="4" fontId="15" numFmtId="0" xfId="0" applyAlignment="1" applyBorder="1" applyFont="1">
      <alignment readingOrder="0" shrinkToFit="0" wrapText="1"/>
    </xf>
    <xf borderId="14" fillId="0" fontId="15" numFmtId="0" xfId="0" applyAlignment="1" applyBorder="1" applyFont="1">
      <alignment readingOrder="0" shrinkToFit="0" wrapText="1"/>
    </xf>
    <xf borderId="15" fillId="0" fontId="5" numFmtId="0" xfId="0" applyBorder="1" applyFont="1"/>
    <xf borderId="16" fillId="0" fontId="15" numFmtId="0" xfId="0" applyAlignment="1" applyBorder="1" applyFont="1">
      <alignment readingOrder="0" shrinkToFit="0" wrapText="1"/>
    </xf>
    <xf borderId="16" fillId="4" fontId="15" numFmtId="167" xfId="0" applyAlignment="1" applyBorder="1" applyFont="1" applyNumberFormat="1">
      <alignment readingOrder="0" shrinkToFit="0" wrapText="1"/>
    </xf>
    <xf borderId="16" fillId="4" fontId="15" numFmtId="0" xfId="0" applyAlignment="1" applyBorder="1" applyFont="1">
      <alignment readingOrder="0" shrinkToFit="0" wrapText="1"/>
    </xf>
    <xf borderId="2" fillId="0" fontId="15" numFmtId="0" xfId="0" applyAlignment="1" applyBorder="1" applyFont="1">
      <alignment readingOrder="0" shrinkToFit="0" wrapText="1"/>
    </xf>
    <xf borderId="1" fillId="0" fontId="15" numFmtId="0" xfId="0" applyAlignment="1" applyBorder="1" applyFont="1">
      <alignment readingOrder="0" shrinkToFit="0" wrapText="1"/>
    </xf>
    <xf borderId="1" fillId="4" fontId="15" numFmtId="167" xfId="0" applyAlignment="1" applyBorder="1" applyFont="1" applyNumberFormat="1">
      <alignment readingOrder="0" shrinkToFit="0" wrapText="1"/>
    </xf>
    <xf borderId="1" fillId="4" fontId="15" numFmtId="0" xfId="0" applyAlignment="1" applyBorder="1" applyFont="1">
      <alignment readingOrder="0" shrinkToFit="0" wrapText="1"/>
    </xf>
    <xf borderId="17" fillId="0" fontId="8" numFmtId="0" xfId="0" applyAlignment="1" applyBorder="1" applyFont="1">
      <alignment horizontal="left" readingOrder="0" shrinkToFit="0" wrapText="1"/>
    </xf>
    <xf borderId="18" fillId="0" fontId="5" numFmtId="0" xfId="0" applyBorder="1" applyFont="1"/>
    <xf borderId="19" fillId="0" fontId="5" numFmtId="0" xfId="0" applyBorder="1" applyFont="1"/>
    <xf borderId="20" fillId="0" fontId="8" numFmtId="0" xfId="0" applyAlignment="1" applyBorder="1" applyFont="1">
      <alignment horizontal="left" readingOrder="0" shrinkToFit="0" wrapText="1"/>
    </xf>
    <xf borderId="21" fillId="0" fontId="5" numFmtId="0" xfId="0" applyBorder="1" applyFont="1"/>
    <xf borderId="22" fillId="0" fontId="5" numFmtId="0" xfId="0" applyBorder="1" applyFont="1"/>
    <xf borderId="23" fillId="0" fontId="8" numFmtId="0" xfId="0" applyAlignment="1" applyBorder="1" applyFont="1">
      <alignment horizontal="left" readingOrder="0" shrinkToFit="0" wrapText="1"/>
    </xf>
    <xf borderId="24" fillId="0" fontId="5" numFmtId="0" xfId="0" applyBorder="1" applyFont="1"/>
    <xf borderId="1" fillId="4" fontId="8" numFmtId="0" xfId="0" applyAlignment="1" applyBorder="1" applyFont="1">
      <alignment horizontal="center" readingOrder="0" vertical="center"/>
    </xf>
    <xf borderId="1" fillId="4" fontId="8" numFmtId="168" xfId="0" applyAlignment="1" applyBorder="1" applyFont="1" applyNumberFormat="1">
      <alignment horizontal="center" readingOrder="0" vertical="center"/>
    </xf>
    <xf borderId="1" fillId="4" fontId="4" numFmtId="0" xfId="0" applyAlignment="1" applyBorder="1" applyFont="1">
      <alignment horizontal="center" readingOrder="0" vertical="center"/>
    </xf>
    <xf borderId="25" fillId="4" fontId="8" numFmtId="0" xfId="0" applyAlignment="1" applyBorder="1" applyFont="1">
      <alignment readingOrder="0" shrinkToFit="0" vertical="bottom" wrapText="1"/>
    </xf>
    <xf borderId="26" fillId="0" fontId="5" numFmtId="0" xfId="0" applyBorder="1" applyFont="1"/>
    <xf borderId="27" fillId="0" fontId="5" numFmtId="0" xfId="0" applyBorder="1" applyFont="1"/>
    <xf borderId="9" fillId="0" fontId="15" numFmtId="0" xfId="0" applyAlignment="1" applyBorder="1" applyFont="1">
      <alignment shrinkToFit="0" wrapText="1"/>
    </xf>
    <xf borderId="8" fillId="6" fontId="1" numFmtId="0" xfId="0" applyAlignment="1" applyBorder="1" applyFont="1">
      <alignment horizontal="center" readingOrder="0" shrinkToFit="0" vertical="center" wrapText="0"/>
    </xf>
    <xf borderId="8" fillId="6" fontId="1" numFmtId="0" xfId="0" applyAlignment="1" applyBorder="1" applyFont="1">
      <alignment horizontal="center" vertical="center"/>
    </xf>
    <xf borderId="0" fillId="0" fontId="16" numFmtId="0" xfId="0" applyAlignment="1" applyFont="1">
      <alignment horizontal="center" readingOrder="0" shrinkToFit="0" vertical="bottom" wrapText="0"/>
    </xf>
    <xf borderId="0" fillId="0" fontId="17" numFmtId="0" xfId="0" applyAlignment="1" applyFont="1">
      <alignment horizontal="center" shrinkToFit="0" vertical="center" wrapText="1"/>
    </xf>
    <xf borderId="8" fillId="4" fontId="18" numFmtId="0" xfId="0" applyAlignment="1" applyBorder="1" applyFont="1">
      <alignment readingOrder="0" shrinkToFit="0" vertical="center" wrapText="1"/>
    </xf>
    <xf borderId="8" fillId="4" fontId="15" numFmtId="0" xfId="0" applyAlignment="1" applyBorder="1" applyFont="1">
      <alignment horizontal="center" vertical="center"/>
    </xf>
    <xf borderId="28" fillId="4" fontId="19" numFmtId="0" xfId="0" applyAlignment="1" applyBorder="1" applyFont="1">
      <alignment readingOrder="0" shrinkToFit="0" vertical="center" wrapText="1"/>
    </xf>
    <xf borderId="0" fillId="0" fontId="17" numFmtId="0" xfId="0" applyAlignment="1" applyFont="1">
      <alignment shrinkToFit="0" vertical="center" wrapText="1"/>
    </xf>
    <xf borderId="1" fillId="6" fontId="20" numFmtId="0" xfId="0" applyAlignment="1" applyBorder="1" applyFont="1">
      <alignment horizontal="center" readingOrder="0" vertical="center"/>
    </xf>
    <xf borderId="0" fillId="0" fontId="21" numFmtId="0" xfId="0" applyAlignment="1" applyFont="1">
      <alignment horizontal="center"/>
    </xf>
    <xf borderId="0" fillId="0" fontId="22" numFmtId="0" xfId="0" applyAlignment="1" applyFont="1">
      <alignment horizontal="center" readingOrder="0" shrinkToFit="0" wrapText="1"/>
    </xf>
    <xf borderId="0" fillId="0" fontId="22" numFmtId="0" xfId="0" applyAlignment="1" applyFont="1">
      <alignment horizontal="center" shrinkToFit="0" wrapText="1"/>
    </xf>
    <xf borderId="29" fillId="4" fontId="23" numFmtId="0" xfId="0" applyAlignment="1" applyBorder="1" applyFont="1">
      <alignment vertical="center"/>
    </xf>
    <xf borderId="29" fillId="4" fontId="23" numFmtId="49" xfId="0" applyAlignment="1" applyBorder="1" applyFont="1" applyNumberFormat="1">
      <alignment shrinkToFit="0" vertical="center" wrapText="1"/>
    </xf>
    <xf borderId="29" fillId="4" fontId="23" numFmtId="0" xfId="0" applyAlignment="1" applyBorder="1" applyFont="1">
      <alignment shrinkToFit="0" vertical="center" wrapText="1"/>
    </xf>
    <xf borderId="1" fillId="4" fontId="24" numFmtId="0" xfId="0" applyAlignment="1" applyBorder="1" applyFont="1">
      <alignment vertical="center"/>
    </xf>
    <xf borderId="1" fillId="4" fontId="23" numFmtId="0" xfId="0" applyAlignment="1" applyBorder="1" applyFont="1">
      <alignment shrinkToFit="0" vertical="center" wrapText="1"/>
    </xf>
    <xf borderId="1" fillId="4" fontId="23" numFmtId="0" xfId="0" applyAlignment="1" applyBorder="1" applyFont="1">
      <alignment readingOrder="0" vertical="center"/>
    </xf>
    <xf borderId="1" fillId="4" fontId="23" numFmtId="0" xfId="0" applyAlignment="1" applyBorder="1" applyFont="1">
      <alignment readingOrder="0" shrinkToFit="0" vertical="center" wrapText="1"/>
    </xf>
    <xf borderId="1" fillId="0" fontId="3" numFmtId="0" xfId="0" applyAlignment="1" applyBorder="1" applyFont="1">
      <alignment horizontal="center" shrinkToFit="0" wrapText="1"/>
    </xf>
    <xf borderId="30" fillId="9" fontId="5" numFmtId="0" xfId="0" applyBorder="1" applyFill="1" applyFont="1"/>
    <xf borderId="1" fillId="9" fontId="25" numFmtId="0" xfId="0" applyAlignment="1" applyBorder="1" applyFont="1">
      <alignment readingOrder="0" shrinkToFit="0" vertical="center" wrapText="0"/>
    </xf>
    <xf borderId="1" fillId="9" fontId="25" numFmtId="0" xfId="0" applyAlignment="1" applyBorder="1" applyFont="1">
      <alignment readingOrder="0" shrinkToFit="0" vertical="center" wrapText="1"/>
    </xf>
    <xf borderId="1" fillId="0" fontId="3" numFmtId="0" xfId="0" applyAlignment="1" applyBorder="1" applyFont="1">
      <alignment shrinkToFit="0" wrapText="1"/>
    </xf>
    <xf borderId="1" fillId="0" fontId="7" numFmtId="0" xfId="0" applyAlignment="1" applyBorder="1" applyFont="1">
      <alignment shrinkToFit="0" wrapText="1"/>
    </xf>
    <xf borderId="31" fillId="4" fontId="5" numFmtId="0" xfId="0" applyBorder="1" applyFont="1"/>
    <xf borderId="1" fillId="4" fontId="25" numFmtId="0" xfId="0" applyAlignment="1" applyBorder="1" applyFont="1">
      <alignment readingOrder="0" shrinkToFit="0" vertical="center" wrapText="0"/>
    </xf>
    <xf borderId="1" fillId="4" fontId="25" numFmtId="0" xfId="0" applyAlignment="1" applyBorder="1" applyFont="1">
      <alignment readingOrder="0" shrinkToFit="0" vertical="center" wrapText="1"/>
    </xf>
    <xf borderId="29" fillId="9" fontId="25" numFmtId="0" xfId="0" applyAlignment="1" applyBorder="1" applyFont="1">
      <alignment readingOrder="0" shrinkToFit="0" vertical="center" wrapText="0"/>
    </xf>
    <xf borderId="29" fillId="9" fontId="25" numFmtId="0" xfId="0" applyAlignment="1" applyBorder="1" applyFont="1">
      <alignment readingOrder="0" shrinkToFit="0" vertical="center" wrapText="1"/>
    </xf>
    <xf borderId="30" fillId="4" fontId="5" numFmtId="0" xfId="0" applyBorder="1" applyFont="1"/>
    <xf borderId="31" fillId="9" fontId="5" numFmtId="0" xfId="0" applyBorder="1" applyFont="1"/>
    <xf borderId="29" fillId="4" fontId="23" numFmtId="0" xfId="0" applyAlignment="1" applyBorder="1" applyFont="1">
      <alignment shrinkToFit="0" vertical="center" wrapText="0"/>
    </xf>
    <xf borderId="29" fillId="4" fontId="23" numFmtId="0" xfId="0" applyAlignment="1" applyBorder="1" applyFont="1">
      <alignment shrinkToFit="0" vertical="center" wrapText="0"/>
    </xf>
    <xf borderId="1" fillId="4" fontId="26" numFmtId="0" xfId="0" applyAlignment="1" applyBorder="1" applyFont="1">
      <alignment shrinkToFit="0" vertical="center" wrapText="0"/>
    </xf>
    <xf borderId="1" fillId="4" fontId="23" numFmtId="0" xfId="0" applyAlignment="1" applyBorder="1" applyFont="1">
      <alignment shrinkToFit="0" vertical="center" wrapText="0"/>
    </xf>
    <xf borderId="1" fillId="4" fontId="25" numFmtId="0" xfId="0" applyAlignment="1" applyBorder="1" applyFont="1">
      <alignment readingOrder="0" vertical="center"/>
    </xf>
    <xf borderId="1" fillId="9" fontId="25" numFmtId="0" xfId="0" applyAlignment="1" applyBorder="1" applyFont="1">
      <alignment readingOrder="0" vertical="center"/>
    </xf>
    <xf borderId="29" fillId="4" fontId="25" numFmtId="0" xfId="0" applyAlignment="1" applyBorder="1" applyFont="1">
      <alignment readingOrder="0" shrinkToFit="0" vertical="center" wrapText="1"/>
    </xf>
    <xf borderId="29" fillId="4" fontId="25" numFmtId="0" xfId="0" applyAlignment="1" applyBorder="1" applyFont="1">
      <alignment shrinkToFit="0" vertical="center" wrapText="1"/>
    </xf>
    <xf borderId="1" fillId="4" fontId="25" numFmtId="0" xfId="0" applyAlignment="1" applyBorder="1" applyFont="1">
      <alignment shrinkToFit="0" vertical="center" wrapText="1"/>
    </xf>
    <xf borderId="1" fillId="9" fontId="25" numFmtId="0" xfId="0" applyAlignment="1" applyBorder="1" applyFont="1">
      <alignment shrinkToFit="0" vertical="center" wrapText="1"/>
    </xf>
    <xf borderId="29" fillId="9" fontId="25" numFmtId="0" xfId="0" applyAlignment="1" applyBorder="1" applyFont="1">
      <alignment shrinkToFit="0" vertical="center" wrapText="1"/>
    </xf>
    <xf borderId="1" fillId="9" fontId="25" numFmtId="0" xfId="0" applyAlignment="1" applyBorder="1" applyFont="1">
      <alignment shrinkToFit="0" vertical="center" wrapText="1"/>
    </xf>
    <xf borderId="1" fillId="9" fontId="25" numFmtId="0" xfId="0" applyAlignment="1" applyBorder="1" applyFont="1">
      <alignment shrinkToFit="0" vertical="center" wrapText="1"/>
    </xf>
    <xf borderId="29" fillId="4" fontId="25" numFmtId="0" xfId="0" applyAlignment="1" applyBorder="1" applyFont="1">
      <alignment shrinkToFit="0" vertical="center" wrapText="1"/>
    </xf>
    <xf borderId="1" fillId="4" fontId="25" numFmtId="0" xfId="0" applyAlignment="1" applyBorder="1" applyFont="1">
      <alignment shrinkToFit="0" vertical="center" wrapText="1"/>
    </xf>
    <xf borderId="1" fillId="4" fontId="25" numFmtId="0" xfId="0" applyAlignment="1" applyBorder="1" applyFont="1">
      <alignment shrinkToFit="0" vertical="center" wrapText="1"/>
    </xf>
    <xf borderId="29" fillId="9" fontId="25" numFmtId="0" xfId="0" applyAlignment="1" applyBorder="1" applyFont="1">
      <alignment shrinkToFit="0" vertical="center" wrapText="0"/>
    </xf>
    <xf borderId="29" fillId="4" fontId="25" numFmtId="0" xfId="0" applyAlignment="1" applyBorder="1" applyFont="1">
      <alignment shrinkToFit="0" vertical="center" wrapText="0"/>
    </xf>
    <xf borderId="29" fillId="4" fontId="25" numFmtId="49" xfId="0" applyAlignment="1" applyBorder="1" applyFont="1" applyNumberFormat="1">
      <alignment readingOrder="0" shrinkToFit="0" vertical="center" wrapText="1"/>
    </xf>
    <xf borderId="29" fillId="4" fontId="25" numFmtId="0" xfId="0" applyAlignment="1" applyBorder="1" applyFont="1">
      <alignment readingOrder="0" shrinkToFit="0" vertical="center" wrapText="0"/>
    </xf>
    <xf borderId="1" fillId="9" fontId="25" numFmtId="0" xfId="0" applyAlignment="1" applyBorder="1" applyFont="1">
      <alignment readingOrder="0" shrinkToFit="0" wrapText="1"/>
    </xf>
    <xf borderId="1" fillId="9" fontId="25" numFmtId="0" xfId="0" applyAlignment="1" applyBorder="1" applyFont="1">
      <alignment horizontal="left" readingOrder="0" shrinkToFit="0" vertical="center" wrapText="1"/>
    </xf>
    <xf borderId="1" fillId="4" fontId="25" numFmtId="0" xfId="0" applyAlignment="1" applyBorder="1" applyFont="1">
      <alignment readingOrder="0" shrinkToFit="0" wrapText="1"/>
    </xf>
    <xf borderId="0" fillId="4" fontId="6" numFmtId="0" xfId="0" applyAlignment="1" applyFont="1">
      <alignment readingOrder="0" shrinkToFit="0" vertical="center" wrapText="1"/>
    </xf>
    <xf borderId="1" fillId="4" fontId="6" numFmtId="0" xfId="0" applyAlignment="1" applyBorder="1" applyFont="1">
      <alignment readingOrder="0" shrinkToFit="0" vertical="center" wrapText="1"/>
    </xf>
    <xf borderId="29" fillId="9" fontId="23" numFmtId="0" xfId="0" applyAlignment="1" applyBorder="1" applyFont="1">
      <alignment vertical="center"/>
    </xf>
    <xf borderId="29" fillId="9" fontId="23" numFmtId="49" xfId="0" applyAlignment="1" applyBorder="1" applyFont="1" applyNumberFormat="1">
      <alignment shrinkToFit="0" vertical="center" wrapText="1"/>
    </xf>
    <xf borderId="29" fillId="9" fontId="25" numFmtId="0" xfId="0" applyAlignment="1" applyBorder="1" applyFont="1">
      <alignment readingOrder="0" vertical="center"/>
    </xf>
    <xf borderId="1" fillId="9" fontId="26" numFmtId="0" xfId="0" applyAlignment="1" applyBorder="1" applyFont="1">
      <alignment vertical="center"/>
    </xf>
    <xf borderId="1" fillId="9" fontId="23" numFmtId="0" xfId="0" applyAlignment="1" applyBorder="1" applyFont="1">
      <alignment readingOrder="0" shrinkToFit="0" vertical="center" wrapText="1"/>
    </xf>
    <xf borderId="1" fillId="4" fontId="26" numFmtId="0" xfId="0" applyAlignment="1" applyBorder="1" applyFont="1">
      <alignment readingOrder="0" vertical="center"/>
    </xf>
    <xf borderId="1" fillId="9" fontId="23" numFmtId="0" xfId="0" applyAlignment="1" applyBorder="1" applyFont="1">
      <alignment shrinkToFit="0" vertical="center" wrapText="1"/>
    </xf>
    <xf borderId="29" fillId="4" fontId="25" numFmtId="0" xfId="0" applyAlignment="1" applyBorder="1" applyFont="1">
      <alignment readingOrder="0" vertical="center"/>
    </xf>
    <xf borderId="1" fillId="4" fontId="26" numFmtId="0" xfId="0" applyAlignment="1" applyBorder="1" applyFont="1">
      <alignment vertical="center"/>
    </xf>
    <xf borderId="29" fillId="4" fontId="25" numFmtId="49" xfId="0" applyAlignment="1" applyBorder="1" applyFont="1" applyNumberFormat="1">
      <alignment shrinkToFit="0" vertical="center" wrapText="1"/>
    </xf>
    <xf borderId="0" fillId="9" fontId="6" numFmtId="0" xfId="0" applyAlignment="1" applyFont="1">
      <alignment readingOrder="0" shrinkToFit="0" vertical="center" wrapText="1"/>
    </xf>
    <xf borderId="9" fillId="6" fontId="27" numFmtId="0" xfId="0" applyAlignment="1" applyBorder="1" applyFont="1">
      <alignment readingOrder="0" shrinkToFit="0" vertical="bottom" wrapText="0"/>
    </xf>
    <xf borderId="9" fillId="0" fontId="28" numFmtId="0" xfId="0" applyAlignment="1" applyBorder="1" applyFont="1">
      <alignment readingOrder="0" shrinkToFit="0" vertical="bottom" wrapText="0"/>
    </xf>
    <xf borderId="0" fillId="4" fontId="29" numFmtId="0" xfId="0" applyAlignment="1" applyFont="1">
      <alignment horizontal="center" readingOrder="0" shrinkToFit="0" vertical="center" wrapText="1"/>
    </xf>
    <xf borderId="0" fillId="4" fontId="30" numFmtId="0" xfId="0" applyFont="1"/>
    <xf borderId="0" fillId="4" fontId="6" numFmtId="0" xfId="0" applyFont="1"/>
    <xf borderId="9" fillId="0" fontId="28" numFmtId="169" xfId="0" applyAlignment="1" applyBorder="1" applyFont="1" applyNumberFormat="1">
      <alignment horizontal="left" readingOrder="0" shrinkToFit="0" vertical="bottom" wrapText="0"/>
    </xf>
    <xf borderId="0" fillId="0" fontId="6" numFmtId="0" xfId="0" applyFont="1"/>
    <xf borderId="0" fillId="0" fontId="30" numFmtId="0" xfId="0" applyFont="1"/>
    <xf borderId="29" fillId="10" fontId="31" numFmtId="0" xfId="0" applyAlignment="1" applyBorder="1" applyFill="1" applyFont="1">
      <alignment horizontal="center" readingOrder="0" shrinkToFit="0" vertical="center" wrapText="1"/>
    </xf>
    <xf borderId="29" fillId="10" fontId="25" numFmtId="0" xfId="0" applyAlignment="1" applyBorder="1" applyFont="1">
      <alignment horizontal="center" readingOrder="0" shrinkToFit="0" vertical="center" wrapText="1"/>
    </xf>
    <xf borderId="29" fillId="10" fontId="25" numFmtId="0" xfId="0" applyAlignment="1" applyBorder="1" applyFont="1">
      <alignment horizontal="left" readingOrder="0" shrinkToFit="0" vertical="center" wrapText="1"/>
    </xf>
    <xf borderId="29" fillId="10" fontId="32" numFmtId="0" xfId="0" applyAlignment="1" applyBorder="1" applyFont="1">
      <alignment horizontal="center" readingOrder="0" shrinkToFit="0" vertical="center" wrapText="1"/>
    </xf>
    <xf borderId="1" fillId="10" fontId="25" numFmtId="0" xfId="0" applyAlignment="1" applyBorder="1" applyFont="1">
      <alignment horizontal="left" readingOrder="0" shrinkToFit="0" vertical="center" wrapText="1"/>
    </xf>
    <xf borderId="1" fillId="10" fontId="25" numFmtId="0" xfId="0" applyAlignment="1" applyBorder="1" applyFont="1">
      <alignment horizontal="left" shrinkToFit="0" vertical="center" wrapText="1"/>
    </xf>
    <xf borderId="30" fillId="0" fontId="5" numFmtId="0" xfId="0" applyBorder="1" applyFont="1"/>
    <xf borderId="31" fillId="0" fontId="5" numFmtId="0" xfId="0" applyBorder="1" applyFont="1"/>
    <xf borderId="29" fillId="4" fontId="31" numFmtId="0" xfId="0" applyAlignment="1" applyBorder="1" applyFont="1">
      <alignment horizontal="center" readingOrder="0" shrinkToFit="0" vertical="center" wrapText="1"/>
    </xf>
    <xf borderId="29" fillId="4" fontId="25" numFmtId="0" xfId="0" applyAlignment="1" applyBorder="1" applyFont="1">
      <alignment horizontal="center" readingOrder="0" shrinkToFit="0" vertical="center" wrapText="1"/>
    </xf>
    <xf borderId="29" fillId="4" fontId="25" numFmtId="0" xfId="0" applyAlignment="1" applyBorder="1" applyFont="1">
      <alignment horizontal="left" readingOrder="0" shrinkToFit="0" vertical="center" wrapText="1"/>
    </xf>
    <xf borderId="1" fillId="4" fontId="25" numFmtId="0" xfId="0" applyAlignment="1" applyBorder="1" applyFont="1">
      <alignment horizontal="left" readingOrder="0" shrinkToFit="0" vertical="center" wrapText="1"/>
    </xf>
    <xf borderId="1" fillId="4" fontId="25" numFmtId="0" xfId="0" applyAlignment="1" applyBorder="1" applyFont="1">
      <alignment horizontal="left" shrinkToFit="0" vertical="center" wrapText="1"/>
    </xf>
    <xf borderId="0" fillId="0" fontId="25" numFmtId="0" xfId="0" applyAlignment="1" applyFont="1">
      <alignment readingOrder="0"/>
    </xf>
    <xf borderId="0" fillId="0" fontId="25" numFmtId="0" xfId="0" applyAlignment="1" applyFont="1">
      <alignment readingOrder="0" shrinkToFit="0" vertical="center" wrapText="1"/>
    </xf>
    <xf borderId="1" fillId="4" fontId="25" numFmtId="0" xfId="0" applyAlignment="1" applyBorder="1" applyFont="1">
      <alignment horizontal="center" readingOrder="0" shrinkToFit="0" vertical="center" wrapText="1"/>
    </xf>
    <xf borderId="1" fillId="4" fontId="31" numFmtId="0" xfId="0" applyAlignment="1" applyBorder="1" applyFont="1">
      <alignment horizontal="center" readingOrder="0" shrinkToFit="0" vertical="center" wrapText="1"/>
    </xf>
    <xf borderId="0" fillId="0" fontId="6" numFmtId="0" xfId="0" applyAlignment="1" applyFont="1">
      <alignment readingOrder="0" shrinkToFit="0" vertical="center" wrapText="1"/>
    </xf>
    <xf borderId="32" fillId="6" fontId="33" numFmtId="0" xfId="0" applyAlignment="1" applyBorder="1" applyFont="1">
      <alignment readingOrder="0" shrinkToFit="0" vertical="bottom" wrapText="0"/>
    </xf>
    <xf borderId="33" fillId="0" fontId="5" numFmtId="0" xfId="0" applyBorder="1" applyFont="1"/>
    <xf borderId="1" fillId="6" fontId="30" numFmtId="0" xfId="0" applyBorder="1" applyFont="1"/>
    <xf borderId="0" fillId="0" fontId="0" numFmtId="0" xfId="0" applyAlignment="1" applyFont="1">
      <alignment vertical="center"/>
    </xf>
    <xf borderId="0" fillId="0" fontId="30" numFmtId="0" xfId="0" applyAlignment="1" applyFont="1">
      <alignment vertical="center"/>
    </xf>
    <xf borderId="32" fillId="0" fontId="34" numFmtId="0" xfId="0" applyAlignment="1" applyBorder="1" applyFont="1">
      <alignment readingOrder="0" shrinkToFit="0" vertical="bottom" wrapText="0"/>
    </xf>
    <xf borderId="1" fillId="0" fontId="30" numFmtId="0" xfId="0" applyAlignment="1" applyBorder="1" applyFont="1">
      <alignment readingOrder="0"/>
    </xf>
    <xf borderId="1" fillId="0" fontId="30" numFmtId="0" xfId="0" applyBorder="1" applyFont="1"/>
    <xf borderId="1" fillId="0" fontId="30" numFmtId="10" xfId="0" applyAlignment="1" applyBorder="1" applyFont="1" applyNumberFormat="1">
      <alignment readingOrder="0"/>
    </xf>
    <xf borderId="0" fillId="11" fontId="35" numFmtId="0" xfId="0" applyAlignment="1" applyFill="1" applyFont="1">
      <alignment horizontal="center" readingOrder="0" shrinkToFit="0" vertical="center" wrapText="1"/>
    </xf>
    <xf borderId="1" fillId="6" fontId="20" numFmtId="0" xfId="0" applyAlignment="1" applyBorder="1" applyFont="1">
      <alignment horizontal="center" readingOrder="0" shrinkToFit="0" vertical="center" wrapText="1"/>
    </xf>
    <xf borderId="1" fillId="6" fontId="20" numFmtId="49" xfId="0" applyAlignment="1" applyBorder="1" applyFont="1" applyNumberFormat="1">
      <alignment horizontal="center" readingOrder="0" shrinkToFit="0" vertical="center" wrapText="1"/>
    </xf>
    <xf borderId="1" fillId="0" fontId="15" numFmtId="0" xfId="0" applyAlignment="1" applyBorder="1" applyFont="1">
      <alignment readingOrder="0" shrinkToFit="0" vertical="center" wrapText="1"/>
    </xf>
    <xf borderId="1" fillId="0" fontId="15" numFmtId="0" xfId="0" applyAlignment="1" applyBorder="1" applyFont="1">
      <alignment horizontal="left" readingOrder="0" shrinkToFit="0" vertical="center" wrapText="1"/>
    </xf>
    <xf borderId="1" fillId="4" fontId="15" numFmtId="0" xfId="0" applyAlignment="1" applyBorder="1" applyFont="1">
      <alignment readingOrder="0" shrinkToFit="0" vertical="center" wrapText="1"/>
    </xf>
    <xf borderId="1" fillId="4" fontId="36" numFmtId="0" xfId="0" applyAlignment="1" applyBorder="1" applyFont="1">
      <alignment horizontal="center" readingOrder="0" shrinkToFit="0" vertical="center" wrapText="1"/>
    </xf>
    <xf borderId="1" fillId="4" fontId="37" numFmtId="0" xfId="0" applyAlignment="1" applyBorder="1" applyFont="1">
      <alignment horizontal="center" readingOrder="0" shrinkToFit="0" vertical="center" wrapText="1"/>
    </xf>
    <xf borderId="1" fillId="0" fontId="15" numFmtId="0" xfId="0" applyAlignment="1" applyBorder="1" applyFont="1">
      <alignment horizontal="left" readingOrder="0" shrinkToFit="0" vertical="center" wrapText="1"/>
    </xf>
    <xf borderId="1" fillId="0" fontId="15" numFmtId="0" xfId="0" applyAlignment="1" applyBorder="1" applyFont="1">
      <alignment horizontal="left" shrinkToFit="0" vertical="center" wrapText="1"/>
    </xf>
    <xf borderId="1" fillId="9" fontId="15" numFmtId="0" xfId="0" applyAlignment="1" applyBorder="1" applyFont="1">
      <alignment readingOrder="0" shrinkToFit="0" vertical="center" wrapText="1"/>
    </xf>
    <xf borderId="1" fillId="4" fontId="38" numFmtId="0" xfId="0" applyAlignment="1" applyBorder="1" applyFont="1">
      <alignment horizontal="center" readingOrder="0" shrinkToFit="0" vertical="center" wrapText="1"/>
    </xf>
    <xf borderId="1" fillId="9" fontId="37" numFmtId="0" xfId="0" applyAlignment="1" applyBorder="1" applyFont="1">
      <alignment horizontal="center" readingOrder="0" shrinkToFit="0" vertical="center" wrapText="1"/>
    </xf>
    <xf borderId="1" fillId="4" fontId="39" numFmtId="0" xfId="0" applyAlignment="1" applyBorder="1" applyFont="1">
      <alignment horizontal="center" readingOrder="0" shrinkToFit="0" vertical="center" wrapText="1"/>
    </xf>
    <xf borderId="1" fillId="4" fontId="40" numFmtId="0" xfId="0" applyAlignment="1" applyBorder="1" applyFont="1">
      <alignment readingOrder="0" shrinkToFit="0" vertical="center" wrapText="1"/>
    </xf>
    <xf borderId="1" fillId="4" fontId="41" numFmtId="0" xfId="0" applyAlignment="1" applyBorder="1" applyFont="1">
      <alignment readingOrder="0" shrinkToFit="0" vertical="center" wrapText="1"/>
    </xf>
    <xf borderId="1" fillId="9" fontId="41" numFmtId="0" xfId="0" applyAlignment="1" applyBorder="1" applyFont="1">
      <alignment readingOrder="0" shrinkToFit="0" vertical="center" wrapText="1"/>
    </xf>
    <xf borderId="1" fillId="4" fontId="41" numFmtId="0" xfId="0" applyAlignment="1" applyBorder="1" applyFont="1">
      <alignment shrinkToFit="0" vertical="center" wrapText="1"/>
    </xf>
    <xf borderId="1" fillId="9" fontId="41" numFmtId="0" xfId="0" applyAlignment="1" applyBorder="1" applyFont="1">
      <alignment shrinkToFit="0" vertical="center" wrapText="1"/>
    </xf>
    <xf borderId="1" fillId="0" fontId="42" numFmtId="0" xfId="0" applyAlignment="1" applyBorder="1" applyFont="1">
      <alignment shrinkToFit="0" vertical="center" wrapText="1"/>
    </xf>
    <xf borderId="1" fillId="4" fontId="8"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1" fillId="4" fontId="43" numFmtId="0" xfId="0" applyAlignment="1" applyBorder="1" applyFont="1">
      <alignment readingOrder="0" shrinkToFit="0" vertical="center" wrapText="1"/>
    </xf>
    <xf borderId="1" fillId="4" fontId="40" numFmtId="0" xfId="0" applyAlignment="1" applyBorder="1" applyFont="1">
      <alignment horizontal="center" readingOrder="0" shrinkToFit="0" vertical="center" wrapText="1"/>
    </xf>
    <xf borderId="1" fillId="0" fontId="44" numFmtId="0" xfId="0" applyAlignment="1" applyBorder="1" applyFont="1">
      <alignment vertical="bottom"/>
    </xf>
    <xf borderId="1" fillId="4" fontId="40" numFmtId="0" xfId="0" applyAlignment="1" applyBorder="1" applyFont="1">
      <alignment horizontal="left" readingOrder="0" shrinkToFit="0" vertical="center" wrapText="1"/>
    </xf>
    <xf borderId="1" fillId="4" fontId="25" numFmtId="0" xfId="0" applyAlignment="1" applyBorder="1" applyFont="1">
      <alignment horizontal="left" readingOrder="0" shrinkToFit="0" vertical="center" wrapText="1"/>
    </xf>
    <xf borderId="1" fillId="9" fontId="25" numFmtId="0" xfId="0" applyAlignment="1" applyBorder="1" applyFont="1">
      <alignment horizontal="left" shrinkToFit="0" vertical="center" wrapText="1"/>
    </xf>
    <xf borderId="1" fillId="4" fontId="25" numFmtId="0" xfId="0" applyAlignment="1" applyBorder="1" applyFont="1">
      <alignment horizontal="left" shrinkToFit="0" vertical="center" wrapText="1"/>
    </xf>
    <xf borderId="1" fillId="9" fontId="25" numFmtId="0" xfId="0" applyAlignment="1" applyBorder="1" applyFont="1">
      <alignment horizontal="left" readingOrder="0" shrinkToFit="0" vertical="center" wrapText="1"/>
    </xf>
    <xf borderId="1" fillId="0" fontId="45" numFmtId="0" xfId="0" applyAlignment="1" applyBorder="1" applyFont="1">
      <alignment vertical="bottom"/>
    </xf>
    <xf borderId="1" fillId="0" fontId="25" numFmtId="0" xfId="0" applyAlignment="1" applyBorder="1" applyFont="1">
      <alignment readingOrder="0" shrinkToFit="0" vertical="center" wrapText="1"/>
    </xf>
    <xf borderId="0" fillId="0" fontId="6" numFmtId="0" xfId="0" applyAlignment="1" applyFont="1">
      <alignment shrinkToFit="0" wrapText="1"/>
    </xf>
    <xf borderId="0" fillId="4" fontId="6" numFmtId="0" xfId="0" applyAlignment="1" applyFont="1">
      <alignment horizontal="center"/>
    </xf>
    <xf borderId="0" fillId="0" fontId="46" numFmtId="0" xfId="0" applyAlignment="1" applyFont="1">
      <alignment horizontal="center" vertical="bottom"/>
    </xf>
    <xf borderId="34" fillId="0" fontId="34" numFmtId="0" xfId="0" applyAlignment="1" applyBorder="1" applyFont="1">
      <alignment readingOrder="0" shrinkToFit="0" vertical="bottom" wrapText="0"/>
    </xf>
    <xf borderId="2" fillId="0" fontId="34" numFmtId="0" xfId="0" applyAlignment="1" applyBorder="1" applyFont="1">
      <alignment readingOrder="0" shrinkToFit="0" vertical="bottom" wrapText="0"/>
    </xf>
    <xf borderId="0" fillId="0" fontId="34" numFmtId="0" xfId="0" applyAlignment="1" applyFont="1">
      <alignment readingOrder="0" shrinkToFit="0" vertical="bottom" wrapText="0"/>
    </xf>
    <xf borderId="0" fillId="0" fontId="30" numFmtId="10" xfId="0" applyAlignment="1" applyFont="1" applyNumberFormat="1">
      <alignment readingOrder="0"/>
    </xf>
    <xf borderId="2" fillId="11" fontId="20" numFmtId="0" xfId="0" applyAlignment="1" applyBorder="1" applyFont="1">
      <alignment horizontal="center" readingOrder="0" shrinkToFit="0" vertical="center" wrapText="1"/>
    </xf>
    <xf borderId="0" fillId="4" fontId="6" numFmtId="0" xfId="0" applyAlignment="1" applyFont="1">
      <alignment shrinkToFit="0" wrapText="1"/>
    </xf>
    <xf borderId="1" fillId="6" fontId="13" numFmtId="0" xfId="0" applyAlignment="1" applyBorder="1" applyFont="1">
      <alignment horizontal="center" readingOrder="0" shrinkToFit="0" vertical="center" wrapText="1"/>
    </xf>
    <xf borderId="0" fillId="4" fontId="47" numFmtId="0" xfId="0" applyAlignment="1" applyFont="1">
      <alignment shrinkToFit="0" vertical="center" wrapText="1"/>
    </xf>
    <xf borderId="1" fillId="12" fontId="15" numFmtId="0" xfId="0" applyAlignment="1" applyBorder="1" applyFill="1" applyFont="1">
      <alignment horizontal="center" readingOrder="0" shrinkToFit="0" vertical="center" wrapText="1"/>
    </xf>
    <xf borderId="1" fillId="12" fontId="15" numFmtId="0" xfId="0" applyAlignment="1" applyBorder="1" applyFont="1">
      <alignment horizontal="left" readingOrder="0" shrinkToFit="0" vertical="center" wrapText="1"/>
    </xf>
    <xf borderId="1" fillId="4" fontId="15" numFmtId="0" xfId="0" applyAlignment="1" applyBorder="1" applyFont="1">
      <alignment readingOrder="0" shrinkToFit="0" vertical="center" wrapText="1"/>
    </xf>
    <xf borderId="0" fillId="4" fontId="6" numFmtId="0" xfId="0" applyAlignment="1" applyFont="1">
      <alignment shrinkToFit="0" vertical="center" wrapText="1"/>
    </xf>
    <xf borderId="1" fillId="0" fontId="15" numFmtId="0" xfId="0" applyAlignment="1" applyBorder="1" applyFont="1">
      <alignment horizontal="center" readingOrder="0" shrinkToFit="0" vertical="center" wrapText="1"/>
    </xf>
    <xf borderId="1" fillId="0" fontId="15" numFmtId="0" xfId="0" applyAlignment="1" applyBorder="1" applyFont="1">
      <alignment horizontal="left" readingOrder="0" shrinkToFit="0" vertical="center" wrapText="1"/>
    </xf>
    <xf borderId="1" fillId="9" fontId="15" numFmtId="0" xfId="0" applyAlignment="1" applyBorder="1" applyFont="1">
      <alignment readingOrder="0" shrinkToFit="0" vertical="center" wrapText="1"/>
    </xf>
    <xf borderId="0" fillId="4" fontId="27" numFmtId="0" xfId="0" applyAlignment="1" applyFont="1">
      <alignment readingOrder="0" shrinkToFit="0" vertical="center" wrapText="1"/>
    </xf>
    <xf borderId="1" fillId="4" fontId="40" numFmtId="0" xfId="0" applyAlignment="1" applyBorder="1" applyFont="1">
      <alignment readingOrder="0" shrinkToFit="0" vertical="center" wrapText="1"/>
    </xf>
    <xf borderId="1" fillId="4" fontId="8" numFmtId="0" xfId="0" applyAlignment="1" applyBorder="1" applyFont="1">
      <alignment readingOrder="0" shrinkToFit="0" vertical="center" wrapText="1"/>
    </xf>
    <xf borderId="1" fillId="4" fontId="48" numFmtId="0" xfId="0" applyAlignment="1" applyBorder="1" applyFont="1">
      <alignment readingOrder="0" shrinkToFit="0" vertical="center" wrapText="1"/>
    </xf>
    <xf borderId="1" fillId="4" fontId="40" numFmtId="0" xfId="0" applyAlignment="1" applyBorder="1" applyFont="1">
      <alignment horizontal="left" readingOrder="0" shrinkToFit="0" vertical="center" wrapText="1"/>
    </xf>
    <xf borderId="0" fillId="11" fontId="49" numFmtId="0" xfId="0" applyAlignment="1" applyFont="1">
      <alignment horizontal="center" readingOrder="0" shrinkToFit="0" vertical="center" wrapText="1"/>
    </xf>
    <xf borderId="0" fillId="0" fontId="6" numFmtId="0" xfId="0" applyAlignment="1" applyFont="1">
      <alignment shrinkToFit="0" vertical="center" wrapText="1"/>
    </xf>
    <xf borderId="0" fillId="0" fontId="31" numFmtId="0" xfId="0" applyAlignment="1" applyFont="1">
      <alignment readingOrder="0" shrinkToFit="0" vertical="bottom" wrapText="1"/>
    </xf>
    <xf borderId="0" fillId="0" fontId="25" numFmtId="0" xfId="0" applyAlignment="1" applyFont="1">
      <alignment readingOrder="0" shrinkToFit="0" vertical="bottom" wrapText="1"/>
    </xf>
    <xf borderId="0" fillId="0" fontId="25" numFmtId="0" xfId="0" applyAlignment="1" applyFont="1">
      <alignment shrinkToFit="0" vertical="bottom" wrapText="1"/>
    </xf>
    <xf borderId="0" fillId="0" fontId="50" numFmtId="0" xfId="0" applyAlignment="1" applyFont="1">
      <alignment shrinkToFit="0" vertical="bottom" wrapText="1"/>
    </xf>
    <xf borderId="0" fillId="0" fontId="50" numFmtId="0" xfId="0" applyAlignment="1" applyFont="1">
      <alignment horizontal="center" shrinkToFit="0" vertical="bottom" wrapText="1"/>
    </xf>
    <xf borderId="0" fillId="0" fontId="25" numFmtId="170" xfId="0" applyAlignment="1" applyFont="1" applyNumberFormat="1">
      <alignment readingOrder="0" shrinkToFit="0" vertical="bottom" wrapText="1"/>
    </xf>
    <xf borderId="0" fillId="4" fontId="50" numFmtId="0" xfId="0" applyAlignment="1" applyFont="1">
      <alignment shrinkToFit="0" vertical="bottom" wrapText="1"/>
    </xf>
    <xf borderId="35" fillId="6" fontId="1" numFmtId="0" xfId="0" applyAlignment="1" applyBorder="1" applyFont="1">
      <alignment horizontal="center" readingOrder="0" shrinkToFit="0" vertical="center" wrapText="1"/>
    </xf>
    <xf borderId="35" fillId="6" fontId="13" numFmtId="0" xfId="0" applyAlignment="1" applyBorder="1" applyFont="1">
      <alignment horizontal="center" readingOrder="0" shrinkToFit="0" vertical="center" wrapText="1"/>
    </xf>
    <xf borderId="35" fillId="6" fontId="51" numFmtId="0" xfId="0" applyAlignment="1" applyBorder="1" applyFont="1">
      <alignment horizontal="center" readingOrder="0" shrinkToFit="0" vertical="center" wrapText="1"/>
    </xf>
    <xf borderId="36" fillId="13" fontId="52" numFmtId="0" xfId="0" applyAlignment="1" applyBorder="1" applyFill="1" applyFont="1">
      <alignment horizontal="center" readingOrder="0" shrinkToFit="0" vertical="center" wrapText="1"/>
    </xf>
    <xf borderId="37" fillId="12" fontId="5" numFmtId="0" xfId="0" applyBorder="1" applyFont="1"/>
    <xf borderId="38" fillId="12" fontId="5" numFmtId="0" xfId="0" applyBorder="1" applyFont="1"/>
    <xf borderId="35" fillId="4" fontId="15" numFmtId="0" xfId="0" applyAlignment="1" applyBorder="1" applyFont="1">
      <alignment horizontal="center" readingOrder="0" shrinkToFit="0" vertical="center" wrapText="1"/>
    </xf>
    <xf borderId="35" fillId="4" fontId="15" numFmtId="0" xfId="0" applyAlignment="1" applyBorder="1" applyFont="1">
      <alignment horizontal="left" readingOrder="0" shrinkToFit="0" vertical="center" wrapText="1"/>
    </xf>
    <xf borderId="35" fillId="4" fontId="46" numFmtId="0" xfId="0" applyAlignment="1" applyBorder="1" applyFont="1">
      <alignment horizontal="center" vertical="center"/>
    </xf>
    <xf borderId="35" fillId="4" fontId="25" numFmtId="0" xfId="0" applyAlignment="1" applyBorder="1" applyFont="1">
      <alignment horizontal="center" readingOrder="0" shrinkToFit="0" vertical="center" wrapText="1"/>
    </xf>
    <xf borderId="35" fillId="4" fontId="15" numFmtId="168" xfId="0" applyAlignment="1" applyBorder="1" applyFont="1" applyNumberFormat="1">
      <alignment horizontal="center" readingOrder="0" shrinkToFit="0" vertical="center" wrapText="1"/>
    </xf>
    <xf borderId="1" fillId="4" fontId="15" numFmtId="0" xfId="0" applyAlignment="1" applyBorder="1" applyFont="1">
      <alignment horizontal="left" readingOrder="0" shrinkToFit="0" vertical="center" wrapText="1"/>
    </xf>
    <xf borderId="1" fillId="4" fontId="15" numFmtId="0" xfId="0" applyAlignment="1" applyBorder="1" applyFont="1">
      <alignment horizontal="center" readingOrder="0" shrinkToFit="0" vertical="center" wrapText="1"/>
    </xf>
    <xf borderId="1" fillId="4" fontId="15" numFmtId="0" xfId="0" applyAlignment="1" applyBorder="1" applyFont="1">
      <alignment horizontal="left" shrinkToFit="0" vertical="center" wrapText="1"/>
    </xf>
    <xf borderId="35" fillId="12" fontId="15" numFmtId="0" xfId="0" applyAlignment="1" applyBorder="1" applyFont="1">
      <alignment horizontal="center" readingOrder="0" shrinkToFit="0" vertical="center" wrapText="1"/>
    </xf>
    <xf borderId="35" fillId="12" fontId="15" numFmtId="0" xfId="0" applyAlignment="1" applyBorder="1" applyFont="1">
      <alignment horizontal="left" readingOrder="0" shrinkToFit="0" vertical="center" wrapText="1"/>
    </xf>
    <xf borderId="35" fillId="12" fontId="46" numFmtId="0" xfId="0" applyAlignment="1" applyBorder="1" applyFont="1">
      <alignment horizontal="center" vertical="center"/>
    </xf>
    <xf borderId="35" fillId="12" fontId="25" numFmtId="0" xfId="0" applyAlignment="1" applyBorder="1" applyFont="1">
      <alignment horizontal="center" readingOrder="0" shrinkToFit="0" vertical="center" wrapText="1"/>
    </xf>
    <xf borderId="35" fillId="12" fontId="15" numFmtId="168" xfId="0" applyAlignment="1" applyBorder="1" applyFont="1" applyNumberFormat="1">
      <alignment horizontal="center" readingOrder="0" shrinkToFit="0" vertical="center" wrapText="1"/>
    </xf>
    <xf borderId="1" fillId="12" fontId="15" numFmtId="0" xfId="0" applyAlignment="1" applyBorder="1" applyFont="1">
      <alignment horizontal="left" readingOrder="0" shrinkToFit="0" vertical="center" wrapText="1"/>
    </xf>
    <xf borderId="1" fillId="12" fontId="37" numFmtId="0" xfId="0" applyAlignment="1" applyBorder="1" applyFont="1">
      <alignment horizontal="center" readingOrder="0" shrinkToFit="0" vertical="center" wrapText="1"/>
    </xf>
    <xf borderId="1" fillId="12" fontId="15" numFmtId="0" xfId="0" applyAlignment="1" applyBorder="1" applyFont="1">
      <alignment horizontal="center" readingOrder="0" shrinkToFit="0" vertical="center" wrapText="1"/>
    </xf>
    <xf borderId="1" fillId="12" fontId="15" numFmtId="0" xfId="0" applyAlignment="1" applyBorder="1" applyFont="1">
      <alignment horizontal="left" shrinkToFit="0" vertical="center" wrapText="1"/>
    </xf>
    <xf borderId="1" fillId="12" fontId="41" numFmtId="0" xfId="0" applyAlignment="1" applyBorder="1" applyFont="1">
      <alignment readingOrder="0" shrinkToFit="0" vertical="center" wrapText="1"/>
    </xf>
    <xf borderId="1" fillId="4" fontId="41" numFmtId="0" xfId="0" applyAlignment="1" applyBorder="1" applyFont="1">
      <alignment readingOrder="0" shrinkToFit="0" vertical="center" wrapText="1"/>
    </xf>
    <xf borderId="1" fillId="12" fontId="41" numFmtId="0" xfId="0" applyAlignment="1" applyBorder="1" applyFont="1">
      <alignment shrinkToFit="0" vertical="center" wrapText="1"/>
    </xf>
    <xf borderId="1" fillId="12" fontId="15" numFmtId="0" xfId="0" applyAlignment="1" applyBorder="1" applyFont="1">
      <alignment horizontal="center" readingOrder="0" shrinkToFit="0" vertical="center" wrapText="1"/>
    </xf>
    <xf borderId="1" fillId="4" fontId="41" numFmtId="0" xfId="0" applyAlignment="1" applyBorder="1" applyFont="1">
      <alignment shrinkToFit="0" vertical="center" wrapText="1"/>
    </xf>
    <xf borderId="1" fillId="12" fontId="8" numFmtId="0" xfId="0" applyAlignment="1" applyBorder="1" applyFont="1">
      <alignment horizontal="left" readingOrder="0" shrinkToFit="0" vertical="center" wrapText="1"/>
    </xf>
    <xf borderId="1" fillId="4" fontId="15" numFmtId="0" xfId="0" applyAlignment="1" applyBorder="1" applyFont="1">
      <alignment horizontal="center" readingOrder="0" shrinkToFit="0" vertical="center" wrapText="1"/>
    </xf>
    <xf borderId="37" fillId="4" fontId="5" numFmtId="0" xfId="0" applyBorder="1" applyFont="1"/>
    <xf borderId="38" fillId="4" fontId="5" numFmtId="0" xfId="0" applyBorder="1" applyFont="1"/>
    <xf borderId="1" fillId="12" fontId="25" numFmtId="0" xfId="0" applyAlignment="1" applyBorder="1" applyFont="1">
      <alignment horizontal="left" shrinkToFit="0" vertical="center" wrapText="1"/>
    </xf>
    <xf borderId="1" fillId="4" fontId="25" numFmtId="0" xfId="0" applyAlignment="1" applyBorder="1" applyFont="1">
      <alignment horizontal="left" shrinkToFit="0" vertical="center" wrapText="1"/>
    </xf>
    <xf borderId="1" fillId="12" fontId="25" numFmtId="0" xfId="0" applyAlignment="1" applyBorder="1" applyFont="1">
      <alignment horizontal="left" readingOrder="0" shrinkToFit="0" vertical="center" wrapText="1"/>
    </xf>
    <xf borderId="1" fillId="12" fontId="25" numFmtId="0" xfId="0" applyAlignment="1" applyBorder="1" applyFont="1">
      <alignment readingOrder="0" shrinkToFit="0" vertical="center" wrapText="1"/>
    </xf>
    <xf borderId="1" fillId="12" fontId="25" numFmtId="0" xfId="0" applyAlignment="1" applyBorder="1" applyFont="1">
      <alignment horizontal="center" readingOrder="0" shrinkToFit="0" vertical="center" wrapText="1"/>
    </xf>
    <xf borderId="1" fillId="4" fontId="25" numFmtId="0" xfId="0" applyAlignment="1" applyBorder="1" applyFont="1">
      <alignment horizontal="center" readingOrder="0" shrinkToFit="0" vertical="center" wrapText="1"/>
    </xf>
    <xf borderId="0" fillId="0" fontId="6" numFmtId="0" xfId="0" applyAlignment="1" applyFont="1">
      <alignment horizontal="center" shrinkToFit="0" wrapText="1"/>
    </xf>
    <xf borderId="0" fillId="11" fontId="1" numFmtId="0" xfId="0" applyAlignment="1" applyFont="1">
      <alignment horizontal="center" readingOrder="0" shrinkToFit="0" vertical="center" wrapText="1"/>
    </xf>
    <xf borderId="35" fillId="6" fontId="1"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35" fillId="12" fontId="25" numFmtId="0" xfId="0" applyAlignment="1" applyBorder="1" applyFont="1">
      <alignment horizontal="center" readingOrder="0" shrinkToFit="0" vertical="center" wrapText="1"/>
    </xf>
    <xf borderId="35" fillId="12" fontId="25" numFmtId="0" xfId="0" applyAlignment="1" applyBorder="1" applyFont="1">
      <alignment horizontal="left" shrinkToFit="0" vertical="center" wrapText="1"/>
    </xf>
    <xf borderId="35" fillId="12" fontId="25" numFmtId="0" xfId="0" applyAlignment="1" applyBorder="1" applyFont="1">
      <alignment horizontal="left" readingOrder="0" shrinkToFit="0" vertical="center" wrapText="1"/>
    </xf>
    <xf borderId="35" fillId="12" fontId="25" numFmtId="0" xfId="0" applyAlignment="1" applyBorder="1" applyFont="1">
      <alignment horizontal="center" shrinkToFit="0" vertical="center" wrapText="1"/>
    </xf>
    <xf borderId="35" fillId="12" fontId="25" numFmtId="168" xfId="0" applyAlignment="1" applyBorder="1" applyFont="1" applyNumberFormat="1">
      <alignment horizontal="center" readingOrder="0" shrinkToFit="0" vertical="center" wrapText="1"/>
    </xf>
    <xf borderId="1" fillId="0" fontId="7" numFmtId="0" xfId="0" applyAlignment="1" applyBorder="1" applyFont="1">
      <alignment horizontal="center" shrinkToFit="0" wrapText="1"/>
    </xf>
    <xf borderId="35" fillId="0" fontId="25" numFmtId="0" xfId="0" applyAlignment="1" applyBorder="1" applyFont="1">
      <alignment horizontal="center" shrinkToFit="0" vertical="center" wrapText="1"/>
    </xf>
    <xf borderId="35" fillId="0" fontId="25" numFmtId="0" xfId="0" applyAlignment="1" applyBorder="1" applyFont="1">
      <alignment shrinkToFit="0" vertical="center" wrapText="1"/>
    </xf>
    <xf borderId="35" fillId="0" fontId="25" numFmtId="0" xfId="0" applyAlignment="1" applyBorder="1" applyFont="1">
      <alignment readingOrder="0" shrinkToFit="0" vertical="center" wrapText="1"/>
    </xf>
    <xf borderId="35" fillId="4" fontId="25" numFmtId="0" xfId="0" applyAlignment="1" applyBorder="1" applyFont="1">
      <alignment horizontal="center" shrinkToFit="0" vertical="center" wrapText="1"/>
    </xf>
    <xf borderId="35" fillId="4" fontId="25" numFmtId="168" xfId="0" applyAlignment="1" applyBorder="1" applyFont="1" applyNumberFormat="1">
      <alignment horizontal="center" shrinkToFit="0" vertical="center" wrapText="1"/>
    </xf>
    <xf borderId="35" fillId="12" fontId="25" numFmtId="9" xfId="0" applyAlignment="1" applyBorder="1" applyFont="1" applyNumberFormat="1">
      <alignment horizontal="center" shrinkToFit="0" vertical="center" wrapText="1"/>
    </xf>
    <xf borderId="35" fillId="12" fontId="25" numFmtId="168" xfId="0" applyAlignment="1" applyBorder="1" applyFont="1" applyNumberFormat="1">
      <alignment horizontal="center" shrinkToFit="0" vertical="center" wrapText="1"/>
    </xf>
    <xf borderId="35" fillId="0" fontId="25" numFmtId="9" xfId="0" applyAlignment="1" applyBorder="1" applyFont="1" applyNumberFormat="1">
      <alignment horizontal="center" shrinkToFit="0" vertical="center" wrapText="1"/>
    </xf>
    <xf borderId="35" fillId="4" fontId="15" numFmtId="0" xfId="0" applyAlignment="1" applyBorder="1" applyFont="1">
      <alignment horizontal="center" readingOrder="0" shrinkToFit="0" vertical="center" wrapText="1"/>
    </xf>
    <xf borderId="35" fillId="0" fontId="15" numFmtId="0" xfId="0" applyAlignment="1" applyBorder="1" applyFont="1">
      <alignment horizontal="left" readingOrder="0" shrinkToFit="0" vertical="center" wrapText="1"/>
    </xf>
    <xf borderId="35" fillId="4" fontId="15" numFmtId="0" xfId="0" applyAlignment="1" applyBorder="1" applyFont="1">
      <alignment horizontal="left" readingOrder="0" shrinkToFit="0" vertical="center" wrapText="1"/>
    </xf>
    <xf borderId="35" fillId="4" fontId="15" numFmtId="0" xfId="0" applyAlignment="1" applyBorder="1" applyFont="1">
      <alignment horizontal="center" readingOrder="0" shrinkToFit="0" vertical="center" wrapText="1"/>
    </xf>
    <xf borderId="35" fillId="5" fontId="15" numFmtId="168" xfId="0" applyAlignment="1" applyBorder="1" applyFont="1" applyNumberFormat="1">
      <alignment horizontal="center" readingOrder="0" shrinkToFit="0" vertical="center" wrapText="1"/>
    </xf>
    <xf borderId="35" fillId="12" fontId="15" numFmtId="0" xfId="0" applyAlignment="1" applyBorder="1" applyFont="1">
      <alignment horizontal="center" readingOrder="0" shrinkToFit="0" vertical="center" wrapText="1"/>
    </xf>
    <xf borderId="35" fillId="12" fontId="15" numFmtId="0" xfId="0" applyAlignment="1" applyBorder="1" applyFont="1">
      <alignment horizontal="left" readingOrder="0" shrinkToFit="0" vertical="center" wrapText="1"/>
    </xf>
    <xf borderId="35" fillId="12" fontId="15" numFmtId="168" xfId="0" applyAlignment="1" applyBorder="1" applyFont="1" applyNumberFormat="1">
      <alignment horizontal="center" readingOrder="0" shrinkToFit="0" vertical="center" wrapText="1"/>
    </xf>
    <xf borderId="0" fillId="11" fontId="53" numFmtId="0" xfId="0" applyAlignment="1" applyFont="1">
      <alignment horizontal="center" readingOrder="0" shrinkToFit="0" vertical="center" wrapText="1"/>
    </xf>
    <xf borderId="0" fillId="0" fontId="31" numFmtId="0" xfId="0" applyAlignment="1" applyFont="1">
      <alignment readingOrder="0" shrinkToFit="0" vertical="center" wrapText="1"/>
    </xf>
    <xf borderId="0" fillId="0" fontId="50" numFmtId="0" xfId="0" applyAlignment="1" applyFont="1">
      <alignment shrinkToFit="0" vertical="center" wrapText="1"/>
    </xf>
    <xf borderId="0" fillId="0" fontId="25" numFmtId="0" xfId="0" applyAlignment="1" applyFont="1">
      <alignment shrinkToFit="0" vertical="center" wrapText="1"/>
    </xf>
    <xf borderId="0" fillId="0" fontId="25" numFmtId="170" xfId="0" applyAlignment="1" applyFont="1" applyNumberFormat="1">
      <alignment readingOrder="0" shrinkToFit="0" vertical="center" wrapText="1"/>
    </xf>
    <xf borderId="0" fillId="14" fontId="13" numFmtId="0" xfId="0" applyAlignment="1" applyFill="1" applyFont="1">
      <alignment horizontal="left" readingOrder="0" shrinkToFit="0" vertical="center" wrapText="1"/>
    </xf>
    <xf borderId="39" fillId="14" fontId="29" numFmtId="0" xfId="0" applyAlignment="1" applyBorder="1" applyFont="1">
      <alignment horizontal="center" readingOrder="0" shrinkToFit="0" vertical="center" wrapText="1"/>
    </xf>
    <xf borderId="40" fillId="14" fontId="29" numFmtId="0" xfId="0" applyAlignment="1" applyBorder="1" applyFont="1">
      <alignment horizontal="center" readingOrder="0" shrinkToFit="0" vertical="center" wrapText="1"/>
    </xf>
    <xf borderId="39" fillId="15" fontId="31" numFmtId="0" xfId="0" applyAlignment="1" applyBorder="1" applyFill="1" applyFont="1">
      <alignment horizontal="center" readingOrder="0" shrinkToFit="0" vertical="center" wrapText="1"/>
    </xf>
    <xf borderId="39" fillId="0" fontId="25" numFmtId="0" xfId="0" applyAlignment="1" applyBorder="1" applyFont="1">
      <alignment horizontal="center" readingOrder="0" shrinkToFit="0" vertical="center" wrapText="1"/>
    </xf>
    <xf borderId="39" fillId="0" fontId="25" numFmtId="9" xfId="0" applyAlignment="1" applyBorder="1" applyFont="1" applyNumberFormat="1">
      <alignment horizontal="center" readingOrder="0" shrinkToFit="0" vertical="center" wrapText="1"/>
    </xf>
    <xf borderId="39" fillId="0" fontId="31" numFmtId="0" xfId="0" applyAlignment="1" applyBorder="1" applyFont="1">
      <alignment horizontal="center" readingOrder="0" shrinkToFit="0" vertical="center" wrapText="1"/>
    </xf>
    <xf borderId="41" fillId="0" fontId="25" numFmtId="0" xfId="0" applyAlignment="1" applyBorder="1" applyFont="1">
      <alignment horizontal="center" readingOrder="0" shrinkToFit="0" vertical="center" wrapText="1"/>
    </xf>
    <xf borderId="42" fillId="0" fontId="50" numFmtId="9" xfId="0" applyAlignment="1" applyBorder="1" applyFont="1" applyNumberFormat="1">
      <alignment horizontal="center" readingOrder="0" shrinkToFit="0" vertical="center" wrapText="1"/>
    </xf>
    <xf borderId="39" fillId="16" fontId="31" numFmtId="0" xfId="0" applyAlignment="1" applyBorder="1" applyFill="1" applyFont="1">
      <alignment horizontal="center" readingOrder="0" shrinkToFit="0" vertical="center" wrapText="1"/>
    </xf>
    <xf borderId="42" fillId="0" fontId="50" numFmtId="0" xfId="0" applyAlignment="1" applyBorder="1" applyFont="1">
      <alignment horizontal="center" readingOrder="0" shrinkToFit="0" vertical="center" wrapText="1"/>
    </xf>
    <xf borderId="39" fillId="17" fontId="31" numFmtId="0" xfId="0" applyAlignment="1" applyBorder="1" applyFill="1" applyFont="1">
      <alignment horizontal="center" readingOrder="0" shrinkToFit="0" vertical="center" wrapText="1"/>
    </xf>
    <xf borderId="39" fillId="18" fontId="31" numFmtId="0" xfId="0" applyAlignment="1" applyBorder="1" applyFill="1" applyFont="1">
      <alignment horizontal="center" readingOrder="0" shrinkToFit="0" vertical="center" wrapText="1"/>
    </xf>
    <xf borderId="39" fillId="8" fontId="31" numFmtId="0" xfId="0" applyAlignment="1" applyBorder="1" applyFont="1">
      <alignment horizontal="center" readingOrder="0" shrinkToFit="0" vertical="center" wrapText="1"/>
    </xf>
    <xf borderId="39" fillId="12" fontId="54" numFmtId="0" xfId="0" applyAlignment="1" applyBorder="1" applyFont="1">
      <alignment horizontal="center" readingOrder="0" shrinkToFit="0" vertical="center" wrapText="1"/>
    </xf>
    <xf borderId="39" fillId="12" fontId="54" numFmtId="0" xfId="0" applyAlignment="1" applyBorder="1" applyFont="1">
      <alignment horizontal="left" readingOrder="0" shrinkToFit="0" vertical="center" wrapText="1"/>
    </xf>
    <xf borderId="39" fillId="12" fontId="54" numFmtId="10" xfId="0" applyAlignment="1" applyBorder="1" applyFont="1" applyNumberFormat="1">
      <alignment horizontal="center" readingOrder="0" shrinkToFit="0" vertical="center" wrapText="1"/>
    </xf>
    <xf borderId="39" fillId="0" fontId="54" numFmtId="0" xfId="0" applyAlignment="1" applyBorder="1" applyFont="1">
      <alignment horizontal="center" readingOrder="0" shrinkToFit="0" vertical="center" wrapText="1"/>
    </xf>
    <xf borderId="39" fillId="0" fontId="54" numFmtId="0" xfId="0" applyAlignment="1" applyBorder="1" applyFont="1">
      <alignment horizontal="left" readingOrder="0" shrinkToFit="0" vertical="center" wrapText="1"/>
    </xf>
    <xf borderId="39" fillId="4" fontId="54" numFmtId="10" xfId="0" applyAlignment="1" applyBorder="1" applyFont="1" applyNumberFormat="1">
      <alignment horizontal="center" readingOrder="0" shrinkToFit="0" vertical="center" wrapText="1"/>
    </xf>
    <xf borderId="0" fillId="0" fontId="55" numFmtId="0" xfId="0" applyAlignment="1" applyFont="1">
      <alignment readingOrder="0"/>
    </xf>
    <xf borderId="39" fillId="14" fontId="29" numFmtId="10" xfId="0" applyAlignment="1" applyBorder="1" applyFont="1" applyNumberFormat="1">
      <alignment horizontal="center" readingOrder="0" shrinkToFit="0" vertical="center" wrapText="1"/>
    </xf>
    <xf borderId="39" fillId="19" fontId="31" numFmtId="0" xfId="0" applyAlignment="1" applyBorder="1" applyFill="1" applyFont="1">
      <alignment readingOrder="0" shrinkToFit="0" vertical="center" wrapText="1"/>
    </xf>
    <xf borderId="41" fillId="0" fontId="25" numFmtId="0" xfId="0" applyAlignment="1" applyBorder="1" applyFont="1">
      <alignment readingOrder="0" shrinkToFit="0" vertical="center" wrapText="1"/>
    </xf>
    <xf borderId="43" fillId="0" fontId="5" numFmtId="0" xfId="0" applyBorder="1" applyFont="1"/>
    <xf borderId="44" fillId="0" fontId="5" numFmtId="0" xfId="0" applyBorder="1" applyFont="1"/>
    <xf borderId="0" fillId="20" fontId="53" numFmtId="0" xfId="0" applyAlignment="1" applyFill="1" applyFont="1">
      <alignment horizontal="center" readingOrder="0" shrinkToFit="0" vertical="center" wrapText="1"/>
    </xf>
    <xf borderId="39" fillId="21" fontId="29" numFmtId="0" xfId="0" applyAlignment="1" applyBorder="1" applyFill="1" applyFont="1">
      <alignment horizontal="center" readingOrder="0" shrinkToFit="0" vertical="center" wrapText="1"/>
    </xf>
    <xf borderId="39" fillId="21" fontId="29" numFmtId="0" xfId="0" applyAlignment="1" applyBorder="1" applyFont="1">
      <alignment horizontal="center" readingOrder="0" shrinkToFit="0" vertical="center" wrapText="1"/>
    </xf>
    <xf borderId="39" fillId="4" fontId="56" numFmtId="0" xfId="0" applyAlignment="1" applyBorder="1" applyFont="1">
      <alignment horizontal="center" readingOrder="0" shrinkToFit="0" vertical="center" wrapText="1"/>
    </xf>
    <xf borderId="39" fillId="4" fontId="41" numFmtId="0" xfId="0" applyAlignment="1" applyBorder="1" applyFont="1">
      <alignment horizontal="center" readingOrder="0" shrinkToFit="0" vertical="center" wrapText="1"/>
    </xf>
    <xf borderId="39" fillId="4" fontId="41" numFmtId="0" xfId="0" applyAlignment="1" applyBorder="1" applyFont="1">
      <alignment horizontal="left" readingOrder="0" shrinkToFit="0" vertical="center" wrapText="1"/>
    </xf>
    <xf borderId="39" fillId="4" fontId="41" numFmtId="0" xfId="0" applyAlignment="1" applyBorder="1" applyFont="1">
      <alignment horizontal="center" readingOrder="0" shrinkToFit="0" vertical="center" wrapText="1"/>
    </xf>
    <xf borderId="39" fillId="17" fontId="57" numFmtId="0" xfId="0" applyAlignment="1" applyBorder="1" applyFont="1">
      <alignment horizontal="center" readingOrder="0" shrinkToFit="0" vertical="center" wrapText="1"/>
    </xf>
    <xf borderId="39" fillId="16" fontId="58" numFmtId="0" xfId="0" applyAlignment="1" applyBorder="1" applyFont="1">
      <alignment horizontal="center" readingOrder="0" shrinkToFit="0" vertical="center" wrapText="1"/>
    </xf>
    <xf borderId="39" fillId="4" fontId="41" numFmtId="171" xfId="0" applyAlignment="1" applyBorder="1" applyFont="1" applyNumberFormat="1">
      <alignment horizontal="center" readingOrder="0" shrinkToFit="0" vertical="center" wrapText="1"/>
    </xf>
    <xf borderId="8" fillId="0" fontId="6" numFmtId="0" xfId="0" applyAlignment="1" applyBorder="1" applyFont="1">
      <alignment readingOrder="0"/>
    </xf>
    <xf borderId="39" fillId="12" fontId="56" numFmtId="0" xfId="0" applyAlignment="1" applyBorder="1" applyFont="1">
      <alignment horizontal="center" readingOrder="0" shrinkToFit="0" vertical="center" wrapText="1"/>
    </xf>
    <xf borderId="39" fillId="12" fontId="41" numFmtId="0" xfId="0" applyAlignment="1" applyBorder="1" applyFont="1">
      <alignment horizontal="center" readingOrder="0" shrinkToFit="0" vertical="center" wrapText="1"/>
    </xf>
    <xf borderId="39" fillId="12" fontId="41" numFmtId="0" xfId="0" applyAlignment="1" applyBorder="1" applyFont="1">
      <alignment horizontal="left" readingOrder="0" shrinkToFit="0" vertical="center" wrapText="1"/>
    </xf>
    <xf borderId="39" fillId="4" fontId="59" numFmtId="0" xfId="0" applyAlignment="1" applyBorder="1" applyFont="1">
      <alignment horizontal="center" readingOrder="0" shrinkToFit="0" vertical="center" wrapText="1"/>
    </xf>
    <xf borderId="39" fillId="12" fontId="41" numFmtId="171" xfId="0" applyAlignment="1" applyBorder="1" applyFont="1" applyNumberFormat="1">
      <alignment horizontal="center" readingOrder="0" shrinkToFit="0" vertical="center" wrapText="1"/>
    </xf>
    <xf borderId="39" fillId="5" fontId="41" numFmtId="0" xfId="0" applyAlignment="1" applyBorder="1" applyFont="1">
      <alignment horizontal="center" readingOrder="0" shrinkToFit="0" vertical="center" wrapText="1"/>
    </xf>
    <xf borderId="39" fillId="4" fontId="29" numFmtId="0" xfId="0" applyAlignment="1" applyBorder="1" applyFont="1">
      <alignment horizontal="center" readingOrder="0" shrinkToFit="0" vertical="center" wrapText="1"/>
    </xf>
    <xf borderId="0" fillId="22" fontId="13" numFmtId="0" xfId="0" applyAlignment="1" applyFill="1" applyFont="1">
      <alignment horizontal="center" readingOrder="0" shrinkToFit="0" vertical="center" wrapText="1"/>
    </xf>
    <xf borderId="39" fillId="16" fontId="58" numFmtId="9" xfId="0" applyAlignment="1" applyBorder="1" applyFont="1" applyNumberFormat="1">
      <alignment horizontal="center" readingOrder="0" shrinkToFit="0" vertical="center" wrapText="1"/>
    </xf>
    <xf borderId="39" fillId="23" fontId="56" numFmtId="0" xfId="0" applyAlignment="1" applyBorder="1" applyFill="1" applyFont="1">
      <alignment horizontal="center" readingOrder="0" shrinkToFit="0" vertical="center" wrapText="1"/>
    </xf>
    <xf borderId="39" fillId="24" fontId="56" numFmtId="0" xfId="0" applyAlignment="1" applyBorder="1" applyFill="1" applyFont="1">
      <alignment horizontal="center" readingOrder="0" shrinkToFit="0" vertical="center" wrapText="1"/>
    </xf>
    <xf borderId="39" fillId="5" fontId="59" numFmtId="0" xfId="0" applyAlignment="1" applyBorder="1" applyFont="1">
      <alignment horizontal="center" readingOrder="0" shrinkToFit="0" vertical="center" wrapText="1"/>
    </xf>
    <xf borderId="39" fillId="9" fontId="41" numFmtId="0" xfId="0" applyAlignment="1" applyBorder="1" applyFont="1">
      <alignment horizontal="center" readingOrder="0" shrinkToFit="0" vertical="center" wrapText="1"/>
    </xf>
    <xf borderId="0" fillId="0" fontId="6" numFmtId="0" xfId="0" applyAlignment="1" applyFont="1">
      <alignment horizontal="center"/>
    </xf>
    <xf borderId="0" fillId="4" fontId="53" numFmtId="0" xfId="0" applyAlignment="1" applyFont="1">
      <alignment horizontal="center" readingOrder="0" shrinkToFit="0" vertical="center" wrapText="1"/>
    </xf>
    <xf borderId="0" fillId="4" fontId="50" numFmtId="0" xfId="0" applyAlignment="1" applyFont="1">
      <alignment shrinkToFit="0" vertical="center" wrapText="1"/>
    </xf>
    <xf borderId="0" fillId="22" fontId="20" numFmtId="0" xfId="0" applyAlignment="1" applyFont="1">
      <alignment readingOrder="0" shrinkToFit="0" vertical="center" wrapText="1"/>
    </xf>
    <xf borderId="0" fillId="4" fontId="20" numFmtId="0" xfId="0" applyAlignment="1" applyFont="1">
      <alignment readingOrder="0" shrinkToFit="0" vertical="center" wrapText="1"/>
    </xf>
    <xf borderId="39" fillId="21" fontId="13" numFmtId="0" xfId="0" applyAlignment="1" applyBorder="1" applyFont="1">
      <alignment horizontal="center" readingOrder="0" shrinkToFit="0" vertical="center" wrapText="1"/>
    </xf>
    <xf borderId="39" fillId="4" fontId="56" numFmtId="0" xfId="0" applyAlignment="1" applyBorder="1" applyFont="1">
      <alignment horizontal="left" readingOrder="0" shrinkToFit="0" vertical="center" wrapText="1"/>
    </xf>
    <xf borderId="39" fillId="16" fontId="41" numFmtId="0" xfId="0" applyAlignment="1" applyBorder="1" applyFont="1">
      <alignment horizontal="center" readingOrder="0" shrinkToFit="0" vertical="center" wrapText="1"/>
    </xf>
    <xf borderId="39" fillId="12" fontId="56" numFmtId="0" xfId="0" applyAlignment="1" applyBorder="1" applyFont="1">
      <alignment horizontal="left" readingOrder="0" shrinkToFit="0" vertical="center" wrapText="1"/>
    </xf>
    <xf borderId="39" fillId="12" fontId="41" numFmtId="0" xfId="0" applyAlignment="1" applyBorder="1" applyFont="1">
      <alignment horizontal="center" readingOrder="0" shrinkToFit="0" vertical="center" wrapText="1"/>
    </xf>
    <xf borderId="39" fillId="16" fontId="41" numFmtId="0" xfId="0" applyAlignment="1" applyBorder="1" applyFont="1">
      <alignment horizontal="center" shrinkToFit="0" vertical="center" wrapText="1"/>
    </xf>
    <xf borderId="39" fillId="17" fontId="41" numFmtId="0" xfId="0" applyAlignment="1" applyBorder="1" applyFont="1">
      <alignment horizontal="center" readingOrder="0" shrinkToFit="0" vertical="center" wrapText="1"/>
    </xf>
    <xf borderId="39" fillId="4" fontId="41" numFmtId="9" xfId="0" applyAlignment="1" applyBorder="1" applyFont="1" applyNumberFormat="1">
      <alignment horizontal="center" readingOrder="0" shrinkToFit="0" vertical="center" wrapText="1"/>
    </xf>
    <xf borderId="39" fillId="16" fontId="41" numFmtId="9" xfId="0" applyAlignment="1" applyBorder="1" applyFont="1" applyNumberFormat="1">
      <alignment horizontal="center" readingOrder="0" shrinkToFit="0" vertical="center" wrapText="1"/>
    </xf>
    <xf borderId="39" fillId="21" fontId="13" numFmtId="0" xfId="0" applyAlignment="1" applyBorder="1" applyFont="1">
      <alignment horizontal="center" readingOrder="0" shrinkToFit="0" vertical="center" wrapText="1"/>
    </xf>
    <xf borderId="39" fillId="25" fontId="29" numFmtId="0" xfId="0" applyAlignment="1" applyBorder="1" applyFill="1" applyFont="1">
      <alignment horizontal="center" readingOrder="0" shrinkToFit="0" vertical="center" wrapText="1"/>
    </xf>
    <xf borderId="39" fillId="25" fontId="59" numFmtId="0" xfId="0" applyAlignment="1" applyBorder="1" applyFont="1">
      <alignment horizontal="center" readingOrder="0" shrinkToFit="0" vertical="center" wrapText="1"/>
    </xf>
    <xf borderId="39" fillId="26" fontId="29" numFmtId="0" xfId="0" applyAlignment="1" applyBorder="1" applyFill="1" applyFont="1">
      <alignment horizontal="center" readingOrder="0" shrinkToFit="0" vertical="center" wrapText="1"/>
    </xf>
    <xf borderId="39" fillId="26" fontId="59" numFmtId="0" xfId="0" applyAlignment="1" applyBorder="1" applyFont="1">
      <alignment horizontal="center" readingOrder="0" shrinkToFit="0" vertical="center" wrapText="1"/>
    </xf>
    <xf borderId="39" fillId="27" fontId="56" numFmtId="0" xfId="0" applyAlignment="1" applyBorder="1" applyFill="1" applyFont="1">
      <alignment horizontal="center" readingOrder="0" shrinkToFit="0" vertical="center" wrapText="1"/>
    </xf>
    <xf borderId="39" fillId="27" fontId="41" numFmtId="0" xfId="0" applyAlignment="1" applyBorder="1" applyFont="1">
      <alignment horizontal="center" readingOrder="0" shrinkToFit="0" vertical="center" wrapText="1"/>
    </xf>
    <xf borderId="39" fillId="28" fontId="56" numFmtId="0" xfId="0" applyAlignment="1" applyBorder="1" applyFill="1" applyFont="1">
      <alignment horizontal="center" readingOrder="0" shrinkToFit="0" vertical="center" wrapText="1"/>
    </xf>
    <xf borderId="39" fillId="28" fontId="41" numFmtId="0" xfId="0" applyAlignment="1" applyBorder="1" applyFont="1">
      <alignment horizontal="center" readingOrder="0" shrinkToFit="0" vertical="center" wrapText="1"/>
    </xf>
    <xf borderId="39" fillId="22" fontId="29" numFmtId="0" xfId="0" applyAlignment="1" applyBorder="1" applyFont="1">
      <alignment horizontal="center" readingOrder="0" shrinkToFit="0" vertical="center" wrapText="1"/>
    </xf>
    <xf borderId="39" fillId="22" fontId="59" numFmtId="9" xfId="0" applyAlignment="1" applyBorder="1" applyFont="1" applyNumberFormat="1">
      <alignment horizontal="center" readingOrder="0" shrinkToFit="0" vertical="center" wrapText="1"/>
    </xf>
    <xf borderId="39" fillId="4" fontId="56" numFmtId="0" xfId="0" applyAlignment="1" applyBorder="1" applyFont="1">
      <alignment horizontal="left" readingOrder="0" shrinkToFit="0" vertical="center" wrapText="1"/>
    </xf>
    <xf borderId="39" fillId="12" fontId="56" numFmtId="0" xfId="0" applyAlignment="1" applyBorder="1" applyFont="1">
      <alignment horizontal="left" readingOrder="0" shrinkToFit="0" vertical="center" wrapText="1"/>
    </xf>
    <xf borderId="39" fillId="12" fontId="41" numFmtId="0" xfId="0" applyAlignment="1" applyBorder="1" applyFont="1">
      <alignment horizontal="center" shrinkToFit="0" vertical="center" wrapText="1"/>
    </xf>
    <xf borderId="39" fillId="17" fontId="60" numFmtId="0" xfId="0" applyAlignment="1" applyBorder="1" applyFont="1">
      <alignment horizontal="center" readingOrder="0" shrinkToFit="0" vertical="center" wrapText="1"/>
    </xf>
    <xf borderId="39" fillId="16" fontId="61" numFmtId="0" xfId="0" applyAlignment="1" applyBorder="1" applyFont="1">
      <alignment horizontal="center" readingOrder="0" shrinkToFit="0" vertical="center" wrapText="1"/>
    </xf>
    <xf borderId="0" fillId="20" fontId="20" numFmtId="0" xfId="0" applyAlignment="1" applyFont="1">
      <alignment horizontal="center" readingOrder="0" shrinkToFit="0" vertical="center" wrapText="1"/>
    </xf>
    <xf borderId="0" fillId="0" fontId="53" numFmtId="0" xfId="0" applyAlignment="1" applyFont="1">
      <alignment horizontal="center" readingOrder="0" shrinkToFit="0" vertical="center" wrapText="1"/>
    </xf>
    <xf borderId="2" fillId="22" fontId="20" numFmtId="0" xfId="0" applyAlignment="1" applyBorder="1" applyFont="1">
      <alignment readingOrder="0" shrinkToFit="0" vertical="center" wrapText="1"/>
    </xf>
    <xf borderId="39" fillId="4" fontId="62" numFmtId="0" xfId="0" applyAlignment="1" applyBorder="1" applyFont="1">
      <alignment horizontal="center" readingOrder="0" shrinkToFit="0" vertical="center" wrapText="1"/>
    </xf>
    <xf borderId="39" fillId="4" fontId="62" numFmtId="0" xfId="0" applyAlignment="1" applyBorder="1" applyFont="1">
      <alignment horizontal="left" readingOrder="0" shrinkToFit="0" vertical="center" wrapText="1"/>
    </xf>
    <xf borderId="1" fillId="4" fontId="37" numFmtId="0" xfId="0" applyAlignment="1" applyBorder="1" applyFont="1">
      <alignment horizontal="center" readingOrder="0" shrinkToFit="0" vertical="center" wrapText="1"/>
    </xf>
    <xf borderId="1" fillId="0" fontId="15" numFmtId="0" xfId="0" applyAlignment="1" applyBorder="1" applyFont="1">
      <alignment horizontal="left" shrinkToFit="0" vertical="center" wrapText="1"/>
    </xf>
    <xf borderId="39" fillId="29" fontId="62" numFmtId="0" xfId="0" applyAlignment="1" applyBorder="1" applyFill="1" applyFont="1">
      <alignment horizontal="center" readingOrder="0" shrinkToFit="0" vertical="center" wrapText="1"/>
    </xf>
    <xf borderId="39" fillId="29" fontId="62" numFmtId="0" xfId="0" applyAlignment="1" applyBorder="1" applyFont="1">
      <alignment horizontal="left" readingOrder="0" shrinkToFit="0" vertical="center" wrapText="1"/>
    </xf>
    <xf borderId="1" fillId="0" fontId="54" numFmtId="0" xfId="0" applyAlignment="1" applyBorder="1" applyFont="1">
      <alignment horizontal="left" readingOrder="0" shrinkToFit="0" vertical="center" wrapText="1"/>
    </xf>
    <xf borderId="2" fillId="30" fontId="20" numFmtId="0" xfId="0" applyAlignment="1" applyBorder="1" applyFill="1" applyFont="1">
      <alignment readingOrder="0" shrinkToFit="0" vertical="center" wrapText="1"/>
    </xf>
    <xf borderId="0" fillId="4" fontId="20" numFmtId="0" xfId="0" applyAlignment="1" applyFont="1">
      <alignment horizontal="center" readingOrder="0" shrinkToFit="0" vertical="center" wrapText="1"/>
    </xf>
    <xf borderId="39" fillId="31" fontId="62" numFmtId="0" xfId="0" applyAlignment="1" applyBorder="1" applyFill="1" applyFont="1">
      <alignment horizontal="center" readingOrder="0" shrinkToFit="0" vertical="center" wrapText="1"/>
    </xf>
    <xf borderId="39" fillId="31" fontId="62" numFmtId="0" xfId="0" applyAlignment="1" applyBorder="1" applyFont="1">
      <alignment horizontal="left" readingOrder="0" shrinkToFit="0" vertical="center" wrapText="1"/>
    </xf>
    <xf borderId="2" fillId="32" fontId="20" numFmtId="0" xfId="0" applyAlignment="1" applyBorder="1" applyFill="1" applyFont="1">
      <alignment readingOrder="0" shrinkToFit="0" vertical="center" wrapText="1"/>
    </xf>
    <xf borderId="39" fillId="33" fontId="62" numFmtId="0" xfId="0" applyAlignment="1" applyBorder="1" applyFill="1" applyFont="1">
      <alignment horizontal="center" readingOrder="0" shrinkToFit="0" vertical="center" wrapText="1"/>
    </xf>
    <xf borderId="39" fillId="33" fontId="62" numFmtId="0" xfId="0" applyAlignment="1" applyBorder="1" applyFont="1">
      <alignment horizontal="left" readingOrder="0" shrinkToFit="0" vertical="center" wrapText="1"/>
    </xf>
    <xf borderId="45" fillId="34" fontId="62" numFmtId="0" xfId="0" applyAlignment="1" applyBorder="1" applyFill="1" applyFont="1">
      <alignment horizontal="center" readingOrder="0" shrinkToFit="0" vertical="center" wrapText="1"/>
    </xf>
    <xf borderId="45" fillId="34" fontId="54" numFmtId="0" xfId="0" applyAlignment="1" applyBorder="1" applyFont="1">
      <alignment horizontal="center" readingOrder="0" shrinkToFit="0" vertical="center" wrapText="1"/>
    </xf>
    <xf borderId="45" fillId="34" fontId="54" numFmtId="0" xfId="0" applyAlignment="1" applyBorder="1" applyFont="1">
      <alignment horizontal="left" readingOrder="0" shrinkToFit="0" vertical="center" wrapText="1"/>
    </xf>
    <xf borderId="1" fillId="4" fontId="63" numFmtId="0" xfId="0" applyAlignment="1" applyBorder="1" applyFont="1">
      <alignment horizontal="center" readingOrder="0" shrinkToFit="0" vertical="center" wrapText="1"/>
    </xf>
    <xf borderId="45" fillId="34" fontId="54" numFmtId="0" xfId="0" applyAlignment="1" applyBorder="1" applyFont="1">
      <alignment horizontal="left" readingOrder="0" shrinkToFit="0" vertical="top" wrapText="1"/>
    </xf>
    <xf borderId="0" fillId="0" fontId="64" numFmtId="0" xfId="0" applyAlignment="1" applyFont="1">
      <alignment horizontal="center" readingOrder="0" shrinkToFit="0" vertical="center" wrapText="1"/>
    </xf>
    <xf borderId="0" fillId="0" fontId="15" numFmtId="0" xfId="0" applyAlignment="1" applyFont="1">
      <alignment readingOrder="0" shrinkToFit="0" vertical="center" wrapText="1"/>
    </xf>
    <xf borderId="0" fillId="0" fontId="15" numFmtId="0" xfId="0" applyAlignment="1" applyFont="1">
      <alignment horizontal="left" readingOrder="0" shrinkToFit="0" vertical="center" wrapText="1"/>
    </xf>
    <xf borderId="0" fillId="4" fontId="15" numFmtId="0" xfId="0" applyAlignment="1" applyFont="1">
      <alignment readingOrder="0" shrinkToFit="0" vertical="center" wrapText="1"/>
    </xf>
    <xf borderId="0" fillId="4" fontId="39" numFmtId="0" xfId="0" applyAlignment="1" applyFont="1">
      <alignment horizontal="center" readingOrder="0" shrinkToFit="0" vertical="center" wrapText="1"/>
    </xf>
    <xf borderId="0" fillId="4" fontId="37" numFmtId="0" xfId="0" applyAlignment="1" applyFont="1">
      <alignment horizontal="center" readingOrder="0" shrinkToFit="0" vertical="center" wrapText="1"/>
    </xf>
    <xf borderId="0" fillId="0" fontId="15" numFmtId="0" xfId="0" applyAlignment="1" applyFont="1">
      <alignment horizontal="left" readingOrder="0" shrinkToFit="0" vertical="center" wrapText="1"/>
    </xf>
    <xf borderId="0" fillId="0" fontId="15" numFmtId="0" xfId="0" applyAlignment="1" applyFont="1">
      <alignment horizontal="left" shrinkToFit="0" vertical="center" wrapText="1"/>
    </xf>
    <xf borderId="46" fillId="20" fontId="49" numFmtId="0" xfId="0" applyAlignment="1" applyBorder="1" applyFont="1">
      <alignment horizontal="center" readingOrder="0" shrinkToFit="0" vertical="center" wrapText="1"/>
    </xf>
    <xf borderId="47" fillId="0" fontId="5" numFmtId="0" xfId="0" applyBorder="1" applyFont="1"/>
    <xf borderId="48" fillId="35" fontId="64" numFmtId="0" xfId="0" applyAlignment="1" applyBorder="1" applyFill="1" applyFont="1">
      <alignment horizontal="center" readingOrder="0" shrinkToFit="0" vertical="center" wrapText="1"/>
    </xf>
    <xf borderId="49" fillId="36" fontId="64" numFmtId="0" xfId="0" applyAlignment="1" applyBorder="1" applyFill="1" applyFont="1">
      <alignment horizontal="left" readingOrder="0" shrinkToFit="0" vertical="center" wrapText="1"/>
    </xf>
    <xf borderId="50" fillId="0" fontId="5" numFmtId="0" xfId="0" applyBorder="1" applyFont="1"/>
    <xf borderId="45" fillId="4" fontId="65" numFmtId="0" xfId="0" applyAlignment="1" applyBorder="1" applyFont="1">
      <alignment horizontal="left" readingOrder="0" shrinkToFit="0" vertical="center" wrapText="1"/>
    </xf>
    <xf borderId="45" fillId="4" fontId="54" numFmtId="0" xfId="0" applyAlignment="1" applyBorder="1" applyFont="1">
      <alignment horizontal="left" readingOrder="0" shrinkToFit="0" vertical="center" wrapText="1"/>
    </xf>
    <xf borderId="45" fillId="37" fontId="66" numFmtId="0" xfId="0" applyAlignment="1" applyBorder="1" applyFill="1" applyFont="1">
      <alignment horizontal="center" readingOrder="0" shrinkToFit="0" vertical="center" wrapText="1"/>
    </xf>
    <xf borderId="45" fillId="4" fontId="54" numFmtId="0" xfId="0" applyAlignment="1" applyBorder="1" applyFont="1">
      <alignment horizontal="center" readingOrder="0" shrinkToFit="0" vertical="center" wrapText="1"/>
    </xf>
    <xf borderId="45" fillId="12" fontId="65" numFmtId="0" xfId="0" applyAlignment="1" applyBorder="1" applyFont="1">
      <alignment horizontal="left" readingOrder="0" shrinkToFit="0" vertical="center" wrapText="1"/>
    </xf>
    <xf borderId="45" fillId="12" fontId="54" numFmtId="0" xfId="0" applyAlignment="1" applyBorder="1" applyFont="1">
      <alignment horizontal="left" readingOrder="0" shrinkToFit="0" vertical="center" wrapText="1"/>
    </xf>
    <xf borderId="45" fillId="12" fontId="54" numFmtId="0" xfId="0" applyAlignment="1" applyBorder="1" applyFont="1">
      <alignment horizontal="center" readingOrder="0" shrinkToFit="0" vertical="center" wrapText="1"/>
    </xf>
    <xf borderId="45" fillId="38" fontId="67" numFmtId="0" xfId="0" applyAlignment="1" applyBorder="1" applyFill="1" applyFont="1">
      <alignment horizontal="center" readingOrder="0" shrinkToFit="0" vertical="center" wrapText="1"/>
    </xf>
    <xf borderId="46" fillId="20" fontId="64" numFmtId="0" xfId="0" applyAlignment="1" applyBorder="1" applyFont="1">
      <alignment horizontal="left" readingOrder="0" shrinkToFit="0" vertical="center" wrapText="1"/>
    </xf>
    <xf borderId="45" fillId="39" fontId="68" numFmtId="0" xfId="0" applyAlignment="1" applyBorder="1" applyFill="1" applyFont="1">
      <alignment horizontal="center" readingOrder="0" shrinkToFit="0" vertical="center" wrapText="1"/>
    </xf>
    <xf borderId="45" fillId="40" fontId="69" numFmtId="0" xfId="0" applyAlignment="1" applyBorder="1" applyFill="1" applyFont="1">
      <alignment horizontal="center" readingOrder="0" shrinkToFit="0" vertical="center" wrapText="1"/>
    </xf>
    <xf borderId="0" fillId="20" fontId="53" numFmtId="0" xfId="0" applyAlignment="1" applyFont="1">
      <alignment horizontal="center" readingOrder="0" shrinkToFit="0" wrapText="0"/>
    </xf>
    <xf borderId="0" fillId="0" fontId="28" numFmtId="0" xfId="0" applyAlignment="1" applyFont="1">
      <alignment shrinkToFit="0" vertical="bottom" wrapText="0"/>
    </xf>
    <xf borderId="0" fillId="20" fontId="13" numFmtId="0" xfId="0" applyAlignment="1" applyFont="1">
      <alignment horizontal="left" readingOrder="0" shrinkToFit="0" vertical="center" wrapText="1"/>
    </xf>
    <xf borderId="0" fillId="0" fontId="28" numFmtId="0" xfId="0" applyAlignment="1" applyFont="1">
      <alignment shrinkToFit="0" vertical="center" wrapText="1"/>
    </xf>
    <xf borderId="39" fillId="4" fontId="54" numFmtId="0" xfId="0" applyAlignment="1" applyBorder="1" applyFont="1">
      <alignment horizontal="center" readingOrder="0" shrinkToFit="0" vertical="center" wrapText="1"/>
    </xf>
    <xf borderId="39" fillId="29" fontId="54" numFmtId="0" xfId="0" applyAlignment="1" applyBorder="1" applyFont="1">
      <alignment horizontal="center" readingOrder="0" shrinkToFit="0" vertical="center" wrapText="1"/>
    </xf>
    <xf borderId="39" fillId="8" fontId="70" numFmtId="0" xfId="0" applyAlignment="1" applyBorder="1" applyFont="1">
      <alignment horizontal="center" readingOrder="0" shrinkToFit="0" vertical="center" wrapText="1"/>
    </xf>
    <xf borderId="39" fillId="8" fontId="70" numFmtId="0" xfId="0" applyAlignment="1" applyBorder="1" applyFont="1">
      <alignment horizontal="center" shrinkToFit="0" vertical="center" wrapText="1"/>
    </xf>
    <xf borderId="0" fillId="14" fontId="13" numFmtId="0" xfId="0" applyAlignment="1" applyFont="1">
      <alignment horizontal="left" readingOrder="0" shrinkToFit="0" wrapText="0"/>
    </xf>
    <xf borderId="39" fillId="14" fontId="29" numFmtId="0" xfId="0" applyAlignment="1" applyBorder="1" applyFont="1">
      <alignment horizontal="center" readingOrder="0"/>
    </xf>
    <xf borderId="39" fillId="4" fontId="54" numFmtId="0" xfId="0" applyAlignment="1" applyBorder="1" applyFont="1">
      <alignment horizontal="center" readingOrder="0" shrinkToFit="0" wrapText="0"/>
    </xf>
    <xf borderId="39" fillId="29" fontId="54" numFmtId="0" xfId="0" applyAlignment="1" applyBorder="1" applyFont="1">
      <alignment horizontal="center" readingOrder="0" shrinkToFit="0" wrapText="0"/>
    </xf>
    <xf borderId="39" fillId="8" fontId="70" numFmtId="0" xfId="0" applyAlignment="1" applyBorder="1" applyFont="1">
      <alignment horizontal="center" readingOrder="0" shrinkToFit="0" wrapText="0"/>
    </xf>
    <xf borderId="51" fillId="14" fontId="29" numFmtId="0" xfId="0" applyAlignment="1" applyBorder="1" applyFont="1">
      <alignment horizontal="left" readingOrder="0" shrinkToFit="0" vertical="center" wrapText="1"/>
    </xf>
    <xf borderId="52" fillId="0" fontId="5" numFmtId="0" xfId="0" applyBorder="1" applyFont="1"/>
    <xf borderId="35" fillId="14" fontId="64" numFmtId="0" xfId="0" applyAlignment="1" applyBorder="1" applyFont="1">
      <alignment horizontal="center" readingOrder="0" shrinkToFit="0" vertical="center" wrapText="1"/>
    </xf>
    <xf borderId="53" fillId="39" fontId="71" numFmtId="0" xfId="0" applyAlignment="1" applyBorder="1" applyFont="1">
      <alignment horizontal="center" readingOrder="0" shrinkToFit="0" vertical="center" wrapText="1"/>
    </xf>
    <xf borderId="53" fillId="39" fontId="54" numFmtId="0" xfId="0" applyAlignment="1" applyBorder="1" applyFont="1">
      <alignment horizontal="center" readingOrder="0" shrinkToFit="0" vertical="center" wrapText="1"/>
    </xf>
    <xf borderId="53" fillId="39" fontId="54" numFmtId="0" xfId="0" applyAlignment="1" applyBorder="1" applyFont="1">
      <alignment horizontal="left" readingOrder="0" shrinkToFit="0" vertical="center" wrapText="1"/>
    </xf>
    <xf borderId="53" fillId="38" fontId="67" numFmtId="0" xfId="0" applyAlignment="1" applyBorder="1" applyFont="1">
      <alignment horizontal="center" readingOrder="0" shrinkToFit="0" vertical="center" wrapText="1"/>
    </xf>
    <xf borderId="45" fillId="41" fontId="71" numFmtId="0" xfId="0" applyAlignment="1" applyBorder="1" applyFill="1" applyFont="1">
      <alignment horizontal="center" readingOrder="0" shrinkToFit="0" vertical="center" wrapText="1"/>
    </xf>
    <xf borderId="45" fillId="41" fontId="54" numFmtId="0" xfId="0" applyAlignment="1" applyBorder="1" applyFont="1">
      <alignment horizontal="center" readingOrder="0" shrinkToFit="0" vertical="center" wrapText="1"/>
    </xf>
    <xf borderId="45" fillId="41" fontId="54" numFmtId="0" xfId="0" applyAlignment="1" applyBorder="1" applyFont="1">
      <alignment horizontal="left" readingOrder="0" shrinkToFit="0" vertical="center" wrapText="1"/>
    </xf>
    <xf borderId="45" fillId="40" fontId="69" numFmtId="0" xfId="0" applyAlignment="1" applyBorder="1" applyFont="1">
      <alignment horizontal="center" readingOrder="0" shrinkToFit="0" vertical="center" wrapText="1"/>
    </xf>
    <xf borderId="45" fillId="39" fontId="71" numFmtId="0" xfId="0" applyAlignment="1" applyBorder="1" applyFont="1">
      <alignment horizontal="center" readingOrder="0" shrinkToFit="0" vertical="center" wrapText="1"/>
    </xf>
    <xf borderId="45" fillId="39" fontId="54" numFmtId="0" xfId="0" applyAlignment="1" applyBorder="1" applyFont="1">
      <alignment horizontal="center" readingOrder="0" shrinkToFit="0" vertical="center" wrapText="1"/>
    </xf>
    <xf borderId="45" fillId="39" fontId="54" numFmtId="0" xfId="0" applyAlignment="1" applyBorder="1" applyFont="1">
      <alignment horizontal="left" readingOrder="0" shrinkToFit="0" vertical="center" wrapText="1"/>
    </xf>
    <xf borderId="45" fillId="38" fontId="67" numFmtId="0" xfId="0" applyAlignment="1" applyBorder="1" applyFont="1">
      <alignment horizontal="center" readingOrder="0" shrinkToFit="0" vertical="center" wrapText="1"/>
    </xf>
    <xf borderId="54" fillId="14" fontId="29" numFmtId="0" xfId="0" applyAlignment="1" applyBorder="1" applyFont="1">
      <alignment horizontal="left" readingOrder="0" shrinkToFit="0" wrapText="0"/>
    </xf>
    <xf borderId="55" fillId="0" fontId="5" numFmtId="0" xfId="0" applyBorder="1" applyFont="1"/>
    <xf borderId="0" fillId="4" fontId="29" numFmtId="0" xfId="0" applyAlignment="1" applyFont="1">
      <alignment horizontal="left" readingOrder="0" shrinkToFit="0" wrapText="0"/>
    </xf>
    <xf borderId="56" fillId="14" fontId="64" numFmtId="0" xfId="0" applyAlignment="1" applyBorder="1" applyFont="1">
      <alignment horizontal="left" readingOrder="0" vertical="top"/>
    </xf>
    <xf borderId="57" fillId="0" fontId="5" numFmtId="0" xfId="0" applyBorder="1" applyFont="1"/>
    <xf borderId="2" fillId="4" fontId="54" numFmtId="0" xfId="0" applyAlignment="1" applyBorder="1" applyFont="1">
      <alignment horizontal="left" readingOrder="0" vertical="top"/>
    </xf>
    <xf borderId="0" fillId="4" fontId="54" numFmtId="0" xfId="0" applyAlignment="1" applyFont="1">
      <alignment horizontal="left" readingOrder="0" vertical="top"/>
    </xf>
    <xf borderId="16" fillId="0" fontId="72" numFmtId="0" xfId="0" applyAlignment="1" applyBorder="1" applyFont="1">
      <alignment horizontal="center" readingOrder="0" vertical="center"/>
    </xf>
    <xf borderId="9" fillId="0" fontId="6" numFmtId="0" xfId="0" applyBorder="1" applyFont="1"/>
    <xf borderId="58" fillId="0" fontId="5" numFmtId="0" xfId="0" applyBorder="1" applyFont="1"/>
    <xf borderId="59" fillId="0" fontId="5" numFmtId="0" xfId="0" applyBorder="1" applyFont="1"/>
    <xf borderId="14" fillId="0" fontId="6" numFmtId="0" xfId="0" applyAlignment="1" applyBorder="1" applyFont="1">
      <alignment readingOrder="0"/>
    </xf>
    <xf borderId="27" fillId="0" fontId="6" numFmtId="0" xfId="0" applyAlignment="1" applyBorder="1" applyFont="1">
      <alignment readingOrder="0"/>
    </xf>
    <xf borderId="15" fillId="0" fontId="6" numFmtId="0" xfId="0" applyAlignment="1" applyBorder="1" applyFont="1">
      <alignment readingOrder="0"/>
    </xf>
    <xf borderId="60" fillId="0" fontId="6" numFmtId="0" xfId="0" applyAlignment="1" applyBorder="1" applyFont="1">
      <alignment readingOrder="0"/>
    </xf>
    <xf borderId="0" fillId="0" fontId="6" numFmtId="0" xfId="0" applyAlignment="1" applyFont="1">
      <alignment readingOrder="0"/>
    </xf>
    <xf borderId="61" fillId="0" fontId="6" numFmtId="0" xfId="0" applyAlignment="1" applyBorder="1" applyFont="1">
      <alignment readingOrder="0"/>
    </xf>
    <xf borderId="62" fillId="0" fontId="6" numFmtId="0" xfId="0" applyAlignment="1" applyBorder="1" applyFont="1">
      <alignment readingOrder="0"/>
    </xf>
    <xf borderId="19" fillId="0" fontId="6" numFmtId="0" xfId="0" applyAlignment="1" applyBorder="1" applyFont="1">
      <alignment readingOrder="0"/>
    </xf>
    <xf borderId="18" fillId="0" fontId="6" numFmtId="0" xfId="0" applyAlignment="1" applyBorder="1" applyFont="1">
      <alignment readingOrder="0"/>
    </xf>
    <xf borderId="61" fillId="0" fontId="5" numFmtId="0" xfId="0" applyBorder="1" applyFont="1"/>
    <xf borderId="8" fillId="0" fontId="6" numFmtId="0" xfId="0" applyBorder="1" applyFont="1"/>
    <xf borderId="63" fillId="6" fontId="1" numFmtId="0" xfId="0" applyAlignment="1" applyBorder="1" applyFont="1">
      <alignment horizontal="center" readingOrder="0" shrinkToFit="0" vertical="center" wrapText="1"/>
    </xf>
    <xf borderId="36" fillId="6" fontId="29" numFmtId="0" xfId="0" applyAlignment="1" applyBorder="1" applyFont="1">
      <alignment horizontal="center" shrinkToFit="0" vertical="center" wrapText="1"/>
    </xf>
    <xf borderId="37" fillId="0" fontId="5" numFmtId="0" xfId="0" applyBorder="1" applyFont="1"/>
    <xf borderId="38" fillId="0" fontId="5" numFmtId="0" xfId="0" applyBorder="1" applyFont="1"/>
    <xf borderId="0" fillId="0" fontId="25" numFmtId="0" xfId="0" applyAlignment="1" applyFont="1">
      <alignment vertical="bottom"/>
    </xf>
    <xf borderId="64" fillId="0" fontId="5" numFmtId="0" xfId="0" applyBorder="1" applyFont="1"/>
    <xf borderId="35" fillId="6" fontId="29" numFmtId="172" xfId="0" applyAlignment="1" applyBorder="1" applyFont="1" applyNumberFormat="1">
      <alignment horizontal="center" shrinkToFit="0" vertical="center" wrapText="1"/>
    </xf>
    <xf borderId="0" fillId="0" fontId="25" numFmtId="171" xfId="0" applyAlignment="1" applyFont="1" applyNumberFormat="1">
      <alignment vertical="bottom"/>
    </xf>
    <xf borderId="63" fillId="12" fontId="31" numFmtId="0" xfId="0" applyAlignment="1" applyBorder="1" applyFont="1">
      <alignment horizontal="center" readingOrder="0" shrinkToFit="0" vertical="center" wrapText="1"/>
    </xf>
    <xf borderId="35" fillId="12" fontId="35" numFmtId="0" xfId="0" applyAlignment="1" applyBorder="1" applyFont="1">
      <alignment horizontal="left" shrinkToFit="0" vertical="center" wrapText="1"/>
    </xf>
    <xf borderId="35" fillId="12" fontId="25" numFmtId="0" xfId="0" applyAlignment="1" applyBorder="1" applyFont="1">
      <alignment shrinkToFit="0" vertical="center" wrapText="1"/>
    </xf>
    <xf borderId="35" fillId="12" fontId="25" numFmtId="172" xfId="0" applyAlignment="1" applyBorder="1" applyFont="1" applyNumberFormat="1">
      <alignment horizontal="center" shrinkToFit="0" vertical="center" wrapText="1"/>
    </xf>
    <xf borderId="35" fillId="12" fontId="25" numFmtId="172" xfId="0" applyAlignment="1" applyBorder="1" applyFont="1" applyNumberFormat="1">
      <alignment horizontal="center" shrinkToFit="0" vertical="center" wrapText="1"/>
    </xf>
    <xf borderId="35" fillId="12" fontId="25" numFmtId="0" xfId="0" applyAlignment="1" applyBorder="1" applyFont="1">
      <alignment horizontal="center" shrinkToFit="0" vertical="center" wrapText="1"/>
    </xf>
    <xf borderId="35" fillId="4" fontId="25" numFmtId="0" xfId="0" applyAlignment="1" applyBorder="1" applyFont="1">
      <alignment vertical="center"/>
    </xf>
    <xf borderId="35" fillId="0" fontId="25" numFmtId="0" xfId="0" applyAlignment="1" applyBorder="1" applyFont="1">
      <alignment vertical="center"/>
    </xf>
    <xf borderId="65" fillId="0" fontId="5" numFmtId="0" xfId="0" applyBorder="1" applyFont="1"/>
    <xf borderId="35" fillId="0" fontId="25" numFmtId="0" xfId="0" applyAlignment="1" applyBorder="1" applyFont="1">
      <alignment shrinkToFit="0" vertical="center" wrapText="1"/>
    </xf>
    <xf borderId="35" fillId="0" fontId="25" numFmtId="172" xfId="0" applyAlignment="1" applyBorder="1" applyFont="1" applyNumberFormat="1">
      <alignment horizontal="center" shrinkToFit="0" vertical="center" wrapText="1"/>
    </xf>
    <xf borderId="35" fillId="0" fontId="25" numFmtId="172" xfId="0" applyAlignment="1" applyBorder="1" applyFont="1" applyNumberFormat="1">
      <alignment horizontal="center" shrinkToFit="0" vertical="center" wrapText="1"/>
    </xf>
    <xf borderId="35" fillId="0" fontId="25" numFmtId="0" xfId="0" applyAlignment="1" applyBorder="1" applyFont="1">
      <alignment horizontal="center" shrinkToFit="0" vertical="center" wrapText="1"/>
    </xf>
    <xf borderId="35" fillId="0" fontId="25" numFmtId="0" xfId="0" applyAlignment="1" applyBorder="1" applyFont="1">
      <alignment horizontal="center" readingOrder="0" shrinkToFit="0" vertical="center" wrapText="1"/>
    </xf>
    <xf borderId="36" fillId="42" fontId="25" numFmtId="0" xfId="0" applyAlignment="1" applyBorder="1" applyFill="1" applyFont="1">
      <alignment vertical="center"/>
    </xf>
    <xf borderId="35" fillId="5" fontId="25" numFmtId="0" xfId="0" applyAlignment="1" applyBorder="1" applyFont="1">
      <alignment vertical="center"/>
    </xf>
    <xf borderId="63" fillId="0" fontId="31" numFmtId="0" xfId="0" applyAlignment="1" applyBorder="1" applyFont="1">
      <alignment horizontal="center" readingOrder="0" shrinkToFit="0" vertical="center" wrapText="1"/>
    </xf>
    <xf borderId="36" fillId="43" fontId="25" numFmtId="0" xfId="0" applyAlignment="1" applyBorder="1" applyFill="1" applyFont="1">
      <alignment vertical="center"/>
    </xf>
    <xf borderId="35" fillId="0" fontId="32" numFmtId="0" xfId="0" applyAlignment="1" applyBorder="1" applyFont="1">
      <alignment horizontal="center" readingOrder="0" shrinkToFit="0" vertical="center" wrapText="1"/>
    </xf>
    <xf borderId="35" fillId="43" fontId="25" numFmtId="0" xfId="0" applyAlignment="1" applyBorder="1" applyFont="1">
      <alignment vertical="center"/>
    </xf>
    <xf borderId="63" fillId="12" fontId="35" numFmtId="0" xfId="0" applyAlignment="1" applyBorder="1" applyFont="1">
      <alignment horizontal="center" readingOrder="0" shrinkToFit="0" vertical="center" wrapText="1"/>
    </xf>
    <xf borderId="36" fillId="44" fontId="25" numFmtId="0" xfId="0" applyAlignment="1" applyBorder="1" applyFill="1" applyFont="1">
      <alignment vertical="center"/>
    </xf>
    <xf borderId="63" fillId="4" fontId="35" numFmtId="0" xfId="0" applyAlignment="1" applyBorder="1" applyFont="1">
      <alignment horizontal="center" readingOrder="0" shrinkToFit="0" vertical="center" wrapText="1"/>
    </xf>
    <xf borderId="36" fillId="15" fontId="25" numFmtId="0" xfId="0" applyAlignment="1" applyBorder="1" applyFont="1">
      <alignment vertical="center"/>
    </xf>
    <xf borderId="36" fillId="45" fontId="25" numFmtId="0" xfId="0" applyAlignment="1" applyBorder="1" applyFill="1" applyFont="1">
      <alignment vertical="center"/>
    </xf>
    <xf borderId="35" fillId="45" fontId="25" numFmtId="0" xfId="0" applyAlignment="1" applyBorder="1" applyFont="1">
      <alignment vertical="center"/>
    </xf>
    <xf borderId="36" fillId="46" fontId="25" numFmtId="0" xfId="0" applyAlignment="1" applyBorder="1" applyFill="1" applyFont="1">
      <alignment vertical="center"/>
    </xf>
    <xf borderId="35" fillId="46" fontId="25" numFmtId="0" xfId="0" applyAlignment="1" applyBorder="1" applyFont="1">
      <alignment vertical="center"/>
    </xf>
    <xf borderId="35" fillId="12" fontId="15" numFmtId="0" xfId="0" applyAlignment="1" applyBorder="1" applyFont="1">
      <alignment horizontal="left" shrinkToFit="0" vertical="center" wrapText="1"/>
    </xf>
    <xf borderId="36" fillId="47" fontId="25" numFmtId="0" xfId="0" applyAlignment="1" applyBorder="1" applyFill="1" applyFont="1">
      <alignment vertical="center"/>
    </xf>
    <xf borderId="36" fillId="48" fontId="25" numFmtId="0" xfId="0" applyAlignment="1" applyBorder="1" applyFill="1" applyFont="1">
      <alignment vertical="center"/>
    </xf>
    <xf borderId="0" fillId="0" fontId="25" numFmtId="172" xfId="0" applyAlignment="1" applyFont="1" applyNumberFormat="1">
      <alignment horizontal="center" vertical="bottom"/>
    </xf>
    <xf borderId="0" fillId="0" fontId="25" numFmtId="172" xfId="0" applyAlignment="1" applyFont="1" applyNumberFormat="1">
      <alignment horizontal="center" vertical="bottom"/>
    </xf>
    <xf borderId="0" fillId="0" fontId="25" numFmtId="0" xfId="0" applyAlignment="1" applyFont="1">
      <alignment horizontal="center" vertical="bottom"/>
    </xf>
    <xf borderId="0" fillId="0" fontId="25" numFmtId="0" xfId="0" applyAlignment="1" applyFont="1">
      <alignment horizontal="center" vertical="bottom"/>
    </xf>
    <xf borderId="0" fillId="0" fontId="6" numFmtId="172" xfId="0" applyAlignment="1" applyFont="1" applyNumberFormat="1">
      <alignment horizontal="center"/>
    </xf>
    <xf borderId="0" fillId="0" fontId="6" numFmtId="172" xfId="0" applyAlignment="1" applyFont="1" applyNumberFormat="1">
      <alignment horizontal="center"/>
    </xf>
    <xf borderId="0" fillId="0" fontId="6" numFmtId="0" xfId="0" applyAlignment="1" applyFont="1">
      <alignment horizontal="center"/>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4F81BD"/>
          <bgColor rgb="FF4F81BD"/>
        </patternFill>
      </fill>
      <border/>
    </dxf>
    <dxf>
      <font/>
      <fill>
        <patternFill patternType="solid">
          <fgColor rgb="FFE8F0FE"/>
          <bgColor rgb="FFE8F0FE"/>
        </patternFill>
      </fill>
      <border/>
    </dxf>
    <dxf>
      <font/>
      <fill>
        <patternFill patternType="solid">
          <fgColor rgb="FF2E4057"/>
          <bgColor rgb="FF2E4057"/>
        </patternFill>
      </fill>
      <border/>
    </dxf>
    <dxf>
      <font/>
      <fill>
        <patternFill patternType="solid">
          <fgColor rgb="FFEBF3FB"/>
          <bgColor rgb="FFEBF3FB"/>
        </patternFill>
      </fill>
      <border/>
    </dxf>
    <dxf>
      <font/>
      <fill>
        <patternFill patternType="solid">
          <fgColor rgb="FFE0F7FA"/>
          <bgColor rgb="FFE0F7FA"/>
        </patternFill>
      </fill>
      <border/>
    </dxf>
    <dxf>
      <font/>
      <fill>
        <patternFill patternType="solid">
          <fgColor rgb="FFEEF7E3"/>
          <bgColor rgb="FFEEF7E3"/>
        </patternFill>
      </fill>
      <border/>
    </dxf>
    <dxf>
      <font/>
      <fill>
        <patternFill patternType="solid">
          <fgColor rgb="FFFFE6DD"/>
          <bgColor rgb="FFFFE6DD"/>
        </patternFill>
      </fill>
      <border/>
    </dxf>
    <dxf>
      <font/>
      <fill>
        <patternFill patternType="solid">
          <fgColor rgb="FF2E75B6"/>
          <bgColor rgb="FF2E75B6"/>
        </patternFill>
      </fill>
      <border/>
    </dxf>
    <dxf>
      <font/>
      <fill>
        <patternFill patternType="solid">
          <fgColor rgb="FFD6E4F0"/>
          <bgColor rgb="FFD6E4F0"/>
        </patternFill>
      </fill>
      <border/>
    </dxf>
  </dxfs>
  <tableStyles count="18">
    <tableStyle count="2" pivot="0" name="Updated_Requirement-style">
      <tableStyleElement dxfId="1" type="firstRowStripe"/>
      <tableStyleElement dxfId="2" type="secondRowStripe"/>
    </tableStyle>
    <tableStyle count="2" pivot="0" name="Updated_Requirement-style 2">
      <tableStyleElement dxfId="1" type="firstRowStripe"/>
      <tableStyleElement dxfId="2" type="secondRowStripe"/>
    </tableStyle>
    <tableStyle count="2" pivot="0" name="w4_Test_Case-style">
      <tableStyleElement dxfId="1" type="firstRowStripe"/>
      <tableStyleElement dxfId="2" type="secondRowStripe"/>
    </tableStyle>
    <tableStyle count="2" pivot="0" name="w4_Test_Case-style 2">
      <tableStyleElement dxfId="1" type="firstRowStripe"/>
      <tableStyleElement dxfId="2" type="secondRowStripe"/>
    </tableStyle>
    <tableStyle count="2" pivot="0" name="w4_Test_Case-style 3">
      <tableStyleElement dxfId="1" type="firstRowStripe"/>
      <tableStyleElement dxfId="2" type="secondRowStripe"/>
    </tableStyle>
    <tableStyle count="3" pivot="0" name="w4_Test_Data-style">
      <tableStyleElement dxfId="3" type="headerRow"/>
      <tableStyleElement dxfId="1" type="firstRowStripe"/>
      <tableStyleElement dxfId="4" type="secondRowStripe"/>
    </tableStyle>
    <tableStyle count="3" pivot="0" name="w5_Defect_Report-style">
      <tableStyleElement dxfId="3" type="headerRow"/>
      <tableStyleElement dxfId="1" type="firstRowStripe"/>
      <tableStyleElement dxfId="4" type="secondRowStripe"/>
    </tableStyle>
    <tableStyle count="3" pivot="0" name="w6_Defect_Status_Report-style">
      <tableStyleElement dxfId="5" type="headerRow"/>
      <tableStyleElement dxfId="1" type="firstRowStripe"/>
      <tableStyleElement dxfId="6" type="secondRowStripe"/>
    </tableStyle>
    <tableStyle count="2" pivot="0" name="w6_Defect_Status_Report-style 2">
      <tableStyleElement dxfId="1" type="firstRowStripe"/>
      <tableStyleElement dxfId="4" type="secondRowStripe"/>
    </tableStyle>
    <tableStyle count="2" pivot="0" name="w6_Regression_Suite-style">
      <tableStyleElement dxfId="1" type="firstRowStripe"/>
      <tableStyleElement dxfId="4" type="secondRowStripe"/>
    </tableStyle>
    <tableStyle count="2" pivot="0" name="w6_Regression_Suite-style 2">
      <tableStyleElement dxfId="4" type="firstRowStripe"/>
      <tableStyleElement dxfId="1" type="secondRowStripe"/>
    </tableStyle>
    <tableStyle count="2" pivot="0" name="w6_Regression_Suite-style 3">
      <tableStyleElement dxfId="4" type="firstRowStripe"/>
      <tableStyleElement dxfId="1" type="secondRowStripe"/>
    </tableStyle>
    <tableStyle count="2" pivot="0" name="w6_Regression_Suite-style 4">
      <tableStyleElement dxfId="4" type="firstRowStripe"/>
      <tableStyleElement dxfId="1" type="secondRowStripe"/>
    </tableStyle>
    <tableStyle count="3" pivot="0" name="w6_Dashboard_Metric-style">
      <tableStyleElement dxfId="5" type="headerRow"/>
      <tableStyleElement dxfId="1" type="firstRowStripe"/>
      <tableStyleElement dxfId="6" type="secondRowStripe"/>
    </tableStyle>
    <tableStyle count="3" pivot="0" name="w7_Test_Performance-style">
      <tableStyleElement dxfId="7" type="headerRow"/>
      <tableStyleElement dxfId="1" type="firstRowStripe"/>
      <tableStyleElement dxfId="7" type="secondRowStripe"/>
    </tableStyle>
    <tableStyle count="3" pivot="0" name="w7_Test_Performance-style 2">
      <tableStyleElement dxfId="8" type="headerRow"/>
      <tableStyleElement dxfId="1" type="firstRowStripe"/>
      <tableStyleElement dxfId="8" type="secondRowStripe"/>
    </tableStyle>
    <tableStyle count="3" pivot="0" name="w7_Test_Performance-style 3">
      <tableStyleElement dxfId="9" type="headerRow"/>
      <tableStyleElement dxfId="1" type="firstRowStripe"/>
      <tableStyleElement dxfId="9" type="secondRowStripe"/>
    </tableStyle>
    <tableStyle count="3" pivot="0" name="w7_Summary_Dashboard-style">
      <tableStyleElement dxfId="10" type="headerRow"/>
      <tableStyleElement dxfId="1" type="firstRowStripe"/>
      <tableStyleElement dxfId="1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26</xdr:row>
      <xdr:rowOff>0</xdr:rowOff>
    </xdr:from>
    <xdr:ext cx="3200400" cy="1466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27</xdr:row>
      <xdr:rowOff>0</xdr:rowOff>
    </xdr:from>
    <xdr:ext cx="3200400" cy="1314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D9" displayName="Table_1" name="Table_1" id="1">
  <tableColumns count="4">
    <tableColumn name="Column1" id="1"/>
    <tableColumn name="Column2" id="2"/>
    <tableColumn name="Column3" id="3"/>
    <tableColumn name="Column4" id="4"/>
  </tableColumns>
  <tableStyleInfo name="Updated_Requirement-style" showColumnStripes="0" showFirstColumn="1" showLastColumn="1" showRowStripes="1"/>
</table>
</file>

<file path=xl/tables/table2.xml><?xml version="1.0" encoding="utf-8"?>
<table xmlns="http://schemas.openxmlformats.org/spreadsheetml/2006/main" headerRowCount="0" ref="F2:F9" displayName="Table_2" name="Table_2" id="2">
  <tableColumns count="1">
    <tableColumn name="Column1" id="1"/>
  </tableColumns>
  <tableStyleInfo name="Updated_Requirement-style 2" showColumnStripes="0" showFirstColumn="1" showLastColumn="1" showRowStripes="1"/>
</table>
</file>

<file path=xl/tables/table3.xml><?xml version="1.0" encoding="utf-8"?>
<table xmlns="http://schemas.openxmlformats.org/spreadsheetml/2006/main" headerRowCount="0" ref="H32:H44" displayName="Table_3" name="Table_3" id="3">
  <tableColumns count="1">
    <tableColumn name="Column1" id="1"/>
  </tableColumns>
  <tableStyleInfo name="w4_Test_Case-style" showColumnStripes="0" showFirstColumn="1" showLastColumn="1" showRowStripes="1"/>
</table>
</file>

<file path=xl/tables/table4.xml><?xml version="1.0" encoding="utf-8"?>
<table xmlns="http://schemas.openxmlformats.org/spreadsheetml/2006/main" headerRowCount="0" ref="H45:H71" displayName="Table_4" name="Table_4" id="4">
  <tableColumns count="1">
    <tableColumn name="Column1" id="1"/>
  </tableColumns>
  <tableStyleInfo name="w4_Test_Case-style 2" showColumnStripes="0" showFirstColumn="1" showLastColumn="1" showRowStripes="1"/>
</table>
</file>

<file path=xl/tables/table5.xml><?xml version="1.0" encoding="utf-8"?>
<table xmlns="http://schemas.openxmlformats.org/spreadsheetml/2006/main" headerRowCount="0" ref="H193:H230" displayName="Table_5" name="Table_5" id="5">
  <tableColumns count="1">
    <tableColumn name="Column1" id="1"/>
  </tableColumns>
  <tableStyleInfo name="w4_Test_Case-style 3" showColumnStripes="0" showFirstColumn="1" showLastColumn="1" showRowStripes="1"/>
</table>
</file>

<file path=xl/tables/table6.xml><?xml version="1.0" encoding="utf-8"?>
<table xmlns="http://schemas.openxmlformats.org/spreadsheetml/2006/main" ref="A2:G288" displayName="Table_6" name="Table_6" id="6">
  <tableColumns count="7">
    <tableColumn name="TD_ID" id="1"/>
    <tableColumn name="TC_ID" id="2"/>
    <tableColumn name="Mô tả Test Data" id="3"/>
    <tableColumn name="Input Data" id="4"/>
    <tableColumn name="Expected Value" id="5"/>
    <tableColumn name="Loại dữ liệu" id="6"/>
    <tableColumn name="Trạng thái" id="7"/>
  </tableColumns>
  <tableStyleInfo name="w4_Test_Data-style" showColumnStripes="0" showFirstColumn="1" showLastColumn="1" showRowStripes="1"/>
</table>
</file>

<file path=xl/tables/table7.xml><?xml version="1.0" encoding="utf-8"?>
<table xmlns="http://schemas.openxmlformats.org/spreadsheetml/2006/main" ref="A2:L20" displayName="Table_7" name="Table_7" id="7">
  <tableColumns count="12">
    <tableColumn name="DEF_ID" id="1"/>
    <tableColumn name="TC_ID liên quan" id="2"/>
    <tableColumn name="Tiêu đề lỗi" id="3"/>
    <tableColumn name="Mô tả chi tiết" id="4"/>
    <tableColumn name="Bước tái hiện" id="5"/>
    <tableColumn name="Kết quả thực tế" id="6"/>
    <tableColumn name="Kết quả mong đợi" id="7"/>
    <tableColumn name="Mức độ nghiêm trọng" id="8"/>
    <tableColumn name="Mức ưu tiên" id="9"/>
    <tableColumn name="Trạng thái" id="10"/>
    <tableColumn name="Người phát hiện" id="11"/>
    <tableColumn name="Ngày phát hiện" id="12"/>
  </tableColumns>
  <tableStyleInfo name="w5_Defect_Report-style" showColumnStripes="0" showFirstColumn="1" showLastColumn="1" showRowStripes="1"/>
</table>
</file>

<file path=xl/tables/table8.xml><?xml version="1.0" encoding="utf-8"?>
<table xmlns="http://schemas.openxmlformats.org/spreadsheetml/2006/main" ref="D6:E24" displayName="Table_8" name="Table_8" id="8">
  <tableColumns count="2">
    <tableColumn name="Mức độ_x000a_ nghiêm trọng" id="1"/>
    <tableColumn name="Mức ưu tiên" id="2"/>
  </tableColumns>
  <tableStyleInfo name="w6_Defect_Status_Report-style" showColumnStripes="0" showFirstColumn="1" showLastColumn="1" showRowStripes="1"/>
</table>
</file>

<file path=xl/tables/table9.xml><?xml version="1.0" encoding="utf-8"?>
<table xmlns="http://schemas.openxmlformats.org/spreadsheetml/2006/main" headerRowCount="0" ref="H7:I24" displayName="Table_9" name="Table_9" id="9">
  <tableColumns count="2">
    <tableColumn name="Column1" id="1"/>
    <tableColumn name="Column2" id="2"/>
  </tableColumns>
  <tableStyleInfo name="w6_Defect_Status_Report-style 2" showColumnStripes="0" showFirstColumn="1" showLastColumn="1" showRowStripes="1"/>
</table>
</file>

<file path=xl/tables/table10.xml><?xml version="1.0" encoding="utf-8"?>
<table xmlns="http://schemas.openxmlformats.org/spreadsheetml/2006/main" headerRowCount="0" ref="G2:G19" displayName="Table_10" name="Table_10" id="10">
  <tableColumns count="1">
    <tableColumn name="Column1" id="1"/>
  </tableColumns>
  <tableStyleInfo name="w6_Regression_Suite-style" showColumnStripes="0" showFirstColumn="1" showLastColumn="1" showRowStripes="1"/>
</table>
</file>

<file path=xl/tables/table11.xml><?xml version="1.0" encoding="utf-8"?>
<table xmlns="http://schemas.openxmlformats.org/spreadsheetml/2006/main" headerRowCount="0" ref="G20:G26" displayName="Table_11" name="Table_11" id="11">
  <tableColumns count="1">
    <tableColumn name="Column1" id="1"/>
  </tableColumns>
  <tableStyleInfo name="w6_Regression_Suite-style 2" showColumnStripes="0" showFirstColumn="1" showLastColumn="1" showRowStripes="1"/>
</table>
</file>

<file path=xl/tables/table12.xml><?xml version="1.0" encoding="utf-8"?>
<table xmlns="http://schemas.openxmlformats.org/spreadsheetml/2006/main" headerRowCount="0" ref="G27:G42" displayName="Table_12" name="Table_12" id="12">
  <tableColumns count="1">
    <tableColumn name="Column1" id="1"/>
  </tableColumns>
  <tableStyleInfo name="w6_Regression_Suite-style 3" showColumnStripes="0" showFirstColumn="1" showLastColumn="1" showRowStripes="1"/>
</table>
</file>

<file path=xl/tables/table13.xml><?xml version="1.0" encoding="utf-8"?>
<table xmlns="http://schemas.openxmlformats.org/spreadsheetml/2006/main" headerRowCount="0" ref="K29:K42" displayName="Table_13" name="Table_13" id="13">
  <tableColumns count="1">
    <tableColumn name="Column1" id="1"/>
  </tableColumns>
  <tableStyleInfo name="w6_Regression_Suite-style 4" showColumnStripes="0" showFirstColumn="1" showLastColumn="1" showRowStripes="1"/>
</table>
</file>

<file path=xl/tables/table14.xml><?xml version="1.0" encoding="utf-8"?>
<table xmlns="http://schemas.openxmlformats.org/spreadsheetml/2006/main" ref="A6:D11" displayName="Table_14" name="Table_14" id="14">
  <tableColumns count="4">
    <tableColumn name="Hạng mục" id="1"/>
    <tableColumn name="Tuần 5 (Trước fix)" id="2"/>
    <tableColumn name="Tuần 6 (Sau fix)" id="3"/>
    <tableColumn name="Thay đổi" id="4"/>
  </tableColumns>
  <tableStyleInfo name="w6_Dashboard_Metric-style" showColumnStripes="0" showFirstColumn="1" showLastColumn="1" showRowStripes="1"/>
</table>
</file>

<file path=xl/tables/table15.xml><?xml version="1.0" encoding="utf-8"?>
<table xmlns="http://schemas.openxmlformats.org/spreadsheetml/2006/main" headerRowCount="0" ref="A4:M11" displayName="Table_15" name="Table_15" id="1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w7_Test_Performance-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13:M22" displayName="Table_16" name="Table_16" id="1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w7_Test_Performance-style 2"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24:M32" displayName="Table_17" name="Table_17" id="1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w7_Test_Performance-style 3"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ref="A25:I31" displayName="Table_18" name="Table_18" id="18">
  <tableColumns count="9">
    <tableColumn name="TC_ID" id="1"/>
    <tableColumn name="Lĩnh vực" id="2"/>
    <tableColumn name="Mô tả" id="3"/>
    <tableColumn name="Kết quả thực tế" id="4"/>
    <tableColumn name="Ngưỡng kỳ vọng" id="5"/>
    <tableColumn name="Priority" id="6"/>
    <tableColumn name="REQ_ID" id="7"/>
    <tableColumn name="Công cụ" id="8"/>
    <tableColumn name="Khuyến nghị" id="9"/>
  </tableColumns>
  <tableStyleInfo name="w7_Summary_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abc.com/" TargetMode="External"/><Relationship Id="rId2" Type="http://schemas.openxmlformats.org/officeDocument/2006/relationships/hyperlink" Target="http://abc.com/" TargetMode="External"/><Relationship Id="rId3" Type="http://schemas.openxmlformats.org/officeDocument/2006/relationships/drawing" Target="../drawings/drawing6.xml"/><Relationship Id="rId9" Type="http://schemas.openxmlformats.org/officeDocument/2006/relationships/table" Target="../tables/table5.xml"/><Relationship Id="rId7" Type="http://schemas.openxmlformats.org/officeDocument/2006/relationships/table" Target="../tables/table3.xml"/><Relationship Id="rId8"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hyperlink" Target="http://abc.com/" TargetMode="External"/><Relationship Id="rId2" Type="http://schemas.openxmlformats.org/officeDocument/2006/relationships/drawing" Target="../drawings/drawing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8.xml"/><Relationship Id="rId5"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9" Type="http://schemas.openxmlformats.org/officeDocument/2006/relationships/table" Target="../tables/table13.xml"/><Relationship Id="rId6" Type="http://schemas.openxmlformats.org/officeDocument/2006/relationships/table" Target="../tables/table10.xml"/><Relationship Id="rId7" Type="http://schemas.openxmlformats.org/officeDocument/2006/relationships/table" Target="../tables/table11.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5" Type="http://schemas.openxmlformats.org/officeDocument/2006/relationships/table" Target="../tables/table15.xml"/><Relationship Id="rId6" Type="http://schemas.openxmlformats.org/officeDocument/2006/relationships/table" Target="../tables/table16.xml"/><Relationship Id="rId7"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25.38"/>
    <col customWidth="1" min="3" max="3" width="34.75"/>
    <col customWidth="1" min="4" max="4" width="49.5"/>
    <col customWidth="1" min="5" max="5" width="34.88"/>
    <col customWidth="1" min="6" max="6" width="16.0"/>
  </cols>
  <sheetData>
    <row r="1" ht="57.0" customHeight="1">
      <c r="A1" s="1" t="s">
        <v>0</v>
      </c>
      <c r="B1" s="1" t="s">
        <v>1</v>
      </c>
      <c r="C1" s="1" t="s">
        <v>2</v>
      </c>
      <c r="D1" s="1" t="s">
        <v>3</v>
      </c>
      <c r="E1" s="1" t="s">
        <v>4</v>
      </c>
      <c r="F1" s="1" t="s">
        <v>5</v>
      </c>
      <c r="G1" s="1" t="s">
        <v>6</v>
      </c>
      <c r="H1" s="2"/>
      <c r="I1" s="3"/>
      <c r="J1" s="3"/>
      <c r="K1" s="3"/>
      <c r="L1" s="2"/>
      <c r="M1" s="2"/>
      <c r="N1" s="2"/>
      <c r="O1" s="2"/>
      <c r="P1" s="2"/>
      <c r="Q1" s="2"/>
      <c r="R1" s="2"/>
      <c r="S1" s="2"/>
      <c r="T1" s="2"/>
      <c r="U1" s="2"/>
      <c r="V1" s="2"/>
      <c r="W1" s="2"/>
      <c r="X1" s="2"/>
      <c r="Y1" s="2"/>
      <c r="Z1" s="2"/>
    </row>
    <row r="2" ht="35.25" customHeight="1">
      <c r="A2" s="4">
        <v>1.0</v>
      </c>
      <c r="B2" s="5" t="s">
        <v>7</v>
      </c>
      <c r="C2" s="6"/>
      <c r="D2" s="6"/>
      <c r="E2" s="6"/>
      <c r="F2" s="6"/>
      <c r="G2" s="7"/>
      <c r="H2" s="8"/>
      <c r="I2" s="9"/>
      <c r="J2" s="10"/>
      <c r="K2" s="10"/>
      <c r="L2" s="8"/>
      <c r="M2" s="8"/>
      <c r="N2" s="8"/>
      <c r="O2" s="8"/>
      <c r="P2" s="8"/>
      <c r="Q2" s="8"/>
      <c r="R2" s="8"/>
      <c r="S2" s="8"/>
      <c r="T2" s="8"/>
      <c r="U2" s="8"/>
      <c r="V2" s="8"/>
      <c r="W2" s="8"/>
      <c r="X2" s="8"/>
      <c r="Y2" s="8"/>
      <c r="Z2" s="8"/>
    </row>
    <row r="3" ht="66.0" customHeight="1">
      <c r="A3" s="11">
        <v>46023.0</v>
      </c>
      <c r="B3" s="12" t="s">
        <v>7</v>
      </c>
      <c r="C3" s="13" t="s">
        <v>8</v>
      </c>
      <c r="D3" s="14" t="s">
        <v>9</v>
      </c>
      <c r="E3" s="14" t="s">
        <v>10</v>
      </c>
      <c r="F3" s="15" t="s">
        <v>11</v>
      </c>
      <c r="G3" s="15" t="s">
        <v>12</v>
      </c>
      <c r="H3" s="8"/>
      <c r="I3" s="9"/>
      <c r="J3" s="10"/>
      <c r="K3" s="10"/>
      <c r="L3" s="8"/>
      <c r="M3" s="8"/>
      <c r="N3" s="8"/>
      <c r="O3" s="8"/>
      <c r="P3" s="8"/>
      <c r="Q3" s="8"/>
      <c r="R3" s="8"/>
      <c r="S3" s="8"/>
      <c r="T3" s="8"/>
      <c r="U3" s="8"/>
      <c r="V3" s="8"/>
      <c r="W3" s="8"/>
      <c r="X3" s="8"/>
      <c r="Y3" s="8"/>
      <c r="Z3" s="8"/>
    </row>
    <row r="4" ht="66.0" customHeight="1">
      <c r="A4" s="11">
        <v>46054.0</v>
      </c>
      <c r="B4" s="12" t="s">
        <v>7</v>
      </c>
      <c r="C4" s="14" t="s">
        <v>13</v>
      </c>
      <c r="D4" s="14" t="s">
        <v>14</v>
      </c>
      <c r="E4" s="16" t="s">
        <v>15</v>
      </c>
      <c r="F4" s="15" t="s">
        <v>16</v>
      </c>
      <c r="G4" s="16" t="s">
        <v>15</v>
      </c>
      <c r="H4" s="8"/>
      <c r="I4" s="9"/>
      <c r="J4" s="10"/>
      <c r="K4" s="10"/>
      <c r="L4" s="8"/>
      <c r="M4" s="8"/>
      <c r="N4" s="8"/>
      <c r="O4" s="8"/>
      <c r="P4" s="8"/>
      <c r="Q4" s="8"/>
      <c r="R4" s="8"/>
      <c r="S4" s="8"/>
      <c r="T4" s="8"/>
      <c r="U4" s="8"/>
      <c r="V4" s="8"/>
      <c r="W4" s="8"/>
      <c r="X4" s="8"/>
      <c r="Y4" s="8"/>
      <c r="Z4" s="8"/>
    </row>
    <row r="5" ht="66.0" customHeight="1">
      <c r="A5" s="11">
        <v>46082.0</v>
      </c>
      <c r="B5" s="12" t="s">
        <v>7</v>
      </c>
      <c r="C5" s="14" t="s">
        <v>17</v>
      </c>
      <c r="D5" s="14" t="s">
        <v>18</v>
      </c>
      <c r="E5" s="16" t="s">
        <v>15</v>
      </c>
      <c r="F5" s="15" t="s">
        <v>16</v>
      </c>
      <c r="G5" s="16" t="s">
        <v>15</v>
      </c>
      <c r="H5" s="8"/>
      <c r="I5" s="9"/>
      <c r="J5" s="10"/>
      <c r="K5" s="10"/>
      <c r="L5" s="8"/>
      <c r="M5" s="8"/>
      <c r="N5" s="8"/>
      <c r="O5" s="8"/>
      <c r="P5" s="8"/>
      <c r="Q5" s="8"/>
      <c r="R5" s="8"/>
      <c r="S5" s="8"/>
      <c r="T5" s="8"/>
      <c r="U5" s="8"/>
      <c r="V5" s="8"/>
      <c r="W5" s="8"/>
      <c r="X5" s="8"/>
      <c r="Y5" s="8"/>
      <c r="Z5" s="8"/>
    </row>
    <row r="6" ht="66.0" customHeight="1">
      <c r="A6" s="11">
        <v>46113.0</v>
      </c>
      <c r="B6" s="12" t="s">
        <v>7</v>
      </c>
      <c r="C6" s="14" t="s">
        <v>19</v>
      </c>
      <c r="D6" s="14" t="s">
        <v>20</v>
      </c>
      <c r="E6" s="14" t="s">
        <v>21</v>
      </c>
      <c r="F6" s="15" t="s">
        <v>11</v>
      </c>
      <c r="G6" s="15" t="s">
        <v>12</v>
      </c>
      <c r="H6" s="8"/>
      <c r="I6" s="8"/>
      <c r="J6" s="8"/>
      <c r="K6" s="8"/>
      <c r="L6" s="8"/>
      <c r="M6" s="8"/>
      <c r="N6" s="8"/>
      <c r="O6" s="8"/>
      <c r="P6" s="8"/>
      <c r="Q6" s="8"/>
      <c r="R6" s="8"/>
      <c r="S6" s="8"/>
      <c r="T6" s="8"/>
      <c r="U6" s="8"/>
      <c r="V6" s="8"/>
      <c r="W6" s="8"/>
      <c r="X6" s="8"/>
      <c r="Y6" s="8"/>
      <c r="Z6" s="8"/>
    </row>
    <row r="7" ht="66.0" customHeight="1">
      <c r="A7" s="11">
        <v>46143.0</v>
      </c>
      <c r="B7" s="12" t="s">
        <v>7</v>
      </c>
      <c r="C7" s="14" t="s">
        <v>22</v>
      </c>
      <c r="D7" s="14" t="s">
        <v>23</v>
      </c>
      <c r="E7" s="14"/>
      <c r="F7" s="15" t="s">
        <v>16</v>
      </c>
      <c r="G7" s="16" t="s">
        <v>15</v>
      </c>
      <c r="H7" s="8"/>
      <c r="I7" s="8"/>
      <c r="J7" s="8"/>
      <c r="K7" s="8"/>
      <c r="L7" s="8"/>
      <c r="M7" s="8"/>
      <c r="N7" s="8"/>
      <c r="O7" s="8"/>
      <c r="P7" s="8"/>
      <c r="Q7" s="8"/>
      <c r="R7" s="8"/>
      <c r="S7" s="8"/>
      <c r="T7" s="8"/>
      <c r="U7" s="8"/>
      <c r="V7" s="8"/>
      <c r="W7" s="8"/>
      <c r="X7" s="8"/>
      <c r="Y7" s="8"/>
      <c r="Z7" s="8"/>
    </row>
    <row r="8" ht="66.0" customHeight="1">
      <c r="A8" s="11">
        <v>46174.0</v>
      </c>
      <c r="B8" s="12" t="s">
        <v>7</v>
      </c>
      <c r="C8" s="14" t="s">
        <v>24</v>
      </c>
      <c r="D8" s="14" t="s">
        <v>25</v>
      </c>
      <c r="E8" s="14" t="s">
        <v>26</v>
      </c>
      <c r="F8" s="15" t="s">
        <v>11</v>
      </c>
      <c r="G8" s="15" t="s">
        <v>12</v>
      </c>
      <c r="H8" s="8"/>
      <c r="I8" s="8"/>
      <c r="J8" s="8"/>
      <c r="K8" s="8"/>
      <c r="L8" s="8"/>
      <c r="M8" s="8"/>
      <c r="N8" s="8"/>
      <c r="O8" s="8"/>
      <c r="P8" s="8"/>
      <c r="Q8" s="8"/>
      <c r="R8" s="8"/>
      <c r="S8" s="8"/>
      <c r="T8" s="8"/>
      <c r="U8" s="8"/>
      <c r="V8" s="8"/>
      <c r="W8" s="8"/>
      <c r="X8" s="8"/>
      <c r="Y8" s="8"/>
      <c r="Z8" s="8"/>
    </row>
    <row r="9" ht="66.0" customHeight="1">
      <c r="A9" s="11">
        <v>46204.0</v>
      </c>
      <c r="B9" s="12" t="s">
        <v>7</v>
      </c>
      <c r="C9" s="14" t="s">
        <v>27</v>
      </c>
      <c r="D9" s="14" t="s">
        <v>28</v>
      </c>
      <c r="E9" s="16" t="s">
        <v>15</v>
      </c>
      <c r="F9" s="15" t="s">
        <v>16</v>
      </c>
      <c r="G9" s="16" t="s">
        <v>15</v>
      </c>
      <c r="H9" s="8"/>
      <c r="I9" s="8"/>
      <c r="J9" s="8"/>
      <c r="K9" s="8"/>
      <c r="L9" s="8"/>
      <c r="M9" s="8"/>
      <c r="N9" s="8"/>
      <c r="O9" s="8"/>
      <c r="P9" s="8"/>
      <c r="Q9" s="8"/>
      <c r="R9" s="8"/>
      <c r="S9" s="8"/>
      <c r="T9" s="8"/>
      <c r="U9" s="8"/>
      <c r="V9" s="8"/>
      <c r="W9" s="8"/>
      <c r="X9" s="8"/>
      <c r="Y9" s="8"/>
      <c r="Z9" s="8"/>
    </row>
    <row r="10" ht="66.0" customHeight="1">
      <c r="A10" s="11">
        <v>46235.0</v>
      </c>
      <c r="B10" s="12" t="s">
        <v>7</v>
      </c>
      <c r="C10" s="14" t="s">
        <v>29</v>
      </c>
      <c r="D10" s="14" t="s">
        <v>30</v>
      </c>
      <c r="E10" s="16" t="s">
        <v>15</v>
      </c>
      <c r="F10" s="15" t="s">
        <v>16</v>
      </c>
      <c r="G10" s="16" t="s">
        <v>15</v>
      </c>
      <c r="H10" s="8"/>
      <c r="I10" s="8"/>
      <c r="J10" s="8"/>
      <c r="K10" s="8"/>
      <c r="L10" s="8"/>
      <c r="M10" s="8"/>
      <c r="N10" s="8"/>
      <c r="O10" s="8"/>
      <c r="P10" s="8"/>
      <c r="Q10" s="8"/>
      <c r="R10" s="8"/>
      <c r="S10" s="8"/>
      <c r="T10" s="8"/>
      <c r="U10" s="8"/>
      <c r="V10" s="8"/>
      <c r="W10" s="8"/>
      <c r="X10" s="8"/>
      <c r="Y10" s="8"/>
      <c r="Z10" s="8"/>
    </row>
    <row r="11" ht="30.0" customHeight="1">
      <c r="A11" s="4">
        <v>2.0</v>
      </c>
      <c r="B11" s="5" t="s">
        <v>31</v>
      </c>
      <c r="C11" s="6"/>
      <c r="D11" s="6"/>
      <c r="E11" s="6"/>
      <c r="F11" s="6"/>
      <c r="G11" s="7"/>
      <c r="H11" s="8"/>
      <c r="I11" s="8"/>
      <c r="J11" s="8"/>
      <c r="K11" s="8"/>
      <c r="L11" s="8"/>
      <c r="M11" s="8"/>
      <c r="N11" s="8"/>
      <c r="O11" s="8"/>
      <c r="P11" s="8"/>
      <c r="Q11" s="8"/>
      <c r="R11" s="8"/>
      <c r="S11" s="8"/>
      <c r="T11" s="8"/>
      <c r="U11" s="8"/>
      <c r="V11" s="8"/>
      <c r="W11" s="8"/>
      <c r="X11" s="8"/>
      <c r="Y11" s="8"/>
      <c r="Z11" s="8"/>
    </row>
    <row r="12" ht="66.0" customHeight="1">
      <c r="A12" s="11">
        <v>46024.0</v>
      </c>
      <c r="B12" s="14" t="s">
        <v>31</v>
      </c>
      <c r="C12" s="14" t="s">
        <v>32</v>
      </c>
      <c r="D12" s="14" t="s">
        <v>33</v>
      </c>
      <c r="E12" s="16" t="s">
        <v>15</v>
      </c>
      <c r="F12" s="15" t="s">
        <v>16</v>
      </c>
      <c r="G12" s="16" t="s">
        <v>15</v>
      </c>
      <c r="H12" s="8"/>
      <c r="I12" s="8"/>
      <c r="J12" s="8"/>
      <c r="K12" s="8"/>
      <c r="L12" s="8"/>
      <c r="M12" s="8"/>
      <c r="N12" s="8"/>
      <c r="O12" s="8"/>
      <c r="P12" s="8"/>
      <c r="Q12" s="8"/>
      <c r="R12" s="8"/>
      <c r="S12" s="8"/>
      <c r="T12" s="8"/>
      <c r="U12" s="8"/>
      <c r="V12" s="8"/>
      <c r="W12" s="8"/>
      <c r="X12" s="8"/>
      <c r="Y12" s="8"/>
      <c r="Z12" s="8"/>
    </row>
    <row r="13" ht="66.0" customHeight="1">
      <c r="A13" s="11">
        <v>46055.0</v>
      </c>
      <c r="B13" s="14" t="s">
        <v>31</v>
      </c>
      <c r="C13" s="14" t="s">
        <v>34</v>
      </c>
      <c r="D13" s="14" t="s">
        <v>35</v>
      </c>
      <c r="E13" s="14" t="s">
        <v>36</v>
      </c>
      <c r="F13" s="15" t="s">
        <v>11</v>
      </c>
      <c r="G13" s="15" t="s">
        <v>12</v>
      </c>
      <c r="H13" s="8"/>
      <c r="I13" s="8"/>
      <c r="J13" s="8"/>
      <c r="K13" s="8"/>
      <c r="L13" s="8"/>
      <c r="M13" s="8"/>
      <c r="N13" s="8"/>
      <c r="O13" s="8"/>
      <c r="P13" s="8"/>
      <c r="Q13" s="8"/>
      <c r="R13" s="8"/>
      <c r="S13" s="8"/>
      <c r="T13" s="8"/>
      <c r="U13" s="8"/>
      <c r="V13" s="8"/>
      <c r="W13" s="8"/>
      <c r="X13" s="8"/>
      <c r="Y13" s="8"/>
      <c r="Z13" s="8"/>
    </row>
    <row r="14" ht="66.0" customHeight="1">
      <c r="A14" s="11">
        <v>46083.0</v>
      </c>
      <c r="B14" s="14" t="s">
        <v>31</v>
      </c>
      <c r="C14" s="14" t="s">
        <v>37</v>
      </c>
      <c r="D14" s="14" t="s">
        <v>38</v>
      </c>
      <c r="E14" s="14" t="s">
        <v>39</v>
      </c>
      <c r="F14" s="15" t="s">
        <v>11</v>
      </c>
      <c r="G14" s="15" t="s">
        <v>12</v>
      </c>
      <c r="H14" s="8"/>
      <c r="I14" s="8"/>
      <c r="J14" s="8"/>
      <c r="K14" s="8"/>
      <c r="L14" s="8"/>
      <c r="M14" s="8"/>
      <c r="N14" s="8"/>
      <c r="O14" s="8"/>
      <c r="P14" s="8"/>
      <c r="Q14" s="8"/>
      <c r="R14" s="8"/>
      <c r="S14" s="8"/>
      <c r="T14" s="8"/>
      <c r="U14" s="8"/>
      <c r="V14" s="8"/>
      <c r="W14" s="8"/>
      <c r="X14" s="8"/>
      <c r="Y14" s="8"/>
      <c r="Z14" s="8"/>
    </row>
    <row r="15" ht="66.0" customHeight="1">
      <c r="A15" s="11">
        <v>46114.0</v>
      </c>
      <c r="B15" s="14" t="s">
        <v>31</v>
      </c>
      <c r="C15" s="14" t="s">
        <v>40</v>
      </c>
      <c r="D15" s="14" t="s">
        <v>41</v>
      </c>
      <c r="E15" s="16" t="s">
        <v>15</v>
      </c>
      <c r="F15" s="17" t="s">
        <v>16</v>
      </c>
      <c r="G15" s="16" t="s">
        <v>15</v>
      </c>
      <c r="H15" s="8"/>
      <c r="I15" s="8"/>
      <c r="J15" s="8"/>
      <c r="K15" s="8"/>
      <c r="L15" s="8"/>
      <c r="M15" s="8"/>
      <c r="N15" s="8"/>
      <c r="O15" s="8"/>
      <c r="P15" s="8"/>
      <c r="Q15" s="8"/>
      <c r="R15" s="8"/>
      <c r="S15" s="8"/>
      <c r="T15" s="8"/>
      <c r="U15" s="8"/>
      <c r="V15" s="8"/>
      <c r="W15" s="8"/>
      <c r="X15" s="8"/>
      <c r="Y15" s="8"/>
      <c r="Z15" s="8"/>
    </row>
    <row r="16" ht="66.0" customHeight="1">
      <c r="A16" s="11">
        <v>46144.0</v>
      </c>
      <c r="B16" s="14" t="s">
        <v>31</v>
      </c>
      <c r="C16" s="14" t="s">
        <v>42</v>
      </c>
      <c r="D16" s="14" t="s">
        <v>43</v>
      </c>
      <c r="E16" s="16" t="s">
        <v>15</v>
      </c>
      <c r="F16" s="15" t="s">
        <v>16</v>
      </c>
      <c r="G16" s="16" t="s">
        <v>15</v>
      </c>
      <c r="H16" s="8"/>
      <c r="I16" s="8"/>
      <c r="J16" s="8"/>
      <c r="K16" s="8"/>
      <c r="L16" s="8"/>
      <c r="M16" s="8"/>
      <c r="N16" s="8"/>
      <c r="O16" s="8"/>
      <c r="P16" s="8"/>
      <c r="Q16" s="8"/>
      <c r="R16" s="8"/>
      <c r="S16" s="8"/>
      <c r="T16" s="8"/>
      <c r="U16" s="8"/>
      <c r="V16" s="8"/>
      <c r="W16" s="8"/>
      <c r="X16" s="8"/>
      <c r="Y16" s="8"/>
      <c r="Z16" s="8"/>
    </row>
    <row r="17" ht="66.0" customHeight="1">
      <c r="A17" s="11">
        <v>46175.0</v>
      </c>
      <c r="B17" s="14" t="s">
        <v>31</v>
      </c>
      <c r="C17" s="14" t="s">
        <v>44</v>
      </c>
      <c r="D17" s="14" t="s">
        <v>45</v>
      </c>
      <c r="E17" s="14" t="s">
        <v>46</v>
      </c>
      <c r="F17" s="15" t="s">
        <v>11</v>
      </c>
      <c r="G17" s="15" t="s">
        <v>12</v>
      </c>
      <c r="H17" s="8"/>
      <c r="I17" s="8"/>
      <c r="J17" s="8"/>
      <c r="K17" s="8"/>
      <c r="L17" s="8"/>
      <c r="M17" s="8"/>
      <c r="N17" s="8"/>
      <c r="O17" s="8"/>
      <c r="P17" s="8"/>
      <c r="Q17" s="8"/>
      <c r="R17" s="8"/>
      <c r="S17" s="8"/>
      <c r="T17" s="8"/>
      <c r="U17" s="8"/>
      <c r="V17" s="8"/>
      <c r="W17" s="8"/>
      <c r="X17" s="8"/>
      <c r="Y17" s="8"/>
      <c r="Z17" s="8"/>
    </row>
    <row r="18" ht="66.0" customHeight="1">
      <c r="A18" s="11">
        <v>46205.0</v>
      </c>
      <c r="B18" s="14" t="s">
        <v>31</v>
      </c>
      <c r="C18" s="14" t="s">
        <v>47</v>
      </c>
      <c r="D18" s="14" t="s">
        <v>48</v>
      </c>
      <c r="E18" s="16" t="s">
        <v>15</v>
      </c>
      <c r="F18" s="15" t="s">
        <v>16</v>
      </c>
      <c r="G18" s="16" t="s">
        <v>15</v>
      </c>
      <c r="H18" s="8"/>
      <c r="I18" s="8"/>
      <c r="J18" s="8"/>
      <c r="K18" s="8"/>
      <c r="L18" s="8"/>
      <c r="M18" s="8"/>
      <c r="N18" s="8"/>
      <c r="O18" s="8"/>
      <c r="P18" s="8"/>
      <c r="Q18" s="8"/>
      <c r="R18" s="8"/>
      <c r="S18" s="8"/>
      <c r="T18" s="8"/>
      <c r="U18" s="8"/>
      <c r="V18" s="8"/>
      <c r="W18" s="8"/>
      <c r="X18" s="8"/>
      <c r="Y18" s="8"/>
      <c r="Z18" s="8"/>
    </row>
    <row r="19" ht="66.0" customHeight="1">
      <c r="A19" s="11">
        <v>46236.0</v>
      </c>
      <c r="B19" s="14" t="s">
        <v>31</v>
      </c>
      <c r="C19" s="14" t="s">
        <v>49</v>
      </c>
      <c r="D19" s="14" t="s">
        <v>50</v>
      </c>
      <c r="E19" s="16" t="s">
        <v>15</v>
      </c>
      <c r="F19" s="15" t="s">
        <v>11</v>
      </c>
      <c r="G19" s="15" t="s">
        <v>51</v>
      </c>
      <c r="H19" s="8"/>
      <c r="I19" s="8"/>
      <c r="J19" s="8"/>
      <c r="K19" s="8"/>
      <c r="L19" s="8"/>
      <c r="M19" s="8"/>
      <c r="N19" s="8"/>
      <c r="O19" s="8"/>
      <c r="P19" s="8"/>
      <c r="Q19" s="8"/>
      <c r="R19" s="8"/>
      <c r="S19" s="8"/>
      <c r="T19" s="8"/>
      <c r="U19" s="8"/>
      <c r="V19" s="8"/>
      <c r="W19" s="8"/>
      <c r="X19" s="8"/>
      <c r="Y19" s="8"/>
      <c r="Z19" s="8"/>
    </row>
    <row r="20" ht="33.0" customHeight="1">
      <c r="A20" s="4">
        <v>3.0</v>
      </c>
      <c r="B20" s="5" t="s">
        <v>52</v>
      </c>
      <c r="C20" s="6"/>
      <c r="D20" s="6"/>
      <c r="E20" s="6"/>
      <c r="F20" s="6"/>
      <c r="G20" s="7"/>
      <c r="H20" s="8"/>
      <c r="I20" s="8"/>
      <c r="J20" s="8"/>
      <c r="K20" s="8"/>
      <c r="L20" s="8"/>
      <c r="M20" s="8"/>
      <c r="N20" s="8"/>
      <c r="O20" s="8"/>
      <c r="P20" s="8"/>
      <c r="Q20" s="8"/>
      <c r="R20" s="8"/>
      <c r="S20" s="8"/>
      <c r="T20" s="8"/>
      <c r="U20" s="8"/>
      <c r="V20" s="8"/>
      <c r="W20" s="8"/>
      <c r="X20" s="8"/>
      <c r="Y20" s="8"/>
      <c r="Z20" s="8"/>
    </row>
    <row r="21" ht="66.0" customHeight="1">
      <c r="A21" s="11">
        <v>46025.0</v>
      </c>
      <c r="B21" s="14" t="s">
        <v>52</v>
      </c>
      <c r="C21" s="14" t="s">
        <v>53</v>
      </c>
      <c r="D21" s="14" t="s">
        <v>54</v>
      </c>
      <c r="E21" s="16" t="s">
        <v>15</v>
      </c>
      <c r="F21" s="15" t="s">
        <v>16</v>
      </c>
      <c r="G21" s="16" t="s">
        <v>15</v>
      </c>
      <c r="H21" s="8"/>
      <c r="I21" s="8"/>
      <c r="J21" s="8"/>
      <c r="K21" s="8"/>
      <c r="L21" s="8"/>
      <c r="M21" s="8"/>
      <c r="N21" s="8"/>
      <c r="O21" s="8"/>
      <c r="P21" s="8"/>
      <c r="Q21" s="8"/>
      <c r="R21" s="8"/>
      <c r="S21" s="8"/>
      <c r="T21" s="8"/>
      <c r="U21" s="8"/>
      <c r="V21" s="8"/>
      <c r="W21" s="8"/>
      <c r="X21" s="8"/>
      <c r="Y21" s="8"/>
      <c r="Z21" s="8"/>
    </row>
    <row r="22" ht="66.0" customHeight="1">
      <c r="A22" s="11">
        <v>46056.0</v>
      </c>
      <c r="B22" s="14" t="s">
        <v>52</v>
      </c>
      <c r="C22" s="14" t="s">
        <v>55</v>
      </c>
      <c r="D22" s="14" t="s">
        <v>56</v>
      </c>
      <c r="E22" s="14" t="s">
        <v>57</v>
      </c>
      <c r="F22" s="15" t="s">
        <v>11</v>
      </c>
      <c r="G22" s="15" t="s">
        <v>58</v>
      </c>
      <c r="H22" s="8"/>
      <c r="I22" s="8"/>
      <c r="J22" s="8"/>
      <c r="K22" s="8"/>
      <c r="L22" s="8"/>
      <c r="M22" s="8"/>
      <c r="N22" s="8"/>
      <c r="O22" s="8"/>
      <c r="P22" s="8"/>
      <c r="Q22" s="8"/>
      <c r="R22" s="8"/>
      <c r="S22" s="8"/>
      <c r="T22" s="8"/>
      <c r="U22" s="8"/>
      <c r="V22" s="8"/>
      <c r="W22" s="8"/>
      <c r="X22" s="8"/>
      <c r="Y22" s="8"/>
      <c r="Z22" s="8"/>
    </row>
    <row r="23" ht="66.0" customHeight="1">
      <c r="A23" s="11">
        <v>46084.0</v>
      </c>
      <c r="B23" s="14" t="s">
        <v>52</v>
      </c>
      <c r="C23" s="14" t="s">
        <v>59</v>
      </c>
      <c r="D23" s="14" t="s">
        <v>60</v>
      </c>
      <c r="E23" s="16" t="s">
        <v>15</v>
      </c>
      <c r="F23" s="15" t="s">
        <v>16</v>
      </c>
      <c r="G23" s="16" t="s">
        <v>15</v>
      </c>
      <c r="H23" s="8"/>
      <c r="I23" s="8"/>
      <c r="J23" s="8"/>
      <c r="K23" s="8"/>
      <c r="L23" s="8"/>
      <c r="M23" s="8"/>
      <c r="N23" s="8"/>
      <c r="O23" s="8"/>
      <c r="P23" s="8"/>
      <c r="Q23" s="8"/>
      <c r="R23" s="8"/>
      <c r="S23" s="8"/>
      <c r="T23" s="8"/>
      <c r="U23" s="8"/>
      <c r="V23" s="8"/>
      <c r="W23" s="8"/>
      <c r="X23" s="8"/>
      <c r="Y23" s="8"/>
      <c r="Z23" s="8"/>
    </row>
    <row r="24" ht="34.5" customHeight="1">
      <c r="A24" s="4">
        <v>4.0</v>
      </c>
      <c r="B24" s="5" t="s">
        <v>61</v>
      </c>
      <c r="C24" s="6"/>
      <c r="D24" s="6"/>
      <c r="E24" s="6"/>
      <c r="F24" s="6"/>
      <c r="G24" s="7"/>
      <c r="H24" s="8"/>
      <c r="I24" s="8"/>
      <c r="J24" s="8"/>
      <c r="K24" s="8"/>
      <c r="L24" s="8"/>
      <c r="M24" s="8"/>
      <c r="N24" s="8"/>
      <c r="O24" s="8"/>
      <c r="P24" s="8"/>
      <c r="Q24" s="8"/>
      <c r="R24" s="8"/>
      <c r="S24" s="8"/>
      <c r="T24" s="8"/>
      <c r="U24" s="8"/>
      <c r="V24" s="8"/>
      <c r="W24" s="8"/>
      <c r="X24" s="8"/>
      <c r="Y24" s="8"/>
      <c r="Z24" s="8"/>
    </row>
    <row r="25" ht="66.0" customHeight="1">
      <c r="A25" s="11">
        <v>46026.0</v>
      </c>
      <c r="B25" s="14" t="s">
        <v>61</v>
      </c>
      <c r="C25" s="14" t="s">
        <v>62</v>
      </c>
      <c r="D25" s="14" t="s">
        <v>63</v>
      </c>
      <c r="E25" s="16" t="s">
        <v>15</v>
      </c>
      <c r="F25" s="15" t="s">
        <v>16</v>
      </c>
      <c r="G25" s="16" t="s">
        <v>15</v>
      </c>
      <c r="H25" s="8"/>
      <c r="I25" s="8"/>
      <c r="J25" s="8"/>
      <c r="K25" s="8"/>
      <c r="L25" s="8"/>
      <c r="M25" s="8"/>
      <c r="N25" s="8"/>
      <c r="O25" s="8"/>
      <c r="P25" s="8"/>
      <c r="Q25" s="8"/>
      <c r="R25" s="8"/>
      <c r="S25" s="8"/>
      <c r="T25" s="8"/>
      <c r="U25" s="8"/>
      <c r="V25" s="8"/>
      <c r="W25" s="8"/>
      <c r="X25" s="8"/>
      <c r="Y25" s="8"/>
      <c r="Z25" s="8"/>
    </row>
    <row r="26" ht="66.0" customHeight="1">
      <c r="A26" s="11">
        <v>46057.0</v>
      </c>
      <c r="B26" s="14" t="s">
        <v>61</v>
      </c>
      <c r="C26" s="14" t="s">
        <v>64</v>
      </c>
      <c r="D26" s="14" t="s">
        <v>65</v>
      </c>
      <c r="E26" s="16" t="s">
        <v>15</v>
      </c>
      <c r="F26" s="15" t="s">
        <v>16</v>
      </c>
      <c r="G26" s="16" t="s">
        <v>15</v>
      </c>
      <c r="H26" s="8"/>
      <c r="I26" s="8"/>
      <c r="J26" s="8"/>
      <c r="K26" s="8"/>
      <c r="L26" s="8"/>
      <c r="M26" s="8"/>
      <c r="N26" s="8"/>
      <c r="O26" s="8"/>
      <c r="P26" s="8"/>
      <c r="Q26" s="8"/>
      <c r="R26" s="8"/>
      <c r="S26" s="8"/>
      <c r="T26" s="8"/>
      <c r="U26" s="8"/>
      <c r="V26" s="8"/>
      <c r="W26" s="8"/>
      <c r="X26" s="8"/>
      <c r="Y26" s="8"/>
      <c r="Z26" s="8"/>
    </row>
    <row r="27" ht="30.75" customHeight="1">
      <c r="A27" s="4">
        <v>5.0</v>
      </c>
      <c r="B27" s="5" t="s">
        <v>66</v>
      </c>
      <c r="C27" s="6"/>
      <c r="D27" s="6"/>
      <c r="E27" s="6"/>
      <c r="F27" s="6"/>
      <c r="G27" s="7"/>
      <c r="H27" s="8"/>
      <c r="I27" s="8"/>
      <c r="J27" s="8"/>
      <c r="K27" s="8"/>
      <c r="L27" s="8"/>
      <c r="M27" s="8"/>
      <c r="N27" s="8"/>
      <c r="O27" s="8"/>
      <c r="P27" s="8"/>
      <c r="Q27" s="8"/>
      <c r="R27" s="8"/>
      <c r="S27" s="8"/>
      <c r="T27" s="8"/>
      <c r="U27" s="8"/>
      <c r="V27" s="8"/>
      <c r="W27" s="8"/>
      <c r="X27" s="8"/>
      <c r="Y27" s="8"/>
      <c r="Z27" s="8"/>
    </row>
    <row r="28" ht="66.0" customHeight="1">
      <c r="A28" s="11">
        <v>46027.0</v>
      </c>
      <c r="B28" s="14" t="s">
        <v>66</v>
      </c>
      <c r="C28" s="14" t="s">
        <v>67</v>
      </c>
      <c r="D28" s="14" t="s">
        <v>68</v>
      </c>
      <c r="E28" s="16" t="s">
        <v>15</v>
      </c>
      <c r="F28" s="15" t="s">
        <v>16</v>
      </c>
      <c r="G28" s="16" t="s">
        <v>15</v>
      </c>
      <c r="H28" s="8"/>
      <c r="I28" s="8"/>
      <c r="J28" s="8"/>
      <c r="K28" s="8"/>
      <c r="L28" s="8"/>
      <c r="M28" s="8"/>
      <c r="N28" s="8"/>
      <c r="O28" s="8"/>
      <c r="P28" s="8"/>
      <c r="Q28" s="8"/>
      <c r="R28" s="8"/>
      <c r="S28" s="8"/>
      <c r="T28" s="8"/>
      <c r="U28" s="8"/>
      <c r="V28" s="8"/>
      <c r="W28" s="8"/>
      <c r="X28" s="8"/>
      <c r="Y28" s="8"/>
      <c r="Z28" s="8"/>
    </row>
    <row r="29" ht="66.0" customHeight="1">
      <c r="A29" s="11">
        <v>46058.0</v>
      </c>
      <c r="B29" s="14" t="s">
        <v>66</v>
      </c>
      <c r="C29" s="14" t="s">
        <v>69</v>
      </c>
      <c r="D29" s="14" t="s">
        <v>70</v>
      </c>
      <c r="E29" s="18" t="s">
        <v>71</v>
      </c>
      <c r="F29" s="15" t="s">
        <v>11</v>
      </c>
      <c r="G29" s="15" t="s">
        <v>58</v>
      </c>
      <c r="H29" s="8"/>
      <c r="I29" s="8"/>
      <c r="J29" s="8"/>
      <c r="K29" s="8"/>
      <c r="L29" s="8"/>
      <c r="M29" s="8"/>
      <c r="N29" s="8"/>
      <c r="O29" s="8"/>
      <c r="P29" s="8"/>
      <c r="Q29" s="8"/>
      <c r="R29" s="8"/>
      <c r="S29" s="8"/>
      <c r="T29" s="8"/>
      <c r="U29" s="8"/>
      <c r="V29" s="8"/>
      <c r="W29" s="8"/>
      <c r="X29" s="8"/>
      <c r="Y29" s="8"/>
      <c r="Z29" s="8"/>
    </row>
    <row r="30" ht="66.0" customHeight="1">
      <c r="A30" s="11">
        <v>46086.0</v>
      </c>
      <c r="B30" s="14" t="s">
        <v>66</v>
      </c>
      <c r="C30" s="14" t="s">
        <v>72</v>
      </c>
      <c r="D30" s="14" t="s">
        <v>73</v>
      </c>
      <c r="E30" s="16" t="s">
        <v>15</v>
      </c>
      <c r="F30" s="15" t="s">
        <v>16</v>
      </c>
      <c r="G30" s="16" t="s">
        <v>15</v>
      </c>
      <c r="H30" s="8"/>
      <c r="I30" s="8"/>
      <c r="J30" s="8"/>
      <c r="K30" s="8"/>
      <c r="L30" s="8"/>
      <c r="M30" s="8"/>
      <c r="N30" s="8"/>
      <c r="O30" s="8"/>
      <c r="P30" s="8"/>
      <c r="Q30" s="8"/>
      <c r="R30" s="8"/>
      <c r="S30" s="8"/>
      <c r="T30" s="8"/>
      <c r="U30" s="8"/>
      <c r="V30" s="8"/>
      <c r="W30" s="8"/>
      <c r="X30" s="8"/>
      <c r="Y30" s="8"/>
      <c r="Z30" s="8"/>
    </row>
    <row r="31" ht="66.0"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66.0"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66.0"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66.0"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66.0"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66.0"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66.0"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66.0"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66.0"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66.0"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66.0"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66.0"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66.0"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66.0"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66.0"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66.0"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66.0"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66.0"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66.0"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66.0"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66.0"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66.0"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66.0"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66.0"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66.0"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66.0"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66.0"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66.0"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66.0"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66.0"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66.0"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66.0"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66.0"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66.0"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66.0"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66.0"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66.0"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66.0"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66.0"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66.0"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66.0"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66.0"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66.0"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66.0"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66.0"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66.0"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66.0"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66.0"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66.0"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66.0"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66.0"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66.0"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66.0"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66.0"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66.0"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66.0"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66.0"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66.0"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66.0"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66.0"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66.0"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66.0"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66.0"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66.0"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66.0"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66.0"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66.0"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66.0"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66.0"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66.0"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66.0"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66.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66.0"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66.0"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66.0"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66.0"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66.0"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66.0"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66.0"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66.0"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66.0"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66.0"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66.0"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66.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66.0"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66.0"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66.0"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66.0"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66.0"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66.0"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66.0"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66.0"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66.0"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66.0"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66.0"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66.0"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66.0"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66.0"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66.0"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66.0"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66.0"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66.0"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66.0"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66.0"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66.0"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66.0"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66.0"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66.0"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66.0"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66.0"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66.0"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66.0"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66.0"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66.0"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66.0"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66.0"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66.0"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66.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66.0"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66.0"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66.0"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66.0"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66.0"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66.0"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66.0"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66.0"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66.0"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66.0"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66.0"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66.0"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66.0"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66.0"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66.0"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66.0"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66.0"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66.0"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66.0"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66.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66.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66.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66.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66.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66.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66.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66.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66.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66.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66.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66.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66.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66.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66.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66.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66.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66.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66.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66.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66.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66.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66.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66.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66.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66.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66.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66.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66.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66.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66.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66.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66.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66.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66.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66.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66.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66.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66.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66.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66.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66.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66.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66.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66.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66.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66.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66.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66.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66.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66.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66.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66.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66.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66.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66.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66.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66.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66.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66.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66.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66.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66.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66.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66.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66.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66.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66.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66.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66.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66.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66.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66.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66.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66.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66.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66.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66.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66.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66.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66.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66.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66.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66.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66.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66.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66.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66.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66.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66.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66.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66.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66.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66.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66.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66.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66.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66.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66.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66.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66.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66.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66.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66.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66.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66.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66.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66.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66.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66.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66.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66.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66.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66.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66.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66.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66.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66.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66.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66.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66.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66.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66.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66.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66.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66.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66.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66.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66.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66.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66.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66.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66.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66.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66.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66.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66.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66.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66.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66.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66.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66.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66.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66.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66.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66.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66.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66.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66.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66.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66.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66.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66.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66.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66.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66.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66.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66.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66.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66.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66.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66.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66.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66.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66.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66.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66.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66.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66.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66.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66.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66.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66.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66.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66.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66.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66.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66.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66.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66.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66.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66.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66.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66.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66.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66.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66.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66.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66.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66.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66.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66.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66.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66.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66.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66.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66.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66.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66.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66.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66.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66.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66.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66.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66.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66.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66.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66.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66.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66.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66.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66.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66.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66.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66.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66.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66.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66.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66.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66.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66.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66.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66.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66.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66.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66.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66.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66.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66.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66.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66.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66.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66.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66.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66.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66.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66.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66.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66.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66.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66.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66.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66.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66.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66.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66.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66.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66.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66.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66.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66.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66.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66.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66.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66.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66.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66.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66.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66.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66.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66.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66.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66.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66.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66.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66.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66.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66.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66.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66.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66.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66.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66.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66.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66.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66.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66.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66.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66.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66.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66.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66.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66.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66.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66.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66.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66.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66.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66.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66.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66.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66.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66.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66.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66.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66.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66.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66.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66.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66.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66.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66.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66.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66.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66.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66.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66.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66.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66.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66.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66.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66.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66.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66.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66.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66.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66.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66.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66.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66.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66.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66.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66.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66.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66.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66.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66.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66.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66.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66.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66.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66.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66.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66.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66.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66.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66.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66.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66.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66.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66.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66.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66.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66.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66.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66.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66.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66.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66.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66.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66.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66.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66.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66.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66.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66.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66.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66.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66.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66.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66.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66.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66.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66.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66.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66.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66.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66.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66.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66.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66.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66.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66.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66.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66.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66.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66.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66.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66.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66.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66.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66.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66.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66.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66.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66.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66.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66.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66.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66.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66.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66.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66.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66.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66.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66.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66.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66.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66.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66.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66.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66.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66.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66.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66.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66.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66.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66.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66.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66.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66.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66.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66.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66.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66.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66.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66.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66.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66.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66.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66.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66.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66.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66.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66.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66.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66.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66.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66.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66.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66.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66.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66.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66.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66.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66.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66.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66.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66.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66.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66.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66.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66.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66.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66.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66.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66.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66.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66.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66.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66.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66.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66.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66.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66.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66.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66.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66.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66.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66.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66.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66.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66.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66.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66.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66.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66.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66.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66.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66.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66.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66.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66.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66.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66.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66.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66.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66.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66.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66.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66.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66.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66.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66.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66.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66.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66.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66.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66.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66.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66.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66.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66.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66.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66.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66.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66.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66.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66.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66.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66.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66.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66.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66.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66.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66.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66.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66.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66.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66.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66.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66.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66.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66.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66.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66.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66.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66.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66.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66.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66.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66.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66.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66.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66.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66.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66.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66.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66.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66.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66.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66.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66.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66.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66.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66.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66.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66.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66.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66.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66.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66.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66.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66.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66.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66.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66.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66.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66.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66.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66.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66.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66.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66.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66.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66.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66.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66.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66.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66.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66.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66.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66.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66.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66.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66.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66.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66.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66.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66.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66.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66.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66.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66.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66.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66.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66.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66.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66.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66.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66.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66.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66.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66.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66.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66.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66.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66.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66.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66.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66.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66.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66.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66.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66.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66.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66.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66.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66.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66.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66.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66.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66.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66.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66.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66.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66.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66.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66.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66.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66.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66.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66.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66.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66.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66.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66.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66.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66.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66.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66.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66.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66.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66.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66.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66.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66.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66.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66.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66.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66.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66.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66.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66.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66.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66.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66.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66.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66.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66.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66.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66.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66.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66.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66.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66.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66.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66.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66.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66.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66.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66.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66.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66.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66.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66.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66.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66.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66.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66.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66.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66.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66.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66.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66.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66.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66.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66.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66.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66.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66.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66.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66.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66.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66.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66.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66.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66.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66.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66.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66.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66.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66.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66.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66.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66.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66.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66.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66.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66.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66.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66.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66.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66.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66.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66.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66.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66.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66.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66.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66.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66.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66.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66.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66.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66.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66.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66.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66.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66.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66.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66.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66.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66.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66.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66.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66.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66.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66.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66.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66.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66.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66.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66.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66.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66.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66.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66.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66.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66.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66.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66.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66.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66.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66.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66.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66.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66.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66.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66.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66.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66.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66.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66.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66.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66.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66.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66.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66.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66.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66.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66.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66.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66.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66.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66.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66.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66.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66.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66.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66.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66.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66.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66.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66.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66.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66.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66.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66.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66.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66.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66.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66.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66.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66.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66.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66.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66.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66.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66.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66.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66.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66.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66.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66.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66.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66.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66.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66.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66.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66.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66.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66.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66.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66.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66.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66.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66.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66.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66.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66.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66.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66.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66.0"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66.0"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66.0"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66.0"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66.0"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66.0"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66.0"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66.0"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66.0"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66.0"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66.0"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66.0"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66.0"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66.0"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66.0"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66.0"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66.0"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66.0"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66.0"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66.0"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66.0"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66.0"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66.0"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66.0"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66.0"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66.0"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66.0"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66.0"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66.0"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66.0"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66.0"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66.0"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66.0"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66.0"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66.0"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sheetData>
  <mergeCells count="5">
    <mergeCell ref="B2:G2"/>
    <mergeCell ref="B11:G11"/>
    <mergeCell ref="B20:G20"/>
    <mergeCell ref="B24:G24"/>
    <mergeCell ref="B27:G27"/>
  </mergeCells>
  <dataValidations>
    <dataValidation type="list" allowBlank="1" showErrorMessage="1" sqref="F3:F10 F12:F19 F21:F23 F25:F26 F28:F30">
      <formula1>"Pass,Fail"</formula1>
    </dataValidation>
    <dataValidation type="list" allowBlank="1" sqref="G3 G6 G8 G13:G14 G17 G19 G22 G29">
      <formula1>"Critical,High,Medium,Low"</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75"/>
    <col customWidth="1" min="2" max="2" width="18.5"/>
    <col customWidth="1" min="3" max="3" width="27.88"/>
    <col customWidth="1" min="4" max="4" width="27.5"/>
    <col customWidth="1" min="5" max="5" width="27.0"/>
    <col customWidth="1" min="7" max="7" width="35.88"/>
  </cols>
  <sheetData>
    <row r="1">
      <c r="A1" s="19" t="s">
        <v>74</v>
      </c>
      <c r="B1" s="20"/>
      <c r="C1" s="20"/>
      <c r="D1" s="20"/>
      <c r="E1" s="21"/>
      <c r="F1" s="22"/>
      <c r="G1" s="22"/>
      <c r="H1" s="22"/>
      <c r="I1" s="22"/>
      <c r="J1" s="22"/>
      <c r="K1" s="22"/>
      <c r="L1" s="22"/>
      <c r="M1" s="22"/>
      <c r="N1" s="22"/>
      <c r="O1" s="22"/>
      <c r="P1" s="22"/>
      <c r="Q1" s="22"/>
      <c r="R1" s="22"/>
      <c r="S1" s="22"/>
      <c r="T1" s="22"/>
      <c r="U1" s="22"/>
      <c r="V1" s="22"/>
      <c r="W1" s="22"/>
      <c r="X1" s="22"/>
      <c r="Y1" s="22"/>
      <c r="Z1" s="22"/>
    </row>
    <row r="2">
      <c r="A2" s="23" t="s">
        <v>75</v>
      </c>
      <c r="B2" s="24" t="s">
        <v>76</v>
      </c>
      <c r="C2" s="7"/>
      <c r="D2" s="23" t="s">
        <v>77</v>
      </c>
      <c r="E2" s="23" t="s">
        <v>78</v>
      </c>
      <c r="F2" s="22"/>
      <c r="G2" s="25" t="s">
        <v>79</v>
      </c>
      <c r="H2" s="22"/>
      <c r="I2" s="22"/>
      <c r="J2" s="22"/>
      <c r="K2" s="22"/>
      <c r="L2" s="22"/>
      <c r="M2" s="22"/>
      <c r="N2" s="22"/>
      <c r="O2" s="22"/>
      <c r="P2" s="22"/>
      <c r="Q2" s="22"/>
      <c r="R2" s="22"/>
      <c r="S2" s="22"/>
      <c r="T2" s="22"/>
      <c r="U2" s="22"/>
      <c r="V2" s="22"/>
      <c r="W2" s="22"/>
      <c r="X2" s="22"/>
      <c r="Y2" s="22"/>
      <c r="Z2" s="22"/>
    </row>
    <row r="3">
      <c r="A3" s="26">
        <v>46134.0</v>
      </c>
      <c r="B3" s="27" t="s">
        <v>80</v>
      </c>
      <c r="C3" s="28"/>
      <c r="D3" s="29">
        <v>0.8541666666666666</v>
      </c>
      <c r="E3" s="29">
        <v>0.9583333333333334</v>
      </c>
      <c r="F3" s="22"/>
      <c r="G3" s="25" t="s">
        <v>81</v>
      </c>
      <c r="H3" s="22"/>
      <c r="I3" s="22"/>
      <c r="J3" s="22"/>
      <c r="K3" s="22"/>
      <c r="L3" s="22"/>
      <c r="M3" s="22"/>
      <c r="N3" s="22"/>
      <c r="O3" s="22"/>
      <c r="P3" s="22"/>
      <c r="Q3" s="22"/>
      <c r="R3" s="22"/>
      <c r="S3" s="22"/>
      <c r="T3" s="22"/>
      <c r="U3" s="22"/>
      <c r="V3" s="22"/>
      <c r="W3" s="22"/>
      <c r="X3" s="22"/>
      <c r="Y3" s="22"/>
      <c r="Z3" s="22"/>
    </row>
    <row r="4">
      <c r="A4" s="30" t="s">
        <v>82</v>
      </c>
      <c r="B4" s="31"/>
      <c r="C4" s="31"/>
      <c r="D4" s="31"/>
      <c r="E4" s="28"/>
      <c r="F4" s="22"/>
      <c r="G4" s="25" t="s">
        <v>83</v>
      </c>
      <c r="H4" s="22"/>
      <c r="I4" s="22"/>
      <c r="J4" s="22"/>
      <c r="K4" s="22"/>
      <c r="L4" s="22"/>
      <c r="M4" s="22"/>
      <c r="N4" s="22"/>
      <c r="O4" s="22"/>
      <c r="P4" s="22"/>
      <c r="Q4" s="22"/>
      <c r="R4" s="22"/>
      <c r="S4" s="22"/>
      <c r="T4" s="22"/>
      <c r="U4" s="22"/>
      <c r="V4" s="22"/>
      <c r="W4" s="22"/>
      <c r="X4" s="22"/>
      <c r="Y4" s="22"/>
      <c r="Z4" s="22"/>
    </row>
    <row r="5">
      <c r="A5" s="32" t="s">
        <v>84</v>
      </c>
      <c r="B5" s="31"/>
      <c r="C5" s="31"/>
      <c r="D5" s="31"/>
      <c r="E5" s="28"/>
      <c r="F5" s="22"/>
      <c r="G5" s="25"/>
      <c r="H5" s="22"/>
      <c r="I5" s="22"/>
      <c r="J5" s="22"/>
      <c r="K5" s="22"/>
      <c r="L5" s="22"/>
      <c r="M5" s="22"/>
      <c r="N5" s="22"/>
      <c r="O5" s="22"/>
      <c r="P5" s="22"/>
      <c r="Q5" s="22"/>
      <c r="R5" s="22"/>
      <c r="S5" s="22"/>
      <c r="T5" s="22"/>
      <c r="U5" s="22"/>
      <c r="V5" s="22"/>
      <c r="W5" s="22"/>
      <c r="X5" s="22"/>
      <c r="Y5" s="22"/>
      <c r="Z5" s="22"/>
    </row>
    <row r="6">
      <c r="A6" s="30" t="s">
        <v>85</v>
      </c>
      <c r="B6" s="31"/>
      <c r="C6" s="31"/>
      <c r="D6" s="31"/>
      <c r="E6" s="28"/>
      <c r="F6" s="22"/>
      <c r="G6" s="25"/>
      <c r="H6" s="22"/>
      <c r="I6" s="22"/>
      <c r="J6" s="22"/>
      <c r="K6" s="22"/>
      <c r="L6" s="22"/>
      <c r="M6" s="22"/>
      <c r="N6" s="22"/>
      <c r="O6" s="22"/>
      <c r="P6" s="22"/>
      <c r="Q6" s="22"/>
      <c r="R6" s="22"/>
      <c r="S6" s="22"/>
      <c r="T6" s="22"/>
      <c r="U6" s="22"/>
      <c r="V6" s="22"/>
      <c r="W6" s="22"/>
      <c r="X6" s="22"/>
      <c r="Y6" s="22"/>
      <c r="Z6" s="22"/>
    </row>
    <row r="7">
      <c r="A7" s="33" t="s">
        <v>86</v>
      </c>
      <c r="B7" s="28"/>
      <c r="C7" s="33" t="s">
        <v>87</v>
      </c>
      <c r="D7" s="31"/>
      <c r="E7" s="28"/>
      <c r="F7" s="22"/>
      <c r="G7" s="22"/>
      <c r="H7" s="22"/>
      <c r="I7" s="22"/>
      <c r="J7" s="22"/>
      <c r="K7" s="22"/>
      <c r="L7" s="22"/>
      <c r="M7" s="22"/>
      <c r="N7" s="22"/>
      <c r="O7" s="22"/>
      <c r="P7" s="22"/>
      <c r="Q7" s="22"/>
      <c r="R7" s="22"/>
      <c r="S7" s="22"/>
      <c r="T7" s="22"/>
      <c r="U7" s="22"/>
      <c r="V7" s="22"/>
      <c r="W7" s="22"/>
      <c r="X7" s="22"/>
      <c r="Y7" s="22"/>
      <c r="Z7" s="22"/>
    </row>
    <row r="8">
      <c r="A8" s="27" t="s">
        <v>88</v>
      </c>
      <c r="B8" s="28"/>
      <c r="C8" s="27" t="s">
        <v>89</v>
      </c>
      <c r="D8" s="31"/>
      <c r="E8" s="28"/>
      <c r="F8" s="22"/>
      <c r="G8" s="22"/>
      <c r="H8" s="22"/>
      <c r="I8" s="22"/>
      <c r="J8" s="22"/>
      <c r="K8" s="22"/>
      <c r="L8" s="22"/>
      <c r="M8" s="22"/>
      <c r="N8" s="22"/>
      <c r="O8" s="22"/>
      <c r="P8" s="22"/>
      <c r="Q8" s="22"/>
      <c r="R8" s="22"/>
      <c r="S8" s="22"/>
      <c r="T8" s="22"/>
      <c r="U8" s="22"/>
      <c r="V8" s="22"/>
      <c r="W8" s="22"/>
      <c r="X8" s="22"/>
      <c r="Y8" s="22"/>
      <c r="Z8" s="22"/>
    </row>
    <row r="9">
      <c r="A9" s="27" t="s">
        <v>90</v>
      </c>
      <c r="B9" s="28"/>
      <c r="C9" s="27" t="s">
        <v>91</v>
      </c>
      <c r="D9" s="31"/>
      <c r="E9" s="28"/>
      <c r="F9" s="22"/>
      <c r="G9" s="22"/>
      <c r="H9" s="22"/>
      <c r="I9" s="22"/>
      <c r="J9" s="22"/>
      <c r="K9" s="22"/>
      <c r="L9" s="22"/>
      <c r="M9" s="22"/>
      <c r="N9" s="22"/>
      <c r="O9" s="22"/>
      <c r="P9" s="22"/>
      <c r="Q9" s="22"/>
      <c r="R9" s="22"/>
      <c r="S9" s="22"/>
      <c r="T9" s="22"/>
      <c r="U9" s="22"/>
      <c r="V9" s="22"/>
      <c r="W9" s="22"/>
      <c r="X9" s="22"/>
      <c r="Y9" s="22"/>
      <c r="Z9" s="22"/>
    </row>
    <row r="10">
      <c r="A10" s="27" t="s">
        <v>92</v>
      </c>
      <c r="B10" s="28"/>
      <c r="C10" s="27" t="s">
        <v>93</v>
      </c>
      <c r="D10" s="31"/>
      <c r="E10" s="28"/>
      <c r="F10" s="22"/>
      <c r="G10" s="22"/>
      <c r="H10" s="22"/>
      <c r="I10" s="22"/>
      <c r="J10" s="22"/>
      <c r="K10" s="22"/>
      <c r="L10" s="22"/>
      <c r="M10" s="22"/>
      <c r="N10" s="22"/>
      <c r="O10" s="22"/>
      <c r="P10" s="22"/>
      <c r="Q10" s="22"/>
      <c r="R10" s="22"/>
      <c r="S10" s="22"/>
      <c r="T10" s="22"/>
      <c r="U10" s="22"/>
      <c r="V10" s="22"/>
      <c r="W10" s="22"/>
      <c r="X10" s="22"/>
      <c r="Y10" s="22"/>
      <c r="Z10" s="22"/>
    </row>
    <row r="11">
      <c r="A11" s="27" t="s">
        <v>94</v>
      </c>
      <c r="B11" s="28"/>
      <c r="C11" s="27" t="s">
        <v>93</v>
      </c>
      <c r="D11" s="31"/>
      <c r="E11" s="28"/>
      <c r="F11" s="22"/>
      <c r="G11" s="22"/>
      <c r="H11" s="22"/>
      <c r="I11" s="22"/>
      <c r="J11" s="22"/>
      <c r="K11" s="22"/>
      <c r="L11" s="22"/>
      <c r="M11" s="22"/>
      <c r="N11" s="22"/>
      <c r="O11" s="22"/>
      <c r="P11" s="22"/>
      <c r="Q11" s="22"/>
      <c r="R11" s="22"/>
      <c r="S11" s="22"/>
      <c r="T11" s="22"/>
      <c r="U11" s="22"/>
      <c r="V11" s="22"/>
      <c r="W11" s="22"/>
      <c r="X11" s="22"/>
      <c r="Y11" s="22"/>
      <c r="Z11" s="22"/>
    </row>
    <row r="12">
      <c r="A12" s="34" t="s">
        <v>95</v>
      </c>
      <c r="E12" s="35"/>
      <c r="F12" s="22"/>
      <c r="G12" s="22"/>
      <c r="H12" s="22"/>
      <c r="I12" s="22"/>
      <c r="J12" s="22"/>
      <c r="K12" s="22"/>
      <c r="L12" s="22"/>
      <c r="M12" s="22"/>
      <c r="N12" s="22"/>
      <c r="O12" s="22"/>
      <c r="P12" s="22"/>
      <c r="Q12" s="22"/>
      <c r="R12" s="22"/>
      <c r="S12" s="22"/>
      <c r="T12" s="22"/>
      <c r="U12" s="22"/>
      <c r="V12" s="22"/>
      <c r="W12" s="22"/>
      <c r="X12" s="22"/>
      <c r="Y12" s="22"/>
      <c r="Z12" s="22"/>
    </row>
    <row r="13">
      <c r="A13" s="24" t="s">
        <v>96</v>
      </c>
      <c r="B13" s="7"/>
      <c r="C13" s="23" t="s">
        <v>97</v>
      </c>
      <c r="D13" s="23" t="s">
        <v>77</v>
      </c>
      <c r="E13" s="23" t="s">
        <v>98</v>
      </c>
      <c r="F13" s="22"/>
      <c r="G13" s="22"/>
      <c r="H13" s="22"/>
      <c r="I13" s="22"/>
      <c r="J13" s="22"/>
      <c r="K13" s="22"/>
      <c r="L13" s="22"/>
      <c r="M13" s="22"/>
      <c r="N13" s="22"/>
      <c r="O13" s="22"/>
      <c r="P13" s="22"/>
      <c r="Q13" s="22"/>
      <c r="R13" s="22"/>
      <c r="S13" s="22"/>
      <c r="T13" s="22"/>
      <c r="U13" s="22"/>
      <c r="V13" s="22"/>
      <c r="W13" s="22"/>
      <c r="X13" s="22"/>
      <c r="Y13" s="22"/>
      <c r="Z13" s="22"/>
    </row>
    <row r="14">
      <c r="A14" s="27" t="s">
        <v>99</v>
      </c>
      <c r="B14" s="28"/>
      <c r="C14" s="36" t="s">
        <v>88</v>
      </c>
      <c r="D14" s="37">
        <v>0.8541666666666666</v>
      </c>
      <c r="E14" s="38" t="s">
        <v>100</v>
      </c>
      <c r="F14" s="22"/>
      <c r="G14" s="22"/>
      <c r="H14" s="22"/>
      <c r="I14" s="22"/>
      <c r="J14" s="22"/>
      <c r="K14" s="22"/>
      <c r="L14" s="22"/>
      <c r="M14" s="22"/>
      <c r="N14" s="22"/>
      <c r="O14" s="22"/>
      <c r="P14" s="22"/>
      <c r="Q14" s="22"/>
      <c r="R14" s="22"/>
      <c r="S14" s="22"/>
      <c r="T14" s="22"/>
      <c r="U14" s="22"/>
      <c r="V14" s="22"/>
      <c r="W14" s="22"/>
      <c r="X14" s="22"/>
      <c r="Y14" s="22"/>
      <c r="Z14" s="22"/>
    </row>
    <row r="15">
      <c r="A15" s="27" t="s">
        <v>101</v>
      </c>
      <c r="B15" s="28"/>
      <c r="C15" s="36" t="s">
        <v>90</v>
      </c>
      <c r="D15" s="37">
        <v>0.875</v>
      </c>
      <c r="E15" s="38" t="s">
        <v>100</v>
      </c>
      <c r="F15" s="22"/>
      <c r="G15" s="22"/>
      <c r="H15" s="22"/>
      <c r="I15" s="22"/>
      <c r="J15" s="22"/>
      <c r="K15" s="22"/>
      <c r="L15" s="22"/>
      <c r="M15" s="22"/>
      <c r="N15" s="22"/>
      <c r="O15" s="22"/>
      <c r="P15" s="22"/>
      <c r="Q15" s="22"/>
      <c r="R15" s="22"/>
      <c r="S15" s="22"/>
      <c r="T15" s="22"/>
      <c r="U15" s="22"/>
      <c r="V15" s="22"/>
      <c r="W15" s="22"/>
      <c r="X15" s="22"/>
      <c r="Y15" s="22"/>
      <c r="Z15" s="22"/>
    </row>
    <row r="16">
      <c r="A16" s="27" t="s">
        <v>102</v>
      </c>
      <c r="B16" s="28"/>
      <c r="C16" s="36" t="s">
        <v>92</v>
      </c>
      <c r="D16" s="37">
        <v>0.8958333333333334</v>
      </c>
      <c r="E16" s="38" t="s">
        <v>100</v>
      </c>
      <c r="F16" s="22"/>
      <c r="G16" s="22"/>
      <c r="H16" s="22"/>
      <c r="I16" s="22"/>
      <c r="J16" s="22"/>
      <c r="K16" s="22"/>
      <c r="L16" s="22"/>
      <c r="M16" s="22"/>
      <c r="N16" s="22"/>
      <c r="O16" s="22"/>
      <c r="P16" s="22"/>
      <c r="Q16" s="22"/>
      <c r="R16" s="22"/>
      <c r="S16" s="22"/>
      <c r="T16" s="22"/>
      <c r="U16" s="22"/>
      <c r="V16" s="22"/>
      <c r="W16" s="22"/>
      <c r="X16" s="22"/>
      <c r="Y16" s="22"/>
      <c r="Z16" s="22"/>
    </row>
    <row r="17">
      <c r="A17" s="39" t="s">
        <v>103</v>
      </c>
      <c r="B17" s="40"/>
      <c r="C17" s="41" t="s">
        <v>94</v>
      </c>
      <c r="D17" s="42">
        <v>0.9166666666666666</v>
      </c>
      <c r="E17" s="43" t="s">
        <v>100</v>
      </c>
      <c r="F17" s="22"/>
      <c r="G17" s="22"/>
      <c r="H17" s="22"/>
      <c r="I17" s="22"/>
      <c r="J17" s="22"/>
      <c r="K17" s="22"/>
      <c r="L17" s="22"/>
      <c r="M17" s="22"/>
      <c r="N17" s="22"/>
      <c r="O17" s="22"/>
      <c r="P17" s="22"/>
      <c r="Q17" s="22"/>
      <c r="R17" s="22"/>
      <c r="S17" s="22"/>
      <c r="T17" s="22"/>
      <c r="U17" s="22"/>
      <c r="V17" s="22"/>
      <c r="W17" s="22"/>
      <c r="X17" s="22"/>
      <c r="Y17" s="22"/>
      <c r="Z17" s="22"/>
    </row>
    <row r="18">
      <c r="A18" s="44" t="s">
        <v>104</v>
      </c>
      <c r="B18" s="7"/>
      <c r="C18" s="45" t="s">
        <v>105</v>
      </c>
      <c r="D18" s="46">
        <v>0.9375</v>
      </c>
      <c r="E18" s="47" t="s">
        <v>100</v>
      </c>
      <c r="F18" s="22"/>
      <c r="G18" s="22"/>
      <c r="H18" s="22"/>
      <c r="I18" s="22"/>
      <c r="J18" s="22"/>
      <c r="K18" s="22"/>
      <c r="L18" s="22"/>
      <c r="M18" s="22"/>
      <c r="N18" s="22"/>
      <c r="O18" s="22"/>
      <c r="P18" s="22"/>
      <c r="Q18" s="22"/>
      <c r="R18" s="22"/>
      <c r="S18" s="22"/>
      <c r="T18" s="22"/>
      <c r="U18" s="22"/>
      <c r="V18" s="22"/>
      <c r="W18" s="22"/>
      <c r="X18" s="22"/>
      <c r="Y18" s="22"/>
      <c r="Z18" s="22"/>
    </row>
    <row r="19">
      <c r="A19" s="34" t="s">
        <v>106</v>
      </c>
      <c r="E19" s="35"/>
      <c r="F19" s="22"/>
      <c r="G19" s="22"/>
      <c r="H19" s="22"/>
      <c r="I19" s="22"/>
      <c r="J19" s="22"/>
      <c r="K19" s="22"/>
      <c r="L19" s="22"/>
      <c r="M19" s="22"/>
      <c r="N19" s="22"/>
      <c r="O19" s="22"/>
      <c r="P19" s="22"/>
      <c r="Q19" s="22"/>
      <c r="R19" s="22"/>
      <c r="S19" s="22"/>
      <c r="T19" s="22"/>
      <c r="U19" s="22"/>
      <c r="V19" s="22"/>
      <c r="W19" s="22"/>
      <c r="X19" s="22"/>
      <c r="Y19" s="22"/>
      <c r="Z19" s="22"/>
    </row>
    <row r="20">
      <c r="A20" s="24" t="s">
        <v>107</v>
      </c>
      <c r="B20" s="7"/>
      <c r="C20" s="24" t="s">
        <v>108</v>
      </c>
      <c r="D20" s="6"/>
      <c r="E20" s="7"/>
      <c r="F20" s="22"/>
      <c r="G20" s="22"/>
      <c r="H20" s="22"/>
      <c r="I20" s="22"/>
      <c r="J20" s="22"/>
      <c r="K20" s="22"/>
      <c r="L20" s="22"/>
      <c r="M20" s="22"/>
      <c r="N20" s="22"/>
      <c r="O20" s="22"/>
      <c r="P20" s="22"/>
      <c r="Q20" s="22"/>
      <c r="R20" s="22"/>
      <c r="S20" s="22"/>
      <c r="T20" s="22"/>
      <c r="U20" s="22"/>
      <c r="V20" s="22"/>
      <c r="W20" s="22"/>
      <c r="X20" s="22"/>
      <c r="Y20" s="22"/>
      <c r="Z20" s="22"/>
    </row>
    <row r="21">
      <c r="A21" s="48" t="s">
        <v>109</v>
      </c>
      <c r="B21" s="49"/>
      <c r="C21" s="48" t="s">
        <v>110</v>
      </c>
      <c r="D21" s="50"/>
      <c r="E21" s="49"/>
      <c r="F21" s="22"/>
      <c r="G21" s="22"/>
      <c r="H21" s="22"/>
      <c r="I21" s="22"/>
      <c r="J21" s="22"/>
      <c r="K21" s="22"/>
      <c r="L21" s="22"/>
      <c r="M21" s="22"/>
      <c r="N21" s="22"/>
      <c r="O21" s="22"/>
      <c r="P21" s="22"/>
      <c r="Q21" s="22"/>
      <c r="R21" s="22"/>
      <c r="S21" s="22"/>
      <c r="T21" s="22"/>
      <c r="U21" s="22"/>
      <c r="V21" s="22"/>
      <c r="W21" s="22"/>
      <c r="X21" s="22"/>
      <c r="Y21" s="22"/>
      <c r="Z21" s="22"/>
    </row>
    <row r="22">
      <c r="A22" s="51" t="s">
        <v>111</v>
      </c>
      <c r="B22" s="52"/>
      <c r="C22" s="51" t="s">
        <v>112</v>
      </c>
      <c r="D22" s="53"/>
      <c r="E22" s="52"/>
      <c r="F22" s="22"/>
      <c r="G22" s="22"/>
      <c r="H22" s="22"/>
      <c r="I22" s="22"/>
      <c r="J22" s="22"/>
      <c r="K22" s="22"/>
      <c r="L22" s="22"/>
      <c r="M22" s="22"/>
      <c r="N22" s="22"/>
      <c r="O22" s="22"/>
      <c r="P22" s="22"/>
      <c r="Q22" s="22"/>
      <c r="R22" s="22"/>
      <c r="S22" s="22"/>
      <c r="T22" s="22"/>
      <c r="U22" s="22"/>
      <c r="V22" s="22"/>
      <c r="W22" s="22"/>
      <c r="X22" s="22"/>
      <c r="Y22" s="22"/>
      <c r="Z22" s="22"/>
    </row>
    <row r="23">
      <c r="A23" s="51" t="s">
        <v>113</v>
      </c>
      <c r="B23" s="52"/>
      <c r="C23" s="51" t="s">
        <v>114</v>
      </c>
      <c r="D23" s="53"/>
      <c r="E23" s="52"/>
      <c r="F23" s="22"/>
      <c r="G23" s="22"/>
      <c r="H23" s="22"/>
      <c r="I23" s="22"/>
      <c r="J23" s="22"/>
      <c r="K23" s="22"/>
      <c r="L23" s="22"/>
      <c r="M23" s="22"/>
      <c r="N23" s="22"/>
      <c r="O23" s="22"/>
      <c r="P23" s="22"/>
      <c r="Q23" s="22"/>
      <c r="R23" s="22"/>
      <c r="S23" s="22"/>
      <c r="T23" s="22"/>
      <c r="U23" s="22"/>
      <c r="V23" s="22"/>
      <c r="W23" s="22"/>
      <c r="X23" s="22"/>
      <c r="Y23" s="22"/>
      <c r="Z23" s="22"/>
    </row>
    <row r="24">
      <c r="A24" s="51" t="s">
        <v>115</v>
      </c>
      <c r="B24" s="52"/>
      <c r="C24" s="51" t="s">
        <v>25</v>
      </c>
      <c r="D24" s="53"/>
      <c r="E24" s="52"/>
      <c r="F24" s="22"/>
      <c r="G24" s="22"/>
      <c r="H24" s="22"/>
      <c r="I24" s="22"/>
      <c r="J24" s="22"/>
      <c r="K24" s="22"/>
      <c r="L24" s="22"/>
      <c r="M24" s="22"/>
      <c r="N24" s="22"/>
      <c r="O24" s="22"/>
      <c r="P24" s="22"/>
      <c r="Q24" s="22"/>
      <c r="R24" s="22"/>
      <c r="S24" s="22"/>
      <c r="T24" s="22"/>
      <c r="U24" s="22"/>
      <c r="V24" s="22"/>
      <c r="W24" s="22"/>
      <c r="X24" s="22"/>
      <c r="Y24" s="22"/>
      <c r="Z24" s="22"/>
    </row>
    <row r="25">
      <c r="A25" s="54" t="s">
        <v>116</v>
      </c>
      <c r="B25" s="55"/>
      <c r="C25" s="51" t="s">
        <v>117</v>
      </c>
      <c r="D25" s="53"/>
      <c r="E25" s="52"/>
      <c r="F25" s="22"/>
      <c r="G25" s="22"/>
      <c r="H25" s="22"/>
      <c r="I25" s="22"/>
      <c r="J25" s="22"/>
      <c r="K25" s="22"/>
      <c r="L25" s="22"/>
      <c r="M25" s="22"/>
      <c r="N25" s="22"/>
      <c r="O25" s="22"/>
      <c r="P25" s="22"/>
      <c r="Q25" s="22"/>
      <c r="R25" s="22"/>
      <c r="S25" s="22"/>
      <c r="T25" s="22"/>
      <c r="U25" s="22"/>
      <c r="V25" s="22"/>
      <c r="W25" s="22"/>
      <c r="X25" s="22"/>
      <c r="Y25" s="22"/>
      <c r="Z25" s="22"/>
    </row>
    <row r="26">
      <c r="A26" s="51" t="s">
        <v>118</v>
      </c>
      <c r="B26" s="52"/>
      <c r="C26" s="51" t="s">
        <v>119</v>
      </c>
      <c r="D26" s="53"/>
      <c r="E26" s="52"/>
      <c r="F26" s="22"/>
      <c r="G26" s="22"/>
      <c r="H26" s="22"/>
      <c r="I26" s="22"/>
      <c r="J26" s="22"/>
      <c r="K26" s="22"/>
      <c r="L26" s="22"/>
      <c r="M26" s="22"/>
      <c r="N26" s="22"/>
      <c r="O26" s="22"/>
      <c r="P26" s="22"/>
      <c r="Q26" s="22"/>
      <c r="R26" s="22"/>
      <c r="S26" s="22"/>
      <c r="T26" s="22"/>
      <c r="U26" s="22"/>
      <c r="V26" s="22"/>
      <c r="W26" s="22"/>
      <c r="X26" s="22"/>
      <c r="Y26" s="22"/>
      <c r="Z26" s="22"/>
    </row>
    <row r="27">
      <c r="A27" s="48" t="s">
        <v>120</v>
      </c>
      <c r="B27" s="49"/>
      <c r="C27" s="51" t="s">
        <v>121</v>
      </c>
      <c r="D27" s="53"/>
      <c r="E27" s="52"/>
      <c r="F27" s="22"/>
      <c r="G27" s="22"/>
      <c r="H27" s="22"/>
      <c r="I27" s="22"/>
      <c r="J27" s="22"/>
      <c r="K27" s="22"/>
      <c r="L27" s="22"/>
      <c r="M27" s="22"/>
      <c r="N27" s="22"/>
      <c r="O27" s="22"/>
      <c r="P27" s="22"/>
      <c r="Q27" s="22"/>
      <c r="R27" s="22"/>
      <c r="S27" s="22"/>
      <c r="T27" s="22"/>
      <c r="U27" s="22"/>
      <c r="V27" s="22"/>
      <c r="W27" s="22"/>
      <c r="X27" s="22"/>
      <c r="Y27" s="22"/>
      <c r="Z27" s="22"/>
    </row>
    <row r="28">
      <c r="A28" s="51" t="s">
        <v>122</v>
      </c>
      <c r="B28" s="52"/>
      <c r="C28" s="51" t="s">
        <v>123</v>
      </c>
      <c r="D28" s="53"/>
      <c r="E28" s="52"/>
      <c r="F28" s="22"/>
      <c r="G28" s="22"/>
      <c r="H28" s="22"/>
      <c r="I28" s="22"/>
      <c r="J28" s="22"/>
      <c r="K28" s="22"/>
      <c r="L28" s="22"/>
      <c r="M28" s="22"/>
      <c r="N28" s="22"/>
      <c r="O28" s="22"/>
      <c r="P28" s="22"/>
      <c r="Q28" s="22"/>
      <c r="R28" s="22"/>
      <c r="S28" s="22"/>
      <c r="T28" s="22"/>
      <c r="U28" s="22"/>
      <c r="V28" s="22"/>
      <c r="W28" s="22"/>
      <c r="X28" s="22"/>
      <c r="Y28" s="22"/>
      <c r="Z28" s="22"/>
    </row>
    <row r="29">
      <c r="A29" s="34" t="s">
        <v>124</v>
      </c>
      <c r="E29" s="35"/>
      <c r="F29" s="22"/>
      <c r="G29" s="22"/>
      <c r="H29" s="22"/>
      <c r="I29" s="22"/>
      <c r="J29" s="22"/>
      <c r="K29" s="22"/>
      <c r="L29" s="22"/>
      <c r="M29" s="22"/>
      <c r="N29" s="22"/>
      <c r="O29" s="22"/>
      <c r="P29" s="22"/>
      <c r="Q29" s="22"/>
      <c r="R29" s="22"/>
      <c r="S29" s="22"/>
      <c r="T29" s="22"/>
      <c r="U29" s="22"/>
      <c r="V29" s="22"/>
      <c r="W29" s="22"/>
      <c r="X29" s="22"/>
      <c r="Y29" s="22"/>
      <c r="Z29" s="22"/>
    </row>
    <row r="30">
      <c r="A30" s="24" t="s">
        <v>125</v>
      </c>
      <c r="B30" s="7"/>
      <c r="C30" s="23" t="s">
        <v>126</v>
      </c>
      <c r="D30" s="23" t="s">
        <v>127</v>
      </c>
      <c r="E30" s="23" t="s">
        <v>128</v>
      </c>
      <c r="F30" s="22"/>
      <c r="G30" s="22"/>
      <c r="H30" s="22"/>
      <c r="I30" s="22"/>
      <c r="J30" s="22"/>
      <c r="K30" s="22"/>
      <c r="L30" s="22"/>
      <c r="M30" s="22"/>
      <c r="N30" s="22"/>
      <c r="O30" s="22"/>
      <c r="P30" s="22"/>
      <c r="Q30" s="22"/>
      <c r="R30" s="22"/>
      <c r="S30" s="22"/>
      <c r="T30" s="22"/>
      <c r="U30" s="22"/>
      <c r="V30" s="22"/>
      <c r="W30" s="22"/>
      <c r="X30" s="22"/>
      <c r="Y30" s="22"/>
      <c r="Z30" s="22"/>
    </row>
    <row r="31">
      <c r="A31" s="48" t="s">
        <v>129</v>
      </c>
      <c r="B31" s="49"/>
      <c r="C31" s="56" t="s">
        <v>88</v>
      </c>
      <c r="D31" s="57">
        <v>46135.0</v>
      </c>
      <c r="E31" s="58" t="s">
        <v>58</v>
      </c>
      <c r="F31" s="22"/>
      <c r="G31" s="22"/>
      <c r="H31" s="22"/>
      <c r="I31" s="22"/>
      <c r="J31" s="22"/>
      <c r="K31" s="22"/>
      <c r="L31" s="22"/>
      <c r="M31" s="22"/>
      <c r="N31" s="22"/>
      <c r="O31" s="22"/>
      <c r="P31" s="22"/>
      <c r="Q31" s="22"/>
      <c r="R31" s="22"/>
      <c r="S31" s="22"/>
      <c r="T31" s="22"/>
      <c r="U31" s="22"/>
      <c r="V31" s="22"/>
      <c r="W31" s="22"/>
      <c r="X31" s="22"/>
      <c r="Y31" s="22"/>
      <c r="Z31" s="22"/>
    </row>
    <row r="32">
      <c r="A32" s="51" t="s">
        <v>130</v>
      </c>
      <c r="B32" s="52"/>
      <c r="C32" s="56" t="s">
        <v>88</v>
      </c>
      <c r="D32" s="57">
        <v>46135.0</v>
      </c>
      <c r="E32" s="58" t="s">
        <v>58</v>
      </c>
      <c r="F32" s="22"/>
      <c r="G32" s="22"/>
      <c r="H32" s="22"/>
      <c r="I32" s="22"/>
      <c r="J32" s="22"/>
      <c r="K32" s="22"/>
      <c r="L32" s="22"/>
      <c r="M32" s="22"/>
      <c r="N32" s="22"/>
      <c r="O32" s="22"/>
      <c r="P32" s="22"/>
      <c r="Q32" s="22"/>
      <c r="R32" s="22"/>
      <c r="S32" s="22"/>
      <c r="T32" s="22"/>
      <c r="U32" s="22"/>
      <c r="V32" s="22"/>
      <c r="W32" s="22"/>
      <c r="X32" s="22"/>
      <c r="Y32" s="22"/>
      <c r="Z32" s="22"/>
    </row>
    <row r="33">
      <c r="A33" s="51" t="s">
        <v>131</v>
      </c>
      <c r="B33" s="52"/>
      <c r="C33" s="56" t="s">
        <v>90</v>
      </c>
      <c r="D33" s="57">
        <v>46135.0</v>
      </c>
      <c r="E33" s="58" t="s">
        <v>58</v>
      </c>
      <c r="F33" s="22"/>
      <c r="G33" s="22"/>
      <c r="H33" s="22"/>
      <c r="I33" s="22"/>
      <c r="J33" s="22"/>
      <c r="K33" s="22"/>
      <c r="L33" s="22"/>
      <c r="M33" s="22"/>
      <c r="N33" s="22"/>
      <c r="O33" s="22"/>
      <c r="P33" s="22"/>
      <c r="Q33" s="22"/>
      <c r="R33" s="22"/>
      <c r="S33" s="22"/>
      <c r="T33" s="22"/>
      <c r="U33" s="22"/>
      <c r="V33" s="22"/>
      <c r="W33" s="22"/>
      <c r="X33" s="22"/>
      <c r="Y33" s="22"/>
      <c r="Z33" s="22"/>
    </row>
    <row r="34">
      <c r="A34" s="27" t="s">
        <v>132</v>
      </c>
      <c r="B34" s="28"/>
      <c r="C34" s="56" t="s">
        <v>94</v>
      </c>
      <c r="D34" s="57">
        <v>46135.0</v>
      </c>
      <c r="E34" s="58" t="s">
        <v>12</v>
      </c>
      <c r="F34" s="22"/>
      <c r="G34" s="22"/>
      <c r="H34" s="22"/>
      <c r="I34" s="22"/>
      <c r="J34" s="22"/>
      <c r="K34" s="22"/>
      <c r="L34" s="22"/>
      <c r="M34" s="22"/>
      <c r="N34" s="22"/>
      <c r="O34" s="22"/>
      <c r="P34" s="22"/>
      <c r="Q34" s="22"/>
      <c r="R34" s="22"/>
      <c r="S34" s="22"/>
      <c r="T34" s="22"/>
      <c r="U34" s="22"/>
      <c r="V34" s="22"/>
      <c r="W34" s="22"/>
      <c r="X34" s="22"/>
      <c r="Y34" s="22"/>
      <c r="Z34" s="22"/>
    </row>
    <row r="35">
      <c r="A35" s="39" t="s">
        <v>133</v>
      </c>
      <c r="B35" s="40"/>
      <c r="C35" s="56" t="s">
        <v>92</v>
      </c>
      <c r="D35" s="57">
        <v>46135.0</v>
      </c>
      <c r="E35" s="58" t="s">
        <v>12</v>
      </c>
      <c r="F35" s="22"/>
      <c r="G35" s="22"/>
      <c r="H35" s="22"/>
      <c r="I35" s="22"/>
      <c r="J35" s="22"/>
      <c r="K35" s="22"/>
      <c r="L35" s="22"/>
      <c r="M35" s="22"/>
      <c r="N35" s="22"/>
      <c r="O35" s="22"/>
      <c r="P35" s="22"/>
      <c r="Q35" s="22"/>
      <c r="R35" s="22"/>
      <c r="S35" s="22"/>
      <c r="T35" s="22"/>
      <c r="U35" s="22"/>
      <c r="V35" s="22"/>
      <c r="W35" s="22"/>
      <c r="X35" s="22"/>
      <c r="Y35" s="22"/>
      <c r="Z35" s="22"/>
    </row>
    <row r="36">
      <c r="A36" s="59" t="s">
        <v>134</v>
      </c>
      <c r="B36" s="60"/>
      <c r="C36" s="56" t="s">
        <v>94</v>
      </c>
      <c r="D36" s="57">
        <v>46135.0</v>
      </c>
      <c r="E36" s="58" t="s">
        <v>12</v>
      </c>
      <c r="F36" s="22"/>
      <c r="G36" s="22"/>
      <c r="H36" s="22"/>
      <c r="I36" s="22"/>
      <c r="J36" s="22"/>
      <c r="K36" s="22"/>
      <c r="L36" s="22"/>
      <c r="M36" s="22"/>
      <c r="N36" s="22"/>
      <c r="O36" s="22"/>
      <c r="P36" s="22"/>
      <c r="Q36" s="22"/>
      <c r="R36" s="22"/>
      <c r="S36" s="22"/>
      <c r="T36" s="22"/>
      <c r="U36" s="22"/>
      <c r="V36" s="22"/>
      <c r="W36" s="22"/>
      <c r="X36" s="22"/>
      <c r="Y36" s="22"/>
      <c r="Z36" s="22"/>
    </row>
    <row r="37">
      <c r="A37" s="59" t="s">
        <v>135</v>
      </c>
      <c r="B37" s="60"/>
      <c r="C37" s="56" t="s">
        <v>92</v>
      </c>
      <c r="D37" s="57">
        <v>46135.0</v>
      </c>
      <c r="E37" s="58" t="s">
        <v>51</v>
      </c>
      <c r="F37" s="22"/>
      <c r="G37" s="22"/>
      <c r="H37" s="22"/>
      <c r="I37" s="22"/>
      <c r="J37" s="22"/>
      <c r="K37" s="22"/>
      <c r="L37" s="22"/>
      <c r="M37" s="22"/>
      <c r="N37" s="22"/>
      <c r="O37" s="22"/>
      <c r="P37" s="22"/>
      <c r="Q37" s="22"/>
      <c r="R37" s="22"/>
      <c r="S37" s="22"/>
      <c r="T37" s="22"/>
      <c r="U37" s="22"/>
      <c r="V37" s="22"/>
      <c r="W37" s="22"/>
      <c r="X37" s="22"/>
      <c r="Y37" s="22"/>
      <c r="Z37" s="22"/>
    </row>
    <row r="38">
      <c r="A38" s="59" t="s">
        <v>136</v>
      </c>
      <c r="B38" s="60"/>
      <c r="C38" s="56" t="s">
        <v>90</v>
      </c>
      <c r="D38" s="57">
        <v>46135.0</v>
      </c>
      <c r="E38" s="58" t="s">
        <v>51</v>
      </c>
      <c r="F38" s="22"/>
      <c r="G38" s="22"/>
      <c r="H38" s="22"/>
      <c r="I38" s="22"/>
      <c r="J38" s="22"/>
      <c r="K38" s="22"/>
      <c r="L38" s="22"/>
      <c r="M38" s="22"/>
      <c r="N38" s="22"/>
      <c r="O38" s="22"/>
      <c r="P38" s="22"/>
      <c r="Q38" s="22"/>
      <c r="R38" s="22"/>
      <c r="S38" s="22"/>
      <c r="T38" s="22"/>
      <c r="U38" s="22"/>
      <c r="V38" s="22"/>
      <c r="W38" s="22"/>
      <c r="X38" s="22"/>
      <c r="Y38" s="22"/>
      <c r="Z38" s="22"/>
    </row>
    <row r="39">
      <c r="A39" s="34" t="s">
        <v>137</v>
      </c>
      <c r="E39" s="35"/>
      <c r="F39" s="22"/>
      <c r="G39" s="22"/>
      <c r="H39" s="22"/>
      <c r="I39" s="22"/>
      <c r="J39" s="22"/>
      <c r="K39" s="22"/>
      <c r="L39" s="22"/>
      <c r="M39" s="22"/>
      <c r="N39" s="22"/>
      <c r="O39" s="22"/>
      <c r="P39" s="22"/>
      <c r="Q39" s="22"/>
      <c r="R39" s="22"/>
      <c r="S39" s="22"/>
      <c r="T39" s="22"/>
      <c r="U39" s="22"/>
      <c r="V39" s="22"/>
      <c r="W39" s="22"/>
      <c r="X39" s="22"/>
      <c r="Y39" s="22"/>
      <c r="Z39" s="22"/>
    </row>
    <row r="40">
      <c r="A40" s="24" t="s">
        <v>138</v>
      </c>
      <c r="B40" s="6"/>
      <c r="C40" s="6"/>
      <c r="D40" s="6"/>
      <c r="E40" s="7"/>
      <c r="F40" s="22"/>
      <c r="G40" s="22"/>
      <c r="H40" s="22"/>
      <c r="I40" s="22"/>
      <c r="J40" s="22"/>
      <c r="K40" s="22"/>
      <c r="L40" s="22"/>
      <c r="M40" s="22"/>
      <c r="N40" s="22"/>
      <c r="O40" s="22"/>
      <c r="P40" s="22"/>
      <c r="Q40" s="22"/>
      <c r="R40" s="22"/>
      <c r="S40" s="22"/>
      <c r="T40" s="22"/>
      <c r="U40" s="22"/>
      <c r="V40" s="22"/>
      <c r="W40" s="22"/>
      <c r="X40" s="22"/>
      <c r="Y40" s="22"/>
      <c r="Z40" s="22"/>
    </row>
    <row r="41">
      <c r="A41" s="39" t="s">
        <v>139</v>
      </c>
      <c r="B41" s="61"/>
      <c r="C41" s="61"/>
      <c r="D41" s="61"/>
      <c r="E41" s="40"/>
      <c r="F41" s="22"/>
      <c r="G41" s="22"/>
      <c r="H41" s="22"/>
      <c r="I41" s="22"/>
      <c r="J41" s="22"/>
      <c r="K41" s="22"/>
      <c r="L41" s="22"/>
      <c r="M41" s="22"/>
      <c r="N41" s="22"/>
      <c r="O41" s="22"/>
      <c r="P41" s="22"/>
      <c r="Q41" s="22"/>
      <c r="R41" s="22"/>
      <c r="S41" s="22"/>
      <c r="T41" s="22"/>
      <c r="U41" s="22"/>
      <c r="V41" s="22"/>
      <c r="W41" s="22"/>
      <c r="X41" s="22"/>
      <c r="Y41" s="22"/>
      <c r="Z41" s="22"/>
    </row>
    <row r="42">
      <c r="A42" s="44" t="s">
        <v>140</v>
      </c>
      <c r="B42" s="6"/>
      <c r="C42" s="6"/>
      <c r="D42" s="6"/>
      <c r="E42" s="7"/>
      <c r="F42" s="22"/>
      <c r="G42" s="22"/>
      <c r="H42" s="22"/>
      <c r="I42" s="22"/>
      <c r="J42" s="22"/>
      <c r="K42" s="22"/>
      <c r="L42" s="22"/>
      <c r="M42" s="22"/>
      <c r="N42" s="22"/>
      <c r="O42" s="22"/>
      <c r="P42" s="22"/>
      <c r="Q42" s="22"/>
      <c r="R42" s="22"/>
      <c r="S42" s="22"/>
      <c r="T42" s="22"/>
      <c r="U42" s="22"/>
      <c r="V42" s="22"/>
      <c r="W42" s="22"/>
      <c r="X42" s="22"/>
      <c r="Y42" s="22"/>
      <c r="Z42" s="22"/>
    </row>
    <row r="43">
      <c r="A43" s="44" t="s">
        <v>141</v>
      </c>
      <c r="B43" s="6"/>
      <c r="C43" s="6"/>
      <c r="D43" s="6"/>
      <c r="E43" s="7"/>
      <c r="F43" s="22"/>
      <c r="G43" s="22"/>
      <c r="H43" s="22"/>
      <c r="I43" s="22"/>
      <c r="J43" s="22"/>
      <c r="K43" s="22"/>
      <c r="L43" s="22"/>
      <c r="M43" s="22"/>
      <c r="N43" s="22"/>
      <c r="O43" s="22"/>
      <c r="P43" s="22"/>
      <c r="Q43" s="22"/>
      <c r="R43" s="22"/>
      <c r="S43" s="22"/>
      <c r="T43" s="22"/>
      <c r="U43" s="22"/>
      <c r="V43" s="22"/>
      <c r="W43" s="22"/>
      <c r="X43" s="22"/>
      <c r="Y43" s="22"/>
      <c r="Z43" s="22"/>
    </row>
    <row r="44">
      <c r="A44" s="34" t="s">
        <v>142</v>
      </c>
      <c r="E44" s="35"/>
      <c r="F44" s="22"/>
      <c r="G44" s="22"/>
      <c r="H44" s="22"/>
      <c r="I44" s="22"/>
      <c r="J44" s="22"/>
      <c r="K44" s="22"/>
      <c r="L44" s="22"/>
      <c r="M44" s="22"/>
      <c r="N44" s="22"/>
      <c r="O44" s="22"/>
      <c r="P44" s="22"/>
      <c r="Q44" s="22"/>
      <c r="R44" s="22"/>
      <c r="S44" s="22"/>
      <c r="T44" s="22"/>
      <c r="U44" s="22"/>
      <c r="V44" s="22"/>
      <c r="W44" s="22"/>
      <c r="X44" s="22"/>
      <c r="Y44" s="22"/>
      <c r="Z44" s="22"/>
    </row>
    <row r="45">
      <c r="A45" s="24" t="s">
        <v>143</v>
      </c>
      <c r="B45" s="7"/>
      <c r="C45" s="24" t="s">
        <v>144</v>
      </c>
      <c r="D45" s="6"/>
      <c r="E45" s="7"/>
      <c r="F45" s="22"/>
      <c r="G45" s="22"/>
      <c r="H45" s="22"/>
      <c r="I45" s="22"/>
      <c r="J45" s="22"/>
      <c r="K45" s="22"/>
      <c r="L45" s="22"/>
      <c r="M45" s="22"/>
      <c r="N45" s="22"/>
      <c r="O45" s="22"/>
      <c r="P45" s="22"/>
      <c r="Q45" s="22"/>
      <c r="R45" s="22"/>
      <c r="S45" s="22"/>
      <c r="T45" s="22"/>
      <c r="U45" s="22"/>
      <c r="V45" s="22"/>
      <c r="W45" s="22"/>
      <c r="X45" s="22"/>
      <c r="Y45" s="22"/>
      <c r="Z45" s="22"/>
    </row>
    <row r="46">
      <c r="A46" s="27" t="s">
        <v>88</v>
      </c>
      <c r="B46" s="28"/>
      <c r="C46" s="62"/>
      <c r="D46" s="31"/>
      <c r="E46" s="28"/>
      <c r="F46" s="22"/>
      <c r="G46" s="22"/>
      <c r="H46" s="22"/>
      <c r="I46" s="22"/>
      <c r="J46" s="22"/>
      <c r="K46" s="22"/>
      <c r="L46" s="22"/>
      <c r="M46" s="22"/>
      <c r="N46" s="22"/>
      <c r="O46" s="22"/>
      <c r="P46" s="22"/>
      <c r="Q46" s="22"/>
      <c r="R46" s="22"/>
      <c r="S46" s="22"/>
      <c r="T46" s="22"/>
      <c r="U46" s="22"/>
      <c r="V46" s="22"/>
      <c r="W46" s="22"/>
      <c r="X46" s="22"/>
      <c r="Y46" s="22"/>
      <c r="Z46" s="22"/>
    </row>
    <row r="47">
      <c r="A47" s="27" t="s">
        <v>90</v>
      </c>
      <c r="B47" s="28"/>
      <c r="C47" s="62"/>
      <c r="D47" s="31"/>
      <c r="E47" s="28"/>
      <c r="F47" s="22"/>
      <c r="G47" s="22"/>
      <c r="H47" s="22"/>
      <c r="I47" s="22"/>
      <c r="J47" s="22"/>
      <c r="K47" s="22"/>
      <c r="L47" s="22"/>
      <c r="M47" s="22"/>
      <c r="N47" s="22"/>
      <c r="O47" s="22"/>
      <c r="P47" s="22"/>
      <c r="Q47" s="22"/>
      <c r="R47" s="22"/>
      <c r="S47" s="22"/>
      <c r="T47" s="22"/>
      <c r="U47" s="22"/>
      <c r="V47" s="22"/>
      <c r="W47" s="22"/>
      <c r="X47" s="22"/>
      <c r="Y47" s="22"/>
      <c r="Z47" s="22"/>
    </row>
    <row r="48">
      <c r="A48" s="27" t="s">
        <v>92</v>
      </c>
      <c r="B48" s="28"/>
      <c r="C48" s="62"/>
      <c r="D48" s="31"/>
      <c r="E48" s="28"/>
      <c r="F48" s="22"/>
      <c r="G48" s="22"/>
      <c r="H48" s="22"/>
      <c r="I48" s="22"/>
      <c r="J48" s="22"/>
      <c r="K48" s="22"/>
      <c r="L48" s="22"/>
      <c r="M48" s="22"/>
      <c r="N48" s="22"/>
      <c r="O48" s="22"/>
      <c r="P48" s="22"/>
      <c r="Q48" s="22"/>
      <c r="R48" s="22"/>
      <c r="S48" s="22"/>
      <c r="T48" s="22"/>
      <c r="U48" s="22"/>
      <c r="V48" s="22"/>
      <c r="W48" s="22"/>
      <c r="X48" s="22"/>
      <c r="Y48" s="22"/>
      <c r="Z48" s="22"/>
    </row>
    <row r="49">
      <c r="A49" s="27" t="s">
        <v>94</v>
      </c>
      <c r="B49" s="28"/>
      <c r="C49" s="62"/>
      <c r="D49" s="31"/>
      <c r="E49" s="28"/>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sheetData>
  <mergeCells count="68">
    <mergeCell ref="A24:B24"/>
    <mergeCell ref="A25:B25"/>
    <mergeCell ref="A26:B26"/>
    <mergeCell ref="A27:B27"/>
    <mergeCell ref="A28:B28"/>
    <mergeCell ref="A30:B30"/>
    <mergeCell ref="A31:B31"/>
    <mergeCell ref="A32:B32"/>
    <mergeCell ref="A33:B33"/>
    <mergeCell ref="A34:B34"/>
    <mergeCell ref="A35:B35"/>
    <mergeCell ref="A36:B36"/>
    <mergeCell ref="A37:B37"/>
    <mergeCell ref="A38:B38"/>
    <mergeCell ref="C46:E46"/>
    <mergeCell ref="C47:E47"/>
    <mergeCell ref="A39:E39"/>
    <mergeCell ref="A40:E40"/>
    <mergeCell ref="A41:E41"/>
    <mergeCell ref="A42:E42"/>
    <mergeCell ref="A43:E43"/>
    <mergeCell ref="A44:E44"/>
    <mergeCell ref="C45:E45"/>
    <mergeCell ref="C8:E8"/>
    <mergeCell ref="C9:E9"/>
    <mergeCell ref="C10:E10"/>
    <mergeCell ref="C11:E11"/>
    <mergeCell ref="A12:E12"/>
    <mergeCell ref="A1:E1"/>
    <mergeCell ref="B2:C2"/>
    <mergeCell ref="B3:C3"/>
    <mergeCell ref="A4:E4"/>
    <mergeCell ref="A5:E5"/>
    <mergeCell ref="A6:E6"/>
    <mergeCell ref="C7:E7"/>
    <mergeCell ref="A7:B7"/>
    <mergeCell ref="A8:B8"/>
    <mergeCell ref="A9:B9"/>
    <mergeCell ref="A10:B10"/>
    <mergeCell ref="A11:B11"/>
    <mergeCell ref="A13:B13"/>
    <mergeCell ref="A14:B14"/>
    <mergeCell ref="A15:B15"/>
    <mergeCell ref="A16:B16"/>
    <mergeCell ref="A17:B17"/>
    <mergeCell ref="A18:B18"/>
    <mergeCell ref="A19:E19"/>
    <mergeCell ref="A20:B20"/>
    <mergeCell ref="C20:E20"/>
    <mergeCell ref="C25:E25"/>
    <mergeCell ref="C26:E26"/>
    <mergeCell ref="C27:E27"/>
    <mergeCell ref="C28:E28"/>
    <mergeCell ref="A29:E29"/>
    <mergeCell ref="A21:B21"/>
    <mergeCell ref="C21:E21"/>
    <mergeCell ref="A22:B22"/>
    <mergeCell ref="C22:E22"/>
    <mergeCell ref="A23:B23"/>
    <mergeCell ref="C23:E23"/>
    <mergeCell ref="C24:E24"/>
    <mergeCell ref="A45:B45"/>
    <mergeCell ref="A46:B46"/>
    <mergeCell ref="A47:B47"/>
    <mergeCell ref="A48:B48"/>
    <mergeCell ref="C48:E48"/>
    <mergeCell ref="A49:B49"/>
    <mergeCell ref="C49:E49"/>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5"/>
    <col customWidth="1" min="2" max="2" width="17.38"/>
    <col customWidth="1" min="3" max="3" width="23.25"/>
    <col customWidth="1" min="4" max="4" width="92.0"/>
    <col customWidth="1" min="5" max="5" width="15.5"/>
    <col customWidth="1" min="6" max="6" width="22.63"/>
    <col customWidth="1" min="7" max="7" width="16.75"/>
  </cols>
  <sheetData>
    <row r="1" ht="36.0" customHeight="1">
      <c r="A1" s="63" t="s">
        <v>0</v>
      </c>
      <c r="B1" s="63" t="s">
        <v>145</v>
      </c>
      <c r="C1" s="63" t="s">
        <v>146</v>
      </c>
      <c r="D1" s="63" t="s">
        <v>147</v>
      </c>
      <c r="E1" s="64" t="s">
        <v>148</v>
      </c>
      <c r="F1" s="64" t="s">
        <v>149</v>
      </c>
      <c r="G1" s="64" t="s">
        <v>150</v>
      </c>
      <c r="H1" s="65"/>
      <c r="I1" s="66"/>
      <c r="J1" s="66"/>
      <c r="K1" s="66"/>
      <c r="L1" s="66"/>
      <c r="M1" s="66"/>
      <c r="N1" s="66"/>
      <c r="O1" s="66"/>
      <c r="P1" s="66"/>
      <c r="Q1" s="66"/>
      <c r="R1" s="66"/>
      <c r="S1" s="66"/>
      <c r="T1" s="66"/>
      <c r="U1" s="66"/>
      <c r="V1" s="66"/>
      <c r="W1" s="66"/>
    </row>
    <row r="2" ht="36.75" customHeight="1">
      <c r="A2" s="67" t="s">
        <v>151</v>
      </c>
      <c r="B2" s="67" t="s">
        <v>152</v>
      </c>
      <c r="C2" s="67" t="s">
        <v>153</v>
      </c>
      <c r="D2" s="67" t="s">
        <v>154</v>
      </c>
      <c r="E2" s="68" t="s">
        <v>155</v>
      </c>
      <c r="F2" s="69" t="s">
        <v>156</v>
      </c>
      <c r="G2" s="58" t="s">
        <v>58</v>
      </c>
      <c r="H2" s="70"/>
      <c r="I2" s="70"/>
      <c r="J2" s="70"/>
      <c r="K2" s="70"/>
      <c r="L2" s="70"/>
      <c r="M2" s="70"/>
      <c r="N2" s="70"/>
      <c r="O2" s="70"/>
      <c r="P2" s="70"/>
      <c r="Q2" s="70"/>
      <c r="R2" s="70"/>
      <c r="S2" s="70"/>
      <c r="T2" s="70"/>
      <c r="U2" s="70"/>
      <c r="V2" s="70"/>
      <c r="W2" s="70"/>
    </row>
    <row r="3" ht="36.75" customHeight="1">
      <c r="A3" s="67" t="s">
        <v>157</v>
      </c>
      <c r="B3" s="67" t="s">
        <v>158</v>
      </c>
      <c r="C3" s="67" t="s">
        <v>159</v>
      </c>
      <c r="D3" s="67" t="s">
        <v>160</v>
      </c>
      <c r="E3" s="68" t="s">
        <v>155</v>
      </c>
      <c r="F3" s="69" t="s">
        <v>156</v>
      </c>
      <c r="G3" s="58" t="s">
        <v>58</v>
      </c>
      <c r="H3" s="70"/>
      <c r="I3" s="70"/>
      <c r="J3" s="70"/>
      <c r="K3" s="70"/>
      <c r="L3" s="70"/>
      <c r="M3" s="70"/>
      <c r="N3" s="70"/>
      <c r="O3" s="70"/>
      <c r="P3" s="70"/>
      <c r="Q3" s="70"/>
      <c r="R3" s="70"/>
      <c r="S3" s="70"/>
      <c r="T3" s="70"/>
      <c r="U3" s="70"/>
      <c r="V3" s="70"/>
      <c r="W3" s="70"/>
    </row>
    <row r="4" ht="36.75" customHeight="1">
      <c r="A4" s="67" t="s">
        <v>161</v>
      </c>
      <c r="B4" s="67" t="s">
        <v>162</v>
      </c>
      <c r="C4" s="67" t="s">
        <v>163</v>
      </c>
      <c r="D4" s="67" t="s">
        <v>164</v>
      </c>
      <c r="E4" s="68" t="s">
        <v>155</v>
      </c>
      <c r="F4" s="69" t="s">
        <v>156</v>
      </c>
      <c r="G4" s="58" t="s">
        <v>58</v>
      </c>
      <c r="H4" s="70"/>
      <c r="I4" s="70"/>
      <c r="J4" s="70"/>
      <c r="K4" s="70"/>
      <c r="L4" s="70"/>
      <c r="M4" s="70"/>
      <c r="N4" s="70"/>
      <c r="O4" s="70"/>
      <c r="P4" s="70"/>
      <c r="Q4" s="70"/>
      <c r="R4" s="70"/>
      <c r="S4" s="70"/>
      <c r="T4" s="70"/>
      <c r="U4" s="70"/>
      <c r="V4" s="70"/>
      <c r="W4" s="70"/>
    </row>
    <row r="5" ht="36.75" customHeight="1">
      <c r="A5" s="67" t="s">
        <v>165</v>
      </c>
      <c r="B5" s="67" t="s">
        <v>166</v>
      </c>
      <c r="C5" s="67" t="s">
        <v>167</v>
      </c>
      <c r="D5" s="67" t="s">
        <v>168</v>
      </c>
      <c r="E5" s="68" t="s">
        <v>155</v>
      </c>
      <c r="F5" s="69" t="s">
        <v>156</v>
      </c>
      <c r="G5" s="58" t="s">
        <v>12</v>
      </c>
      <c r="H5" s="70"/>
      <c r="I5" s="70"/>
      <c r="J5" s="70"/>
      <c r="K5" s="70"/>
      <c r="L5" s="70"/>
      <c r="M5" s="70"/>
      <c r="N5" s="70"/>
      <c r="O5" s="70"/>
      <c r="P5" s="70"/>
      <c r="Q5" s="70"/>
      <c r="R5" s="70"/>
      <c r="S5" s="70"/>
      <c r="T5" s="70"/>
      <c r="U5" s="70"/>
      <c r="V5" s="70"/>
      <c r="W5" s="70"/>
    </row>
    <row r="6" ht="36.75" customHeight="1">
      <c r="A6" s="67" t="s">
        <v>169</v>
      </c>
      <c r="B6" s="67" t="s">
        <v>170</v>
      </c>
      <c r="C6" s="67" t="s">
        <v>171</v>
      </c>
      <c r="D6" s="67" t="s">
        <v>172</v>
      </c>
      <c r="E6" s="68" t="s">
        <v>155</v>
      </c>
      <c r="F6" s="69" t="s">
        <v>156</v>
      </c>
      <c r="G6" s="58" t="s">
        <v>12</v>
      </c>
      <c r="H6" s="70"/>
      <c r="I6" s="70"/>
      <c r="J6" s="70"/>
      <c r="K6" s="70"/>
      <c r="L6" s="70"/>
      <c r="M6" s="70"/>
      <c r="N6" s="70"/>
      <c r="O6" s="70"/>
      <c r="P6" s="70"/>
      <c r="Q6" s="70"/>
      <c r="R6" s="70"/>
      <c r="S6" s="70"/>
      <c r="T6" s="70"/>
      <c r="U6" s="70"/>
      <c r="V6" s="70"/>
      <c r="W6" s="70"/>
    </row>
    <row r="7" ht="36.75" customHeight="1">
      <c r="A7" s="67" t="s">
        <v>173</v>
      </c>
      <c r="B7" s="67" t="s">
        <v>158</v>
      </c>
      <c r="C7" s="67" t="s">
        <v>174</v>
      </c>
      <c r="D7" s="67" t="s">
        <v>175</v>
      </c>
      <c r="E7" s="68" t="s">
        <v>155</v>
      </c>
      <c r="F7" s="69" t="s">
        <v>156</v>
      </c>
      <c r="G7" s="58" t="s">
        <v>12</v>
      </c>
      <c r="H7" s="70"/>
      <c r="I7" s="70"/>
      <c r="J7" s="70"/>
      <c r="K7" s="70"/>
      <c r="L7" s="70"/>
      <c r="M7" s="70"/>
      <c r="N7" s="70"/>
      <c r="O7" s="70"/>
      <c r="P7" s="70"/>
      <c r="Q7" s="70"/>
      <c r="R7" s="70"/>
      <c r="S7" s="70"/>
      <c r="T7" s="70"/>
      <c r="U7" s="70"/>
      <c r="V7" s="70"/>
      <c r="W7" s="70"/>
    </row>
    <row r="8" ht="36.75" customHeight="1">
      <c r="A8" s="67" t="s">
        <v>176</v>
      </c>
      <c r="B8" s="67" t="s">
        <v>170</v>
      </c>
      <c r="C8" s="67" t="s">
        <v>177</v>
      </c>
      <c r="D8" s="67" t="s">
        <v>178</v>
      </c>
      <c r="E8" s="68" t="s">
        <v>155</v>
      </c>
      <c r="F8" s="69" t="s">
        <v>156</v>
      </c>
      <c r="G8" s="58" t="s">
        <v>51</v>
      </c>
      <c r="H8" s="70"/>
      <c r="I8" s="70"/>
      <c r="J8" s="70"/>
      <c r="K8" s="70"/>
      <c r="L8" s="70"/>
      <c r="M8" s="70"/>
      <c r="N8" s="70"/>
      <c r="O8" s="70"/>
      <c r="P8" s="70"/>
      <c r="Q8" s="70"/>
      <c r="R8" s="70"/>
      <c r="S8" s="70"/>
      <c r="T8" s="70"/>
      <c r="U8" s="70"/>
      <c r="V8" s="70"/>
      <c r="W8" s="70"/>
    </row>
    <row r="9" ht="36.75" customHeight="1">
      <c r="A9" s="67" t="s">
        <v>179</v>
      </c>
      <c r="B9" s="67" t="s">
        <v>170</v>
      </c>
      <c r="C9" s="67" t="s">
        <v>180</v>
      </c>
      <c r="D9" s="67" t="s">
        <v>181</v>
      </c>
      <c r="E9" s="68" t="s">
        <v>155</v>
      </c>
      <c r="F9" s="69" t="s">
        <v>156</v>
      </c>
      <c r="G9" s="58" t="s">
        <v>51</v>
      </c>
      <c r="H9" s="70"/>
      <c r="I9" s="70"/>
      <c r="J9" s="70"/>
      <c r="K9" s="70"/>
      <c r="L9" s="70"/>
      <c r="M9" s="70"/>
      <c r="N9" s="70"/>
      <c r="O9" s="70"/>
      <c r="P9" s="70"/>
      <c r="Q9" s="70"/>
      <c r="R9" s="70"/>
      <c r="S9" s="70"/>
      <c r="T9" s="70"/>
      <c r="U9" s="70"/>
      <c r="V9" s="70"/>
      <c r="W9" s="70"/>
    </row>
    <row r="10">
      <c r="A10" s="70"/>
      <c r="B10" s="70"/>
      <c r="C10" s="70"/>
      <c r="D10" s="70"/>
      <c r="E10" s="66"/>
      <c r="F10" s="70"/>
      <c r="G10" s="70"/>
      <c r="H10" s="70"/>
      <c r="I10" s="70"/>
      <c r="J10" s="70"/>
      <c r="K10" s="70"/>
      <c r="L10" s="70"/>
      <c r="M10" s="70"/>
      <c r="N10" s="70"/>
      <c r="O10" s="70"/>
      <c r="P10" s="70"/>
      <c r="Q10" s="70"/>
      <c r="R10" s="70"/>
      <c r="S10" s="70"/>
      <c r="T10" s="70"/>
      <c r="U10" s="70"/>
      <c r="V10" s="70"/>
      <c r="W10" s="70"/>
    </row>
    <row r="11">
      <c r="A11" s="70"/>
      <c r="B11" s="70"/>
      <c r="C11" s="70"/>
      <c r="D11" s="70"/>
      <c r="E11" s="66"/>
      <c r="F11" s="70"/>
      <c r="G11" s="70"/>
      <c r="H11" s="70"/>
      <c r="I11" s="70"/>
      <c r="J11" s="70"/>
      <c r="K11" s="70"/>
      <c r="L11" s="70"/>
      <c r="M11" s="70"/>
      <c r="N11" s="70"/>
      <c r="O11" s="70"/>
      <c r="P11" s="70"/>
      <c r="Q11" s="70"/>
      <c r="R11" s="70"/>
      <c r="S11" s="70"/>
      <c r="T11" s="70"/>
      <c r="U11" s="70"/>
      <c r="V11" s="70"/>
      <c r="W11" s="70"/>
    </row>
    <row r="12">
      <c r="A12" s="70"/>
      <c r="B12" s="70"/>
      <c r="C12" s="70"/>
      <c r="D12" s="70"/>
      <c r="E12" s="66"/>
      <c r="F12" s="70"/>
      <c r="G12" s="70"/>
      <c r="H12" s="70"/>
      <c r="I12" s="70"/>
      <c r="J12" s="70"/>
      <c r="K12" s="70"/>
      <c r="L12" s="70"/>
      <c r="M12" s="70"/>
      <c r="N12" s="70"/>
      <c r="O12" s="70"/>
      <c r="P12" s="70"/>
      <c r="Q12" s="70"/>
      <c r="R12" s="70"/>
      <c r="S12" s="70"/>
      <c r="T12" s="70"/>
      <c r="U12" s="70"/>
      <c r="V12" s="70"/>
      <c r="W12" s="70"/>
    </row>
    <row r="13">
      <c r="A13" s="70"/>
      <c r="B13" s="70"/>
      <c r="C13" s="70"/>
      <c r="D13" s="70"/>
      <c r="E13" s="66"/>
      <c r="F13" s="70"/>
      <c r="G13" s="70"/>
      <c r="H13" s="70"/>
      <c r="I13" s="70"/>
      <c r="J13" s="70"/>
      <c r="K13" s="70"/>
      <c r="L13" s="70"/>
      <c r="M13" s="70"/>
      <c r="N13" s="70"/>
      <c r="O13" s="70"/>
      <c r="P13" s="70"/>
      <c r="Q13" s="70"/>
      <c r="R13" s="70"/>
      <c r="S13" s="70"/>
      <c r="T13" s="70"/>
      <c r="U13" s="70"/>
      <c r="V13" s="70"/>
      <c r="W13" s="70"/>
    </row>
    <row r="14">
      <c r="A14" s="70"/>
      <c r="B14" s="70"/>
      <c r="C14" s="70"/>
      <c r="D14" s="70"/>
      <c r="E14" s="66"/>
      <c r="F14" s="70"/>
      <c r="G14" s="70"/>
      <c r="H14" s="70"/>
      <c r="I14" s="70"/>
      <c r="J14" s="70"/>
      <c r="K14" s="70"/>
      <c r="L14" s="70"/>
      <c r="M14" s="70"/>
      <c r="N14" s="70"/>
      <c r="O14" s="70"/>
      <c r="P14" s="70"/>
      <c r="Q14" s="70"/>
      <c r="R14" s="70"/>
      <c r="S14" s="70"/>
      <c r="T14" s="70"/>
      <c r="U14" s="70"/>
      <c r="V14" s="70"/>
      <c r="W14" s="70"/>
    </row>
    <row r="15">
      <c r="A15" s="70"/>
      <c r="B15" s="70"/>
      <c r="C15" s="70"/>
      <c r="D15" s="70"/>
      <c r="E15" s="66"/>
      <c r="F15" s="70"/>
      <c r="G15" s="70"/>
      <c r="H15" s="70"/>
      <c r="I15" s="70"/>
      <c r="J15" s="70"/>
      <c r="K15" s="70"/>
      <c r="L15" s="70"/>
      <c r="M15" s="70"/>
      <c r="N15" s="70"/>
      <c r="O15" s="70"/>
      <c r="P15" s="70"/>
      <c r="Q15" s="70"/>
      <c r="R15" s="70"/>
      <c r="S15" s="70"/>
      <c r="T15" s="70"/>
      <c r="U15" s="70"/>
      <c r="V15" s="70"/>
      <c r="W15" s="70"/>
    </row>
    <row r="16">
      <c r="A16" s="70"/>
      <c r="B16" s="70"/>
      <c r="C16" s="70"/>
      <c r="D16" s="70"/>
      <c r="E16" s="66"/>
      <c r="F16" s="70"/>
      <c r="G16" s="70"/>
      <c r="H16" s="70"/>
      <c r="I16" s="70"/>
      <c r="J16" s="70"/>
      <c r="K16" s="70"/>
      <c r="L16" s="70"/>
      <c r="M16" s="70"/>
      <c r="N16" s="70"/>
      <c r="O16" s="70"/>
      <c r="P16" s="70"/>
      <c r="Q16" s="70"/>
      <c r="R16" s="70"/>
      <c r="S16" s="70"/>
      <c r="T16" s="70"/>
      <c r="U16" s="70"/>
      <c r="V16" s="70"/>
      <c r="W16" s="70"/>
    </row>
    <row r="17">
      <c r="A17" s="70"/>
      <c r="B17" s="70"/>
      <c r="C17" s="70"/>
      <c r="D17" s="70"/>
      <c r="E17" s="66"/>
      <c r="F17" s="70"/>
      <c r="G17" s="70"/>
      <c r="H17" s="70"/>
      <c r="I17" s="70"/>
      <c r="J17" s="70"/>
      <c r="K17" s="70"/>
      <c r="L17" s="70"/>
      <c r="M17" s="70"/>
      <c r="N17" s="70"/>
      <c r="O17" s="70"/>
      <c r="P17" s="70"/>
      <c r="Q17" s="70"/>
      <c r="R17" s="70"/>
      <c r="S17" s="70"/>
      <c r="T17" s="70"/>
      <c r="U17" s="70"/>
      <c r="V17" s="70"/>
      <c r="W17" s="70"/>
    </row>
    <row r="18">
      <c r="A18" s="70"/>
      <c r="B18" s="70"/>
      <c r="C18" s="70"/>
      <c r="D18" s="70"/>
      <c r="E18" s="66"/>
      <c r="F18" s="70"/>
      <c r="G18" s="70"/>
      <c r="H18" s="70"/>
      <c r="I18" s="70"/>
      <c r="J18" s="70"/>
      <c r="K18" s="70"/>
      <c r="L18" s="70"/>
      <c r="M18" s="70"/>
      <c r="N18" s="70"/>
      <c r="O18" s="70"/>
      <c r="P18" s="70"/>
      <c r="Q18" s="70"/>
      <c r="R18" s="70"/>
      <c r="S18" s="70"/>
      <c r="T18" s="70"/>
      <c r="U18" s="70"/>
      <c r="V18" s="70"/>
      <c r="W18" s="70"/>
    </row>
    <row r="19">
      <c r="A19" s="70"/>
      <c r="B19" s="70"/>
      <c r="C19" s="70"/>
      <c r="D19" s="70"/>
      <c r="E19" s="66"/>
      <c r="F19" s="70"/>
      <c r="G19" s="70"/>
      <c r="H19" s="70"/>
      <c r="I19" s="70"/>
      <c r="J19" s="70"/>
      <c r="K19" s="70"/>
      <c r="L19" s="70"/>
      <c r="M19" s="70"/>
      <c r="N19" s="70"/>
      <c r="O19" s="70"/>
      <c r="P19" s="70"/>
      <c r="Q19" s="70"/>
      <c r="R19" s="70"/>
      <c r="S19" s="70"/>
      <c r="T19" s="70"/>
      <c r="U19" s="70"/>
      <c r="V19" s="70"/>
      <c r="W19" s="70"/>
    </row>
    <row r="20">
      <c r="A20" s="70"/>
      <c r="B20" s="70"/>
      <c r="C20" s="70"/>
      <c r="D20" s="70"/>
      <c r="E20" s="66"/>
      <c r="F20" s="70"/>
      <c r="G20" s="70"/>
      <c r="H20" s="70"/>
      <c r="I20" s="70"/>
      <c r="J20" s="70"/>
      <c r="K20" s="70"/>
      <c r="L20" s="70"/>
      <c r="M20" s="70"/>
      <c r="N20" s="70"/>
      <c r="O20" s="70"/>
      <c r="P20" s="70"/>
      <c r="Q20" s="70"/>
      <c r="R20" s="70"/>
      <c r="S20" s="70"/>
      <c r="T20" s="70"/>
      <c r="U20" s="70"/>
      <c r="V20" s="70"/>
      <c r="W20" s="70"/>
    </row>
    <row r="21">
      <c r="A21" s="70"/>
      <c r="B21" s="70"/>
      <c r="C21" s="70"/>
      <c r="D21" s="70"/>
      <c r="E21" s="66"/>
      <c r="F21" s="70"/>
      <c r="G21" s="70"/>
      <c r="H21" s="70"/>
      <c r="I21" s="70"/>
      <c r="J21" s="70"/>
      <c r="K21" s="70"/>
      <c r="L21" s="70"/>
      <c r="M21" s="70"/>
      <c r="N21" s="70"/>
      <c r="O21" s="70"/>
      <c r="P21" s="70"/>
      <c r="Q21" s="70"/>
      <c r="R21" s="70"/>
      <c r="S21" s="70"/>
      <c r="T21" s="70"/>
      <c r="U21" s="70"/>
      <c r="V21" s="70"/>
      <c r="W21" s="70"/>
    </row>
    <row r="22">
      <c r="A22" s="70"/>
      <c r="B22" s="70"/>
      <c r="C22" s="70"/>
      <c r="D22" s="70"/>
      <c r="E22" s="66"/>
      <c r="F22" s="70"/>
      <c r="G22" s="70"/>
      <c r="H22" s="70"/>
      <c r="I22" s="70"/>
      <c r="J22" s="70"/>
      <c r="K22" s="70"/>
      <c r="L22" s="70"/>
      <c r="M22" s="70"/>
      <c r="N22" s="70"/>
      <c r="O22" s="70"/>
      <c r="P22" s="70"/>
      <c r="Q22" s="70"/>
      <c r="R22" s="70"/>
      <c r="S22" s="70"/>
      <c r="T22" s="70"/>
      <c r="U22" s="70"/>
      <c r="V22" s="70"/>
      <c r="W22" s="70"/>
    </row>
    <row r="23">
      <c r="A23" s="70"/>
      <c r="B23" s="70"/>
      <c r="C23" s="70"/>
      <c r="D23" s="70"/>
      <c r="E23" s="66"/>
      <c r="F23" s="70"/>
      <c r="G23" s="70"/>
      <c r="H23" s="70"/>
      <c r="I23" s="70"/>
      <c r="J23" s="70"/>
      <c r="K23" s="70"/>
      <c r="L23" s="70"/>
      <c r="M23" s="70"/>
      <c r="N23" s="70"/>
      <c r="O23" s="70"/>
      <c r="P23" s="70"/>
      <c r="Q23" s="70"/>
      <c r="R23" s="70"/>
      <c r="S23" s="70"/>
      <c r="T23" s="70"/>
      <c r="U23" s="70"/>
      <c r="V23" s="70"/>
      <c r="W23" s="70"/>
    </row>
    <row r="24">
      <c r="A24" s="70"/>
      <c r="B24" s="70"/>
      <c r="C24" s="70"/>
      <c r="D24" s="70"/>
      <c r="E24" s="66"/>
      <c r="F24" s="70"/>
      <c r="G24" s="70"/>
      <c r="H24" s="70"/>
      <c r="I24" s="70"/>
      <c r="J24" s="70"/>
      <c r="K24" s="70"/>
      <c r="L24" s="70"/>
      <c r="M24" s="70"/>
      <c r="N24" s="70"/>
      <c r="O24" s="70"/>
      <c r="P24" s="70"/>
      <c r="Q24" s="70"/>
      <c r="R24" s="70"/>
      <c r="S24" s="70"/>
      <c r="T24" s="70"/>
      <c r="U24" s="70"/>
      <c r="V24" s="70"/>
      <c r="W24" s="70"/>
    </row>
    <row r="25">
      <c r="A25" s="70"/>
      <c r="B25" s="70"/>
      <c r="C25" s="70"/>
      <c r="D25" s="70"/>
      <c r="E25" s="66"/>
      <c r="F25" s="70"/>
      <c r="G25" s="70"/>
      <c r="H25" s="70"/>
      <c r="I25" s="70"/>
      <c r="J25" s="70"/>
      <c r="K25" s="70"/>
      <c r="L25" s="70"/>
      <c r="M25" s="70"/>
      <c r="N25" s="70"/>
      <c r="O25" s="70"/>
      <c r="P25" s="70"/>
      <c r="Q25" s="70"/>
      <c r="R25" s="70"/>
      <c r="S25" s="70"/>
      <c r="T25" s="70"/>
      <c r="U25" s="70"/>
      <c r="V25" s="70"/>
      <c r="W25" s="70"/>
    </row>
    <row r="26">
      <c r="A26" s="70"/>
      <c r="B26" s="70"/>
      <c r="C26" s="70"/>
      <c r="D26" s="70"/>
      <c r="E26" s="66"/>
      <c r="F26" s="70"/>
      <c r="G26" s="70"/>
      <c r="H26" s="70"/>
      <c r="I26" s="70"/>
      <c r="J26" s="70"/>
      <c r="K26" s="70"/>
      <c r="L26" s="70"/>
      <c r="M26" s="70"/>
      <c r="N26" s="70"/>
      <c r="O26" s="70"/>
      <c r="P26" s="70"/>
      <c r="Q26" s="70"/>
      <c r="R26" s="70"/>
      <c r="S26" s="70"/>
      <c r="T26" s="70"/>
      <c r="U26" s="70"/>
      <c r="V26" s="70"/>
      <c r="W26" s="70"/>
    </row>
    <row r="27">
      <c r="A27" s="70"/>
      <c r="B27" s="70"/>
      <c r="C27" s="70"/>
      <c r="D27" s="70"/>
      <c r="E27" s="66"/>
      <c r="F27" s="70"/>
      <c r="G27" s="70"/>
      <c r="H27" s="70"/>
      <c r="I27" s="70"/>
      <c r="J27" s="70"/>
      <c r="K27" s="70"/>
      <c r="L27" s="70"/>
      <c r="M27" s="70"/>
      <c r="N27" s="70"/>
      <c r="O27" s="70"/>
      <c r="P27" s="70"/>
      <c r="Q27" s="70"/>
      <c r="R27" s="70"/>
      <c r="S27" s="70"/>
      <c r="T27" s="70"/>
      <c r="U27" s="70"/>
      <c r="V27" s="70"/>
      <c r="W27" s="70"/>
    </row>
    <row r="28">
      <c r="A28" s="70"/>
      <c r="B28" s="70"/>
      <c r="C28" s="70"/>
      <c r="D28" s="70"/>
      <c r="E28" s="66"/>
      <c r="F28" s="70"/>
      <c r="G28" s="70"/>
      <c r="H28" s="70"/>
      <c r="I28" s="70"/>
      <c r="J28" s="70"/>
      <c r="K28" s="70"/>
      <c r="L28" s="70"/>
      <c r="M28" s="70"/>
      <c r="N28" s="70"/>
      <c r="O28" s="70"/>
      <c r="P28" s="70"/>
      <c r="Q28" s="70"/>
      <c r="R28" s="70"/>
      <c r="S28" s="70"/>
      <c r="T28" s="70"/>
      <c r="U28" s="70"/>
      <c r="V28" s="70"/>
      <c r="W28" s="70"/>
    </row>
    <row r="29">
      <c r="A29" s="70"/>
      <c r="B29" s="70"/>
      <c r="C29" s="70"/>
      <c r="D29" s="70"/>
      <c r="E29" s="66"/>
      <c r="F29" s="70"/>
      <c r="G29" s="70"/>
      <c r="H29" s="70"/>
      <c r="I29" s="70"/>
      <c r="J29" s="70"/>
      <c r="K29" s="70"/>
      <c r="L29" s="70"/>
      <c r="M29" s="70"/>
      <c r="N29" s="70"/>
      <c r="O29" s="70"/>
      <c r="P29" s="70"/>
      <c r="Q29" s="70"/>
      <c r="R29" s="70"/>
      <c r="S29" s="70"/>
      <c r="T29" s="70"/>
      <c r="U29" s="70"/>
      <c r="V29" s="70"/>
      <c r="W29" s="70"/>
    </row>
    <row r="30">
      <c r="A30" s="70"/>
      <c r="B30" s="70"/>
      <c r="C30" s="70"/>
      <c r="D30" s="70"/>
      <c r="E30" s="66"/>
      <c r="F30" s="70"/>
      <c r="G30" s="70"/>
      <c r="H30" s="70"/>
      <c r="I30" s="70"/>
      <c r="J30" s="70"/>
      <c r="K30" s="70"/>
      <c r="L30" s="70"/>
      <c r="M30" s="70"/>
      <c r="N30" s="70"/>
      <c r="O30" s="70"/>
      <c r="P30" s="70"/>
      <c r="Q30" s="70"/>
      <c r="R30" s="70"/>
      <c r="S30" s="70"/>
      <c r="T30" s="70"/>
      <c r="U30" s="70"/>
      <c r="V30" s="70"/>
      <c r="W30" s="70"/>
    </row>
    <row r="31">
      <c r="A31" s="70"/>
      <c r="B31" s="70"/>
      <c r="C31" s="70"/>
      <c r="D31" s="70"/>
      <c r="E31" s="66"/>
      <c r="F31" s="70"/>
      <c r="G31" s="70"/>
      <c r="H31" s="70"/>
      <c r="I31" s="70"/>
      <c r="J31" s="70"/>
      <c r="K31" s="70"/>
      <c r="L31" s="70"/>
      <c r="M31" s="70"/>
      <c r="N31" s="70"/>
      <c r="O31" s="70"/>
      <c r="P31" s="70"/>
      <c r="Q31" s="70"/>
      <c r="R31" s="70"/>
      <c r="S31" s="70"/>
      <c r="T31" s="70"/>
      <c r="U31" s="70"/>
      <c r="V31" s="70"/>
      <c r="W31" s="70"/>
    </row>
    <row r="32">
      <c r="A32" s="70"/>
      <c r="B32" s="70"/>
      <c r="C32" s="70"/>
      <c r="D32" s="70"/>
      <c r="E32" s="66"/>
      <c r="F32" s="70"/>
      <c r="G32" s="70"/>
      <c r="H32" s="70"/>
      <c r="I32" s="70"/>
      <c r="J32" s="70"/>
      <c r="K32" s="70"/>
      <c r="L32" s="70"/>
      <c r="M32" s="70"/>
      <c r="N32" s="70"/>
      <c r="O32" s="70"/>
      <c r="P32" s="70"/>
      <c r="Q32" s="70"/>
      <c r="R32" s="70"/>
      <c r="S32" s="70"/>
      <c r="T32" s="70"/>
      <c r="U32" s="70"/>
      <c r="V32" s="70"/>
      <c r="W32" s="70"/>
    </row>
    <row r="33">
      <c r="A33" s="70"/>
      <c r="B33" s="70"/>
      <c r="C33" s="70"/>
      <c r="D33" s="70"/>
      <c r="E33" s="66"/>
      <c r="F33" s="70"/>
      <c r="G33" s="70"/>
      <c r="H33" s="70"/>
      <c r="I33" s="70"/>
      <c r="J33" s="70"/>
      <c r="K33" s="70"/>
      <c r="L33" s="70"/>
      <c r="M33" s="70"/>
      <c r="N33" s="70"/>
      <c r="O33" s="70"/>
      <c r="P33" s="70"/>
      <c r="Q33" s="70"/>
      <c r="R33" s="70"/>
      <c r="S33" s="70"/>
      <c r="T33" s="70"/>
      <c r="U33" s="70"/>
      <c r="V33" s="70"/>
      <c r="W33" s="70"/>
    </row>
    <row r="34">
      <c r="A34" s="70"/>
      <c r="B34" s="70"/>
      <c r="C34" s="70"/>
      <c r="D34" s="70"/>
      <c r="E34" s="66"/>
      <c r="F34" s="70"/>
      <c r="G34" s="70"/>
      <c r="H34" s="70"/>
      <c r="I34" s="70"/>
      <c r="J34" s="70"/>
      <c r="K34" s="70"/>
      <c r="L34" s="70"/>
      <c r="M34" s="70"/>
      <c r="N34" s="70"/>
      <c r="O34" s="70"/>
      <c r="P34" s="70"/>
      <c r="Q34" s="70"/>
      <c r="R34" s="70"/>
      <c r="S34" s="70"/>
      <c r="T34" s="70"/>
      <c r="U34" s="70"/>
      <c r="V34" s="70"/>
      <c r="W34" s="70"/>
    </row>
    <row r="35">
      <c r="A35" s="70"/>
      <c r="B35" s="70"/>
      <c r="C35" s="70"/>
      <c r="D35" s="70"/>
      <c r="E35" s="66"/>
      <c r="F35" s="70"/>
      <c r="G35" s="70"/>
      <c r="H35" s="70"/>
      <c r="I35" s="70"/>
      <c r="J35" s="70"/>
      <c r="K35" s="70"/>
      <c r="L35" s="70"/>
      <c r="M35" s="70"/>
      <c r="N35" s="70"/>
      <c r="O35" s="70"/>
      <c r="P35" s="70"/>
      <c r="Q35" s="70"/>
      <c r="R35" s="70"/>
      <c r="S35" s="70"/>
      <c r="T35" s="70"/>
      <c r="U35" s="70"/>
      <c r="V35" s="70"/>
      <c r="W35" s="70"/>
    </row>
    <row r="36">
      <c r="A36" s="70"/>
      <c r="B36" s="70"/>
      <c r="C36" s="70"/>
      <c r="D36" s="70"/>
      <c r="E36" s="66"/>
      <c r="F36" s="70"/>
      <c r="G36" s="70"/>
      <c r="H36" s="70"/>
      <c r="I36" s="70"/>
      <c r="J36" s="70"/>
      <c r="K36" s="70"/>
      <c r="L36" s="70"/>
      <c r="M36" s="70"/>
      <c r="N36" s="70"/>
      <c r="O36" s="70"/>
      <c r="P36" s="70"/>
      <c r="Q36" s="70"/>
      <c r="R36" s="70"/>
      <c r="S36" s="70"/>
      <c r="T36" s="70"/>
      <c r="U36" s="70"/>
      <c r="V36" s="70"/>
      <c r="W36" s="70"/>
    </row>
    <row r="37">
      <c r="A37" s="70"/>
      <c r="B37" s="70"/>
      <c r="C37" s="70"/>
      <c r="D37" s="70"/>
      <c r="E37" s="66"/>
      <c r="F37" s="70"/>
      <c r="G37" s="70"/>
      <c r="H37" s="70"/>
      <c r="I37" s="70"/>
      <c r="J37" s="70"/>
      <c r="K37" s="70"/>
      <c r="L37" s="70"/>
      <c r="M37" s="70"/>
      <c r="N37" s="70"/>
      <c r="O37" s="70"/>
      <c r="P37" s="70"/>
      <c r="Q37" s="70"/>
      <c r="R37" s="70"/>
      <c r="S37" s="70"/>
      <c r="T37" s="70"/>
      <c r="U37" s="70"/>
      <c r="V37" s="70"/>
      <c r="W37" s="70"/>
    </row>
    <row r="38">
      <c r="A38" s="70"/>
      <c r="B38" s="70"/>
      <c r="C38" s="70"/>
      <c r="D38" s="70"/>
      <c r="E38" s="66"/>
      <c r="F38" s="70"/>
      <c r="G38" s="70"/>
      <c r="H38" s="70"/>
      <c r="I38" s="70"/>
      <c r="J38" s="70"/>
      <c r="K38" s="70"/>
      <c r="L38" s="70"/>
      <c r="M38" s="70"/>
      <c r="N38" s="70"/>
      <c r="O38" s="70"/>
      <c r="P38" s="70"/>
      <c r="Q38" s="70"/>
      <c r="R38" s="70"/>
      <c r="S38" s="70"/>
      <c r="T38" s="70"/>
      <c r="U38" s="70"/>
      <c r="V38" s="70"/>
      <c r="W38" s="70"/>
    </row>
    <row r="39">
      <c r="A39" s="70"/>
      <c r="B39" s="70"/>
      <c r="C39" s="70"/>
      <c r="D39" s="70"/>
      <c r="E39" s="66"/>
      <c r="F39" s="70"/>
      <c r="G39" s="70"/>
      <c r="H39" s="70"/>
      <c r="I39" s="70"/>
      <c r="J39" s="70"/>
      <c r="K39" s="70"/>
      <c r="L39" s="70"/>
      <c r="M39" s="70"/>
      <c r="N39" s="70"/>
      <c r="O39" s="70"/>
      <c r="P39" s="70"/>
      <c r="Q39" s="70"/>
      <c r="R39" s="70"/>
      <c r="S39" s="70"/>
      <c r="T39" s="70"/>
      <c r="U39" s="70"/>
      <c r="V39" s="70"/>
      <c r="W39" s="70"/>
    </row>
    <row r="40">
      <c r="A40" s="70"/>
      <c r="B40" s="70"/>
      <c r="C40" s="70"/>
      <c r="D40" s="70"/>
      <c r="E40" s="66"/>
      <c r="F40" s="70"/>
      <c r="G40" s="70"/>
      <c r="H40" s="70"/>
      <c r="I40" s="70"/>
      <c r="J40" s="70"/>
      <c r="K40" s="70"/>
      <c r="L40" s="70"/>
      <c r="M40" s="70"/>
      <c r="N40" s="70"/>
      <c r="O40" s="70"/>
      <c r="P40" s="70"/>
      <c r="Q40" s="70"/>
      <c r="R40" s="70"/>
      <c r="S40" s="70"/>
      <c r="T40" s="70"/>
      <c r="U40" s="70"/>
      <c r="V40" s="70"/>
      <c r="W40" s="70"/>
    </row>
    <row r="41">
      <c r="A41" s="70"/>
      <c r="B41" s="70"/>
      <c r="C41" s="70"/>
      <c r="D41" s="70"/>
      <c r="E41" s="66"/>
      <c r="F41" s="70"/>
      <c r="G41" s="70"/>
      <c r="H41" s="70"/>
      <c r="I41" s="70"/>
      <c r="J41" s="70"/>
      <c r="K41" s="70"/>
      <c r="L41" s="70"/>
      <c r="M41" s="70"/>
      <c r="N41" s="70"/>
      <c r="O41" s="70"/>
      <c r="P41" s="70"/>
      <c r="Q41" s="70"/>
      <c r="R41" s="70"/>
      <c r="S41" s="70"/>
      <c r="T41" s="70"/>
      <c r="U41" s="70"/>
      <c r="V41" s="70"/>
      <c r="W41" s="70"/>
    </row>
    <row r="42">
      <c r="A42" s="70"/>
      <c r="B42" s="70"/>
      <c r="C42" s="70"/>
      <c r="D42" s="70"/>
      <c r="E42" s="66"/>
      <c r="F42" s="70"/>
      <c r="G42" s="70"/>
      <c r="H42" s="70"/>
      <c r="I42" s="70"/>
      <c r="J42" s="70"/>
      <c r="K42" s="70"/>
      <c r="L42" s="70"/>
      <c r="M42" s="70"/>
      <c r="N42" s="70"/>
      <c r="O42" s="70"/>
      <c r="P42" s="70"/>
      <c r="Q42" s="70"/>
      <c r="R42" s="70"/>
      <c r="S42" s="70"/>
      <c r="T42" s="70"/>
      <c r="U42" s="70"/>
      <c r="V42" s="70"/>
      <c r="W42" s="70"/>
    </row>
    <row r="43">
      <c r="A43" s="70"/>
      <c r="B43" s="70"/>
      <c r="C43" s="70"/>
      <c r="D43" s="70"/>
      <c r="E43" s="66"/>
      <c r="F43" s="70"/>
      <c r="G43" s="70"/>
      <c r="H43" s="70"/>
      <c r="I43" s="70"/>
      <c r="J43" s="70"/>
      <c r="K43" s="70"/>
      <c r="L43" s="70"/>
      <c r="M43" s="70"/>
      <c r="N43" s="70"/>
      <c r="O43" s="70"/>
      <c r="P43" s="70"/>
      <c r="Q43" s="70"/>
      <c r="R43" s="70"/>
      <c r="S43" s="70"/>
      <c r="T43" s="70"/>
      <c r="U43" s="70"/>
      <c r="V43" s="70"/>
      <c r="W43" s="70"/>
    </row>
    <row r="44">
      <c r="A44" s="70"/>
      <c r="B44" s="70"/>
      <c r="C44" s="70"/>
      <c r="D44" s="70"/>
      <c r="E44" s="66"/>
      <c r="F44" s="70"/>
      <c r="G44" s="70"/>
      <c r="H44" s="70"/>
      <c r="I44" s="70"/>
      <c r="J44" s="70"/>
      <c r="K44" s="70"/>
      <c r="L44" s="70"/>
      <c r="M44" s="70"/>
      <c r="N44" s="70"/>
      <c r="O44" s="70"/>
      <c r="P44" s="70"/>
      <c r="Q44" s="70"/>
      <c r="R44" s="70"/>
      <c r="S44" s="70"/>
      <c r="T44" s="70"/>
      <c r="U44" s="70"/>
      <c r="V44" s="70"/>
      <c r="W44" s="70"/>
    </row>
    <row r="45">
      <c r="A45" s="70"/>
      <c r="B45" s="70"/>
      <c r="C45" s="70"/>
      <c r="D45" s="70"/>
      <c r="E45" s="66"/>
      <c r="F45" s="70"/>
      <c r="G45" s="70"/>
      <c r="H45" s="70"/>
      <c r="I45" s="70"/>
      <c r="J45" s="70"/>
      <c r="K45" s="70"/>
      <c r="L45" s="70"/>
      <c r="M45" s="70"/>
      <c r="N45" s="70"/>
      <c r="O45" s="70"/>
      <c r="P45" s="70"/>
      <c r="Q45" s="70"/>
      <c r="R45" s="70"/>
      <c r="S45" s="70"/>
      <c r="T45" s="70"/>
      <c r="U45" s="70"/>
      <c r="V45" s="70"/>
      <c r="W45" s="70"/>
    </row>
    <row r="46">
      <c r="A46" s="70"/>
      <c r="B46" s="70"/>
      <c r="C46" s="70"/>
      <c r="D46" s="70"/>
      <c r="E46" s="66"/>
      <c r="F46" s="70"/>
      <c r="G46" s="70"/>
      <c r="H46" s="70"/>
      <c r="I46" s="70"/>
      <c r="J46" s="70"/>
      <c r="K46" s="70"/>
      <c r="L46" s="70"/>
      <c r="M46" s="70"/>
      <c r="N46" s="70"/>
      <c r="O46" s="70"/>
      <c r="P46" s="70"/>
      <c r="Q46" s="70"/>
      <c r="R46" s="70"/>
      <c r="S46" s="70"/>
      <c r="T46" s="70"/>
      <c r="U46" s="70"/>
      <c r="V46" s="70"/>
      <c r="W46" s="70"/>
    </row>
    <row r="47">
      <c r="A47" s="70"/>
      <c r="B47" s="70"/>
      <c r="C47" s="70"/>
      <c r="D47" s="70"/>
      <c r="E47" s="66"/>
      <c r="F47" s="70"/>
      <c r="G47" s="70"/>
      <c r="H47" s="70"/>
      <c r="I47" s="70"/>
      <c r="J47" s="70"/>
      <c r="K47" s="70"/>
      <c r="L47" s="70"/>
      <c r="M47" s="70"/>
      <c r="N47" s="70"/>
      <c r="O47" s="70"/>
      <c r="P47" s="70"/>
      <c r="Q47" s="70"/>
      <c r="R47" s="70"/>
      <c r="S47" s="70"/>
      <c r="T47" s="70"/>
      <c r="U47" s="70"/>
      <c r="V47" s="70"/>
      <c r="W47" s="70"/>
    </row>
    <row r="48">
      <c r="A48" s="70"/>
      <c r="B48" s="70"/>
      <c r="C48" s="70"/>
      <c r="D48" s="70"/>
      <c r="E48" s="66"/>
      <c r="F48" s="70"/>
      <c r="G48" s="70"/>
      <c r="H48" s="70"/>
      <c r="I48" s="70"/>
      <c r="J48" s="70"/>
      <c r="K48" s="70"/>
      <c r="L48" s="70"/>
      <c r="M48" s="70"/>
      <c r="N48" s="70"/>
      <c r="O48" s="70"/>
      <c r="P48" s="70"/>
      <c r="Q48" s="70"/>
      <c r="R48" s="70"/>
      <c r="S48" s="70"/>
      <c r="T48" s="70"/>
      <c r="U48" s="70"/>
      <c r="V48" s="70"/>
      <c r="W48" s="70"/>
    </row>
    <row r="49">
      <c r="A49" s="70"/>
      <c r="B49" s="70"/>
      <c r="C49" s="70"/>
      <c r="D49" s="70"/>
      <c r="E49" s="66"/>
      <c r="F49" s="70"/>
      <c r="G49" s="70"/>
      <c r="H49" s="70"/>
      <c r="I49" s="70"/>
      <c r="J49" s="70"/>
      <c r="K49" s="70"/>
      <c r="L49" s="70"/>
      <c r="M49" s="70"/>
      <c r="N49" s="70"/>
      <c r="O49" s="70"/>
      <c r="P49" s="70"/>
      <c r="Q49" s="70"/>
      <c r="R49" s="70"/>
      <c r="S49" s="70"/>
      <c r="T49" s="70"/>
      <c r="U49" s="70"/>
      <c r="V49" s="70"/>
      <c r="W49" s="70"/>
    </row>
    <row r="50">
      <c r="A50" s="70"/>
      <c r="B50" s="70"/>
      <c r="C50" s="70"/>
      <c r="D50" s="70"/>
      <c r="E50" s="66"/>
      <c r="F50" s="70"/>
      <c r="G50" s="70"/>
      <c r="H50" s="70"/>
      <c r="I50" s="70"/>
      <c r="J50" s="70"/>
      <c r="K50" s="70"/>
      <c r="L50" s="70"/>
      <c r="M50" s="70"/>
      <c r="N50" s="70"/>
      <c r="O50" s="70"/>
      <c r="P50" s="70"/>
      <c r="Q50" s="70"/>
      <c r="R50" s="70"/>
      <c r="S50" s="70"/>
      <c r="T50" s="70"/>
      <c r="U50" s="70"/>
      <c r="V50" s="70"/>
      <c r="W50" s="70"/>
    </row>
    <row r="51">
      <c r="A51" s="70"/>
      <c r="B51" s="70"/>
      <c r="C51" s="70"/>
      <c r="D51" s="70"/>
      <c r="E51" s="66"/>
      <c r="F51" s="70"/>
      <c r="G51" s="70"/>
      <c r="H51" s="70"/>
      <c r="I51" s="70"/>
      <c r="J51" s="70"/>
      <c r="K51" s="70"/>
      <c r="L51" s="70"/>
      <c r="M51" s="70"/>
      <c r="N51" s="70"/>
      <c r="O51" s="70"/>
      <c r="P51" s="70"/>
      <c r="Q51" s="70"/>
      <c r="R51" s="70"/>
      <c r="S51" s="70"/>
      <c r="T51" s="70"/>
      <c r="U51" s="70"/>
      <c r="V51" s="70"/>
      <c r="W51" s="70"/>
    </row>
    <row r="52">
      <c r="A52" s="70"/>
      <c r="B52" s="70"/>
      <c r="C52" s="70"/>
      <c r="D52" s="70"/>
      <c r="E52" s="66"/>
      <c r="F52" s="70"/>
      <c r="G52" s="70"/>
      <c r="H52" s="70"/>
      <c r="I52" s="70"/>
      <c r="J52" s="70"/>
      <c r="K52" s="70"/>
      <c r="L52" s="70"/>
      <c r="M52" s="70"/>
      <c r="N52" s="70"/>
      <c r="O52" s="70"/>
      <c r="P52" s="70"/>
      <c r="Q52" s="70"/>
      <c r="R52" s="70"/>
      <c r="S52" s="70"/>
      <c r="T52" s="70"/>
      <c r="U52" s="70"/>
      <c r="V52" s="70"/>
      <c r="W52" s="70"/>
    </row>
    <row r="53">
      <c r="A53" s="70"/>
      <c r="B53" s="70"/>
      <c r="C53" s="70"/>
      <c r="D53" s="70"/>
      <c r="E53" s="66"/>
      <c r="F53" s="70"/>
      <c r="G53" s="70"/>
      <c r="H53" s="70"/>
      <c r="I53" s="70"/>
      <c r="J53" s="70"/>
      <c r="K53" s="70"/>
      <c r="L53" s="70"/>
      <c r="M53" s="70"/>
      <c r="N53" s="70"/>
      <c r="O53" s="70"/>
      <c r="P53" s="70"/>
      <c r="Q53" s="70"/>
      <c r="R53" s="70"/>
      <c r="S53" s="70"/>
      <c r="T53" s="70"/>
      <c r="U53" s="70"/>
      <c r="V53" s="70"/>
      <c r="W53" s="70"/>
    </row>
    <row r="54">
      <c r="A54" s="70"/>
      <c r="B54" s="70"/>
      <c r="C54" s="70"/>
      <c r="D54" s="70"/>
      <c r="E54" s="66"/>
      <c r="F54" s="70"/>
      <c r="G54" s="70"/>
      <c r="H54" s="70"/>
      <c r="I54" s="70"/>
      <c r="J54" s="70"/>
      <c r="K54" s="70"/>
      <c r="L54" s="70"/>
      <c r="M54" s="70"/>
      <c r="N54" s="70"/>
      <c r="O54" s="70"/>
      <c r="P54" s="70"/>
      <c r="Q54" s="70"/>
      <c r="R54" s="70"/>
      <c r="S54" s="70"/>
      <c r="T54" s="70"/>
      <c r="U54" s="70"/>
      <c r="V54" s="70"/>
      <c r="W54" s="70"/>
    </row>
    <row r="55">
      <c r="A55" s="70"/>
      <c r="B55" s="70"/>
      <c r="C55" s="70"/>
      <c r="D55" s="70"/>
      <c r="E55" s="66"/>
      <c r="F55" s="70"/>
      <c r="G55" s="70"/>
      <c r="H55" s="70"/>
      <c r="I55" s="70"/>
      <c r="J55" s="70"/>
      <c r="K55" s="70"/>
      <c r="L55" s="70"/>
      <c r="M55" s="70"/>
      <c r="N55" s="70"/>
      <c r="O55" s="70"/>
      <c r="P55" s="70"/>
      <c r="Q55" s="70"/>
      <c r="R55" s="70"/>
      <c r="S55" s="70"/>
      <c r="T55" s="70"/>
      <c r="U55" s="70"/>
      <c r="V55" s="70"/>
      <c r="W55" s="70"/>
    </row>
    <row r="56">
      <c r="A56" s="70"/>
      <c r="B56" s="70"/>
      <c r="C56" s="70"/>
      <c r="D56" s="70"/>
      <c r="E56" s="66"/>
      <c r="F56" s="70"/>
      <c r="G56" s="70"/>
      <c r="H56" s="70"/>
      <c r="I56" s="70"/>
      <c r="J56" s="70"/>
      <c r="K56" s="70"/>
      <c r="L56" s="70"/>
      <c r="M56" s="70"/>
      <c r="N56" s="70"/>
      <c r="O56" s="70"/>
      <c r="P56" s="70"/>
      <c r="Q56" s="70"/>
      <c r="R56" s="70"/>
      <c r="S56" s="70"/>
      <c r="T56" s="70"/>
      <c r="U56" s="70"/>
      <c r="V56" s="70"/>
      <c r="W56" s="70"/>
    </row>
    <row r="57">
      <c r="A57" s="70"/>
      <c r="B57" s="70"/>
      <c r="C57" s="70"/>
      <c r="D57" s="70"/>
      <c r="E57" s="66"/>
      <c r="F57" s="70"/>
      <c r="G57" s="70"/>
      <c r="H57" s="70"/>
      <c r="I57" s="70"/>
      <c r="J57" s="70"/>
      <c r="K57" s="70"/>
      <c r="L57" s="70"/>
      <c r="M57" s="70"/>
      <c r="N57" s="70"/>
      <c r="O57" s="70"/>
      <c r="P57" s="70"/>
      <c r="Q57" s="70"/>
      <c r="R57" s="70"/>
      <c r="S57" s="70"/>
      <c r="T57" s="70"/>
      <c r="U57" s="70"/>
      <c r="V57" s="70"/>
      <c r="W57" s="70"/>
    </row>
    <row r="58">
      <c r="A58" s="70"/>
      <c r="B58" s="70"/>
      <c r="C58" s="70"/>
      <c r="D58" s="70"/>
      <c r="E58" s="66"/>
      <c r="F58" s="70"/>
      <c r="G58" s="70"/>
      <c r="H58" s="70"/>
      <c r="I58" s="70"/>
      <c r="J58" s="70"/>
      <c r="K58" s="70"/>
      <c r="L58" s="70"/>
      <c r="M58" s="70"/>
      <c r="N58" s="70"/>
      <c r="O58" s="70"/>
      <c r="P58" s="70"/>
      <c r="Q58" s="70"/>
      <c r="R58" s="70"/>
      <c r="S58" s="70"/>
      <c r="T58" s="70"/>
      <c r="U58" s="70"/>
      <c r="V58" s="70"/>
      <c r="W58" s="70"/>
    </row>
    <row r="59">
      <c r="A59" s="70"/>
      <c r="B59" s="70"/>
      <c r="C59" s="70"/>
      <c r="D59" s="70"/>
      <c r="E59" s="66"/>
      <c r="F59" s="70"/>
      <c r="G59" s="70"/>
      <c r="H59" s="70"/>
      <c r="I59" s="70"/>
      <c r="J59" s="70"/>
      <c r="K59" s="70"/>
      <c r="L59" s="70"/>
      <c r="M59" s="70"/>
      <c r="N59" s="70"/>
      <c r="O59" s="70"/>
      <c r="P59" s="70"/>
      <c r="Q59" s="70"/>
      <c r="R59" s="70"/>
      <c r="S59" s="70"/>
      <c r="T59" s="70"/>
      <c r="U59" s="70"/>
      <c r="V59" s="70"/>
      <c r="W59" s="70"/>
    </row>
    <row r="60">
      <c r="A60" s="70"/>
      <c r="B60" s="70"/>
      <c r="C60" s="70"/>
      <c r="D60" s="70"/>
      <c r="E60" s="66"/>
      <c r="F60" s="70"/>
      <c r="G60" s="70"/>
      <c r="H60" s="70"/>
      <c r="I60" s="70"/>
      <c r="J60" s="70"/>
      <c r="K60" s="70"/>
      <c r="L60" s="70"/>
      <c r="M60" s="70"/>
      <c r="N60" s="70"/>
      <c r="O60" s="70"/>
      <c r="P60" s="70"/>
      <c r="Q60" s="70"/>
      <c r="R60" s="70"/>
      <c r="S60" s="70"/>
      <c r="T60" s="70"/>
      <c r="U60" s="70"/>
      <c r="V60" s="70"/>
      <c r="W60" s="70"/>
    </row>
    <row r="61">
      <c r="A61" s="70"/>
      <c r="B61" s="70"/>
      <c r="C61" s="70"/>
      <c r="D61" s="70"/>
      <c r="E61" s="66"/>
      <c r="F61" s="70"/>
      <c r="G61" s="70"/>
      <c r="H61" s="70"/>
      <c r="I61" s="70"/>
      <c r="J61" s="70"/>
      <c r="K61" s="70"/>
      <c r="L61" s="70"/>
      <c r="M61" s="70"/>
      <c r="N61" s="70"/>
      <c r="O61" s="70"/>
      <c r="P61" s="70"/>
      <c r="Q61" s="70"/>
      <c r="R61" s="70"/>
      <c r="S61" s="70"/>
      <c r="T61" s="70"/>
      <c r="U61" s="70"/>
      <c r="V61" s="70"/>
      <c r="W61" s="70"/>
    </row>
    <row r="62">
      <c r="A62" s="70"/>
      <c r="B62" s="70"/>
      <c r="C62" s="70"/>
      <c r="D62" s="70"/>
      <c r="E62" s="66"/>
      <c r="F62" s="70"/>
      <c r="G62" s="70"/>
      <c r="H62" s="70"/>
      <c r="I62" s="70"/>
      <c r="J62" s="70"/>
      <c r="K62" s="70"/>
      <c r="L62" s="70"/>
      <c r="M62" s="70"/>
      <c r="N62" s="70"/>
      <c r="O62" s="70"/>
      <c r="P62" s="70"/>
      <c r="Q62" s="70"/>
      <c r="R62" s="70"/>
      <c r="S62" s="70"/>
      <c r="T62" s="70"/>
      <c r="U62" s="70"/>
      <c r="V62" s="70"/>
      <c r="W62" s="70"/>
    </row>
    <row r="63">
      <c r="A63" s="70"/>
      <c r="B63" s="70"/>
      <c r="C63" s="70"/>
      <c r="D63" s="70"/>
      <c r="E63" s="66"/>
      <c r="F63" s="70"/>
      <c r="G63" s="70"/>
      <c r="H63" s="70"/>
      <c r="I63" s="70"/>
      <c r="J63" s="70"/>
      <c r="K63" s="70"/>
      <c r="L63" s="70"/>
      <c r="M63" s="70"/>
      <c r="N63" s="70"/>
      <c r="O63" s="70"/>
      <c r="P63" s="70"/>
      <c r="Q63" s="70"/>
      <c r="R63" s="70"/>
      <c r="S63" s="70"/>
      <c r="T63" s="70"/>
      <c r="U63" s="70"/>
      <c r="V63" s="70"/>
      <c r="W63" s="70"/>
    </row>
    <row r="64">
      <c r="A64" s="70"/>
      <c r="B64" s="70"/>
      <c r="C64" s="70"/>
      <c r="D64" s="70"/>
      <c r="E64" s="66"/>
      <c r="F64" s="70"/>
      <c r="G64" s="70"/>
      <c r="H64" s="70"/>
      <c r="I64" s="70"/>
      <c r="J64" s="70"/>
      <c r="K64" s="70"/>
      <c r="L64" s="70"/>
      <c r="M64" s="70"/>
      <c r="N64" s="70"/>
      <c r="O64" s="70"/>
      <c r="P64" s="70"/>
      <c r="Q64" s="70"/>
      <c r="R64" s="70"/>
      <c r="S64" s="70"/>
      <c r="T64" s="70"/>
      <c r="U64" s="70"/>
      <c r="V64" s="70"/>
      <c r="W64" s="70"/>
    </row>
    <row r="65">
      <c r="A65" s="70"/>
      <c r="B65" s="70"/>
      <c r="C65" s="70"/>
      <c r="D65" s="70"/>
      <c r="E65" s="66"/>
      <c r="F65" s="70"/>
      <c r="G65" s="70"/>
      <c r="H65" s="70"/>
      <c r="I65" s="70"/>
      <c r="J65" s="70"/>
      <c r="K65" s="70"/>
      <c r="L65" s="70"/>
      <c r="M65" s="70"/>
      <c r="N65" s="70"/>
      <c r="O65" s="70"/>
      <c r="P65" s="70"/>
      <c r="Q65" s="70"/>
      <c r="R65" s="70"/>
      <c r="S65" s="70"/>
      <c r="T65" s="70"/>
      <c r="U65" s="70"/>
      <c r="V65" s="70"/>
      <c r="W65" s="70"/>
    </row>
    <row r="66">
      <c r="A66" s="70"/>
      <c r="B66" s="70"/>
      <c r="C66" s="70"/>
      <c r="D66" s="70"/>
      <c r="E66" s="66"/>
      <c r="F66" s="70"/>
      <c r="G66" s="70"/>
      <c r="H66" s="70"/>
      <c r="I66" s="70"/>
      <c r="J66" s="70"/>
      <c r="K66" s="70"/>
      <c r="L66" s="70"/>
      <c r="M66" s="70"/>
      <c r="N66" s="70"/>
      <c r="O66" s="70"/>
      <c r="P66" s="70"/>
      <c r="Q66" s="70"/>
      <c r="R66" s="70"/>
      <c r="S66" s="70"/>
      <c r="T66" s="70"/>
      <c r="U66" s="70"/>
      <c r="V66" s="70"/>
      <c r="W66" s="70"/>
    </row>
    <row r="67">
      <c r="A67" s="70"/>
      <c r="B67" s="70"/>
      <c r="C67" s="70"/>
      <c r="D67" s="70"/>
      <c r="E67" s="66"/>
      <c r="F67" s="70"/>
      <c r="G67" s="70"/>
      <c r="H67" s="70"/>
      <c r="I67" s="70"/>
      <c r="J67" s="70"/>
      <c r="K67" s="70"/>
      <c r="L67" s="70"/>
      <c r="M67" s="70"/>
      <c r="N67" s="70"/>
      <c r="O67" s="70"/>
      <c r="P67" s="70"/>
      <c r="Q67" s="70"/>
      <c r="R67" s="70"/>
      <c r="S67" s="70"/>
      <c r="T67" s="70"/>
      <c r="U67" s="70"/>
      <c r="V67" s="70"/>
      <c r="W67" s="70"/>
    </row>
    <row r="68">
      <c r="A68" s="70"/>
      <c r="B68" s="70"/>
      <c r="C68" s="70"/>
      <c r="D68" s="70"/>
      <c r="E68" s="66"/>
      <c r="F68" s="70"/>
      <c r="G68" s="70"/>
      <c r="H68" s="70"/>
      <c r="I68" s="70"/>
      <c r="J68" s="70"/>
      <c r="K68" s="70"/>
      <c r="L68" s="70"/>
      <c r="M68" s="70"/>
      <c r="N68" s="70"/>
      <c r="O68" s="70"/>
      <c r="P68" s="70"/>
      <c r="Q68" s="70"/>
      <c r="R68" s="70"/>
      <c r="S68" s="70"/>
      <c r="T68" s="70"/>
      <c r="U68" s="70"/>
      <c r="V68" s="70"/>
      <c r="W68" s="70"/>
    </row>
    <row r="69">
      <c r="A69" s="70"/>
      <c r="B69" s="70"/>
      <c r="C69" s="70"/>
      <c r="D69" s="70"/>
      <c r="E69" s="66"/>
      <c r="F69" s="70"/>
      <c r="G69" s="70"/>
      <c r="H69" s="70"/>
      <c r="I69" s="70"/>
      <c r="J69" s="70"/>
      <c r="K69" s="70"/>
      <c r="L69" s="70"/>
      <c r="M69" s="70"/>
      <c r="N69" s="70"/>
      <c r="O69" s="70"/>
      <c r="P69" s="70"/>
      <c r="Q69" s="70"/>
      <c r="R69" s="70"/>
      <c r="S69" s="70"/>
      <c r="T69" s="70"/>
      <c r="U69" s="70"/>
      <c r="V69" s="70"/>
      <c r="W69" s="70"/>
    </row>
    <row r="70">
      <c r="A70" s="70"/>
      <c r="B70" s="70"/>
      <c r="C70" s="70"/>
      <c r="D70" s="70"/>
      <c r="E70" s="66"/>
      <c r="F70" s="70"/>
      <c r="G70" s="70"/>
      <c r="H70" s="70"/>
      <c r="I70" s="70"/>
      <c r="J70" s="70"/>
      <c r="K70" s="70"/>
      <c r="L70" s="70"/>
      <c r="M70" s="70"/>
      <c r="N70" s="70"/>
      <c r="O70" s="70"/>
      <c r="P70" s="70"/>
      <c r="Q70" s="70"/>
      <c r="R70" s="70"/>
      <c r="S70" s="70"/>
      <c r="T70" s="70"/>
      <c r="U70" s="70"/>
      <c r="V70" s="70"/>
      <c r="W70" s="70"/>
    </row>
    <row r="71">
      <c r="A71" s="70"/>
      <c r="B71" s="70"/>
      <c r="C71" s="70"/>
      <c r="D71" s="70"/>
      <c r="E71" s="66"/>
      <c r="F71" s="70"/>
      <c r="G71" s="70"/>
      <c r="H71" s="70"/>
      <c r="I71" s="70"/>
      <c r="J71" s="70"/>
      <c r="K71" s="70"/>
      <c r="L71" s="70"/>
      <c r="M71" s="70"/>
      <c r="N71" s="70"/>
      <c r="O71" s="70"/>
      <c r="P71" s="70"/>
      <c r="Q71" s="70"/>
      <c r="R71" s="70"/>
      <c r="S71" s="70"/>
      <c r="T71" s="70"/>
      <c r="U71" s="70"/>
      <c r="V71" s="70"/>
      <c r="W71" s="70"/>
    </row>
    <row r="72">
      <c r="A72" s="70"/>
      <c r="B72" s="70"/>
      <c r="C72" s="70"/>
      <c r="D72" s="70"/>
      <c r="E72" s="66"/>
      <c r="F72" s="70"/>
      <c r="G72" s="70"/>
      <c r="H72" s="70"/>
      <c r="I72" s="70"/>
      <c r="J72" s="70"/>
      <c r="K72" s="70"/>
      <c r="L72" s="70"/>
      <c r="M72" s="70"/>
      <c r="N72" s="70"/>
      <c r="O72" s="70"/>
      <c r="P72" s="70"/>
      <c r="Q72" s="70"/>
      <c r="R72" s="70"/>
      <c r="S72" s="70"/>
      <c r="T72" s="70"/>
      <c r="U72" s="70"/>
      <c r="V72" s="70"/>
      <c r="W72" s="70"/>
    </row>
    <row r="73">
      <c r="A73" s="70"/>
      <c r="B73" s="70"/>
      <c r="C73" s="70"/>
      <c r="D73" s="70"/>
      <c r="E73" s="66"/>
      <c r="F73" s="70"/>
      <c r="G73" s="70"/>
      <c r="H73" s="70"/>
      <c r="I73" s="70"/>
      <c r="J73" s="70"/>
      <c r="K73" s="70"/>
      <c r="L73" s="70"/>
      <c r="M73" s="70"/>
      <c r="N73" s="70"/>
      <c r="O73" s="70"/>
      <c r="P73" s="70"/>
      <c r="Q73" s="70"/>
      <c r="R73" s="70"/>
      <c r="S73" s="70"/>
      <c r="T73" s="70"/>
      <c r="U73" s="70"/>
      <c r="V73" s="70"/>
      <c r="W73" s="70"/>
    </row>
    <row r="74">
      <c r="A74" s="70"/>
      <c r="B74" s="70"/>
      <c r="C74" s="70"/>
      <c r="D74" s="70"/>
      <c r="E74" s="66"/>
      <c r="F74" s="70"/>
      <c r="G74" s="70"/>
      <c r="H74" s="70"/>
      <c r="I74" s="70"/>
      <c r="J74" s="70"/>
      <c r="K74" s="70"/>
      <c r="L74" s="70"/>
      <c r="M74" s="70"/>
      <c r="N74" s="70"/>
      <c r="O74" s="70"/>
      <c r="P74" s="70"/>
      <c r="Q74" s="70"/>
      <c r="R74" s="70"/>
      <c r="S74" s="70"/>
      <c r="T74" s="70"/>
      <c r="U74" s="70"/>
      <c r="V74" s="70"/>
      <c r="W74" s="70"/>
    </row>
    <row r="75">
      <c r="A75" s="70"/>
      <c r="B75" s="70"/>
      <c r="C75" s="70"/>
      <c r="D75" s="70"/>
      <c r="E75" s="66"/>
      <c r="F75" s="70"/>
      <c r="G75" s="70"/>
      <c r="H75" s="70"/>
      <c r="I75" s="70"/>
      <c r="J75" s="70"/>
      <c r="K75" s="70"/>
      <c r="L75" s="70"/>
      <c r="M75" s="70"/>
      <c r="N75" s="70"/>
      <c r="O75" s="70"/>
      <c r="P75" s="70"/>
      <c r="Q75" s="70"/>
      <c r="R75" s="70"/>
      <c r="S75" s="70"/>
      <c r="T75" s="70"/>
      <c r="U75" s="70"/>
      <c r="V75" s="70"/>
      <c r="W75" s="70"/>
    </row>
    <row r="76">
      <c r="A76" s="70"/>
      <c r="B76" s="70"/>
      <c r="C76" s="70"/>
      <c r="D76" s="70"/>
      <c r="E76" s="66"/>
      <c r="F76" s="70"/>
      <c r="G76" s="70"/>
      <c r="H76" s="70"/>
      <c r="I76" s="70"/>
      <c r="J76" s="70"/>
      <c r="K76" s="70"/>
      <c r="L76" s="70"/>
      <c r="M76" s="70"/>
      <c r="N76" s="70"/>
      <c r="O76" s="70"/>
      <c r="P76" s="70"/>
      <c r="Q76" s="70"/>
      <c r="R76" s="70"/>
      <c r="S76" s="70"/>
      <c r="T76" s="70"/>
      <c r="U76" s="70"/>
      <c r="V76" s="70"/>
      <c r="W76" s="70"/>
    </row>
    <row r="77">
      <c r="A77" s="70"/>
      <c r="B77" s="70"/>
      <c r="C77" s="70"/>
      <c r="D77" s="70"/>
      <c r="E77" s="66"/>
      <c r="F77" s="70"/>
      <c r="G77" s="70"/>
      <c r="H77" s="70"/>
      <c r="I77" s="70"/>
      <c r="J77" s="70"/>
      <c r="K77" s="70"/>
      <c r="L77" s="70"/>
      <c r="M77" s="70"/>
      <c r="N77" s="70"/>
      <c r="O77" s="70"/>
      <c r="P77" s="70"/>
      <c r="Q77" s="70"/>
      <c r="R77" s="70"/>
      <c r="S77" s="70"/>
      <c r="T77" s="70"/>
      <c r="U77" s="70"/>
      <c r="V77" s="70"/>
      <c r="W77" s="70"/>
    </row>
    <row r="78">
      <c r="A78" s="70"/>
      <c r="B78" s="70"/>
      <c r="C78" s="70"/>
      <c r="D78" s="70"/>
      <c r="E78" s="66"/>
      <c r="F78" s="70"/>
      <c r="G78" s="70"/>
      <c r="H78" s="70"/>
      <c r="I78" s="70"/>
      <c r="J78" s="70"/>
      <c r="K78" s="70"/>
      <c r="L78" s="70"/>
      <c r="M78" s="70"/>
      <c r="N78" s="70"/>
      <c r="O78" s="70"/>
      <c r="P78" s="70"/>
      <c r="Q78" s="70"/>
      <c r="R78" s="70"/>
      <c r="S78" s="70"/>
      <c r="T78" s="70"/>
      <c r="U78" s="70"/>
      <c r="V78" s="70"/>
      <c r="W78" s="70"/>
    </row>
    <row r="79">
      <c r="A79" s="70"/>
      <c r="B79" s="70"/>
      <c r="C79" s="70"/>
      <c r="D79" s="70"/>
      <c r="E79" s="66"/>
      <c r="F79" s="70"/>
      <c r="G79" s="70"/>
      <c r="H79" s="70"/>
      <c r="I79" s="70"/>
      <c r="J79" s="70"/>
      <c r="K79" s="70"/>
      <c r="L79" s="70"/>
      <c r="M79" s="70"/>
      <c r="N79" s="70"/>
      <c r="O79" s="70"/>
      <c r="P79" s="70"/>
      <c r="Q79" s="70"/>
      <c r="R79" s="70"/>
      <c r="S79" s="70"/>
      <c r="T79" s="70"/>
      <c r="U79" s="70"/>
      <c r="V79" s="70"/>
      <c r="W79" s="70"/>
    </row>
    <row r="80">
      <c r="A80" s="70"/>
      <c r="B80" s="70"/>
      <c r="C80" s="70"/>
      <c r="D80" s="70"/>
      <c r="E80" s="66"/>
      <c r="F80" s="70"/>
      <c r="G80" s="70"/>
      <c r="H80" s="70"/>
      <c r="I80" s="70"/>
      <c r="J80" s="70"/>
      <c r="K80" s="70"/>
      <c r="L80" s="70"/>
      <c r="M80" s="70"/>
      <c r="N80" s="70"/>
      <c r="O80" s="70"/>
      <c r="P80" s="70"/>
      <c r="Q80" s="70"/>
      <c r="R80" s="70"/>
      <c r="S80" s="70"/>
      <c r="T80" s="70"/>
      <c r="U80" s="70"/>
      <c r="V80" s="70"/>
      <c r="W80" s="70"/>
    </row>
    <row r="81">
      <c r="A81" s="70"/>
      <c r="B81" s="70"/>
      <c r="C81" s="70"/>
      <c r="D81" s="70"/>
      <c r="E81" s="66"/>
      <c r="F81" s="70"/>
      <c r="G81" s="70"/>
      <c r="H81" s="70"/>
      <c r="I81" s="70"/>
      <c r="J81" s="70"/>
      <c r="K81" s="70"/>
      <c r="L81" s="70"/>
      <c r="M81" s="70"/>
      <c r="N81" s="70"/>
      <c r="O81" s="70"/>
      <c r="P81" s="70"/>
      <c r="Q81" s="70"/>
      <c r="R81" s="70"/>
      <c r="S81" s="70"/>
      <c r="T81" s="70"/>
      <c r="U81" s="70"/>
      <c r="V81" s="70"/>
      <c r="W81" s="70"/>
    </row>
    <row r="82">
      <c r="A82" s="70"/>
      <c r="B82" s="70"/>
      <c r="C82" s="70"/>
      <c r="D82" s="70"/>
      <c r="E82" s="66"/>
      <c r="F82" s="70"/>
      <c r="G82" s="70"/>
      <c r="H82" s="70"/>
      <c r="I82" s="70"/>
      <c r="J82" s="70"/>
      <c r="K82" s="70"/>
      <c r="L82" s="70"/>
      <c r="M82" s="70"/>
      <c r="N82" s="70"/>
      <c r="O82" s="70"/>
      <c r="P82" s="70"/>
      <c r="Q82" s="70"/>
      <c r="R82" s="70"/>
      <c r="S82" s="70"/>
      <c r="T82" s="70"/>
      <c r="U82" s="70"/>
      <c r="V82" s="70"/>
      <c r="W82" s="70"/>
    </row>
    <row r="83">
      <c r="A83" s="70"/>
      <c r="B83" s="70"/>
      <c r="C83" s="70"/>
      <c r="D83" s="70"/>
      <c r="E83" s="66"/>
      <c r="F83" s="70"/>
      <c r="G83" s="70"/>
      <c r="H83" s="70"/>
      <c r="I83" s="70"/>
      <c r="J83" s="70"/>
      <c r="K83" s="70"/>
      <c r="L83" s="70"/>
      <c r="M83" s="70"/>
      <c r="N83" s="70"/>
      <c r="O83" s="70"/>
      <c r="P83" s="70"/>
      <c r="Q83" s="70"/>
      <c r="R83" s="70"/>
      <c r="S83" s="70"/>
      <c r="T83" s="70"/>
      <c r="U83" s="70"/>
      <c r="V83" s="70"/>
      <c r="W83" s="70"/>
    </row>
    <row r="84">
      <c r="A84" s="70"/>
      <c r="B84" s="70"/>
      <c r="C84" s="70"/>
      <c r="D84" s="70"/>
      <c r="E84" s="66"/>
      <c r="F84" s="70"/>
      <c r="G84" s="70"/>
      <c r="H84" s="70"/>
      <c r="I84" s="70"/>
      <c r="J84" s="70"/>
      <c r="K84" s="70"/>
      <c r="L84" s="70"/>
      <c r="M84" s="70"/>
      <c r="N84" s="70"/>
      <c r="O84" s="70"/>
      <c r="P84" s="70"/>
      <c r="Q84" s="70"/>
      <c r="R84" s="70"/>
      <c r="S84" s="70"/>
      <c r="T84" s="70"/>
      <c r="U84" s="70"/>
      <c r="V84" s="70"/>
      <c r="W84" s="70"/>
    </row>
    <row r="85">
      <c r="A85" s="70"/>
      <c r="B85" s="70"/>
      <c r="C85" s="70"/>
      <c r="D85" s="70"/>
      <c r="E85" s="66"/>
      <c r="F85" s="70"/>
      <c r="G85" s="70"/>
      <c r="H85" s="70"/>
      <c r="I85" s="70"/>
      <c r="J85" s="70"/>
      <c r="K85" s="70"/>
      <c r="L85" s="70"/>
      <c r="M85" s="70"/>
      <c r="N85" s="70"/>
      <c r="O85" s="70"/>
      <c r="P85" s="70"/>
      <c r="Q85" s="70"/>
      <c r="R85" s="70"/>
      <c r="S85" s="70"/>
      <c r="T85" s="70"/>
      <c r="U85" s="70"/>
      <c r="V85" s="70"/>
      <c r="W85" s="70"/>
    </row>
    <row r="86">
      <c r="A86" s="70"/>
      <c r="B86" s="70"/>
      <c r="C86" s="70"/>
      <c r="D86" s="70"/>
      <c r="E86" s="66"/>
      <c r="F86" s="70"/>
      <c r="G86" s="70"/>
      <c r="H86" s="70"/>
      <c r="I86" s="70"/>
      <c r="J86" s="70"/>
      <c r="K86" s="70"/>
      <c r="L86" s="70"/>
      <c r="M86" s="70"/>
      <c r="N86" s="70"/>
      <c r="O86" s="70"/>
      <c r="P86" s="70"/>
      <c r="Q86" s="70"/>
      <c r="R86" s="70"/>
      <c r="S86" s="70"/>
      <c r="T86" s="70"/>
      <c r="U86" s="70"/>
      <c r="V86" s="70"/>
      <c r="W86" s="70"/>
    </row>
    <row r="87">
      <c r="A87" s="70"/>
      <c r="B87" s="70"/>
      <c r="C87" s="70"/>
      <c r="D87" s="70"/>
      <c r="E87" s="66"/>
      <c r="F87" s="70"/>
      <c r="G87" s="70"/>
      <c r="H87" s="70"/>
      <c r="I87" s="70"/>
      <c r="J87" s="70"/>
      <c r="K87" s="70"/>
      <c r="L87" s="70"/>
      <c r="M87" s="70"/>
      <c r="N87" s="70"/>
      <c r="O87" s="70"/>
      <c r="P87" s="70"/>
      <c r="Q87" s="70"/>
      <c r="R87" s="70"/>
      <c r="S87" s="70"/>
      <c r="T87" s="70"/>
      <c r="U87" s="70"/>
      <c r="V87" s="70"/>
      <c r="W87" s="70"/>
    </row>
    <row r="88">
      <c r="A88" s="70"/>
      <c r="B88" s="70"/>
      <c r="C88" s="70"/>
      <c r="D88" s="70"/>
      <c r="E88" s="66"/>
      <c r="F88" s="70"/>
      <c r="G88" s="70"/>
      <c r="H88" s="70"/>
      <c r="I88" s="70"/>
      <c r="J88" s="70"/>
      <c r="K88" s="70"/>
      <c r="L88" s="70"/>
      <c r="M88" s="70"/>
      <c r="N88" s="70"/>
      <c r="O88" s="70"/>
      <c r="P88" s="70"/>
      <c r="Q88" s="70"/>
      <c r="R88" s="70"/>
      <c r="S88" s="70"/>
      <c r="T88" s="70"/>
      <c r="U88" s="70"/>
      <c r="V88" s="70"/>
      <c r="W88" s="70"/>
    </row>
    <row r="89">
      <c r="A89" s="70"/>
      <c r="B89" s="70"/>
      <c r="C89" s="70"/>
      <c r="D89" s="70"/>
      <c r="E89" s="66"/>
      <c r="F89" s="70"/>
      <c r="G89" s="70"/>
      <c r="H89" s="70"/>
      <c r="I89" s="70"/>
      <c r="J89" s="70"/>
      <c r="K89" s="70"/>
      <c r="L89" s="70"/>
      <c r="M89" s="70"/>
      <c r="N89" s="70"/>
      <c r="O89" s="70"/>
      <c r="P89" s="70"/>
      <c r="Q89" s="70"/>
      <c r="R89" s="70"/>
      <c r="S89" s="70"/>
      <c r="T89" s="70"/>
      <c r="U89" s="70"/>
      <c r="V89" s="70"/>
      <c r="W89" s="70"/>
    </row>
    <row r="90">
      <c r="A90" s="70"/>
      <c r="B90" s="70"/>
      <c r="C90" s="70"/>
      <c r="D90" s="70"/>
      <c r="E90" s="66"/>
      <c r="F90" s="70"/>
      <c r="G90" s="70"/>
      <c r="H90" s="70"/>
      <c r="I90" s="70"/>
      <c r="J90" s="70"/>
      <c r="K90" s="70"/>
      <c r="L90" s="70"/>
      <c r="M90" s="70"/>
      <c r="N90" s="70"/>
      <c r="O90" s="70"/>
      <c r="P90" s="70"/>
      <c r="Q90" s="70"/>
      <c r="R90" s="70"/>
      <c r="S90" s="70"/>
      <c r="T90" s="70"/>
      <c r="U90" s="70"/>
      <c r="V90" s="70"/>
      <c r="W90" s="70"/>
    </row>
    <row r="91">
      <c r="A91" s="70"/>
      <c r="B91" s="70"/>
      <c r="C91" s="70"/>
      <c r="D91" s="70"/>
      <c r="E91" s="66"/>
      <c r="F91" s="70"/>
      <c r="G91" s="70"/>
      <c r="H91" s="70"/>
      <c r="I91" s="70"/>
      <c r="J91" s="70"/>
      <c r="K91" s="70"/>
      <c r="L91" s="70"/>
      <c r="M91" s="70"/>
      <c r="N91" s="70"/>
      <c r="O91" s="70"/>
      <c r="P91" s="70"/>
      <c r="Q91" s="70"/>
      <c r="R91" s="70"/>
      <c r="S91" s="70"/>
      <c r="T91" s="70"/>
      <c r="U91" s="70"/>
      <c r="V91" s="70"/>
      <c r="W91" s="70"/>
    </row>
    <row r="92">
      <c r="A92" s="70"/>
      <c r="B92" s="70"/>
      <c r="C92" s="70"/>
      <c r="D92" s="70"/>
      <c r="E92" s="66"/>
      <c r="F92" s="70"/>
      <c r="G92" s="70"/>
      <c r="H92" s="70"/>
      <c r="I92" s="70"/>
      <c r="J92" s="70"/>
      <c r="K92" s="70"/>
      <c r="L92" s="70"/>
      <c r="M92" s="70"/>
      <c r="N92" s="70"/>
      <c r="O92" s="70"/>
      <c r="P92" s="70"/>
      <c r="Q92" s="70"/>
      <c r="R92" s="70"/>
      <c r="S92" s="70"/>
      <c r="T92" s="70"/>
      <c r="U92" s="70"/>
      <c r="V92" s="70"/>
      <c r="W92" s="70"/>
    </row>
    <row r="93">
      <c r="A93" s="70"/>
      <c r="B93" s="70"/>
      <c r="C93" s="70"/>
      <c r="D93" s="70"/>
      <c r="E93" s="66"/>
      <c r="F93" s="70"/>
      <c r="G93" s="70"/>
      <c r="H93" s="70"/>
      <c r="I93" s="70"/>
      <c r="J93" s="70"/>
      <c r="K93" s="70"/>
      <c r="L93" s="70"/>
      <c r="M93" s="70"/>
      <c r="N93" s="70"/>
      <c r="O93" s="70"/>
      <c r="P93" s="70"/>
      <c r="Q93" s="70"/>
      <c r="R93" s="70"/>
      <c r="S93" s="70"/>
      <c r="T93" s="70"/>
      <c r="U93" s="70"/>
      <c r="V93" s="70"/>
      <c r="W93" s="70"/>
    </row>
    <row r="94">
      <c r="A94" s="70"/>
      <c r="B94" s="70"/>
      <c r="C94" s="70"/>
      <c r="D94" s="70"/>
      <c r="E94" s="66"/>
      <c r="F94" s="70"/>
      <c r="G94" s="70"/>
      <c r="H94" s="70"/>
      <c r="I94" s="70"/>
      <c r="J94" s="70"/>
      <c r="K94" s="70"/>
      <c r="L94" s="70"/>
      <c r="M94" s="70"/>
      <c r="N94" s="70"/>
      <c r="O94" s="70"/>
      <c r="P94" s="70"/>
      <c r="Q94" s="70"/>
      <c r="R94" s="70"/>
      <c r="S94" s="70"/>
      <c r="T94" s="70"/>
      <c r="U94" s="70"/>
      <c r="V94" s="70"/>
      <c r="W94" s="70"/>
    </row>
    <row r="95">
      <c r="A95" s="70"/>
      <c r="B95" s="70"/>
      <c r="C95" s="70"/>
      <c r="D95" s="70"/>
      <c r="E95" s="66"/>
      <c r="F95" s="70"/>
      <c r="G95" s="70"/>
      <c r="H95" s="70"/>
      <c r="I95" s="70"/>
      <c r="J95" s="70"/>
      <c r="K95" s="70"/>
      <c r="L95" s="70"/>
      <c r="M95" s="70"/>
      <c r="N95" s="70"/>
      <c r="O95" s="70"/>
      <c r="P95" s="70"/>
      <c r="Q95" s="70"/>
      <c r="R95" s="70"/>
      <c r="S95" s="70"/>
      <c r="T95" s="70"/>
      <c r="U95" s="70"/>
      <c r="V95" s="70"/>
      <c r="W95" s="70"/>
    </row>
    <row r="96">
      <c r="A96" s="70"/>
      <c r="B96" s="70"/>
      <c r="C96" s="70"/>
      <c r="D96" s="70"/>
      <c r="E96" s="66"/>
      <c r="F96" s="70"/>
      <c r="G96" s="70"/>
      <c r="H96" s="70"/>
      <c r="I96" s="70"/>
      <c r="J96" s="70"/>
      <c r="K96" s="70"/>
      <c r="L96" s="70"/>
      <c r="M96" s="70"/>
      <c r="N96" s="70"/>
      <c r="O96" s="70"/>
      <c r="P96" s="70"/>
      <c r="Q96" s="70"/>
      <c r="R96" s="70"/>
      <c r="S96" s="70"/>
      <c r="T96" s="70"/>
      <c r="U96" s="70"/>
      <c r="V96" s="70"/>
      <c r="W96" s="70"/>
    </row>
    <row r="97">
      <c r="A97" s="70"/>
      <c r="B97" s="70"/>
      <c r="C97" s="70"/>
      <c r="D97" s="70"/>
      <c r="E97" s="66"/>
      <c r="F97" s="70"/>
      <c r="G97" s="70"/>
      <c r="H97" s="70"/>
      <c r="I97" s="70"/>
      <c r="J97" s="70"/>
      <c r="K97" s="70"/>
      <c r="L97" s="70"/>
      <c r="M97" s="70"/>
      <c r="N97" s="70"/>
      <c r="O97" s="70"/>
      <c r="P97" s="70"/>
      <c r="Q97" s="70"/>
      <c r="R97" s="70"/>
      <c r="S97" s="70"/>
      <c r="T97" s="70"/>
      <c r="U97" s="70"/>
      <c r="V97" s="70"/>
      <c r="W97" s="70"/>
    </row>
    <row r="98">
      <c r="A98" s="70"/>
      <c r="B98" s="70"/>
      <c r="C98" s="70"/>
      <c r="D98" s="70"/>
      <c r="E98" s="66"/>
      <c r="F98" s="70"/>
      <c r="G98" s="70"/>
      <c r="H98" s="70"/>
      <c r="I98" s="70"/>
      <c r="J98" s="70"/>
      <c r="K98" s="70"/>
      <c r="L98" s="70"/>
      <c r="M98" s="70"/>
      <c r="N98" s="70"/>
      <c r="O98" s="70"/>
      <c r="P98" s="70"/>
      <c r="Q98" s="70"/>
      <c r="R98" s="70"/>
      <c r="S98" s="70"/>
      <c r="T98" s="70"/>
      <c r="U98" s="70"/>
      <c r="V98" s="70"/>
      <c r="W98" s="70"/>
    </row>
    <row r="99">
      <c r="A99" s="70"/>
      <c r="B99" s="70"/>
      <c r="C99" s="70"/>
      <c r="D99" s="70"/>
      <c r="E99" s="66"/>
      <c r="F99" s="70"/>
      <c r="G99" s="70"/>
      <c r="H99" s="70"/>
      <c r="I99" s="70"/>
      <c r="J99" s="70"/>
      <c r="K99" s="70"/>
      <c r="L99" s="70"/>
      <c r="M99" s="70"/>
      <c r="N99" s="70"/>
      <c r="O99" s="70"/>
      <c r="P99" s="70"/>
      <c r="Q99" s="70"/>
      <c r="R99" s="70"/>
      <c r="S99" s="70"/>
      <c r="T99" s="70"/>
      <c r="U99" s="70"/>
      <c r="V99" s="70"/>
      <c r="W99" s="70"/>
    </row>
    <row r="100">
      <c r="A100" s="70"/>
      <c r="B100" s="70"/>
      <c r="C100" s="70"/>
      <c r="D100" s="70"/>
      <c r="E100" s="66"/>
      <c r="F100" s="70"/>
      <c r="G100" s="70"/>
      <c r="H100" s="70"/>
      <c r="I100" s="70"/>
      <c r="J100" s="70"/>
      <c r="K100" s="70"/>
      <c r="L100" s="70"/>
      <c r="M100" s="70"/>
      <c r="N100" s="70"/>
      <c r="O100" s="70"/>
      <c r="P100" s="70"/>
      <c r="Q100" s="70"/>
      <c r="R100" s="70"/>
      <c r="S100" s="70"/>
      <c r="T100" s="70"/>
      <c r="U100" s="70"/>
      <c r="V100" s="70"/>
      <c r="W100" s="70"/>
    </row>
    <row r="101">
      <c r="A101" s="70"/>
      <c r="B101" s="70"/>
      <c r="C101" s="70"/>
      <c r="D101" s="70"/>
      <c r="E101" s="66"/>
      <c r="F101" s="70"/>
      <c r="G101" s="70"/>
      <c r="H101" s="70"/>
      <c r="I101" s="70"/>
      <c r="J101" s="70"/>
      <c r="K101" s="70"/>
      <c r="L101" s="70"/>
      <c r="M101" s="70"/>
      <c r="N101" s="70"/>
      <c r="O101" s="70"/>
      <c r="P101" s="70"/>
      <c r="Q101" s="70"/>
      <c r="R101" s="70"/>
      <c r="S101" s="70"/>
      <c r="T101" s="70"/>
      <c r="U101" s="70"/>
      <c r="V101" s="70"/>
      <c r="W101" s="70"/>
    </row>
    <row r="102">
      <c r="A102" s="70"/>
      <c r="B102" s="70"/>
      <c r="C102" s="70"/>
      <c r="D102" s="70"/>
      <c r="E102" s="66"/>
      <c r="F102" s="70"/>
      <c r="G102" s="70"/>
      <c r="H102" s="70"/>
      <c r="I102" s="70"/>
      <c r="J102" s="70"/>
      <c r="K102" s="70"/>
      <c r="L102" s="70"/>
      <c r="M102" s="70"/>
      <c r="N102" s="70"/>
      <c r="O102" s="70"/>
      <c r="P102" s="70"/>
      <c r="Q102" s="70"/>
      <c r="R102" s="70"/>
      <c r="S102" s="70"/>
      <c r="T102" s="70"/>
      <c r="U102" s="70"/>
      <c r="V102" s="70"/>
      <c r="W102" s="70"/>
    </row>
    <row r="103">
      <c r="A103" s="70"/>
      <c r="B103" s="70"/>
      <c r="C103" s="70"/>
      <c r="D103" s="70"/>
      <c r="E103" s="66"/>
      <c r="F103" s="70"/>
      <c r="G103" s="70"/>
      <c r="H103" s="70"/>
      <c r="I103" s="70"/>
      <c r="J103" s="70"/>
      <c r="K103" s="70"/>
      <c r="L103" s="70"/>
      <c r="M103" s="70"/>
      <c r="N103" s="70"/>
      <c r="O103" s="70"/>
      <c r="P103" s="70"/>
      <c r="Q103" s="70"/>
      <c r="R103" s="70"/>
      <c r="S103" s="70"/>
      <c r="T103" s="70"/>
      <c r="U103" s="70"/>
      <c r="V103" s="70"/>
      <c r="W103" s="70"/>
    </row>
    <row r="104">
      <c r="A104" s="70"/>
      <c r="B104" s="70"/>
      <c r="C104" s="70"/>
      <c r="D104" s="70"/>
      <c r="E104" s="66"/>
      <c r="F104" s="70"/>
      <c r="G104" s="70"/>
      <c r="H104" s="70"/>
      <c r="I104" s="70"/>
      <c r="J104" s="70"/>
      <c r="K104" s="70"/>
      <c r="L104" s="70"/>
      <c r="M104" s="70"/>
      <c r="N104" s="70"/>
      <c r="O104" s="70"/>
      <c r="P104" s="70"/>
      <c r="Q104" s="70"/>
      <c r="R104" s="70"/>
      <c r="S104" s="70"/>
      <c r="T104" s="70"/>
      <c r="U104" s="70"/>
      <c r="V104" s="70"/>
      <c r="W104" s="70"/>
    </row>
    <row r="105">
      <c r="A105" s="70"/>
      <c r="B105" s="70"/>
      <c r="C105" s="70"/>
      <c r="D105" s="70"/>
      <c r="E105" s="66"/>
      <c r="F105" s="70"/>
      <c r="G105" s="70"/>
      <c r="H105" s="70"/>
      <c r="I105" s="70"/>
      <c r="J105" s="70"/>
      <c r="K105" s="70"/>
      <c r="L105" s="70"/>
      <c r="M105" s="70"/>
      <c r="N105" s="70"/>
      <c r="O105" s="70"/>
      <c r="P105" s="70"/>
      <c r="Q105" s="70"/>
      <c r="R105" s="70"/>
      <c r="S105" s="70"/>
      <c r="T105" s="70"/>
      <c r="U105" s="70"/>
      <c r="V105" s="70"/>
      <c r="W105" s="70"/>
    </row>
    <row r="106">
      <c r="A106" s="70"/>
      <c r="B106" s="70"/>
      <c r="C106" s="70"/>
      <c r="D106" s="70"/>
      <c r="E106" s="66"/>
      <c r="F106" s="70"/>
      <c r="G106" s="70"/>
      <c r="H106" s="70"/>
      <c r="I106" s="70"/>
      <c r="J106" s="70"/>
      <c r="K106" s="70"/>
      <c r="L106" s="70"/>
      <c r="M106" s="70"/>
      <c r="N106" s="70"/>
      <c r="O106" s="70"/>
      <c r="P106" s="70"/>
      <c r="Q106" s="70"/>
      <c r="R106" s="70"/>
      <c r="S106" s="70"/>
      <c r="T106" s="70"/>
      <c r="U106" s="70"/>
      <c r="V106" s="70"/>
      <c r="W106" s="70"/>
    </row>
    <row r="107">
      <c r="A107" s="70"/>
      <c r="B107" s="70"/>
      <c r="C107" s="70"/>
      <c r="D107" s="70"/>
      <c r="E107" s="66"/>
      <c r="F107" s="70"/>
      <c r="G107" s="70"/>
      <c r="H107" s="70"/>
      <c r="I107" s="70"/>
      <c r="J107" s="70"/>
      <c r="K107" s="70"/>
      <c r="L107" s="70"/>
      <c r="M107" s="70"/>
      <c r="N107" s="70"/>
      <c r="O107" s="70"/>
      <c r="P107" s="70"/>
      <c r="Q107" s="70"/>
      <c r="R107" s="70"/>
      <c r="S107" s="70"/>
      <c r="T107" s="70"/>
      <c r="U107" s="70"/>
      <c r="V107" s="70"/>
      <c r="W107" s="70"/>
    </row>
    <row r="108">
      <c r="A108" s="70"/>
      <c r="B108" s="70"/>
      <c r="C108" s="70"/>
      <c r="D108" s="70"/>
      <c r="E108" s="66"/>
      <c r="F108" s="70"/>
      <c r="G108" s="70"/>
      <c r="H108" s="70"/>
      <c r="I108" s="70"/>
      <c r="J108" s="70"/>
      <c r="K108" s="70"/>
      <c r="L108" s="70"/>
      <c r="M108" s="70"/>
      <c r="N108" s="70"/>
      <c r="O108" s="70"/>
      <c r="P108" s="70"/>
      <c r="Q108" s="70"/>
      <c r="R108" s="70"/>
      <c r="S108" s="70"/>
      <c r="T108" s="70"/>
      <c r="U108" s="70"/>
      <c r="V108" s="70"/>
      <c r="W108" s="70"/>
    </row>
    <row r="109">
      <c r="A109" s="70"/>
      <c r="B109" s="70"/>
      <c r="C109" s="70"/>
      <c r="D109" s="70"/>
      <c r="E109" s="66"/>
      <c r="F109" s="70"/>
      <c r="G109" s="70"/>
      <c r="H109" s="70"/>
      <c r="I109" s="70"/>
      <c r="J109" s="70"/>
      <c r="K109" s="70"/>
      <c r="L109" s="70"/>
      <c r="M109" s="70"/>
      <c r="N109" s="70"/>
      <c r="O109" s="70"/>
      <c r="P109" s="70"/>
      <c r="Q109" s="70"/>
      <c r="R109" s="70"/>
      <c r="S109" s="70"/>
      <c r="T109" s="70"/>
      <c r="U109" s="70"/>
      <c r="V109" s="70"/>
      <c r="W109" s="70"/>
    </row>
    <row r="110">
      <c r="A110" s="70"/>
      <c r="B110" s="70"/>
      <c r="C110" s="70"/>
      <c r="D110" s="70"/>
      <c r="E110" s="66"/>
      <c r="F110" s="70"/>
      <c r="G110" s="70"/>
      <c r="H110" s="70"/>
      <c r="I110" s="70"/>
      <c r="J110" s="70"/>
      <c r="K110" s="70"/>
      <c r="L110" s="70"/>
      <c r="M110" s="70"/>
      <c r="N110" s="70"/>
      <c r="O110" s="70"/>
      <c r="P110" s="70"/>
      <c r="Q110" s="70"/>
      <c r="R110" s="70"/>
      <c r="S110" s="70"/>
      <c r="T110" s="70"/>
      <c r="U110" s="70"/>
      <c r="V110" s="70"/>
      <c r="W110" s="70"/>
    </row>
    <row r="111">
      <c r="A111" s="70"/>
      <c r="B111" s="70"/>
      <c r="C111" s="70"/>
      <c r="D111" s="70"/>
      <c r="E111" s="66"/>
      <c r="F111" s="70"/>
      <c r="G111" s="70"/>
      <c r="H111" s="70"/>
      <c r="I111" s="70"/>
      <c r="J111" s="70"/>
      <c r="K111" s="70"/>
      <c r="L111" s="70"/>
      <c r="M111" s="70"/>
      <c r="N111" s="70"/>
      <c r="O111" s="70"/>
      <c r="P111" s="70"/>
      <c r="Q111" s="70"/>
      <c r="R111" s="70"/>
      <c r="S111" s="70"/>
      <c r="T111" s="70"/>
      <c r="U111" s="70"/>
      <c r="V111" s="70"/>
      <c r="W111" s="70"/>
    </row>
    <row r="112">
      <c r="A112" s="70"/>
      <c r="B112" s="70"/>
      <c r="C112" s="70"/>
      <c r="D112" s="70"/>
      <c r="E112" s="66"/>
      <c r="F112" s="70"/>
      <c r="G112" s="70"/>
      <c r="H112" s="70"/>
      <c r="I112" s="70"/>
      <c r="J112" s="70"/>
      <c r="K112" s="70"/>
      <c r="L112" s="70"/>
      <c r="M112" s="70"/>
      <c r="N112" s="70"/>
      <c r="O112" s="70"/>
      <c r="P112" s="70"/>
      <c r="Q112" s="70"/>
      <c r="R112" s="70"/>
      <c r="S112" s="70"/>
      <c r="T112" s="70"/>
      <c r="U112" s="70"/>
      <c r="V112" s="70"/>
      <c r="W112" s="70"/>
    </row>
    <row r="113">
      <c r="A113" s="70"/>
      <c r="B113" s="70"/>
      <c r="C113" s="70"/>
      <c r="D113" s="70"/>
      <c r="E113" s="66"/>
      <c r="F113" s="70"/>
      <c r="G113" s="70"/>
      <c r="H113" s="70"/>
      <c r="I113" s="70"/>
      <c r="J113" s="70"/>
      <c r="K113" s="70"/>
      <c r="L113" s="70"/>
      <c r="M113" s="70"/>
      <c r="N113" s="70"/>
      <c r="O113" s="70"/>
      <c r="P113" s="70"/>
      <c r="Q113" s="70"/>
      <c r="R113" s="70"/>
      <c r="S113" s="70"/>
      <c r="T113" s="70"/>
      <c r="U113" s="70"/>
      <c r="V113" s="70"/>
      <c r="W113" s="70"/>
    </row>
    <row r="114">
      <c r="A114" s="70"/>
      <c r="B114" s="70"/>
      <c r="C114" s="70"/>
      <c r="D114" s="70"/>
      <c r="E114" s="66"/>
      <c r="F114" s="70"/>
      <c r="G114" s="70"/>
      <c r="H114" s="70"/>
      <c r="I114" s="70"/>
      <c r="J114" s="70"/>
      <c r="K114" s="70"/>
      <c r="L114" s="70"/>
      <c r="M114" s="70"/>
      <c r="N114" s="70"/>
      <c r="O114" s="70"/>
      <c r="P114" s="70"/>
      <c r="Q114" s="70"/>
      <c r="R114" s="70"/>
      <c r="S114" s="70"/>
      <c r="T114" s="70"/>
      <c r="U114" s="70"/>
      <c r="V114" s="70"/>
      <c r="W114" s="70"/>
    </row>
    <row r="115">
      <c r="A115" s="70"/>
      <c r="B115" s="70"/>
      <c r="C115" s="70"/>
      <c r="D115" s="70"/>
      <c r="E115" s="66"/>
      <c r="F115" s="70"/>
      <c r="G115" s="70"/>
      <c r="H115" s="70"/>
      <c r="I115" s="70"/>
      <c r="J115" s="70"/>
      <c r="K115" s="70"/>
      <c r="L115" s="70"/>
      <c r="M115" s="70"/>
      <c r="N115" s="70"/>
      <c r="O115" s="70"/>
      <c r="P115" s="70"/>
      <c r="Q115" s="70"/>
      <c r="R115" s="70"/>
      <c r="S115" s="70"/>
      <c r="T115" s="70"/>
      <c r="U115" s="70"/>
      <c r="V115" s="70"/>
      <c r="W115" s="70"/>
    </row>
    <row r="116">
      <c r="A116" s="70"/>
      <c r="B116" s="70"/>
      <c r="C116" s="70"/>
      <c r="D116" s="70"/>
      <c r="E116" s="66"/>
      <c r="F116" s="70"/>
      <c r="G116" s="70"/>
      <c r="H116" s="70"/>
      <c r="I116" s="70"/>
      <c r="J116" s="70"/>
      <c r="K116" s="70"/>
      <c r="L116" s="70"/>
      <c r="M116" s="70"/>
      <c r="N116" s="70"/>
      <c r="O116" s="70"/>
      <c r="P116" s="70"/>
      <c r="Q116" s="70"/>
      <c r="R116" s="70"/>
      <c r="S116" s="70"/>
      <c r="T116" s="70"/>
      <c r="U116" s="70"/>
      <c r="V116" s="70"/>
      <c r="W116" s="70"/>
    </row>
    <row r="117">
      <c r="A117" s="70"/>
      <c r="B117" s="70"/>
      <c r="C117" s="70"/>
      <c r="D117" s="70"/>
      <c r="E117" s="66"/>
      <c r="F117" s="70"/>
      <c r="G117" s="70"/>
      <c r="H117" s="70"/>
      <c r="I117" s="70"/>
      <c r="J117" s="70"/>
      <c r="K117" s="70"/>
      <c r="L117" s="70"/>
      <c r="M117" s="70"/>
      <c r="N117" s="70"/>
      <c r="O117" s="70"/>
      <c r="P117" s="70"/>
      <c r="Q117" s="70"/>
      <c r="R117" s="70"/>
      <c r="S117" s="70"/>
      <c r="T117" s="70"/>
      <c r="U117" s="70"/>
      <c r="V117" s="70"/>
      <c r="W117" s="70"/>
    </row>
    <row r="118">
      <c r="A118" s="70"/>
      <c r="B118" s="70"/>
      <c r="C118" s="70"/>
      <c r="D118" s="70"/>
      <c r="E118" s="66"/>
      <c r="F118" s="70"/>
      <c r="G118" s="70"/>
      <c r="H118" s="70"/>
      <c r="I118" s="70"/>
      <c r="J118" s="70"/>
      <c r="K118" s="70"/>
      <c r="L118" s="70"/>
      <c r="M118" s="70"/>
      <c r="N118" s="70"/>
      <c r="O118" s="70"/>
      <c r="P118" s="70"/>
      <c r="Q118" s="70"/>
      <c r="R118" s="70"/>
      <c r="S118" s="70"/>
      <c r="T118" s="70"/>
      <c r="U118" s="70"/>
      <c r="V118" s="70"/>
      <c r="W118" s="70"/>
    </row>
    <row r="119">
      <c r="A119" s="70"/>
      <c r="B119" s="70"/>
      <c r="C119" s="70"/>
      <c r="D119" s="70"/>
      <c r="E119" s="66"/>
      <c r="F119" s="70"/>
      <c r="G119" s="70"/>
      <c r="H119" s="70"/>
      <c r="I119" s="70"/>
      <c r="J119" s="70"/>
      <c r="K119" s="70"/>
      <c r="L119" s="70"/>
      <c r="M119" s="70"/>
      <c r="N119" s="70"/>
      <c r="O119" s="70"/>
      <c r="P119" s="70"/>
      <c r="Q119" s="70"/>
      <c r="R119" s="70"/>
      <c r="S119" s="70"/>
      <c r="T119" s="70"/>
      <c r="U119" s="70"/>
      <c r="V119" s="70"/>
      <c r="W119" s="70"/>
    </row>
    <row r="120">
      <c r="A120" s="70"/>
      <c r="B120" s="70"/>
      <c r="C120" s="70"/>
      <c r="D120" s="70"/>
      <c r="E120" s="66"/>
      <c r="F120" s="70"/>
      <c r="G120" s="70"/>
      <c r="H120" s="70"/>
      <c r="I120" s="70"/>
      <c r="J120" s="70"/>
      <c r="K120" s="70"/>
      <c r="L120" s="70"/>
      <c r="M120" s="70"/>
      <c r="N120" s="70"/>
      <c r="O120" s="70"/>
      <c r="P120" s="70"/>
      <c r="Q120" s="70"/>
      <c r="R120" s="70"/>
      <c r="S120" s="70"/>
      <c r="T120" s="70"/>
      <c r="U120" s="70"/>
      <c r="V120" s="70"/>
      <c r="W120" s="70"/>
    </row>
    <row r="121">
      <c r="A121" s="70"/>
      <c r="B121" s="70"/>
      <c r="C121" s="70"/>
      <c r="D121" s="70"/>
      <c r="E121" s="66"/>
      <c r="F121" s="70"/>
      <c r="G121" s="70"/>
      <c r="H121" s="70"/>
      <c r="I121" s="70"/>
      <c r="J121" s="70"/>
      <c r="K121" s="70"/>
      <c r="L121" s="70"/>
      <c r="M121" s="70"/>
      <c r="N121" s="70"/>
      <c r="O121" s="70"/>
      <c r="P121" s="70"/>
      <c r="Q121" s="70"/>
      <c r="R121" s="70"/>
      <c r="S121" s="70"/>
      <c r="T121" s="70"/>
      <c r="U121" s="70"/>
      <c r="V121" s="70"/>
      <c r="W121" s="70"/>
    </row>
    <row r="122">
      <c r="A122" s="70"/>
      <c r="B122" s="70"/>
      <c r="C122" s="70"/>
      <c r="D122" s="70"/>
      <c r="E122" s="66"/>
      <c r="F122" s="70"/>
      <c r="G122" s="70"/>
      <c r="H122" s="70"/>
      <c r="I122" s="70"/>
      <c r="J122" s="70"/>
      <c r="K122" s="70"/>
      <c r="L122" s="70"/>
      <c r="M122" s="70"/>
      <c r="N122" s="70"/>
      <c r="O122" s="70"/>
      <c r="P122" s="70"/>
      <c r="Q122" s="70"/>
      <c r="R122" s="70"/>
      <c r="S122" s="70"/>
      <c r="T122" s="70"/>
      <c r="U122" s="70"/>
      <c r="V122" s="70"/>
      <c r="W122" s="70"/>
    </row>
    <row r="123">
      <c r="A123" s="70"/>
      <c r="B123" s="70"/>
      <c r="C123" s="70"/>
      <c r="D123" s="70"/>
      <c r="E123" s="66"/>
      <c r="F123" s="70"/>
      <c r="G123" s="70"/>
      <c r="H123" s="70"/>
      <c r="I123" s="70"/>
      <c r="J123" s="70"/>
      <c r="K123" s="70"/>
      <c r="L123" s="70"/>
      <c r="M123" s="70"/>
      <c r="N123" s="70"/>
      <c r="O123" s="70"/>
      <c r="P123" s="70"/>
      <c r="Q123" s="70"/>
      <c r="R123" s="70"/>
      <c r="S123" s="70"/>
      <c r="T123" s="70"/>
      <c r="U123" s="70"/>
      <c r="V123" s="70"/>
      <c r="W123" s="70"/>
    </row>
    <row r="124">
      <c r="A124" s="70"/>
      <c r="B124" s="70"/>
      <c r="C124" s="70"/>
      <c r="D124" s="70"/>
      <c r="E124" s="66"/>
      <c r="F124" s="70"/>
      <c r="G124" s="70"/>
      <c r="H124" s="70"/>
      <c r="I124" s="70"/>
      <c r="J124" s="70"/>
      <c r="K124" s="70"/>
      <c r="L124" s="70"/>
      <c r="M124" s="70"/>
      <c r="N124" s="70"/>
      <c r="O124" s="70"/>
      <c r="P124" s="70"/>
      <c r="Q124" s="70"/>
      <c r="R124" s="70"/>
      <c r="S124" s="70"/>
      <c r="T124" s="70"/>
      <c r="U124" s="70"/>
      <c r="V124" s="70"/>
      <c r="W124" s="70"/>
    </row>
    <row r="125">
      <c r="A125" s="70"/>
      <c r="B125" s="70"/>
      <c r="C125" s="70"/>
      <c r="D125" s="70"/>
      <c r="E125" s="66"/>
      <c r="F125" s="70"/>
      <c r="G125" s="70"/>
      <c r="H125" s="70"/>
      <c r="I125" s="70"/>
      <c r="J125" s="70"/>
      <c r="K125" s="70"/>
      <c r="L125" s="70"/>
      <c r="M125" s="70"/>
      <c r="N125" s="70"/>
      <c r="O125" s="70"/>
      <c r="P125" s="70"/>
      <c r="Q125" s="70"/>
      <c r="R125" s="70"/>
      <c r="S125" s="70"/>
      <c r="T125" s="70"/>
      <c r="U125" s="70"/>
      <c r="V125" s="70"/>
      <c r="W125" s="70"/>
    </row>
    <row r="126">
      <c r="A126" s="70"/>
      <c r="B126" s="70"/>
      <c r="C126" s="70"/>
      <c r="D126" s="70"/>
      <c r="E126" s="66"/>
      <c r="F126" s="70"/>
      <c r="G126" s="70"/>
      <c r="H126" s="70"/>
      <c r="I126" s="70"/>
      <c r="J126" s="70"/>
      <c r="K126" s="70"/>
      <c r="L126" s="70"/>
      <c r="M126" s="70"/>
      <c r="N126" s="70"/>
      <c r="O126" s="70"/>
      <c r="P126" s="70"/>
      <c r="Q126" s="70"/>
      <c r="R126" s="70"/>
      <c r="S126" s="70"/>
      <c r="T126" s="70"/>
      <c r="U126" s="70"/>
      <c r="V126" s="70"/>
      <c r="W126" s="70"/>
    </row>
    <row r="127">
      <c r="A127" s="70"/>
      <c r="B127" s="70"/>
      <c r="C127" s="70"/>
      <c r="D127" s="70"/>
      <c r="E127" s="66"/>
      <c r="F127" s="70"/>
      <c r="G127" s="70"/>
      <c r="H127" s="70"/>
      <c r="I127" s="70"/>
      <c r="J127" s="70"/>
      <c r="K127" s="70"/>
      <c r="L127" s="70"/>
      <c r="M127" s="70"/>
      <c r="N127" s="70"/>
      <c r="O127" s="70"/>
      <c r="P127" s="70"/>
      <c r="Q127" s="70"/>
      <c r="R127" s="70"/>
      <c r="S127" s="70"/>
      <c r="T127" s="70"/>
      <c r="U127" s="70"/>
      <c r="V127" s="70"/>
      <c r="W127" s="70"/>
    </row>
    <row r="128">
      <c r="A128" s="70"/>
      <c r="B128" s="70"/>
      <c r="C128" s="70"/>
      <c r="D128" s="70"/>
      <c r="E128" s="66"/>
      <c r="F128" s="70"/>
      <c r="G128" s="70"/>
      <c r="H128" s="70"/>
      <c r="I128" s="70"/>
      <c r="J128" s="70"/>
      <c r="K128" s="70"/>
      <c r="L128" s="70"/>
      <c r="M128" s="70"/>
      <c r="N128" s="70"/>
      <c r="O128" s="70"/>
      <c r="P128" s="70"/>
      <c r="Q128" s="70"/>
      <c r="R128" s="70"/>
      <c r="S128" s="70"/>
      <c r="T128" s="70"/>
      <c r="U128" s="70"/>
      <c r="V128" s="70"/>
      <c r="W128" s="70"/>
    </row>
    <row r="129">
      <c r="A129" s="70"/>
      <c r="B129" s="70"/>
      <c r="C129" s="70"/>
      <c r="D129" s="70"/>
      <c r="E129" s="66"/>
      <c r="F129" s="70"/>
      <c r="G129" s="70"/>
      <c r="H129" s="70"/>
      <c r="I129" s="70"/>
      <c r="J129" s="70"/>
      <c r="K129" s="70"/>
      <c r="L129" s="70"/>
      <c r="M129" s="70"/>
      <c r="N129" s="70"/>
      <c r="O129" s="70"/>
      <c r="P129" s="70"/>
      <c r="Q129" s="70"/>
      <c r="R129" s="70"/>
      <c r="S129" s="70"/>
      <c r="T129" s="70"/>
      <c r="U129" s="70"/>
      <c r="V129" s="70"/>
      <c r="W129" s="70"/>
    </row>
    <row r="130">
      <c r="A130" s="70"/>
      <c r="B130" s="70"/>
      <c r="C130" s="70"/>
      <c r="D130" s="70"/>
      <c r="E130" s="66"/>
      <c r="F130" s="70"/>
      <c r="G130" s="70"/>
      <c r="H130" s="70"/>
      <c r="I130" s="70"/>
      <c r="J130" s="70"/>
      <c r="K130" s="70"/>
      <c r="L130" s="70"/>
      <c r="M130" s="70"/>
      <c r="N130" s="70"/>
      <c r="O130" s="70"/>
      <c r="P130" s="70"/>
      <c r="Q130" s="70"/>
      <c r="R130" s="70"/>
      <c r="S130" s="70"/>
      <c r="T130" s="70"/>
      <c r="U130" s="70"/>
      <c r="V130" s="70"/>
      <c r="W130" s="70"/>
    </row>
    <row r="131">
      <c r="A131" s="70"/>
      <c r="B131" s="70"/>
      <c r="C131" s="70"/>
      <c r="D131" s="70"/>
      <c r="E131" s="66"/>
      <c r="F131" s="70"/>
      <c r="G131" s="70"/>
      <c r="H131" s="70"/>
      <c r="I131" s="70"/>
      <c r="J131" s="70"/>
      <c r="K131" s="70"/>
      <c r="L131" s="70"/>
      <c r="M131" s="70"/>
      <c r="N131" s="70"/>
      <c r="O131" s="70"/>
      <c r="P131" s="70"/>
      <c r="Q131" s="70"/>
      <c r="R131" s="70"/>
      <c r="S131" s="70"/>
      <c r="T131" s="70"/>
      <c r="U131" s="70"/>
      <c r="V131" s="70"/>
      <c r="W131" s="70"/>
    </row>
    <row r="132">
      <c r="A132" s="70"/>
      <c r="B132" s="70"/>
      <c r="C132" s="70"/>
      <c r="D132" s="70"/>
      <c r="E132" s="66"/>
      <c r="F132" s="70"/>
      <c r="G132" s="70"/>
      <c r="H132" s="70"/>
      <c r="I132" s="70"/>
      <c r="J132" s="70"/>
      <c r="K132" s="70"/>
      <c r="L132" s="70"/>
      <c r="M132" s="70"/>
      <c r="N132" s="70"/>
      <c r="O132" s="70"/>
      <c r="P132" s="70"/>
      <c r="Q132" s="70"/>
      <c r="R132" s="70"/>
      <c r="S132" s="70"/>
      <c r="T132" s="70"/>
      <c r="U132" s="70"/>
      <c r="V132" s="70"/>
      <c r="W132" s="70"/>
    </row>
    <row r="133">
      <c r="A133" s="70"/>
      <c r="B133" s="70"/>
      <c r="C133" s="70"/>
      <c r="D133" s="70"/>
      <c r="E133" s="66"/>
      <c r="F133" s="70"/>
      <c r="G133" s="70"/>
      <c r="H133" s="70"/>
      <c r="I133" s="70"/>
      <c r="J133" s="70"/>
      <c r="K133" s="70"/>
      <c r="L133" s="70"/>
      <c r="M133" s="70"/>
      <c r="N133" s="70"/>
      <c r="O133" s="70"/>
      <c r="P133" s="70"/>
      <c r="Q133" s="70"/>
      <c r="R133" s="70"/>
      <c r="S133" s="70"/>
      <c r="T133" s="70"/>
      <c r="U133" s="70"/>
      <c r="V133" s="70"/>
      <c r="W133" s="70"/>
    </row>
    <row r="134">
      <c r="A134" s="70"/>
      <c r="B134" s="70"/>
      <c r="C134" s="70"/>
      <c r="D134" s="70"/>
      <c r="E134" s="66"/>
      <c r="F134" s="70"/>
      <c r="G134" s="70"/>
      <c r="H134" s="70"/>
      <c r="I134" s="70"/>
      <c r="J134" s="70"/>
      <c r="K134" s="70"/>
      <c r="L134" s="70"/>
      <c r="M134" s="70"/>
      <c r="N134" s="70"/>
      <c r="O134" s="70"/>
      <c r="P134" s="70"/>
      <c r="Q134" s="70"/>
      <c r="R134" s="70"/>
      <c r="S134" s="70"/>
      <c r="T134" s="70"/>
      <c r="U134" s="70"/>
      <c r="V134" s="70"/>
      <c r="W134" s="70"/>
    </row>
    <row r="135">
      <c r="A135" s="70"/>
      <c r="B135" s="70"/>
      <c r="C135" s="70"/>
      <c r="D135" s="70"/>
      <c r="E135" s="66"/>
      <c r="F135" s="70"/>
      <c r="G135" s="70"/>
      <c r="H135" s="70"/>
      <c r="I135" s="70"/>
      <c r="J135" s="70"/>
      <c r="K135" s="70"/>
      <c r="L135" s="70"/>
      <c r="M135" s="70"/>
      <c r="N135" s="70"/>
      <c r="O135" s="70"/>
      <c r="P135" s="70"/>
      <c r="Q135" s="70"/>
      <c r="R135" s="70"/>
      <c r="S135" s="70"/>
      <c r="T135" s="70"/>
      <c r="U135" s="70"/>
      <c r="V135" s="70"/>
      <c r="W135" s="70"/>
    </row>
    <row r="136">
      <c r="A136" s="70"/>
      <c r="B136" s="70"/>
      <c r="C136" s="70"/>
      <c r="D136" s="70"/>
      <c r="E136" s="66"/>
      <c r="F136" s="70"/>
      <c r="G136" s="70"/>
      <c r="H136" s="70"/>
      <c r="I136" s="70"/>
      <c r="J136" s="70"/>
      <c r="K136" s="70"/>
      <c r="L136" s="70"/>
      <c r="M136" s="70"/>
      <c r="N136" s="70"/>
      <c r="O136" s="70"/>
      <c r="P136" s="70"/>
      <c r="Q136" s="70"/>
      <c r="R136" s="70"/>
      <c r="S136" s="70"/>
      <c r="T136" s="70"/>
      <c r="U136" s="70"/>
      <c r="V136" s="70"/>
      <c r="W136" s="70"/>
    </row>
    <row r="137">
      <c r="A137" s="70"/>
      <c r="B137" s="70"/>
      <c r="C137" s="70"/>
      <c r="D137" s="70"/>
      <c r="E137" s="66"/>
      <c r="F137" s="70"/>
      <c r="G137" s="70"/>
      <c r="H137" s="70"/>
      <c r="I137" s="70"/>
      <c r="J137" s="70"/>
      <c r="K137" s="70"/>
      <c r="L137" s="70"/>
      <c r="M137" s="70"/>
      <c r="N137" s="70"/>
      <c r="O137" s="70"/>
      <c r="P137" s="70"/>
      <c r="Q137" s="70"/>
      <c r="R137" s="70"/>
      <c r="S137" s="70"/>
      <c r="T137" s="70"/>
      <c r="U137" s="70"/>
      <c r="V137" s="70"/>
      <c r="W137" s="70"/>
    </row>
    <row r="138">
      <c r="A138" s="70"/>
      <c r="B138" s="70"/>
      <c r="C138" s="70"/>
      <c r="D138" s="70"/>
      <c r="E138" s="66"/>
      <c r="F138" s="70"/>
      <c r="G138" s="70"/>
      <c r="H138" s="70"/>
      <c r="I138" s="70"/>
      <c r="J138" s="70"/>
      <c r="K138" s="70"/>
      <c r="L138" s="70"/>
      <c r="M138" s="70"/>
      <c r="N138" s="70"/>
      <c r="O138" s="70"/>
      <c r="P138" s="70"/>
      <c r="Q138" s="70"/>
      <c r="R138" s="70"/>
      <c r="S138" s="70"/>
      <c r="T138" s="70"/>
      <c r="U138" s="70"/>
      <c r="V138" s="70"/>
      <c r="W138" s="70"/>
    </row>
    <row r="139">
      <c r="A139" s="70"/>
      <c r="B139" s="70"/>
      <c r="C139" s="70"/>
      <c r="D139" s="70"/>
      <c r="E139" s="66"/>
      <c r="F139" s="70"/>
      <c r="G139" s="70"/>
      <c r="H139" s="70"/>
      <c r="I139" s="70"/>
      <c r="J139" s="70"/>
      <c r="K139" s="70"/>
      <c r="L139" s="70"/>
      <c r="M139" s="70"/>
      <c r="N139" s="70"/>
      <c r="O139" s="70"/>
      <c r="P139" s="70"/>
      <c r="Q139" s="70"/>
      <c r="R139" s="70"/>
      <c r="S139" s="70"/>
      <c r="T139" s="70"/>
      <c r="U139" s="70"/>
      <c r="V139" s="70"/>
      <c r="W139" s="70"/>
    </row>
    <row r="140">
      <c r="A140" s="70"/>
      <c r="B140" s="70"/>
      <c r="C140" s="70"/>
      <c r="D140" s="70"/>
      <c r="E140" s="66"/>
      <c r="F140" s="70"/>
      <c r="G140" s="70"/>
      <c r="H140" s="70"/>
      <c r="I140" s="70"/>
      <c r="J140" s="70"/>
      <c r="K140" s="70"/>
      <c r="L140" s="70"/>
      <c r="M140" s="70"/>
      <c r="N140" s="70"/>
      <c r="O140" s="70"/>
      <c r="P140" s="70"/>
      <c r="Q140" s="70"/>
      <c r="R140" s="70"/>
      <c r="S140" s="70"/>
      <c r="T140" s="70"/>
      <c r="U140" s="70"/>
      <c r="V140" s="70"/>
      <c r="W140" s="70"/>
    </row>
    <row r="141">
      <c r="A141" s="70"/>
      <c r="B141" s="70"/>
      <c r="C141" s="70"/>
      <c r="D141" s="70"/>
      <c r="E141" s="66"/>
      <c r="F141" s="70"/>
      <c r="G141" s="70"/>
      <c r="H141" s="70"/>
      <c r="I141" s="70"/>
      <c r="J141" s="70"/>
      <c r="K141" s="70"/>
      <c r="L141" s="70"/>
      <c r="M141" s="70"/>
      <c r="N141" s="70"/>
      <c r="O141" s="70"/>
      <c r="P141" s="70"/>
      <c r="Q141" s="70"/>
      <c r="R141" s="70"/>
      <c r="S141" s="70"/>
      <c r="T141" s="70"/>
      <c r="U141" s="70"/>
      <c r="V141" s="70"/>
      <c r="W141" s="70"/>
    </row>
    <row r="142">
      <c r="A142" s="70"/>
      <c r="B142" s="70"/>
      <c r="C142" s="70"/>
      <c r="D142" s="70"/>
      <c r="E142" s="66"/>
      <c r="F142" s="70"/>
      <c r="G142" s="70"/>
      <c r="H142" s="70"/>
      <c r="I142" s="70"/>
      <c r="J142" s="70"/>
      <c r="K142" s="70"/>
      <c r="L142" s="70"/>
      <c r="M142" s="70"/>
      <c r="N142" s="70"/>
      <c r="O142" s="70"/>
      <c r="P142" s="70"/>
      <c r="Q142" s="70"/>
      <c r="R142" s="70"/>
      <c r="S142" s="70"/>
      <c r="T142" s="70"/>
      <c r="U142" s="70"/>
      <c r="V142" s="70"/>
      <c r="W142" s="70"/>
    </row>
    <row r="143">
      <c r="A143" s="70"/>
      <c r="B143" s="70"/>
      <c r="C143" s="70"/>
      <c r="D143" s="70"/>
      <c r="E143" s="66"/>
      <c r="F143" s="70"/>
      <c r="G143" s="70"/>
      <c r="H143" s="70"/>
      <c r="I143" s="70"/>
      <c r="J143" s="70"/>
      <c r="K143" s="70"/>
      <c r="L143" s="70"/>
      <c r="M143" s="70"/>
      <c r="N143" s="70"/>
      <c r="O143" s="70"/>
      <c r="P143" s="70"/>
      <c r="Q143" s="70"/>
      <c r="R143" s="70"/>
      <c r="S143" s="70"/>
      <c r="T143" s="70"/>
      <c r="U143" s="70"/>
      <c r="V143" s="70"/>
      <c r="W143" s="70"/>
    </row>
    <row r="144">
      <c r="A144" s="70"/>
      <c r="B144" s="70"/>
      <c r="C144" s="70"/>
      <c r="D144" s="70"/>
      <c r="E144" s="66"/>
      <c r="F144" s="70"/>
      <c r="G144" s="70"/>
      <c r="H144" s="70"/>
      <c r="I144" s="70"/>
      <c r="J144" s="70"/>
      <c r="K144" s="70"/>
      <c r="L144" s="70"/>
      <c r="M144" s="70"/>
      <c r="N144" s="70"/>
      <c r="O144" s="70"/>
      <c r="P144" s="70"/>
      <c r="Q144" s="70"/>
      <c r="R144" s="70"/>
      <c r="S144" s="70"/>
      <c r="T144" s="70"/>
      <c r="U144" s="70"/>
      <c r="V144" s="70"/>
      <c r="W144" s="70"/>
    </row>
    <row r="145">
      <c r="A145" s="70"/>
      <c r="B145" s="70"/>
      <c r="C145" s="70"/>
      <c r="D145" s="70"/>
      <c r="E145" s="66"/>
      <c r="F145" s="70"/>
      <c r="G145" s="70"/>
      <c r="H145" s="70"/>
      <c r="I145" s="70"/>
      <c r="J145" s="70"/>
      <c r="K145" s="70"/>
      <c r="L145" s="70"/>
      <c r="M145" s="70"/>
      <c r="N145" s="70"/>
      <c r="O145" s="70"/>
      <c r="P145" s="70"/>
      <c r="Q145" s="70"/>
      <c r="R145" s="70"/>
      <c r="S145" s="70"/>
      <c r="T145" s="70"/>
      <c r="U145" s="70"/>
      <c r="V145" s="70"/>
      <c r="W145" s="70"/>
    </row>
    <row r="146">
      <c r="A146" s="70"/>
      <c r="B146" s="70"/>
      <c r="C146" s="70"/>
      <c r="D146" s="70"/>
      <c r="E146" s="66"/>
      <c r="F146" s="70"/>
      <c r="G146" s="70"/>
      <c r="H146" s="70"/>
      <c r="I146" s="70"/>
      <c r="J146" s="70"/>
      <c r="K146" s="70"/>
      <c r="L146" s="70"/>
      <c r="M146" s="70"/>
      <c r="N146" s="70"/>
      <c r="O146" s="70"/>
      <c r="P146" s="70"/>
      <c r="Q146" s="70"/>
      <c r="R146" s="70"/>
      <c r="S146" s="70"/>
      <c r="T146" s="70"/>
      <c r="U146" s="70"/>
      <c r="V146" s="70"/>
      <c r="W146" s="70"/>
    </row>
    <row r="147">
      <c r="A147" s="70"/>
      <c r="B147" s="70"/>
      <c r="C147" s="70"/>
      <c r="D147" s="70"/>
      <c r="E147" s="66"/>
      <c r="F147" s="70"/>
      <c r="G147" s="70"/>
      <c r="H147" s="70"/>
      <c r="I147" s="70"/>
      <c r="J147" s="70"/>
      <c r="K147" s="70"/>
      <c r="L147" s="70"/>
      <c r="M147" s="70"/>
      <c r="N147" s="70"/>
      <c r="O147" s="70"/>
      <c r="P147" s="70"/>
      <c r="Q147" s="70"/>
      <c r="R147" s="70"/>
      <c r="S147" s="70"/>
      <c r="T147" s="70"/>
      <c r="U147" s="70"/>
      <c r="V147" s="70"/>
      <c r="W147" s="70"/>
    </row>
    <row r="148">
      <c r="A148" s="70"/>
      <c r="B148" s="70"/>
      <c r="C148" s="70"/>
      <c r="D148" s="70"/>
      <c r="E148" s="66"/>
      <c r="F148" s="70"/>
      <c r="G148" s="70"/>
      <c r="H148" s="70"/>
      <c r="I148" s="70"/>
      <c r="J148" s="70"/>
      <c r="K148" s="70"/>
      <c r="L148" s="70"/>
      <c r="M148" s="70"/>
      <c r="N148" s="70"/>
      <c r="O148" s="70"/>
      <c r="P148" s="70"/>
      <c r="Q148" s="70"/>
      <c r="R148" s="70"/>
      <c r="S148" s="70"/>
      <c r="T148" s="70"/>
      <c r="U148" s="70"/>
      <c r="V148" s="70"/>
      <c r="W148" s="70"/>
    </row>
    <row r="149">
      <c r="A149" s="70"/>
      <c r="B149" s="70"/>
      <c r="C149" s="70"/>
      <c r="D149" s="70"/>
      <c r="E149" s="66"/>
      <c r="F149" s="70"/>
      <c r="G149" s="70"/>
      <c r="H149" s="70"/>
      <c r="I149" s="70"/>
      <c r="J149" s="70"/>
      <c r="K149" s="70"/>
      <c r="L149" s="70"/>
      <c r="M149" s="70"/>
      <c r="N149" s="70"/>
      <c r="O149" s="70"/>
      <c r="P149" s="70"/>
      <c r="Q149" s="70"/>
      <c r="R149" s="70"/>
      <c r="S149" s="70"/>
      <c r="T149" s="70"/>
      <c r="U149" s="70"/>
      <c r="V149" s="70"/>
      <c r="W149" s="70"/>
    </row>
    <row r="150">
      <c r="A150" s="70"/>
      <c r="B150" s="70"/>
      <c r="C150" s="70"/>
      <c r="D150" s="70"/>
      <c r="E150" s="66"/>
      <c r="F150" s="70"/>
      <c r="G150" s="70"/>
      <c r="H150" s="70"/>
      <c r="I150" s="70"/>
      <c r="J150" s="70"/>
      <c r="K150" s="70"/>
      <c r="L150" s="70"/>
      <c r="M150" s="70"/>
      <c r="N150" s="70"/>
      <c r="O150" s="70"/>
      <c r="P150" s="70"/>
      <c r="Q150" s="70"/>
      <c r="R150" s="70"/>
      <c r="S150" s="70"/>
      <c r="T150" s="70"/>
      <c r="U150" s="70"/>
      <c r="V150" s="70"/>
      <c r="W150" s="70"/>
    </row>
    <row r="151">
      <c r="A151" s="70"/>
      <c r="B151" s="70"/>
      <c r="C151" s="70"/>
      <c r="D151" s="70"/>
      <c r="E151" s="66"/>
      <c r="F151" s="70"/>
      <c r="G151" s="70"/>
      <c r="H151" s="70"/>
      <c r="I151" s="70"/>
      <c r="J151" s="70"/>
      <c r="K151" s="70"/>
      <c r="L151" s="70"/>
      <c r="M151" s="70"/>
      <c r="N151" s="70"/>
      <c r="O151" s="70"/>
      <c r="P151" s="70"/>
      <c r="Q151" s="70"/>
      <c r="R151" s="70"/>
      <c r="S151" s="70"/>
      <c r="T151" s="70"/>
      <c r="U151" s="70"/>
      <c r="V151" s="70"/>
      <c r="W151" s="70"/>
    </row>
    <row r="152">
      <c r="A152" s="70"/>
      <c r="B152" s="70"/>
      <c r="C152" s="70"/>
      <c r="D152" s="70"/>
      <c r="E152" s="66"/>
      <c r="F152" s="70"/>
      <c r="G152" s="70"/>
      <c r="H152" s="70"/>
      <c r="I152" s="70"/>
      <c r="J152" s="70"/>
      <c r="K152" s="70"/>
      <c r="L152" s="70"/>
      <c r="M152" s="70"/>
      <c r="N152" s="70"/>
      <c r="O152" s="70"/>
      <c r="P152" s="70"/>
      <c r="Q152" s="70"/>
      <c r="R152" s="70"/>
      <c r="S152" s="70"/>
      <c r="T152" s="70"/>
      <c r="U152" s="70"/>
      <c r="V152" s="70"/>
      <c r="W152" s="70"/>
    </row>
    <row r="153">
      <c r="A153" s="70"/>
      <c r="B153" s="70"/>
      <c r="C153" s="70"/>
      <c r="D153" s="70"/>
      <c r="E153" s="66"/>
      <c r="F153" s="70"/>
      <c r="G153" s="70"/>
      <c r="H153" s="70"/>
      <c r="I153" s="70"/>
      <c r="J153" s="70"/>
      <c r="K153" s="70"/>
      <c r="L153" s="70"/>
      <c r="M153" s="70"/>
      <c r="N153" s="70"/>
      <c r="O153" s="70"/>
      <c r="P153" s="70"/>
      <c r="Q153" s="70"/>
      <c r="R153" s="70"/>
      <c r="S153" s="70"/>
      <c r="T153" s="70"/>
      <c r="U153" s="70"/>
      <c r="V153" s="70"/>
      <c r="W153" s="70"/>
    </row>
    <row r="154">
      <c r="A154" s="70"/>
      <c r="B154" s="70"/>
      <c r="C154" s="70"/>
      <c r="D154" s="70"/>
      <c r="E154" s="66"/>
      <c r="F154" s="70"/>
      <c r="G154" s="70"/>
      <c r="H154" s="70"/>
      <c r="I154" s="70"/>
      <c r="J154" s="70"/>
      <c r="K154" s="70"/>
      <c r="L154" s="70"/>
      <c r="M154" s="70"/>
      <c r="N154" s="70"/>
      <c r="O154" s="70"/>
      <c r="P154" s="70"/>
      <c r="Q154" s="70"/>
      <c r="R154" s="70"/>
      <c r="S154" s="70"/>
      <c r="T154" s="70"/>
      <c r="U154" s="70"/>
      <c r="V154" s="70"/>
      <c r="W154" s="70"/>
    </row>
    <row r="155">
      <c r="A155" s="70"/>
      <c r="B155" s="70"/>
      <c r="C155" s="70"/>
      <c r="D155" s="70"/>
      <c r="E155" s="66"/>
      <c r="F155" s="70"/>
      <c r="G155" s="70"/>
      <c r="H155" s="70"/>
      <c r="I155" s="70"/>
      <c r="J155" s="70"/>
      <c r="K155" s="70"/>
      <c r="L155" s="70"/>
      <c r="M155" s="70"/>
      <c r="N155" s="70"/>
      <c r="O155" s="70"/>
      <c r="P155" s="70"/>
      <c r="Q155" s="70"/>
      <c r="R155" s="70"/>
      <c r="S155" s="70"/>
      <c r="T155" s="70"/>
      <c r="U155" s="70"/>
      <c r="V155" s="70"/>
      <c r="W155" s="70"/>
    </row>
    <row r="156">
      <c r="A156" s="70"/>
      <c r="B156" s="70"/>
      <c r="C156" s="70"/>
      <c r="D156" s="70"/>
      <c r="E156" s="66"/>
      <c r="F156" s="70"/>
      <c r="G156" s="70"/>
      <c r="H156" s="70"/>
      <c r="I156" s="70"/>
      <c r="J156" s="70"/>
      <c r="K156" s="70"/>
      <c r="L156" s="70"/>
      <c r="M156" s="70"/>
      <c r="N156" s="70"/>
      <c r="O156" s="70"/>
      <c r="P156" s="70"/>
      <c r="Q156" s="70"/>
      <c r="R156" s="70"/>
      <c r="S156" s="70"/>
      <c r="T156" s="70"/>
      <c r="U156" s="70"/>
      <c r="V156" s="70"/>
      <c r="W156" s="70"/>
    </row>
    <row r="157">
      <c r="A157" s="70"/>
      <c r="B157" s="70"/>
      <c r="C157" s="70"/>
      <c r="D157" s="70"/>
      <c r="E157" s="66"/>
      <c r="F157" s="70"/>
      <c r="G157" s="70"/>
      <c r="H157" s="70"/>
      <c r="I157" s="70"/>
      <c r="J157" s="70"/>
      <c r="K157" s="70"/>
      <c r="L157" s="70"/>
      <c r="M157" s="70"/>
      <c r="N157" s="70"/>
      <c r="O157" s="70"/>
      <c r="P157" s="70"/>
      <c r="Q157" s="70"/>
      <c r="R157" s="70"/>
      <c r="S157" s="70"/>
      <c r="T157" s="70"/>
      <c r="U157" s="70"/>
      <c r="V157" s="70"/>
      <c r="W157" s="70"/>
    </row>
    <row r="158">
      <c r="A158" s="70"/>
      <c r="B158" s="70"/>
      <c r="C158" s="70"/>
      <c r="D158" s="70"/>
      <c r="E158" s="66"/>
      <c r="F158" s="70"/>
      <c r="G158" s="70"/>
      <c r="H158" s="70"/>
      <c r="I158" s="70"/>
      <c r="J158" s="70"/>
      <c r="K158" s="70"/>
      <c r="L158" s="70"/>
      <c r="M158" s="70"/>
      <c r="N158" s="70"/>
      <c r="O158" s="70"/>
      <c r="P158" s="70"/>
      <c r="Q158" s="70"/>
      <c r="R158" s="70"/>
      <c r="S158" s="70"/>
      <c r="T158" s="70"/>
      <c r="U158" s="70"/>
      <c r="V158" s="70"/>
      <c r="W158" s="70"/>
    </row>
    <row r="159">
      <c r="A159" s="70"/>
      <c r="B159" s="70"/>
      <c r="C159" s="70"/>
      <c r="D159" s="70"/>
      <c r="E159" s="66"/>
      <c r="F159" s="70"/>
      <c r="G159" s="70"/>
      <c r="H159" s="70"/>
      <c r="I159" s="70"/>
      <c r="J159" s="70"/>
      <c r="K159" s="70"/>
      <c r="L159" s="70"/>
      <c r="M159" s="70"/>
      <c r="N159" s="70"/>
      <c r="O159" s="70"/>
      <c r="P159" s="70"/>
      <c r="Q159" s="70"/>
      <c r="R159" s="70"/>
      <c r="S159" s="70"/>
      <c r="T159" s="70"/>
      <c r="U159" s="70"/>
      <c r="V159" s="70"/>
      <c r="W159" s="70"/>
    </row>
    <row r="160">
      <c r="A160" s="70"/>
      <c r="B160" s="70"/>
      <c r="C160" s="70"/>
      <c r="D160" s="70"/>
      <c r="E160" s="66"/>
      <c r="F160" s="70"/>
      <c r="G160" s="70"/>
      <c r="H160" s="70"/>
      <c r="I160" s="70"/>
      <c r="J160" s="70"/>
      <c r="K160" s="70"/>
      <c r="L160" s="70"/>
      <c r="M160" s="70"/>
      <c r="N160" s="70"/>
      <c r="O160" s="70"/>
      <c r="P160" s="70"/>
      <c r="Q160" s="70"/>
      <c r="R160" s="70"/>
      <c r="S160" s="70"/>
      <c r="T160" s="70"/>
      <c r="U160" s="70"/>
      <c r="V160" s="70"/>
      <c r="W160" s="70"/>
    </row>
    <row r="161">
      <c r="A161" s="70"/>
      <c r="B161" s="70"/>
      <c r="C161" s="70"/>
      <c r="D161" s="70"/>
      <c r="E161" s="66"/>
      <c r="F161" s="70"/>
      <c r="G161" s="70"/>
      <c r="H161" s="70"/>
      <c r="I161" s="70"/>
      <c r="J161" s="70"/>
      <c r="K161" s="70"/>
      <c r="L161" s="70"/>
      <c r="M161" s="70"/>
      <c r="N161" s="70"/>
      <c r="O161" s="70"/>
      <c r="P161" s="70"/>
      <c r="Q161" s="70"/>
      <c r="R161" s="70"/>
      <c r="S161" s="70"/>
      <c r="T161" s="70"/>
      <c r="U161" s="70"/>
      <c r="V161" s="70"/>
      <c r="W161" s="70"/>
    </row>
    <row r="162">
      <c r="A162" s="70"/>
      <c r="B162" s="70"/>
      <c r="C162" s="70"/>
      <c r="D162" s="70"/>
      <c r="E162" s="66"/>
      <c r="F162" s="70"/>
      <c r="G162" s="70"/>
      <c r="H162" s="70"/>
      <c r="I162" s="70"/>
      <c r="J162" s="70"/>
      <c r="K162" s="70"/>
      <c r="L162" s="70"/>
      <c r="M162" s="70"/>
      <c r="N162" s="70"/>
      <c r="O162" s="70"/>
      <c r="P162" s="70"/>
      <c r="Q162" s="70"/>
      <c r="R162" s="70"/>
      <c r="S162" s="70"/>
      <c r="T162" s="70"/>
      <c r="U162" s="70"/>
      <c r="V162" s="70"/>
      <c r="W162" s="70"/>
    </row>
    <row r="163">
      <c r="A163" s="70"/>
      <c r="B163" s="70"/>
      <c r="C163" s="70"/>
      <c r="D163" s="70"/>
      <c r="E163" s="66"/>
      <c r="F163" s="70"/>
      <c r="G163" s="70"/>
      <c r="H163" s="70"/>
      <c r="I163" s="70"/>
      <c r="J163" s="70"/>
      <c r="K163" s="70"/>
      <c r="L163" s="70"/>
      <c r="M163" s="70"/>
      <c r="N163" s="70"/>
      <c r="O163" s="70"/>
      <c r="P163" s="70"/>
      <c r="Q163" s="70"/>
      <c r="R163" s="70"/>
      <c r="S163" s="70"/>
      <c r="T163" s="70"/>
      <c r="U163" s="70"/>
      <c r="V163" s="70"/>
      <c r="W163" s="70"/>
    </row>
    <row r="164">
      <c r="A164" s="70"/>
      <c r="B164" s="70"/>
      <c r="C164" s="70"/>
      <c r="D164" s="70"/>
      <c r="E164" s="66"/>
      <c r="F164" s="70"/>
      <c r="G164" s="70"/>
      <c r="H164" s="70"/>
      <c r="I164" s="70"/>
      <c r="J164" s="70"/>
      <c r="K164" s="70"/>
      <c r="L164" s="70"/>
      <c r="M164" s="70"/>
      <c r="N164" s="70"/>
      <c r="O164" s="70"/>
      <c r="P164" s="70"/>
      <c r="Q164" s="70"/>
      <c r="R164" s="70"/>
      <c r="S164" s="70"/>
      <c r="T164" s="70"/>
      <c r="U164" s="70"/>
      <c r="V164" s="70"/>
      <c r="W164" s="70"/>
    </row>
    <row r="165">
      <c r="A165" s="70"/>
      <c r="B165" s="70"/>
      <c r="C165" s="70"/>
      <c r="D165" s="70"/>
      <c r="E165" s="66"/>
      <c r="F165" s="70"/>
      <c r="G165" s="70"/>
      <c r="H165" s="70"/>
      <c r="I165" s="70"/>
      <c r="J165" s="70"/>
      <c r="K165" s="70"/>
      <c r="L165" s="70"/>
      <c r="M165" s="70"/>
      <c r="N165" s="70"/>
      <c r="O165" s="70"/>
      <c r="P165" s="70"/>
      <c r="Q165" s="70"/>
      <c r="R165" s="70"/>
      <c r="S165" s="70"/>
      <c r="T165" s="70"/>
      <c r="U165" s="70"/>
      <c r="V165" s="70"/>
      <c r="W165" s="70"/>
    </row>
    <row r="166">
      <c r="A166" s="70"/>
      <c r="B166" s="70"/>
      <c r="C166" s="70"/>
      <c r="D166" s="70"/>
      <c r="E166" s="66"/>
      <c r="F166" s="70"/>
      <c r="G166" s="70"/>
      <c r="H166" s="70"/>
      <c r="I166" s="70"/>
      <c r="J166" s="70"/>
      <c r="K166" s="70"/>
      <c r="L166" s="70"/>
      <c r="M166" s="70"/>
      <c r="N166" s="70"/>
      <c r="O166" s="70"/>
      <c r="P166" s="70"/>
      <c r="Q166" s="70"/>
      <c r="R166" s="70"/>
      <c r="S166" s="70"/>
      <c r="T166" s="70"/>
      <c r="U166" s="70"/>
      <c r="V166" s="70"/>
      <c r="W166" s="70"/>
    </row>
    <row r="167">
      <c r="A167" s="70"/>
      <c r="B167" s="70"/>
      <c r="C167" s="70"/>
      <c r="D167" s="70"/>
      <c r="E167" s="66"/>
      <c r="F167" s="70"/>
      <c r="G167" s="70"/>
      <c r="H167" s="70"/>
      <c r="I167" s="70"/>
      <c r="J167" s="70"/>
      <c r="K167" s="70"/>
      <c r="L167" s="70"/>
      <c r="M167" s="70"/>
      <c r="N167" s="70"/>
      <c r="O167" s="70"/>
      <c r="P167" s="70"/>
      <c r="Q167" s="70"/>
      <c r="R167" s="70"/>
      <c r="S167" s="70"/>
      <c r="T167" s="70"/>
      <c r="U167" s="70"/>
      <c r="V167" s="70"/>
      <c r="W167" s="70"/>
    </row>
    <row r="168">
      <c r="A168" s="70"/>
      <c r="B168" s="70"/>
      <c r="C168" s="70"/>
      <c r="D168" s="70"/>
      <c r="E168" s="66"/>
      <c r="F168" s="70"/>
      <c r="G168" s="70"/>
      <c r="H168" s="70"/>
      <c r="I168" s="70"/>
      <c r="J168" s="70"/>
      <c r="K168" s="70"/>
      <c r="L168" s="70"/>
      <c r="M168" s="70"/>
      <c r="N168" s="70"/>
      <c r="O168" s="70"/>
      <c r="P168" s="70"/>
      <c r="Q168" s="70"/>
      <c r="R168" s="70"/>
      <c r="S168" s="70"/>
      <c r="T168" s="70"/>
      <c r="U168" s="70"/>
      <c r="V168" s="70"/>
      <c r="W168" s="70"/>
    </row>
    <row r="169">
      <c r="A169" s="70"/>
      <c r="B169" s="70"/>
      <c r="C169" s="70"/>
      <c r="D169" s="70"/>
      <c r="E169" s="66"/>
      <c r="F169" s="70"/>
      <c r="G169" s="70"/>
      <c r="H169" s="70"/>
      <c r="I169" s="70"/>
      <c r="J169" s="70"/>
      <c r="K169" s="70"/>
      <c r="L169" s="70"/>
      <c r="M169" s="70"/>
      <c r="N169" s="70"/>
      <c r="O169" s="70"/>
      <c r="P169" s="70"/>
      <c r="Q169" s="70"/>
      <c r="R169" s="70"/>
      <c r="S169" s="70"/>
      <c r="T169" s="70"/>
      <c r="U169" s="70"/>
      <c r="V169" s="70"/>
      <c r="W169" s="70"/>
    </row>
    <row r="170">
      <c r="A170" s="70"/>
      <c r="B170" s="70"/>
      <c r="C170" s="70"/>
      <c r="D170" s="70"/>
      <c r="E170" s="66"/>
      <c r="F170" s="70"/>
      <c r="G170" s="70"/>
      <c r="H170" s="70"/>
      <c r="I170" s="70"/>
      <c r="J170" s="70"/>
      <c r="K170" s="70"/>
      <c r="L170" s="70"/>
      <c r="M170" s="70"/>
      <c r="N170" s="70"/>
      <c r="O170" s="70"/>
      <c r="P170" s="70"/>
      <c r="Q170" s="70"/>
      <c r="R170" s="70"/>
      <c r="S170" s="70"/>
      <c r="T170" s="70"/>
      <c r="U170" s="70"/>
      <c r="V170" s="70"/>
      <c r="W170" s="70"/>
    </row>
    <row r="171">
      <c r="A171" s="70"/>
      <c r="B171" s="70"/>
      <c r="C171" s="70"/>
      <c r="D171" s="70"/>
      <c r="E171" s="66"/>
      <c r="F171" s="70"/>
      <c r="G171" s="70"/>
      <c r="H171" s="70"/>
      <c r="I171" s="70"/>
      <c r="J171" s="70"/>
      <c r="K171" s="70"/>
      <c r="L171" s="70"/>
      <c r="M171" s="70"/>
      <c r="N171" s="70"/>
      <c r="O171" s="70"/>
      <c r="P171" s="70"/>
      <c r="Q171" s="70"/>
      <c r="R171" s="70"/>
      <c r="S171" s="70"/>
      <c r="T171" s="70"/>
      <c r="U171" s="70"/>
      <c r="V171" s="70"/>
      <c r="W171" s="70"/>
    </row>
    <row r="172">
      <c r="A172" s="70"/>
      <c r="B172" s="70"/>
      <c r="C172" s="70"/>
      <c r="D172" s="70"/>
      <c r="E172" s="66"/>
      <c r="F172" s="70"/>
      <c r="G172" s="70"/>
      <c r="H172" s="70"/>
      <c r="I172" s="70"/>
      <c r="J172" s="70"/>
      <c r="K172" s="70"/>
      <c r="L172" s="70"/>
      <c r="M172" s="70"/>
      <c r="N172" s="70"/>
      <c r="O172" s="70"/>
      <c r="P172" s="70"/>
      <c r="Q172" s="70"/>
      <c r="R172" s="70"/>
      <c r="S172" s="70"/>
      <c r="T172" s="70"/>
      <c r="U172" s="70"/>
      <c r="V172" s="70"/>
      <c r="W172" s="70"/>
    </row>
    <row r="173">
      <c r="A173" s="70"/>
      <c r="B173" s="70"/>
      <c r="C173" s="70"/>
      <c r="D173" s="70"/>
      <c r="E173" s="66"/>
      <c r="F173" s="70"/>
      <c r="G173" s="70"/>
      <c r="H173" s="70"/>
      <c r="I173" s="70"/>
      <c r="J173" s="70"/>
      <c r="K173" s="70"/>
      <c r="L173" s="70"/>
      <c r="M173" s="70"/>
      <c r="N173" s="70"/>
      <c r="O173" s="70"/>
      <c r="P173" s="70"/>
      <c r="Q173" s="70"/>
      <c r="R173" s="70"/>
      <c r="S173" s="70"/>
      <c r="T173" s="70"/>
      <c r="U173" s="70"/>
      <c r="V173" s="70"/>
      <c r="W173" s="70"/>
    </row>
    <row r="174">
      <c r="A174" s="70"/>
      <c r="B174" s="70"/>
      <c r="C174" s="70"/>
      <c r="D174" s="70"/>
      <c r="E174" s="66"/>
      <c r="F174" s="70"/>
      <c r="G174" s="70"/>
      <c r="H174" s="70"/>
      <c r="I174" s="70"/>
      <c r="J174" s="70"/>
      <c r="K174" s="70"/>
      <c r="L174" s="70"/>
      <c r="M174" s="70"/>
      <c r="N174" s="70"/>
      <c r="O174" s="70"/>
      <c r="P174" s="70"/>
      <c r="Q174" s="70"/>
      <c r="R174" s="70"/>
      <c r="S174" s="70"/>
      <c r="T174" s="70"/>
      <c r="U174" s="70"/>
      <c r="V174" s="70"/>
      <c r="W174" s="70"/>
    </row>
    <row r="175">
      <c r="A175" s="70"/>
      <c r="B175" s="70"/>
      <c r="C175" s="70"/>
      <c r="D175" s="70"/>
      <c r="E175" s="66"/>
      <c r="F175" s="70"/>
      <c r="G175" s="70"/>
      <c r="H175" s="70"/>
      <c r="I175" s="70"/>
      <c r="J175" s="70"/>
      <c r="K175" s="70"/>
      <c r="L175" s="70"/>
      <c r="M175" s="70"/>
      <c r="N175" s="70"/>
      <c r="O175" s="70"/>
      <c r="P175" s="70"/>
      <c r="Q175" s="70"/>
      <c r="R175" s="70"/>
      <c r="S175" s="70"/>
      <c r="T175" s="70"/>
      <c r="U175" s="70"/>
      <c r="V175" s="70"/>
      <c r="W175" s="70"/>
    </row>
    <row r="176">
      <c r="A176" s="70"/>
      <c r="B176" s="70"/>
      <c r="C176" s="70"/>
      <c r="D176" s="70"/>
      <c r="E176" s="66"/>
      <c r="F176" s="70"/>
      <c r="G176" s="70"/>
      <c r="H176" s="70"/>
      <c r="I176" s="70"/>
      <c r="J176" s="70"/>
      <c r="K176" s="70"/>
      <c r="L176" s="70"/>
      <c r="M176" s="70"/>
      <c r="N176" s="70"/>
      <c r="O176" s="70"/>
      <c r="P176" s="70"/>
      <c r="Q176" s="70"/>
      <c r="R176" s="70"/>
      <c r="S176" s="70"/>
      <c r="T176" s="70"/>
      <c r="U176" s="70"/>
      <c r="V176" s="70"/>
      <c r="W176" s="70"/>
    </row>
    <row r="177">
      <c r="A177" s="70"/>
      <c r="B177" s="70"/>
      <c r="C177" s="70"/>
      <c r="D177" s="70"/>
      <c r="E177" s="66"/>
      <c r="F177" s="70"/>
      <c r="G177" s="70"/>
      <c r="H177" s="70"/>
      <c r="I177" s="70"/>
      <c r="J177" s="70"/>
      <c r="K177" s="70"/>
      <c r="L177" s="70"/>
      <c r="M177" s="70"/>
      <c r="N177" s="70"/>
      <c r="O177" s="70"/>
      <c r="P177" s="70"/>
      <c r="Q177" s="70"/>
      <c r="R177" s="70"/>
      <c r="S177" s="70"/>
      <c r="T177" s="70"/>
      <c r="U177" s="70"/>
      <c r="V177" s="70"/>
      <c r="W177" s="70"/>
    </row>
    <row r="178">
      <c r="A178" s="70"/>
      <c r="B178" s="70"/>
      <c r="C178" s="70"/>
      <c r="D178" s="70"/>
      <c r="E178" s="66"/>
      <c r="F178" s="70"/>
      <c r="G178" s="70"/>
      <c r="H178" s="70"/>
      <c r="I178" s="70"/>
      <c r="J178" s="70"/>
      <c r="K178" s="70"/>
      <c r="L178" s="70"/>
      <c r="M178" s="70"/>
      <c r="N178" s="70"/>
      <c r="O178" s="70"/>
      <c r="P178" s="70"/>
      <c r="Q178" s="70"/>
      <c r="R178" s="70"/>
      <c r="S178" s="70"/>
      <c r="T178" s="70"/>
      <c r="U178" s="70"/>
      <c r="V178" s="70"/>
      <c r="W178" s="70"/>
    </row>
    <row r="179">
      <c r="A179" s="70"/>
      <c r="B179" s="70"/>
      <c r="C179" s="70"/>
      <c r="D179" s="70"/>
      <c r="E179" s="66"/>
      <c r="F179" s="70"/>
      <c r="G179" s="70"/>
      <c r="H179" s="70"/>
      <c r="I179" s="70"/>
      <c r="J179" s="70"/>
      <c r="K179" s="70"/>
      <c r="L179" s="70"/>
      <c r="M179" s="70"/>
      <c r="N179" s="70"/>
      <c r="O179" s="70"/>
      <c r="P179" s="70"/>
      <c r="Q179" s="70"/>
      <c r="R179" s="70"/>
      <c r="S179" s="70"/>
      <c r="T179" s="70"/>
      <c r="U179" s="70"/>
      <c r="V179" s="70"/>
      <c r="W179" s="70"/>
    </row>
    <row r="180">
      <c r="A180" s="70"/>
      <c r="B180" s="70"/>
      <c r="C180" s="70"/>
      <c r="D180" s="70"/>
      <c r="E180" s="66"/>
      <c r="F180" s="70"/>
      <c r="G180" s="70"/>
      <c r="H180" s="70"/>
      <c r="I180" s="70"/>
      <c r="J180" s="70"/>
      <c r="K180" s="70"/>
      <c r="L180" s="70"/>
      <c r="M180" s="70"/>
      <c r="N180" s="70"/>
      <c r="O180" s="70"/>
      <c r="P180" s="70"/>
      <c r="Q180" s="70"/>
      <c r="R180" s="70"/>
      <c r="S180" s="70"/>
      <c r="T180" s="70"/>
      <c r="U180" s="70"/>
      <c r="V180" s="70"/>
      <c r="W180" s="70"/>
    </row>
    <row r="181">
      <c r="A181" s="70"/>
      <c r="B181" s="70"/>
      <c r="C181" s="70"/>
      <c r="D181" s="70"/>
      <c r="E181" s="66"/>
      <c r="F181" s="70"/>
      <c r="G181" s="70"/>
      <c r="H181" s="70"/>
      <c r="I181" s="70"/>
      <c r="J181" s="70"/>
      <c r="K181" s="70"/>
      <c r="L181" s="70"/>
      <c r="M181" s="70"/>
      <c r="N181" s="70"/>
      <c r="O181" s="70"/>
      <c r="P181" s="70"/>
      <c r="Q181" s="70"/>
      <c r="R181" s="70"/>
      <c r="S181" s="70"/>
      <c r="T181" s="70"/>
      <c r="U181" s="70"/>
      <c r="V181" s="70"/>
      <c r="W181" s="70"/>
    </row>
    <row r="182">
      <c r="A182" s="70"/>
      <c r="B182" s="70"/>
      <c r="C182" s="70"/>
      <c r="D182" s="70"/>
      <c r="E182" s="66"/>
      <c r="F182" s="70"/>
      <c r="G182" s="70"/>
      <c r="H182" s="70"/>
      <c r="I182" s="70"/>
      <c r="J182" s="70"/>
      <c r="K182" s="70"/>
      <c r="L182" s="70"/>
      <c r="M182" s="70"/>
      <c r="N182" s="70"/>
      <c r="O182" s="70"/>
      <c r="P182" s="70"/>
      <c r="Q182" s="70"/>
      <c r="R182" s="70"/>
      <c r="S182" s="70"/>
      <c r="T182" s="70"/>
      <c r="U182" s="70"/>
      <c r="V182" s="70"/>
      <c r="W182" s="70"/>
    </row>
    <row r="183">
      <c r="A183" s="70"/>
      <c r="B183" s="70"/>
      <c r="C183" s="70"/>
      <c r="D183" s="70"/>
      <c r="E183" s="66"/>
      <c r="F183" s="70"/>
      <c r="G183" s="70"/>
      <c r="H183" s="70"/>
      <c r="I183" s="70"/>
      <c r="J183" s="70"/>
      <c r="K183" s="70"/>
      <c r="L183" s="70"/>
      <c r="M183" s="70"/>
      <c r="N183" s="70"/>
      <c r="O183" s="70"/>
      <c r="P183" s="70"/>
      <c r="Q183" s="70"/>
      <c r="R183" s="70"/>
      <c r="S183" s="70"/>
      <c r="T183" s="70"/>
      <c r="U183" s="70"/>
      <c r="V183" s="70"/>
      <c r="W183" s="70"/>
    </row>
    <row r="184">
      <c r="A184" s="70"/>
      <c r="B184" s="70"/>
      <c r="C184" s="70"/>
      <c r="D184" s="70"/>
      <c r="E184" s="66"/>
      <c r="F184" s="70"/>
      <c r="G184" s="70"/>
      <c r="H184" s="70"/>
      <c r="I184" s="70"/>
      <c r="J184" s="70"/>
      <c r="K184" s="70"/>
      <c r="L184" s="70"/>
      <c r="M184" s="70"/>
      <c r="N184" s="70"/>
      <c r="O184" s="70"/>
      <c r="P184" s="70"/>
      <c r="Q184" s="70"/>
      <c r="R184" s="70"/>
      <c r="S184" s="70"/>
      <c r="T184" s="70"/>
      <c r="U184" s="70"/>
      <c r="V184" s="70"/>
      <c r="W184" s="70"/>
    </row>
    <row r="185">
      <c r="A185" s="70"/>
      <c r="B185" s="70"/>
      <c r="C185" s="70"/>
      <c r="D185" s="70"/>
      <c r="E185" s="66"/>
      <c r="F185" s="70"/>
      <c r="G185" s="70"/>
      <c r="H185" s="70"/>
      <c r="I185" s="70"/>
      <c r="J185" s="70"/>
      <c r="K185" s="70"/>
      <c r="L185" s="70"/>
      <c r="M185" s="70"/>
      <c r="N185" s="70"/>
      <c r="O185" s="70"/>
      <c r="P185" s="70"/>
      <c r="Q185" s="70"/>
      <c r="R185" s="70"/>
      <c r="S185" s="70"/>
      <c r="T185" s="70"/>
      <c r="U185" s="70"/>
      <c r="V185" s="70"/>
      <c r="W185" s="70"/>
    </row>
    <row r="186">
      <c r="A186" s="70"/>
      <c r="B186" s="70"/>
      <c r="C186" s="70"/>
      <c r="D186" s="70"/>
      <c r="E186" s="66"/>
      <c r="F186" s="70"/>
      <c r="G186" s="70"/>
      <c r="H186" s="70"/>
      <c r="I186" s="70"/>
      <c r="J186" s="70"/>
      <c r="K186" s="70"/>
      <c r="L186" s="70"/>
      <c r="M186" s="70"/>
      <c r="N186" s="70"/>
      <c r="O186" s="70"/>
      <c r="P186" s="70"/>
      <c r="Q186" s="70"/>
      <c r="R186" s="70"/>
      <c r="S186" s="70"/>
      <c r="T186" s="70"/>
      <c r="U186" s="70"/>
      <c r="V186" s="70"/>
      <c r="W186" s="70"/>
    </row>
    <row r="187">
      <c r="A187" s="70"/>
      <c r="B187" s="70"/>
      <c r="C187" s="70"/>
      <c r="D187" s="70"/>
      <c r="E187" s="66"/>
      <c r="F187" s="70"/>
      <c r="G187" s="70"/>
      <c r="H187" s="70"/>
      <c r="I187" s="70"/>
      <c r="J187" s="70"/>
      <c r="K187" s="70"/>
      <c r="L187" s="70"/>
      <c r="M187" s="70"/>
      <c r="N187" s="70"/>
      <c r="O187" s="70"/>
      <c r="P187" s="70"/>
      <c r="Q187" s="70"/>
      <c r="R187" s="70"/>
      <c r="S187" s="70"/>
      <c r="T187" s="70"/>
      <c r="U187" s="70"/>
      <c r="V187" s="70"/>
      <c r="W187" s="70"/>
    </row>
    <row r="188">
      <c r="A188" s="70"/>
      <c r="B188" s="70"/>
      <c r="C188" s="70"/>
      <c r="D188" s="70"/>
      <c r="E188" s="66"/>
      <c r="F188" s="70"/>
      <c r="G188" s="70"/>
      <c r="H188" s="70"/>
      <c r="I188" s="70"/>
      <c r="J188" s="70"/>
      <c r="K188" s="70"/>
      <c r="L188" s="70"/>
      <c r="M188" s="70"/>
      <c r="N188" s="70"/>
      <c r="O188" s="70"/>
      <c r="P188" s="70"/>
      <c r="Q188" s="70"/>
      <c r="R188" s="70"/>
      <c r="S188" s="70"/>
      <c r="T188" s="70"/>
      <c r="U188" s="70"/>
      <c r="V188" s="70"/>
      <c r="W188" s="70"/>
    </row>
    <row r="189">
      <c r="A189" s="70"/>
      <c r="B189" s="70"/>
      <c r="C189" s="70"/>
      <c r="D189" s="70"/>
      <c r="E189" s="66"/>
      <c r="F189" s="70"/>
      <c r="G189" s="70"/>
      <c r="H189" s="70"/>
      <c r="I189" s="70"/>
      <c r="J189" s="70"/>
      <c r="K189" s="70"/>
      <c r="L189" s="70"/>
      <c r="M189" s="70"/>
      <c r="N189" s="70"/>
      <c r="O189" s="70"/>
      <c r="P189" s="70"/>
      <c r="Q189" s="70"/>
      <c r="R189" s="70"/>
      <c r="S189" s="70"/>
      <c r="T189" s="70"/>
      <c r="U189" s="70"/>
      <c r="V189" s="70"/>
      <c r="W189" s="70"/>
    </row>
    <row r="190">
      <c r="A190" s="70"/>
      <c r="B190" s="70"/>
      <c r="C190" s="70"/>
      <c r="D190" s="70"/>
      <c r="E190" s="66"/>
      <c r="F190" s="70"/>
      <c r="G190" s="70"/>
      <c r="H190" s="70"/>
      <c r="I190" s="70"/>
      <c r="J190" s="70"/>
      <c r="K190" s="70"/>
      <c r="L190" s="70"/>
      <c r="M190" s="70"/>
      <c r="N190" s="70"/>
      <c r="O190" s="70"/>
      <c r="P190" s="70"/>
      <c r="Q190" s="70"/>
      <c r="R190" s="70"/>
      <c r="S190" s="70"/>
      <c r="T190" s="70"/>
      <c r="U190" s="70"/>
      <c r="V190" s="70"/>
      <c r="W190" s="70"/>
    </row>
    <row r="191">
      <c r="A191" s="70"/>
      <c r="B191" s="70"/>
      <c r="C191" s="70"/>
      <c r="D191" s="70"/>
      <c r="E191" s="66"/>
      <c r="F191" s="70"/>
      <c r="G191" s="70"/>
      <c r="H191" s="70"/>
      <c r="I191" s="70"/>
      <c r="J191" s="70"/>
      <c r="K191" s="70"/>
      <c r="L191" s="70"/>
      <c r="M191" s="70"/>
      <c r="N191" s="70"/>
      <c r="O191" s="70"/>
      <c r="P191" s="70"/>
      <c r="Q191" s="70"/>
      <c r="R191" s="70"/>
      <c r="S191" s="70"/>
      <c r="T191" s="70"/>
      <c r="U191" s="70"/>
      <c r="V191" s="70"/>
      <c r="W191" s="70"/>
    </row>
    <row r="192">
      <c r="A192" s="70"/>
      <c r="B192" s="70"/>
      <c r="C192" s="70"/>
      <c r="D192" s="70"/>
      <c r="E192" s="66"/>
      <c r="F192" s="70"/>
      <c r="G192" s="70"/>
      <c r="H192" s="70"/>
      <c r="I192" s="70"/>
      <c r="J192" s="70"/>
      <c r="K192" s="70"/>
      <c r="L192" s="70"/>
      <c r="M192" s="70"/>
      <c r="N192" s="70"/>
      <c r="O192" s="70"/>
      <c r="P192" s="70"/>
      <c r="Q192" s="70"/>
      <c r="R192" s="70"/>
      <c r="S192" s="70"/>
      <c r="T192" s="70"/>
      <c r="U192" s="70"/>
      <c r="V192" s="70"/>
      <c r="W192" s="70"/>
    </row>
    <row r="193">
      <c r="A193" s="70"/>
      <c r="B193" s="70"/>
      <c r="C193" s="70"/>
      <c r="D193" s="70"/>
      <c r="E193" s="66"/>
      <c r="F193" s="70"/>
      <c r="G193" s="70"/>
      <c r="H193" s="70"/>
      <c r="I193" s="70"/>
      <c r="J193" s="70"/>
      <c r="K193" s="70"/>
      <c r="L193" s="70"/>
      <c r="M193" s="70"/>
      <c r="N193" s="70"/>
      <c r="O193" s="70"/>
      <c r="P193" s="70"/>
      <c r="Q193" s="70"/>
      <c r="R193" s="70"/>
      <c r="S193" s="70"/>
      <c r="T193" s="70"/>
      <c r="U193" s="70"/>
      <c r="V193" s="70"/>
      <c r="W193" s="70"/>
    </row>
    <row r="194">
      <c r="A194" s="70"/>
      <c r="B194" s="70"/>
      <c r="C194" s="70"/>
      <c r="D194" s="70"/>
      <c r="E194" s="66"/>
      <c r="F194" s="70"/>
      <c r="G194" s="70"/>
      <c r="H194" s="70"/>
      <c r="I194" s="70"/>
      <c r="J194" s="70"/>
      <c r="K194" s="70"/>
      <c r="L194" s="70"/>
      <c r="M194" s="70"/>
      <c r="N194" s="70"/>
      <c r="O194" s="70"/>
      <c r="P194" s="70"/>
      <c r="Q194" s="70"/>
      <c r="R194" s="70"/>
      <c r="S194" s="70"/>
      <c r="T194" s="70"/>
      <c r="U194" s="70"/>
      <c r="V194" s="70"/>
      <c r="W194" s="70"/>
    </row>
    <row r="195">
      <c r="A195" s="70"/>
      <c r="B195" s="70"/>
      <c r="C195" s="70"/>
      <c r="D195" s="70"/>
      <c r="E195" s="66"/>
      <c r="F195" s="70"/>
      <c r="G195" s="70"/>
      <c r="H195" s="70"/>
      <c r="I195" s="70"/>
      <c r="J195" s="70"/>
      <c r="K195" s="70"/>
      <c r="L195" s="70"/>
      <c r="M195" s="70"/>
      <c r="N195" s="70"/>
      <c r="O195" s="70"/>
      <c r="P195" s="70"/>
      <c r="Q195" s="70"/>
      <c r="R195" s="70"/>
      <c r="S195" s="70"/>
      <c r="T195" s="70"/>
      <c r="U195" s="70"/>
      <c r="V195" s="70"/>
      <c r="W195" s="70"/>
    </row>
    <row r="196">
      <c r="A196" s="70"/>
      <c r="B196" s="70"/>
      <c r="C196" s="70"/>
      <c r="D196" s="70"/>
      <c r="E196" s="66"/>
      <c r="F196" s="70"/>
      <c r="G196" s="70"/>
      <c r="H196" s="70"/>
      <c r="I196" s="70"/>
      <c r="J196" s="70"/>
      <c r="K196" s="70"/>
      <c r="L196" s="70"/>
      <c r="M196" s="70"/>
      <c r="N196" s="70"/>
      <c r="O196" s="70"/>
      <c r="P196" s="70"/>
      <c r="Q196" s="70"/>
      <c r="R196" s="70"/>
      <c r="S196" s="70"/>
      <c r="T196" s="70"/>
      <c r="U196" s="70"/>
      <c r="V196" s="70"/>
      <c r="W196" s="70"/>
    </row>
    <row r="197">
      <c r="A197" s="70"/>
      <c r="B197" s="70"/>
      <c r="C197" s="70"/>
      <c r="D197" s="70"/>
      <c r="E197" s="66"/>
      <c r="F197" s="70"/>
      <c r="G197" s="70"/>
      <c r="H197" s="70"/>
      <c r="I197" s="70"/>
      <c r="J197" s="70"/>
      <c r="K197" s="70"/>
      <c r="L197" s="70"/>
      <c r="M197" s="70"/>
      <c r="N197" s="70"/>
      <c r="O197" s="70"/>
      <c r="P197" s="70"/>
      <c r="Q197" s="70"/>
      <c r="R197" s="70"/>
      <c r="S197" s="70"/>
      <c r="T197" s="70"/>
      <c r="U197" s="70"/>
      <c r="V197" s="70"/>
      <c r="W197" s="70"/>
    </row>
    <row r="198">
      <c r="A198" s="70"/>
      <c r="B198" s="70"/>
      <c r="C198" s="70"/>
      <c r="D198" s="70"/>
      <c r="E198" s="66"/>
      <c r="F198" s="70"/>
      <c r="G198" s="70"/>
      <c r="H198" s="70"/>
      <c r="I198" s="70"/>
      <c r="J198" s="70"/>
      <c r="K198" s="70"/>
      <c r="L198" s="70"/>
      <c r="M198" s="70"/>
      <c r="N198" s="70"/>
      <c r="O198" s="70"/>
      <c r="P198" s="70"/>
      <c r="Q198" s="70"/>
      <c r="R198" s="70"/>
      <c r="S198" s="70"/>
      <c r="T198" s="70"/>
      <c r="U198" s="70"/>
      <c r="V198" s="70"/>
      <c r="W198" s="70"/>
    </row>
    <row r="199">
      <c r="A199" s="70"/>
      <c r="B199" s="70"/>
      <c r="C199" s="70"/>
      <c r="D199" s="70"/>
      <c r="E199" s="66"/>
      <c r="F199" s="70"/>
      <c r="G199" s="70"/>
      <c r="H199" s="70"/>
      <c r="I199" s="70"/>
      <c r="J199" s="70"/>
      <c r="K199" s="70"/>
      <c r="L199" s="70"/>
      <c r="M199" s="70"/>
      <c r="N199" s="70"/>
      <c r="O199" s="70"/>
      <c r="P199" s="70"/>
      <c r="Q199" s="70"/>
      <c r="R199" s="70"/>
      <c r="S199" s="70"/>
      <c r="T199" s="70"/>
      <c r="U199" s="70"/>
      <c r="V199" s="70"/>
      <c r="W199" s="70"/>
    </row>
    <row r="200">
      <c r="A200" s="70"/>
      <c r="B200" s="70"/>
      <c r="C200" s="70"/>
      <c r="D200" s="70"/>
      <c r="E200" s="66"/>
      <c r="F200" s="70"/>
      <c r="G200" s="70"/>
      <c r="H200" s="70"/>
      <c r="I200" s="70"/>
      <c r="J200" s="70"/>
      <c r="K200" s="70"/>
      <c r="L200" s="70"/>
      <c r="M200" s="70"/>
      <c r="N200" s="70"/>
      <c r="O200" s="70"/>
      <c r="P200" s="70"/>
      <c r="Q200" s="70"/>
      <c r="R200" s="70"/>
      <c r="S200" s="70"/>
      <c r="T200" s="70"/>
      <c r="U200" s="70"/>
      <c r="V200" s="70"/>
      <c r="W200" s="70"/>
    </row>
    <row r="201">
      <c r="A201" s="70"/>
      <c r="B201" s="70"/>
      <c r="C201" s="70"/>
      <c r="D201" s="70"/>
      <c r="E201" s="66"/>
      <c r="F201" s="70"/>
      <c r="G201" s="70"/>
      <c r="H201" s="70"/>
      <c r="I201" s="70"/>
      <c r="J201" s="70"/>
      <c r="K201" s="70"/>
      <c r="L201" s="70"/>
      <c r="M201" s="70"/>
      <c r="N201" s="70"/>
      <c r="O201" s="70"/>
      <c r="P201" s="70"/>
      <c r="Q201" s="70"/>
      <c r="R201" s="70"/>
      <c r="S201" s="70"/>
      <c r="T201" s="70"/>
      <c r="U201" s="70"/>
      <c r="V201" s="70"/>
      <c r="W201" s="70"/>
    </row>
    <row r="202">
      <c r="A202" s="70"/>
      <c r="B202" s="70"/>
      <c r="C202" s="70"/>
      <c r="D202" s="70"/>
      <c r="E202" s="66"/>
      <c r="F202" s="70"/>
      <c r="G202" s="70"/>
      <c r="H202" s="70"/>
      <c r="I202" s="70"/>
      <c r="J202" s="70"/>
      <c r="K202" s="70"/>
      <c r="L202" s="70"/>
      <c r="M202" s="70"/>
      <c r="N202" s="70"/>
      <c r="O202" s="70"/>
      <c r="P202" s="70"/>
      <c r="Q202" s="70"/>
      <c r="R202" s="70"/>
      <c r="S202" s="70"/>
      <c r="T202" s="70"/>
      <c r="U202" s="70"/>
      <c r="V202" s="70"/>
      <c r="W202" s="70"/>
    </row>
    <row r="203">
      <c r="A203" s="70"/>
      <c r="B203" s="70"/>
      <c r="C203" s="70"/>
      <c r="D203" s="70"/>
      <c r="E203" s="66"/>
      <c r="F203" s="70"/>
      <c r="G203" s="70"/>
      <c r="H203" s="70"/>
      <c r="I203" s="70"/>
      <c r="J203" s="70"/>
      <c r="K203" s="70"/>
      <c r="L203" s="70"/>
      <c r="M203" s="70"/>
      <c r="N203" s="70"/>
      <c r="O203" s="70"/>
      <c r="P203" s="70"/>
      <c r="Q203" s="70"/>
      <c r="R203" s="70"/>
      <c r="S203" s="70"/>
      <c r="T203" s="70"/>
      <c r="U203" s="70"/>
      <c r="V203" s="70"/>
      <c r="W203" s="70"/>
    </row>
    <row r="204">
      <c r="A204" s="70"/>
      <c r="B204" s="70"/>
      <c r="C204" s="70"/>
      <c r="D204" s="70"/>
      <c r="E204" s="66"/>
      <c r="F204" s="70"/>
      <c r="G204" s="70"/>
      <c r="H204" s="70"/>
      <c r="I204" s="70"/>
      <c r="J204" s="70"/>
      <c r="K204" s="70"/>
      <c r="L204" s="70"/>
      <c r="M204" s="70"/>
      <c r="N204" s="70"/>
      <c r="O204" s="70"/>
      <c r="P204" s="70"/>
      <c r="Q204" s="70"/>
      <c r="R204" s="70"/>
      <c r="S204" s="70"/>
      <c r="T204" s="70"/>
      <c r="U204" s="70"/>
      <c r="V204" s="70"/>
      <c r="W204" s="70"/>
    </row>
    <row r="205">
      <c r="A205" s="70"/>
      <c r="B205" s="70"/>
      <c r="C205" s="70"/>
      <c r="D205" s="70"/>
      <c r="E205" s="66"/>
      <c r="F205" s="70"/>
      <c r="G205" s="70"/>
      <c r="H205" s="70"/>
      <c r="I205" s="70"/>
      <c r="J205" s="70"/>
      <c r="K205" s="70"/>
      <c r="L205" s="70"/>
      <c r="M205" s="70"/>
      <c r="N205" s="70"/>
      <c r="O205" s="70"/>
      <c r="P205" s="70"/>
      <c r="Q205" s="70"/>
      <c r="R205" s="70"/>
      <c r="S205" s="70"/>
      <c r="T205" s="70"/>
      <c r="U205" s="70"/>
      <c r="V205" s="70"/>
      <c r="W205" s="70"/>
    </row>
    <row r="206">
      <c r="A206" s="70"/>
      <c r="B206" s="70"/>
      <c r="C206" s="70"/>
      <c r="D206" s="70"/>
      <c r="E206" s="66"/>
      <c r="F206" s="70"/>
      <c r="G206" s="70"/>
      <c r="H206" s="70"/>
      <c r="I206" s="70"/>
      <c r="J206" s="70"/>
      <c r="K206" s="70"/>
      <c r="L206" s="70"/>
      <c r="M206" s="70"/>
      <c r="N206" s="70"/>
      <c r="O206" s="70"/>
      <c r="P206" s="70"/>
      <c r="Q206" s="70"/>
      <c r="R206" s="70"/>
      <c r="S206" s="70"/>
      <c r="T206" s="70"/>
      <c r="U206" s="70"/>
      <c r="V206" s="70"/>
      <c r="W206" s="70"/>
    </row>
    <row r="207">
      <c r="A207" s="70"/>
      <c r="B207" s="70"/>
      <c r="C207" s="70"/>
      <c r="D207" s="70"/>
      <c r="E207" s="66"/>
      <c r="F207" s="70"/>
      <c r="G207" s="70"/>
      <c r="H207" s="70"/>
      <c r="I207" s="70"/>
      <c r="J207" s="70"/>
      <c r="K207" s="70"/>
      <c r="L207" s="70"/>
      <c r="M207" s="70"/>
      <c r="N207" s="70"/>
      <c r="O207" s="70"/>
      <c r="P207" s="70"/>
      <c r="Q207" s="70"/>
      <c r="R207" s="70"/>
      <c r="S207" s="70"/>
      <c r="T207" s="70"/>
      <c r="U207" s="70"/>
      <c r="V207" s="70"/>
      <c r="W207" s="70"/>
    </row>
    <row r="208">
      <c r="A208" s="70"/>
      <c r="B208" s="70"/>
      <c r="C208" s="70"/>
      <c r="D208" s="70"/>
      <c r="E208" s="66"/>
      <c r="F208" s="70"/>
      <c r="G208" s="70"/>
      <c r="H208" s="70"/>
      <c r="I208" s="70"/>
      <c r="J208" s="70"/>
      <c r="K208" s="70"/>
      <c r="L208" s="70"/>
      <c r="M208" s="70"/>
      <c r="N208" s="70"/>
      <c r="O208" s="70"/>
      <c r="P208" s="70"/>
      <c r="Q208" s="70"/>
      <c r="R208" s="70"/>
      <c r="S208" s="70"/>
      <c r="T208" s="70"/>
      <c r="U208" s="70"/>
      <c r="V208" s="70"/>
      <c r="W208" s="70"/>
    </row>
    <row r="209">
      <c r="A209" s="70"/>
      <c r="B209" s="70"/>
      <c r="C209" s="70"/>
      <c r="D209" s="70"/>
      <c r="E209" s="66"/>
      <c r="F209" s="70"/>
      <c r="G209" s="70"/>
      <c r="H209" s="70"/>
      <c r="I209" s="70"/>
      <c r="J209" s="70"/>
      <c r="K209" s="70"/>
      <c r="L209" s="70"/>
      <c r="M209" s="70"/>
      <c r="N209" s="70"/>
      <c r="O209" s="70"/>
      <c r="P209" s="70"/>
      <c r="Q209" s="70"/>
      <c r="R209" s="70"/>
      <c r="S209" s="70"/>
      <c r="T209" s="70"/>
      <c r="U209" s="70"/>
      <c r="V209" s="70"/>
      <c r="W209" s="70"/>
    </row>
    <row r="210">
      <c r="A210" s="70"/>
      <c r="B210" s="70"/>
      <c r="C210" s="70"/>
      <c r="D210" s="70"/>
      <c r="E210" s="66"/>
      <c r="F210" s="70"/>
      <c r="G210" s="70"/>
      <c r="H210" s="70"/>
      <c r="I210" s="70"/>
      <c r="J210" s="70"/>
      <c r="K210" s="70"/>
      <c r="L210" s="70"/>
      <c r="M210" s="70"/>
      <c r="N210" s="70"/>
      <c r="O210" s="70"/>
      <c r="P210" s="70"/>
      <c r="Q210" s="70"/>
      <c r="R210" s="70"/>
      <c r="S210" s="70"/>
      <c r="T210" s="70"/>
      <c r="U210" s="70"/>
      <c r="V210" s="70"/>
      <c r="W210" s="70"/>
    </row>
    <row r="211">
      <c r="A211" s="70"/>
      <c r="B211" s="70"/>
      <c r="C211" s="70"/>
      <c r="D211" s="70"/>
      <c r="E211" s="66"/>
      <c r="F211" s="70"/>
      <c r="G211" s="70"/>
      <c r="H211" s="70"/>
      <c r="I211" s="70"/>
      <c r="J211" s="70"/>
      <c r="K211" s="70"/>
      <c r="L211" s="70"/>
      <c r="M211" s="70"/>
      <c r="N211" s="70"/>
      <c r="O211" s="70"/>
      <c r="P211" s="70"/>
      <c r="Q211" s="70"/>
      <c r="R211" s="70"/>
      <c r="S211" s="70"/>
      <c r="T211" s="70"/>
      <c r="U211" s="70"/>
      <c r="V211" s="70"/>
      <c r="W211" s="70"/>
    </row>
    <row r="212">
      <c r="A212" s="70"/>
      <c r="B212" s="70"/>
      <c r="C212" s="70"/>
      <c r="D212" s="70"/>
      <c r="E212" s="66"/>
      <c r="F212" s="70"/>
      <c r="G212" s="70"/>
      <c r="H212" s="70"/>
      <c r="I212" s="70"/>
      <c r="J212" s="70"/>
      <c r="K212" s="70"/>
      <c r="L212" s="70"/>
      <c r="M212" s="70"/>
      <c r="N212" s="70"/>
      <c r="O212" s="70"/>
      <c r="P212" s="70"/>
      <c r="Q212" s="70"/>
      <c r="R212" s="70"/>
      <c r="S212" s="70"/>
      <c r="T212" s="70"/>
      <c r="U212" s="70"/>
      <c r="V212" s="70"/>
      <c r="W212" s="70"/>
    </row>
    <row r="213">
      <c r="A213" s="70"/>
      <c r="B213" s="70"/>
      <c r="C213" s="70"/>
      <c r="D213" s="70"/>
      <c r="E213" s="66"/>
      <c r="F213" s="70"/>
      <c r="G213" s="70"/>
      <c r="H213" s="70"/>
      <c r="I213" s="70"/>
      <c r="J213" s="70"/>
      <c r="K213" s="70"/>
      <c r="L213" s="70"/>
      <c r="M213" s="70"/>
      <c r="N213" s="70"/>
      <c r="O213" s="70"/>
      <c r="P213" s="70"/>
      <c r="Q213" s="70"/>
      <c r="R213" s="70"/>
      <c r="S213" s="70"/>
      <c r="T213" s="70"/>
      <c r="U213" s="70"/>
      <c r="V213" s="70"/>
      <c r="W213" s="70"/>
    </row>
    <row r="214">
      <c r="A214" s="70"/>
      <c r="B214" s="70"/>
      <c r="C214" s="70"/>
      <c r="D214" s="70"/>
      <c r="E214" s="66"/>
      <c r="F214" s="70"/>
      <c r="G214" s="70"/>
      <c r="H214" s="70"/>
      <c r="I214" s="70"/>
      <c r="J214" s="70"/>
      <c r="K214" s="70"/>
      <c r="L214" s="70"/>
      <c r="M214" s="70"/>
      <c r="N214" s="70"/>
      <c r="O214" s="70"/>
      <c r="P214" s="70"/>
      <c r="Q214" s="70"/>
      <c r="R214" s="70"/>
      <c r="S214" s="70"/>
      <c r="T214" s="70"/>
      <c r="U214" s="70"/>
      <c r="V214" s="70"/>
      <c r="W214" s="70"/>
    </row>
    <row r="215">
      <c r="A215" s="70"/>
      <c r="B215" s="70"/>
      <c r="C215" s="70"/>
      <c r="D215" s="70"/>
      <c r="E215" s="66"/>
      <c r="F215" s="70"/>
      <c r="G215" s="70"/>
      <c r="H215" s="70"/>
      <c r="I215" s="70"/>
      <c r="J215" s="70"/>
      <c r="K215" s="70"/>
      <c r="L215" s="70"/>
      <c r="M215" s="70"/>
      <c r="N215" s="70"/>
      <c r="O215" s="70"/>
      <c r="P215" s="70"/>
      <c r="Q215" s="70"/>
      <c r="R215" s="70"/>
      <c r="S215" s="70"/>
      <c r="T215" s="70"/>
      <c r="U215" s="70"/>
      <c r="V215" s="70"/>
      <c r="W215" s="70"/>
    </row>
    <row r="216">
      <c r="A216" s="70"/>
      <c r="B216" s="70"/>
      <c r="C216" s="70"/>
      <c r="D216" s="70"/>
      <c r="E216" s="66"/>
      <c r="F216" s="70"/>
      <c r="G216" s="70"/>
      <c r="H216" s="70"/>
      <c r="I216" s="70"/>
      <c r="J216" s="70"/>
      <c r="K216" s="70"/>
      <c r="L216" s="70"/>
      <c r="M216" s="70"/>
      <c r="N216" s="70"/>
      <c r="O216" s="70"/>
      <c r="P216" s="70"/>
      <c r="Q216" s="70"/>
      <c r="R216" s="70"/>
      <c r="S216" s="70"/>
      <c r="T216" s="70"/>
      <c r="U216" s="70"/>
      <c r="V216" s="70"/>
      <c r="W216" s="70"/>
    </row>
    <row r="217">
      <c r="A217" s="70"/>
      <c r="B217" s="70"/>
      <c r="C217" s="70"/>
      <c r="D217" s="70"/>
      <c r="E217" s="66"/>
      <c r="F217" s="70"/>
      <c r="G217" s="70"/>
      <c r="H217" s="70"/>
      <c r="I217" s="70"/>
      <c r="J217" s="70"/>
      <c r="K217" s="70"/>
      <c r="L217" s="70"/>
      <c r="M217" s="70"/>
      <c r="N217" s="70"/>
      <c r="O217" s="70"/>
      <c r="P217" s="70"/>
      <c r="Q217" s="70"/>
      <c r="R217" s="70"/>
      <c r="S217" s="70"/>
      <c r="T217" s="70"/>
      <c r="U217" s="70"/>
      <c r="V217" s="70"/>
      <c r="W217" s="70"/>
    </row>
    <row r="218">
      <c r="A218" s="70"/>
      <c r="B218" s="70"/>
      <c r="C218" s="70"/>
      <c r="D218" s="70"/>
      <c r="E218" s="66"/>
      <c r="F218" s="70"/>
      <c r="G218" s="70"/>
      <c r="H218" s="70"/>
      <c r="I218" s="70"/>
      <c r="J218" s="70"/>
      <c r="K218" s="70"/>
      <c r="L218" s="70"/>
      <c r="M218" s="70"/>
      <c r="N218" s="70"/>
      <c r="O218" s="70"/>
      <c r="P218" s="70"/>
      <c r="Q218" s="70"/>
      <c r="R218" s="70"/>
      <c r="S218" s="70"/>
      <c r="T218" s="70"/>
      <c r="U218" s="70"/>
      <c r="V218" s="70"/>
      <c r="W218" s="70"/>
    </row>
    <row r="219">
      <c r="A219" s="70"/>
      <c r="B219" s="70"/>
      <c r="C219" s="70"/>
      <c r="D219" s="70"/>
      <c r="E219" s="66"/>
      <c r="F219" s="70"/>
      <c r="G219" s="70"/>
      <c r="H219" s="70"/>
      <c r="I219" s="70"/>
      <c r="J219" s="70"/>
      <c r="K219" s="70"/>
      <c r="L219" s="70"/>
      <c r="M219" s="70"/>
      <c r="N219" s="70"/>
      <c r="O219" s="70"/>
      <c r="P219" s="70"/>
      <c r="Q219" s="70"/>
      <c r="R219" s="70"/>
      <c r="S219" s="70"/>
      <c r="T219" s="70"/>
      <c r="U219" s="70"/>
      <c r="V219" s="70"/>
      <c r="W219" s="70"/>
    </row>
    <row r="220">
      <c r="A220" s="70"/>
      <c r="B220" s="70"/>
      <c r="C220" s="70"/>
      <c r="D220" s="70"/>
      <c r="E220" s="66"/>
      <c r="F220" s="70"/>
      <c r="G220" s="70"/>
      <c r="H220" s="70"/>
      <c r="I220" s="70"/>
      <c r="J220" s="70"/>
      <c r="K220" s="70"/>
      <c r="L220" s="70"/>
      <c r="M220" s="70"/>
      <c r="N220" s="70"/>
      <c r="O220" s="70"/>
      <c r="P220" s="70"/>
      <c r="Q220" s="70"/>
      <c r="R220" s="70"/>
      <c r="S220" s="70"/>
      <c r="T220" s="70"/>
      <c r="U220" s="70"/>
      <c r="V220" s="70"/>
      <c r="W220" s="70"/>
    </row>
    <row r="221">
      <c r="A221" s="70"/>
      <c r="B221" s="70"/>
      <c r="C221" s="70"/>
      <c r="D221" s="70"/>
      <c r="E221" s="66"/>
      <c r="F221" s="70"/>
      <c r="G221" s="70"/>
      <c r="H221" s="70"/>
      <c r="I221" s="70"/>
      <c r="J221" s="70"/>
      <c r="K221" s="70"/>
      <c r="L221" s="70"/>
      <c r="M221" s="70"/>
      <c r="N221" s="70"/>
      <c r="O221" s="70"/>
      <c r="P221" s="70"/>
      <c r="Q221" s="70"/>
      <c r="R221" s="70"/>
      <c r="S221" s="70"/>
      <c r="T221" s="70"/>
      <c r="U221" s="70"/>
      <c r="V221" s="70"/>
      <c r="W221" s="70"/>
    </row>
    <row r="222">
      <c r="A222" s="70"/>
      <c r="B222" s="70"/>
      <c r="C222" s="70"/>
      <c r="D222" s="70"/>
      <c r="E222" s="66"/>
      <c r="F222" s="70"/>
      <c r="G222" s="70"/>
      <c r="H222" s="70"/>
      <c r="I222" s="70"/>
      <c r="J222" s="70"/>
      <c r="K222" s="70"/>
      <c r="L222" s="70"/>
      <c r="M222" s="70"/>
      <c r="N222" s="70"/>
      <c r="O222" s="70"/>
      <c r="P222" s="70"/>
      <c r="Q222" s="70"/>
      <c r="R222" s="70"/>
      <c r="S222" s="70"/>
      <c r="T222" s="70"/>
      <c r="U222" s="70"/>
      <c r="V222" s="70"/>
      <c r="W222" s="70"/>
    </row>
    <row r="223">
      <c r="A223" s="70"/>
      <c r="B223" s="70"/>
      <c r="C223" s="70"/>
      <c r="D223" s="70"/>
      <c r="E223" s="66"/>
      <c r="F223" s="70"/>
      <c r="G223" s="70"/>
      <c r="H223" s="70"/>
      <c r="I223" s="70"/>
      <c r="J223" s="70"/>
      <c r="K223" s="70"/>
      <c r="L223" s="70"/>
      <c r="M223" s="70"/>
      <c r="N223" s="70"/>
      <c r="O223" s="70"/>
      <c r="P223" s="70"/>
      <c r="Q223" s="70"/>
      <c r="R223" s="70"/>
      <c r="S223" s="70"/>
      <c r="T223" s="70"/>
      <c r="U223" s="70"/>
      <c r="V223" s="70"/>
      <c r="W223" s="70"/>
    </row>
    <row r="224">
      <c r="A224" s="70"/>
      <c r="B224" s="70"/>
      <c r="C224" s="70"/>
      <c r="D224" s="70"/>
      <c r="E224" s="66"/>
      <c r="F224" s="70"/>
      <c r="G224" s="70"/>
      <c r="H224" s="70"/>
      <c r="I224" s="70"/>
      <c r="J224" s="70"/>
      <c r="K224" s="70"/>
      <c r="L224" s="70"/>
      <c r="M224" s="70"/>
      <c r="N224" s="70"/>
      <c r="O224" s="70"/>
      <c r="P224" s="70"/>
      <c r="Q224" s="70"/>
      <c r="R224" s="70"/>
      <c r="S224" s="70"/>
      <c r="T224" s="70"/>
      <c r="U224" s="70"/>
      <c r="V224" s="70"/>
      <c r="W224" s="70"/>
    </row>
    <row r="225">
      <c r="A225" s="70"/>
      <c r="B225" s="70"/>
      <c r="C225" s="70"/>
      <c r="D225" s="70"/>
      <c r="E225" s="66"/>
      <c r="F225" s="70"/>
      <c r="G225" s="70"/>
      <c r="H225" s="70"/>
      <c r="I225" s="70"/>
      <c r="J225" s="70"/>
      <c r="K225" s="70"/>
      <c r="L225" s="70"/>
      <c r="M225" s="70"/>
      <c r="N225" s="70"/>
      <c r="O225" s="70"/>
      <c r="P225" s="70"/>
      <c r="Q225" s="70"/>
      <c r="R225" s="70"/>
      <c r="S225" s="70"/>
      <c r="T225" s="70"/>
      <c r="U225" s="70"/>
      <c r="V225" s="70"/>
      <c r="W225" s="70"/>
    </row>
    <row r="226">
      <c r="A226" s="70"/>
      <c r="B226" s="70"/>
      <c r="C226" s="70"/>
      <c r="D226" s="70"/>
      <c r="E226" s="66"/>
      <c r="F226" s="70"/>
      <c r="G226" s="70"/>
      <c r="H226" s="70"/>
      <c r="I226" s="70"/>
      <c r="J226" s="70"/>
      <c r="K226" s="70"/>
      <c r="L226" s="70"/>
      <c r="M226" s="70"/>
      <c r="N226" s="70"/>
      <c r="O226" s="70"/>
      <c r="P226" s="70"/>
      <c r="Q226" s="70"/>
      <c r="R226" s="70"/>
      <c r="S226" s="70"/>
      <c r="T226" s="70"/>
      <c r="U226" s="70"/>
      <c r="V226" s="70"/>
      <c r="W226" s="70"/>
    </row>
    <row r="227">
      <c r="A227" s="70"/>
      <c r="B227" s="70"/>
      <c r="C227" s="70"/>
      <c r="D227" s="70"/>
      <c r="E227" s="66"/>
      <c r="F227" s="70"/>
      <c r="G227" s="70"/>
      <c r="H227" s="70"/>
      <c r="I227" s="70"/>
      <c r="J227" s="70"/>
      <c r="K227" s="70"/>
      <c r="L227" s="70"/>
      <c r="M227" s="70"/>
      <c r="N227" s="70"/>
      <c r="O227" s="70"/>
      <c r="P227" s="70"/>
      <c r="Q227" s="70"/>
      <c r="R227" s="70"/>
      <c r="S227" s="70"/>
      <c r="T227" s="70"/>
      <c r="U227" s="70"/>
      <c r="V227" s="70"/>
      <c r="W227" s="70"/>
    </row>
    <row r="228">
      <c r="A228" s="70"/>
      <c r="B228" s="70"/>
      <c r="C228" s="70"/>
      <c r="D228" s="70"/>
      <c r="E228" s="66"/>
      <c r="F228" s="70"/>
      <c r="G228" s="70"/>
      <c r="H228" s="70"/>
      <c r="I228" s="70"/>
      <c r="J228" s="70"/>
      <c r="K228" s="70"/>
      <c r="L228" s="70"/>
      <c r="M228" s="70"/>
      <c r="N228" s="70"/>
      <c r="O228" s="70"/>
      <c r="P228" s="70"/>
      <c r="Q228" s="70"/>
      <c r="R228" s="70"/>
      <c r="S228" s="70"/>
      <c r="T228" s="70"/>
      <c r="U228" s="70"/>
      <c r="V228" s="70"/>
      <c r="W228" s="70"/>
    </row>
    <row r="229">
      <c r="A229" s="70"/>
      <c r="B229" s="70"/>
      <c r="C229" s="70"/>
      <c r="D229" s="70"/>
      <c r="E229" s="66"/>
      <c r="F229" s="70"/>
      <c r="G229" s="70"/>
      <c r="H229" s="70"/>
      <c r="I229" s="70"/>
      <c r="J229" s="70"/>
      <c r="K229" s="70"/>
      <c r="L229" s="70"/>
      <c r="M229" s="70"/>
      <c r="N229" s="70"/>
      <c r="O229" s="70"/>
      <c r="P229" s="70"/>
      <c r="Q229" s="70"/>
      <c r="R229" s="70"/>
      <c r="S229" s="70"/>
      <c r="T229" s="70"/>
      <c r="U229" s="70"/>
      <c r="V229" s="70"/>
      <c r="W229" s="70"/>
    </row>
    <row r="230">
      <c r="A230" s="70"/>
      <c r="B230" s="70"/>
      <c r="C230" s="70"/>
      <c r="D230" s="70"/>
      <c r="E230" s="66"/>
      <c r="F230" s="70"/>
      <c r="G230" s="70"/>
      <c r="H230" s="70"/>
      <c r="I230" s="70"/>
      <c r="J230" s="70"/>
      <c r="K230" s="70"/>
      <c r="L230" s="70"/>
      <c r="M230" s="70"/>
      <c r="N230" s="70"/>
      <c r="O230" s="70"/>
      <c r="P230" s="70"/>
      <c r="Q230" s="70"/>
      <c r="R230" s="70"/>
      <c r="S230" s="70"/>
      <c r="T230" s="70"/>
      <c r="U230" s="70"/>
      <c r="V230" s="70"/>
      <c r="W230" s="70"/>
    </row>
    <row r="231">
      <c r="A231" s="70"/>
      <c r="B231" s="70"/>
      <c r="C231" s="70"/>
      <c r="D231" s="70"/>
      <c r="E231" s="66"/>
      <c r="F231" s="70"/>
      <c r="G231" s="70"/>
      <c r="H231" s="70"/>
      <c r="I231" s="70"/>
      <c r="J231" s="70"/>
      <c r="K231" s="70"/>
      <c r="L231" s="70"/>
      <c r="M231" s="70"/>
      <c r="N231" s="70"/>
      <c r="O231" s="70"/>
      <c r="P231" s="70"/>
      <c r="Q231" s="70"/>
      <c r="R231" s="70"/>
      <c r="S231" s="70"/>
      <c r="T231" s="70"/>
      <c r="U231" s="70"/>
      <c r="V231" s="70"/>
      <c r="W231" s="70"/>
    </row>
    <row r="232">
      <c r="A232" s="70"/>
      <c r="B232" s="70"/>
      <c r="C232" s="70"/>
      <c r="D232" s="70"/>
      <c r="E232" s="66"/>
      <c r="F232" s="70"/>
      <c r="G232" s="70"/>
      <c r="H232" s="70"/>
      <c r="I232" s="70"/>
      <c r="J232" s="70"/>
      <c r="K232" s="70"/>
      <c r="L232" s="70"/>
      <c r="M232" s="70"/>
      <c r="N232" s="70"/>
      <c r="O232" s="70"/>
      <c r="P232" s="70"/>
      <c r="Q232" s="70"/>
      <c r="R232" s="70"/>
      <c r="S232" s="70"/>
      <c r="T232" s="70"/>
      <c r="U232" s="70"/>
      <c r="V232" s="70"/>
      <c r="W232" s="70"/>
    </row>
    <row r="233">
      <c r="A233" s="70"/>
      <c r="B233" s="70"/>
      <c r="C233" s="70"/>
      <c r="D233" s="70"/>
      <c r="E233" s="66"/>
      <c r="F233" s="70"/>
      <c r="G233" s="70"/>
      <c r="H233" s="70"/>
      <c r="I233" s="70"/>
      <c r="J233" s="70"/>
      <c r="K233" s="70"/>
      <c r="L233" s="70"/>
      <c r="M233" s="70"/>
      <c r="N233" s="70"/>
      <c r="O233" s="70"/>
      <c r="P233" s="70"/>
      <c r="Q233" s="70"/>
      <c r="R233" s="70"/>
      <c r="S233" s="70"/>
      <c r="T233" s="70"/>
      <c r="U233" s="70"/>
      <c r="V233" s="70"/>
      <c r="W233" s="70"/>
    </row>
    <row r="234">
      <c r="A234" s="70"/>
      <c r="B234" s="70"/>
      <c r="C234" s="70"/>
      <c r="D234" s="70"/>
      <c r="E234" s="66"/>
      <c r="F234" s="70"/>
      <c r="G234" s="70"/>
      <c r="H234" s="70"/>
      <c r="I234" s="70"/>
      <c r="J234" s="70"/>
      <c r="K234" s="70"/>
      <c r="L234" s="70"/>
      <c r="M234" s="70"/>
      <c r="N234" s="70"/>
      <c r="O234" s="70"/>
      <c r="P234" s="70"/>
      <c r="Q234" s="70"/>
      <c r="R234" s="70"/>
      <c r="S234" s="70"/>
      <c r="T234" s="70"/>
      <c r="U234" s="70"/>
      <c r="V234" s="70"/>
      <c r="W234" s="70"/>
    </row>
    <row r="235">
      <c r="A235" s="70"/>
      <c r="B235" s="70"/>
      <c r="C235" s="70"/>
      <c r="D235" s="70"/>
      <c r="E235" s="66"/>
      <c r="F235" s="70"/>
      <c r="G235" s="70"/>
      <c r="H235" s="70"/>
      <c r="I235" s="70"/>
      <c r="J235" s="70"/>
      <c r="K235" s="70"/>
      <c r="L235" s="70"/>
      <c r="M235" s="70"/>
      <c r="N235" s="70"/>
      <c r="O235" s="70"/>
      <c r="P235" s="70"/>
      <c r="Q235" s="70"/>
      <c r="R235" s="70"/>
      <c r="S235" s="70"/>
      <c r="T235" s="70"/>
      <c r="U235" s="70"/>
      <c r="V235" s="70"/>
      <c r="W235" s="70"/>
    </row>
    <row r="236">
      <c r="A236" s="70"/>
      <c r="B236" s="70"/>
      <c r="C236" s="70"/>
      <c r="D236" s="70"/>
      <c r="E236" s="66"/>
      <c r="F236" s="70"/>
      <c r="G236" s="70"/>
      <c r="H236" s="70"/>
      <c r="I236" s="70"/>
      <c r="J236" s="70"/>
      <c r="K236" s="70"/>
      <c r="L236" s="70"/>
      <c r="M236" s="70"/>
      <c r="N236" s="70"/>
      <c r="O236" s="70"/>
      <c r="P236" s="70"/>
      <c r="Q236" s="70"/>
      <c r="R236" s="70"/>
      <c r="S236" s="70"/>
      <c r="T236" s="70"/>
      <c r="U236" s="70"/>
      <c r="V236" s="70"/>
      <c r="W236" s="70"/>
    </row>
    <row r="237">
      <c r="A237" s="70"/>
      <c r="B237" s="70"/>
      <c r="C237" s="70"/>
      <c r="D237" s="70"/>
      <c r="E237" s="66"/>
      <c r="F237" s="70"/>
      <c r="G237" s="70"/>
      <c r="H237" s="70"/>
      <c r="I237" s="70"/>
      <c r="J237" s="70"/>
      <c r="K237" s="70"/>
      <c r="L237" s="70"/>
      <c r="M237" s="70"/>
      <c r="N237" s="70"/>
      <c r="O237" s="70"/>
      <c r="P237" s="70"/>
      <c r="Q237" s="70"/>
      <c r="R237" s="70"/>
      <c r="S237" s="70"/>
      <c r="T237" s="70"/>
      <c r="U237" s="70"/>
      <c r="V237" s="70"/>
      <c r="W237" s="70"/>
    </row>
    <row r="238">
      <c r="A238" s="70"/>
      <c r="B238" s="70"/>
      <c r="C238" s="70"/>
      <c r="D238" s="70"/>
      <c r="E238" s="66"/>
      <c r="F238" s="70"/>
      <c r="G238" s="70"/>
      <c r="H238" s="70"/>
      <c r="I238" s="70"/>
      <c r="J238" s="70"/>
      <c r="K238" s="70"/>
      <c r="L238" s="70"/>
      <c r="M238" s="70"/>
      <c r="N238" s="70"/>
      <c r="O238" s="70"/>
      <c r="P238" s="70"/>
      <c r="Q238" s="70"/>
      <c r="R238" s="70"/>
      <c r="S238" s="70"/>
      <c r="T238" s="70"/>
      <c r="U238" s="70"/>
      <c r="V238" s="70"/>
      <c r="W238" s="70"/>
    </row>
    <row r="239">
      <c r="A239" s="70"/>
      <c r="B239" s="70"/>
      <c r="C239" s="70"/>
      <c r="D239" s="70"/>
      <c r="E239" s="66"/>
      <c r="F239" s="70"/>
      <c r="G239" s="70"/>
      <c r="H239" s="70"/>
      <c r="I239" s="70"/>
      <c r="J239" s="70"/>
      <c r="K239" s="70"/>
      <c r="L239" s="70"/>
      <c r="M239" s="70"/>
      <c r="N239" s="70"/>
      <c r="O239" s="70"/>
      <c r="P239" s="70"/>
      <c r="Q239" s="70"/>
      <c r="R239" s="70"/>
      <c r="S239" s="70"/>
      <c r="T239" s="70"/>
      <c r="U239" s="70"/>
      <c r="V239" s="70"/>
      <c r="W239" s="70"/>
    </row>
    <row r="240">
      <c r="A240" s="70"/>
      <c r="B240" s="70"/>
      <c r="C240" s="70"/>
      <c r="D240" s="70"/>
      <c r="E240" s="66"/>
      <c r="F240" s="70"/>
      <c r="G240" s="70"/>
      <c r="H240" s="70"/>
      <c r="I240" s="70"/>
      <c r="J240" s="70"/>
      <c r="K240" s="70"/>
      <c r="L240" s="70"/>
      <c r="M240" s="70"/>
      <c r="N240" s="70"/>
      <c r="O240" s="70"/>
      <c r="P240" s="70"/>
      <c r="Q240" s="70"/>
      <c r="R240" s="70"/>
      <c r="S240" s="70"/>
      <c r="T240" s="70"/>
      <c r="U240" s="70"/>
      <c r="V240" s="70"/>
      <c r="W240" s="70"/>
    </row>
    <row r="241">
      <c r="A241" s="70"/>
      <c r="B241" s="70"/>
      <c r="C241" s="70"/>
      <c r="D241" s="70"/>
      <c r="E241" s="66"/>
      <c r="F241" s="70"/>
      <c r="G241" s="70"/>
      <c r="H241" s="70"/>
      <c r="I241" s="70"/>
      <c r="J241" s="70"/>
      <c r="K241" s="70"/>
      <c r="L241" s="70"/>
      <c r="M241" s="70"/>
      <c r="N241" s="70"/>
      <c r="O241" s="70"/>
      <c r="P241" s="70"/>
      <c r="Q241" s="70"/>
      <c r="R241" s="70"/>
      <c r="S241" s="70"/>
      <c r="T241" s="70"/>
      <c r="U241" s="70"/>
      <c r="V241" s="70"/>
      <c r="W241" s="70"/>
    </row>
    <row r="242">
      <c r="A242" s="70"/>
      <c r="B242" s="70"/>
      <c r="C242" s="70"/>
      <c r="D242" s="70"/>
      <c r="E242" s="66"/>
      <c r="F242" s="70"/>
      <c r="G242" s="70"/>
      <c r="H242" s="70"/>
      <c r="I242" s="70"/>
      <c r="J242" s="70"/>
      <c r="K242" s="70"/>
      <c r="L242" s="70"/>
      <c r="M242" s="70"/>
      <c r="N242" s="70"/>
      <c r="O242" s="70"/>
      <c r="P242" s="70"/>
      <c r="Q242" s="70"/>
      <c r="R242" s="70"/>
      <c r="S242" s="70"/>
      <c r="T242" s="70"/>
      <c r="U242" s="70"/>
      <c r="V242" s="70"/>
      <c r="W242" s="70"/>
    </row>
    <row r="243">
      <c r="A243" s="70"/>
      <c r="B243" s="70"/>
      <c r="C243" s="70"/>
      <c r="D243" s="70"/>
      <c r="E243" s="66"/>
      <c r="F243" s="70"/>
      <c r="G243" s="70"/>
      <c r="H243" s="70"/>
      <c r="I243" s="70"/>
      <c r="J243" s="70"/>
      <c r="K243" s="70"/>
      <c r="L243" s="70"/>
      <c r="M243" s="70"/>
      <c r="N243" s="70"/>
      <c r="O243" s="70"/>
      <c r="P243" s="70"/>
      <c r="Q243" s="70"/>
      <c r="R243" s="70"/>
      <c r="S243" s="70"/>
      <c r="T243" s="70"/>
      <c r="U243" s="70"/>
      <c r="V243" s="70"/>
      <c r="W243" s="70"/>
    </row>
    <row r="244">
      <c r="A244" s="70"/>
      <c r="B244" s="70"/>
      <c r="C244" s="70"/>
      <c r="D244" s="70"/>
      <c r="E244" s="66"/>
      <c r="F244" s="70"/>
      <c r="G244" s="70"/>
      <c r="H244" s="70"/>
      <c r="I244" s="70"/>
      <c r="J244" s="70"/>
      <c r="K244" s="70"/>
      <c r="L244" s="70"/>
      <c r="M244" s="70"/>
      <c r="N244" s="70"/>
      <c r="O244" s="70"/>
      <c r="P244" s="70"/>
      <c r="Q244" s="70"/>
      <c r="R244" s="70"/>
      <c r="S244" s="70"/>
      <c r="T244" s="70"/>
      <c r="U244" s="70"/>
      <c r="V244" s="70"/>
      <c r="W244" s="70"/>
    </row>
    <row r="245">
      <c r="A245" s="70"/>
      <c r="B245" s="70"/>
      <c r="C245" s="70"/>
      <c r="D245" s="70"/>
      <c r="E245" s="66"/>
      <c r="F245" s="70"/>
      <c r="G245" s="70"/>
      <c r="H245" s="70"/>
      <c r="I245" s="70"/>
      <c r="J245" s="70"/>
      <c r="K245" s="70"/>
      <c r="L245" s="70"/>
      <c r="M245" s="70"/>
      <c r="N245" s="70"/>
      <c r="O245" s="70"/>
      <c r="P245" s="70"/>
      <c r="Q245" s="70"/>
      <c r="R245" s="70"/>
      <c r="S245" s="70"/>
      <c r="T245" s="70"/>
      <c r="U245" s="70"/>
      <c r="V245" s="70"/>
      <c r="W245" s="70"/>
    </row>
    <row r="246">
      <c r="A246" s="70"/>
      <c r="B246" s="70"/>
      <c r="C246" s="70"/>
      <c r="D246" s="70"/>
      <c r="E246" s="66"/>
      <c r="F246" s="70"/>
      <c r="G246" s="70"/>
      <c r="H246" s="70"/>
      <c r="I246" s="70"/>
      <c r="J246" s="70"/>
      <c r="K246" s="70"/>
      <c r="L246" s="70"/>
      <c r="M246" s="70"/>
      <c r="N246" s="70"/>
      <c r="O246" s="70"/>
      <c r="P246" s="70"/>
      <c r="Q246" s="70"/>
      <c r="R246" s="70"/>
      <c r="S246" s="70"/>
      <c r="T246" s="70"/>
      <c r="U246" s="70"/>
      <c r="V246" s="70"/>
      <c r="W246" s="70"/>
    </row>
    <row r="247">
      <c r="A247" s="70"/>
      <c r="B247" s="70"/>
      <c r="C247" s="70"/>
      <c r="D247" s="70"/>
      <c r="E247" s="66"/>
      <c r="F247" s="70"/>
      <c r="G247" s="70"/>
      <c r="H247" s="70"/>
      <c r="I247" s="70"/>
      <c r="J247" s="70"/>
      <c r="K247" s="70"/>
      <c r="L247" s="70"/>
      <c r="M247" s="70"/>
      <c r="N247" s="70"/>
      <c r="O247" s="70"/>
      <c r="P247" s="70"/>
      <c r="Q247" s="70"/>
      <c r="R247" s="70"/>
      <c r="S247" s="70"/>
      <c r="T247" s="70"/>
      <c r="U247" s="70"/>
      <c r="V247" s="70"/>
      <c r="W247" s="70"/>
    </row>
    <row r="248">
      <c r="A248" s="70"/>
      <c r="B248" s="70"/>
      <c r="C248" s="70"/>
      <c r="D248" s="70"/>
      <c r="E248" s="66"/>
      <c r="F248" s="70"/>
      <c r="G248" s="70"/>
      <c r="H248" s="70"/>
      <c r="I248" s="70"/>
      <c r="J248" s="70"/>
      <c r="K248" s="70"/>
      <c r="L248" s="70"/>
      <c r="M248" s="70"/>
      <c r="N248" s="70"/>
      <c r="O248" s="70"/>
      <c r="P248" s="70"/>
      <c r="Q248" s="70"/>
      <c r="R248" s="70"/>
      <c r="S248" s="70"/>
      <c r="T248" s="70"/>
      <c r="U248" s="70"/>
      <c r="V248" s="70"/>
      <c r="W248" s="70"/>
    </row>
    <row r="249">
      <c r="A249" s="70"/>
      <c r="B249" s="70"/>
      <c r="C249" s="70"/>
      <c r="D249" s="70"/>
      <c r="E249" s="66"/>
      <c r="F249" s="70"/>
      <c r="G249" s="70"/>
      <c r="H249" s="70"/>
      <c r="I249" s="70"/>
      <c r="J249" s="70"/>
      <c r="K249" s="70"/>
      <c r="L249" s="70"/>
      <c r="M249" s="70"/>
      <c r="N249" s="70"/>
      <c r="O249" s="70"/>
      <c r="P249" s="70"/>
      <c r="Q249" s="70"/>
      <c r="R249" s="70"/>
      <c r="S249" s="70"/>
      <c r="T249" s="70"/>
      <c r="U249" s="70"/>
      <c r="V249" s="70"/>
      <c r="W249" s="70"/>
    </row>
    <row r="250">
      <c r="A250" s="70"/>
      <c r="B250" s="70"/>
      <c r="C250" s="70"/>
      <c r="D250" s="70"/>
      <c r="E250" s="66"/>
      <c r="F250" s="70"/>
      <c r="G250" s="70"/>
      <c r="H250" s="70"/>
      <c r="I250" s="70"/>
      <c r="J250" s="70"/>
      <c r="K250" s="70"/>
      <c r="L250" s="70"/>
      <c r="M250" s="70"/>
      <c r="N250" s="70"/>
      <c r="O250" s="70"/>
      <c r="P250" s="70"/>
      <c r="Q250" s="70"/>
      <c r="R250" s="70"/>
      <c r="S250" s="70"/>
      <c r="T250" s="70"/>
      <c r="U250" s="70"/>
      <c r="V250" s="70"/>
      <c r="W250" s="70"/>
    </row>
    <row r="251">
      <c r="A251" s="70"/>
      <c r="B251" s="70"/>
      <c r="C251" s="70"/>
      <c r="D251" s="70"/>
      <c r="E251" s="66"/>
      <c r="F251" s="70"/>
      <c r="G251" s="70"/>
      <c r="H251" s="70"/>
      <c r="I251" s="70"/>
      <c r="J251" s="70"/>
      <c r="K251" s="70"/>
      <c r="L251" s="70"/>
      <c r="M251" s="70"/>
      <c r="N251" s="70"/>
      <c r="O251" s="70"/>
      <c r="P251" s="70"/>
      <c r="Q251" s="70"/>
      <c r="R251" s="70"/>
      <c r="S251" s="70"/>
      <c r="T251" s="70"/>
      <c r="U251" s="70"/>
      <c r="V251" s="70"/>
      <c r="W251" s="70"/>
    </row>
    <row r="252">
      <c r="A252" s="70"/>
      <c r="B252" s="70"/>
      <c r="C252" s="70"/>
      <c r="D252" s="70"/>
      <c r="E252" s="66"/>
      <c r="F252" s="70"/>
      <c r="G252" s="70"/>
      <c r="H252" s="70"/>
      <c r="I252" s="70"/>
      <c r="J252" s="70"/>
      <c r="K252" s="70"/>
      <c r="L252" s="70"/>
      <c r="M252" s="70"/>
      <c r="N252" s="70"/>
      <c r="O252" s="70"/>
      <c r="P252" s="70"/>
      <c r="Q252" s="70"/>
      <c r="R252" s="70"/>
      <c r="S252" s="70"/>
      <c r="T252" s="70"/>
      <c r="U252" s="70"/>
      <c r="V252" s="70"/>
      <c r="W252" s="70"/>
    </row>
    <row r="253">
      <c r="A253" s="70"/>
      <c r="B253" s="70"/>
      <c r="C253" s="70"/>
      <c r="D253" s="70"/>
      <c r="E253" s="66"/>
      <c r="F253" s="70"/>
      <c r="G253" s="70"/>
      <c r="H253" s="70"/>
      <c r="I253" s="70"/>
      <c r="J253" s="70"/>
      <c r="K253" s="70"/>
      <c r="L253" s="70"/>
      <c r="M253" s="70"/>
      <c r="N253" s="70"/>
      <c r="O253" s="70"/>
      <c r="P253" s="70"/>
      <c r="Q253" s="70"/>
      <c r="R253" s="70"/>
      <c r="S253" s="70"/>
      <c r="T253" s="70"/>
      <c r="U253" s="70"/>
      <c r="V253" s="70"/>
      <c r="W253" s="70"/>
    </row>
    <row r="254">
      <c r="A254" s="70"/>
      <c r="B254" s="70"/>
      <c r="C254" s="70"/>
      <c r="D254" s="70"/>
      <c r="E254" s="66"/>
      <c r="F254" s="70"/>
      <c r="G254" s="70"/>
      <c r="H254" s="70"/>
      <c r="I254" s="70"/>
      <c r="J254" s="70"/>
      <c r="K254" s="70"/>
      <c r="L254" s="70"/>
      <c r="M254" s="70"/>
      <c r="N254" s="70"/>
      <c r="O254" s="70"/>
      <c r="P254" s="70"/>
      <c r="Q254" s="70"/>
      <c r="R254" s="70"/>
      <c r="S254" s="70"/>
      <c r="T254" s="70"/>
      <c r="U254" s="70"/>
      <c r="V254" s="70"/>
      <c r="W254" s="70"/>
    </row>
    <row r="255">
      <c r="A255" s="70"/>
      <c r="B255" s="70"/>
      <c r="C255" s="70"/>
      <c r="D255" s="70"/>
      <c r="E255" s="66"/>
      <c r="F255" s="70"/>
      <c r="G255" s="70"/>
      <c r="H255" s="70"/>
      <c r="I255" s="70"/>
      <c r="J255" s="70"/>
      <c r="K255" s="70"/>
      <c r="L255" s="70"/>
      <c r="M255" s="70"/>
      <c r="N255" s="70"/>
      <c r="O255" s="70"/>
      <c r="P255" s="70"/>
      <c r="Q255" s="70"/>
      <c r="R255" s="70"/>
      <c r="S255" s="70"/>
      <c r="T255" s="70"/>
      <c r="U255" s="70"/>
      <c r="V255" s="70"/>
      <c r="W255" s="70"/>
    </row>
    <row r="256">
      <c r="A256" s="70"/>
      <c r="B256" s="70"/>
      <c r="C256" s="70"/>
      <c r="D256" s="70"/>
      <c r="E256" s="66"/>
      <c r="F256" s="70"/>
      <c r="G256" s="70"/>
      <c r="H256" s="70"/>
      <c r="I256" s="70"/>
      <c r="J256" s="70"/>
      <c r="K256" s="70"/>
      <c r="L256" s="70"/>
      <c r="M256" s="70"/>
      <c r="N256" s="70"/>
      <c r="O256" s="70"/>
      <c r="P256" s="70"/>
      <c r="Q256" s="70"/>
      <c r="R256" s="70"/>
      <c r="S256" s="70"/>
      <c r="T256" s="70"/>
      <c r="U256" s="70"/>
      <c r="V256" s="70"/>
      <c r="W256" s="70"/>
    </row>
    <row r="257">
      <c r="A257" s="70"/>
      <c r="B257" s="70"/>
      <c r="C257" s="70"/>
      <c r="D257" s="70"/>
      <c r="E257" s="66"/>
      <c r="F257" s="70"/>
      <c r="G257" s="70"/>
      <c r="H257" s="70"/>
      <c r="I257" s="70"/>
      <c r="J257" s="70"/>
      <c r="K257" s="70"/>
      <c r="L257" s="70"/>
      <c r="M257" s="70"/>
      <c r="N257" s="70"/>
      <c r="O257" s="70"/>
      <c r="P257" s="70"/>
      <c r="Q257" s="70"/>
      <c r="R257" s="70"/>
      <c r="S257" s="70"/>
      <c r="T257" s="70"/>
      <c r="U257" s="70"/>
      <c r="V257" s="70"/>
      <c r="W257" s="70"/>
    </row>
    <row r="258">
      <c r="A258" s="70"/>
      <c r="B258" s="70"/>
      <c r="C258" s="70"/>
      <c r="D258" s="70"/>
      <c r="E258" s="66"/>
      <c r="F258" s="70"/>
      <c r="G258" s="70"/>
      <c r="H258" s="70"/>
      <c r="I258" s="70"/>
      <c r="J258" s="70"/>
      <c r="K258" s="70"/>
      <c r="L258" s="70"/>
      <c r="M258" s="70"/>
      <c r="N258" s="70"/>
      <c r="O258" s="70"/>
      <c r="P258" s="70"/>
      <c r="Q258" s="70"/>
      <c r="R258" s="70"/>
      <c r="S258" s="70"/>
      <c r="T258" s="70"/>
      <c r="U258" s="70"/>
      <c r="V258" s="70"/>
      <c r="W258" s="70"/>
    </row>
    <row r="259">
      <c r="A259" s="70"/>
      <c r="B259" s="70"/>
      <c r="C259" s="70"/>
      <c r="D259" s="70"/>
      <c r="E259" s="66"/>
      <c r="F259" s="70"/>
      <c r="G259" s="70"/>
      <c r="H259" s="70"/>
      <c r="I259" s="70"/>
      <c r="J259" s="70"/>
      <c r="K259" s="70"/>
      <c r="L259" s="70"/>
      <c r="M259" s="70"/>
      <c r="N259" s="70"/>
      <c r="O259" s="70"/>
      <c r="P259" s="70"/>
      <c r="Q259" s="70"/>
      <c r="R259" s="70"/>
      <c r="S259" s="70"/>
      <c r="T259" s="70"/>
      <c r="U259" s="70"/>
      <c r="V259" s="70"/>
      <c r="W259" s="70"/>
    </row>
    <row r="260">
      <c r="A260" s="70"/>
      <c r="B260" s="70"/>
      <c r="C260" s="70"/>
      <c r="D260" s="70"/>
      <c r="E260" s="66"/>
      <c r="F260" s="70"/>
      <c r="G260" s="70"/>
      <c r="H260" s="70"/>
      <c r="I260" s="70"/>
      <c r="J260" s="70"/>
      <c r="K260" s="70"/>
      <c r="L260" s="70"/>
      <c r="M260" s="70"/>
      <c r="N260" s="70"/>
      <c r="O260" s="70"/>
      <c r="P260" s="70"/>
      <c r="Q260" s="70"/>
      <c r="R260" s="70"/>
      <c r="S260" s="70"/>
      <c r="T260" s="70"/>
      <c r="U260" s="70"/>
      <c r="V260" s="70"/>
      <c r="W260" s="70"/>
    </row>
    <row r="261">
      <c r="A261" s="70"/>
      <c r="B261" s="70"/>
      <c r="C261" s="70"/>
      <c r="D261" s="70"/>
      <c r="E261" s="66"/>
      <c r="F261" s="70"/>
      <c r="G261" s="70"/>
      <c r="H261" s="70"/>
      <c r="I261" s="70"/>
      <c r="J261" s="70"/>
      <c r="K261" s="70"/>
      <c r="L261" s="70"/>
      <c r="M261" s="70"/>
      <c r="N261" s="70"/>
      <c r="O261" s="70"/>
      <c r="P261" s="70"/>
      <c r="Q261" s="70"/>
      <c r="R261" s="70"/>
      <c r="S261" s="70"/>
      <c r="T261" s="70"/>
      <c r="U261" s="70"/>
      <c r="V261" s="70"/>
      <c r="W261" s="70"/>
    </row>
    <row r="262">
      <c r="A262" s="70"/>
      <c r="B262" s="70"/>
      <c r="C262" s="70"/>
      <c r="D262" s="70"/>
      <c r="E262" s="66"/>
      <c r="F262" s="70"/>
      <c r="G262" s="70"/>
      <c r="H262" s="70"/>
      <c r="I262" s="70"/>
      <c r="J262" s="70"/>
      <c r="K262" s="70"/>
      <c r="L262" s="70"/>
      <c r="M262" s="70"/>
      <c r="N262" s="70"/>
      <c r="O262" s="70"/>
      <c r="P262" s="70"/>
      <c r="Q262" s="70"/>
      <c r="R262" s="70"/>
      <c r="S262" s="70"/>
      <c r="T262" s="70"/>
      <c r="U262" s="70"/>
      <c r="V262" s="70"/>
      <c r="W262" s="70"/>
    </row>
    <row r="263">
      <c r="A263" s="70"/>
      <c r="B263" s="70"/>
      <c r="C263" s="70"/>
      <c r="D263" s="70"/>
      <c r="E263" s="66"/>
      <c r="F263" s="70"/>
      <c r="G263" s="70"/>
      <c r="H263" s="70"/>
      <c r="I263" s="70"/>
      <c r="J263" s="70"/>
      <c r="K263" s="70"/>
      <c r="L263" s="70"/>
      <c r="M263" s="70"/>
      <c r="N263" s="70"/>
      <c r="O263" s="70"/>
      <c r="P263" s="70"/>
      <c r="Q263" s="70"/>
      <c r="R263" s="70"/>
      <c r="S263" s="70"/>
      <c r="T263" s="70"/>
      <c r="U263" s="70"/>
      <c r="V263" s="70"/>
      <c r="W263" s="70"/>
    </row>
    <row r="264">
      <c r="A264" s="70"/>
      <c r="B264" s="70"/>
      <c r="C264" s="70"/>
      <c r="D264" s="70"/>
      <c r="E264" s="66"/>
      <c r="F264" s="70"/>
      <c r="G264" s="70"/>
      <c r="H264" s="70"/>
      <c r="I264" s="70"/>
      <c r="J264" s="70"/>
      <c r="K264" s="70"/>
      <c r="L264" s="70"/>
      <c r="M264" s="70"/>
      <c r="N264" s="70"/>
      <c r="O264" s="70"/>
      <c r="P264" s="70"/>
      <c r="Q264" s="70"/>
      <c r="R264" s="70"/>
      <c r="S264" s="70"/>
      <c r="T264" s="70"/>
      <c r="U264" s="70"/>
      <c r="V264" s="70"/>
      <c r="W264" s="70"/>
    </row>
    <row r="265">
      <c r="A265" s="70"/>
      <c r="B265" s="70"/>
      <c r="C265" s="70"/>
      <c r="D265" s="70"/>
      <c r="E265" s="66"/>
      <c r="F265" s="70"/>
      <c r="G265" s="70"/>
      <c r="H265" s="70"/>
      <c r="I265" s="70"/>
      <c r="J265" s="70"/>
      <c r="K265" s="70"/>
      <c r="L265" s="70"/>
      <c r="M265" s="70"/>
      <c r="N265" s="70"/>
      <c r="O265" s="70"/>
      <c r="P265" s="70"/>
      <c r="Q265" s="70"/>
      <c r="R265" s="70"/>
      <c r="S265" s="70"/>
      <c r="T265" s="70"/>
      <c r="U265" s="70"/>
      <c r="V265" s="70"/>
      <c r="W265" s="70"/>
    </row>
    <row r="266">
      <c r="A266" s="70"/>
      <c r="B266" s="70"/>
      <c r="C266" s="70"/>
      <c r="D266" s="70"/>
      <c r="E266" s="66"/>
      <c r="F266" s="70"/>
      <c r="G266" s="70"/>
      <c r="H266" s="70"/>
      <c r="I266" s="70"/>
      <c r="J266" s="70"/>
      <c r="K266" s="70"/>
      <c r="L266" s="70"/>
      <c r="M266" s="70"/>
      <c r="N266" s="70"/>
      <c r="O266" s="70"/>
      <c r="P266" s="70"/>
      <c r="Q266" s="70"/>
      <c r="R266" s="70"/>
      <c r="S266" s="70"/>
      <c r="T266" s="70"/>
      <c r="U266" s="70"/>
      <c r="V266" s="70"/>
      <c r="W266" s="70"/>
    </row>
    <row r="267">
      <c r="A267" s="70"/>
      <c r="B267" s="70"/>
      <c r="C267" s="70"/>
      <c r="D267" s="70"/>
      <c r="E267" s="66"/>
      <c r="F267" s="70"/>
      <c r="G267" s="70"/>
      <c r="H267" s="70"/>
      <c r="I267" s="70"/>
      <c r="J267" s="70"/>
      <c r="K267" s="70"/>
      <c r="L267" s="70"/>
      <c r="M267" s="70"/>
      <c r="N267" s="70"/>
      <c r="O267" s="70"/>
      <c r="P267" s="70"/>
      <c r="Q267" s="70"/>
      <c r="R267" s="70"/>
      <c r="S267" s="70"/>
      <c r="T267" s="70"/>
      <c r="U267" s="70"/>
      <c r="V267" s="70"/>
      <c r="W267" s="70"/>
    </row>
    <row r="268">
      <c r="A268" s="70"/>
      <c r="B268" s="70"/>
      <c r="C268" s="70"/>
      <c r="D268" s="70"/>
      <c r="E268" s="66"/>
      <c r="F268" s="70"/>
      <c r="G268" s="70"/>
      <c r="H268" s="70"/>
      <c r="I268" s="70"/>
      <c r="J268" s="70"/>
      <c r="K268" s="70"/>
      <c r="L268" s="70"/>
      <c r="M268" s="70"/>
      <c r="N268" s="70"/>
      <c r="O268" s="70"/>
      <c r="P268" s="70"/>
      <c r="Q268" s="70"/>
      <c r="R268" s="70"/>
      <c r="S268" s="70"/>
      <c r="T268" s="70"/>
      <c r="U268" s="70"/>
      <c r="V268" s="70"/>
      <c r="W268" s="70"/>
    </row>
    <row r="269">
      <c r="A269" s="70"/>
      <c r="B269" s="70"/>
      <c r="C269" s="70"/>
      <c r="D269" s="70"/>
      <c r="E269" s="66"/>
      <c r="F269" s="70"/>
      <c r="G269" s="70"/>
      <c r="H269" s="70"/>
      <c r="I269" s="70"/>
      <c r="J269" s="70"/>
      <c r="K269" s="70"/>
      <c r="L269" s="70"/>
      <c r="M269" s="70"/>
      <c r="N269" s="70"/>
      <c r="O269" s="70"/>
      <c r="P269" s="70"/>
      <c r="Q269" s="70"/>
      <c r="R269" s="70"/>
      <c r="S269" s="70"/>
      <c r="T269" s="70"/>
      <c r="U269" s="70"/>
      <c r="V269" s="70"/>
      <c r="W269" s="70"/>
    </row>
    <row r="270">
      <c r="A270" s="70"/>
      <c r="B270" s="70"/>
      <c r="C270" s="70"/>
      <c r="D270" s="70"/>
      <c r="E270" s="66"/>
      <c r="F270" s="70"/>
      <c r="G270" s="70"/>
      <c r="H270" s="70"/>
      <c r="I270" s="70"/>
      <c r="J270" s="70"/>
      <c r="K270" s="70"/>
      <c r="L270" s="70"/>
      <c r="M270" s="70"/>
      <c r="N270" s="70"/>
      <c r="O270" s="70"/>
      <c r="P270" s="70"/>
      <c r="Q270" s="70"/>
      <c r="R270" s="70"/>
      <c r="S270" s="70"/>
      <c r="T270" s="70"/>
      <c r="U270" s="70"/>
      <c r="V270" s="70"/>
      <c r="W270" s="70"/>
    </row>
    <row r="271">
      <c r="A271" s="70"/>
      <c r="B271" s="70"/>
      <c r="C271" s="70"/>
      <c r="D271" s="70"/>
      <c r="E271" s="66"/>
      <c r="F271" s="70"/>
      <c r="G271" s="70"/>
      <c r="H271" s="70"/>
      <c r="I271" s="70"/>
      <c r="J271" s="70"/>
      <c r="K271" s="70"/>
      <c r="L271" s="70"/>
      <c r="M271" s="70"/>
      <c r="N271" s="70"/>
      <c r="O271" s="70"/>
      <c r="P271" s="70"/>
      <c r="Q271" s="70"/>
      <c r="R271" s="70"/>
      <c r="S271" s="70"/>
      <c r="T271" s="70"/>
      <c r="U271" s="70"/>
      <c r="V271" s="70"/>
      <c r="W271" s="70"/>
    </row>
    <row r="272">
      <c r="A272" s="70"/>
      <c r="B272" s="70"/>
      <c r="C272" s="70"/>
      <c r="D272" s="70"/>
      <c r="E272" s="66"/>
      <c r="F272" s="70"/>
      <c r="G272" s="70"/>
      <c r="H272" s="70"/>
      <c r="I272" s="70"/>
      <c r="J272" s="70"/>
      <c r="K272" s="70"/>
      <c r="L272" s="70"/>
      <c r="M272" s="70"/>
      <c r="N272" s="70"/>
      <c r="O272" s="70"/>
      <c r="P272" s="70"/>
      <c r="Q272" s="70"/>
      <c r="R272" s="70"/>
      <c r="S272" s="70"/>
      <c r="T272" s="70"/>
      <c r="U272" s="70"/>
      <c r="V272" s="70"/>
      <c r="W272" s="70"/>
    </row>
    <row r="273">
      <c r="A273" s="70"/>
      <c r="B273" s="70"/>
      <c r="C273" s="70"/>
      <c r="D273" s="70"/>
      <c r="E273" s="66"/>
      <c r="F273" s="70"/>
      <c r="G273" s="70"/>
      <c r="H273" s="70"/>
      <c r="I273" s="70"/>
      <c r="J273" s="70"/>
      <c r="K273" s="70"/>
      <c r="L273" s="70"/>
      <c r="M273" s="70"/>
      <c r="N273" s="70"/>
      <c r="O273" s="70"/>
      <c r="P273" s="70"/>
      <c r="Q273" s="70"/>
      <c r="R273" s="70"/>
      <c r="S273" s="70"/>
      <c r="T273" s="70"/>
      <c r="U273" s="70"/>
      <c r="V273" s="70"/>
      <c r="W273" s="70"/>
    </row>
    <row r="274">
      <c r="A274" s="70"/>
      <c r="B274" s="70"/>
      <c r="C274" s="70"/>
      <c r="D274" s="70"/>
      <c r="E274" s="66"/>
      <c r="F274" s="70"/>
      <c r="G274" s="70"/>
      <c r="H274" s="70"/>
      <c r="I274" s="70"/>
      <c r="J274" s="70"/>
      <c r="K274" s="70"/>
      <c r="L274" s="70"/>
      <c r="M274" s="70"/>
      <c r="N274" s="70"/>
      <c r="O274" s="70"/>
      <c r="P274" s="70"/>
      <c r="Q274" s="70"/>
      <c r="R274" s="70"/>
      <c r="S274" s="70"/>
      <c r="T274" s="70"/>
      <c r="U274" s="70"/>
      <c r="V274" s="70"/>
      <c r="W274" s="70"/>
    </row>
    <row r="275">
      <c r="A275" s="70"/>
      <c r="B275" s="70"/>
      <c r="C275" s="70"/>
      <c r="D275" s="70"/>
      <c r="E275" s="66"/>
      <c r="F275" s="70"/>
      <c r="G275" s="70"/>
      <c r="H275" s="70"/>
      <c r="I275" s="70"/>
      <c r="J275" s="70"/>
      <c r="K275" s="70"/>
      <c r="L275" s="70"/>
      <c r="M275" s="70"/>
      <c r="N275" s="70"/>
      <c r="O275" s="70"/>
      <c r="P275" s="70"/>
      <c r="Q275" s="70"/>
      <c r="R275" s="70"/>
      <c r="S275" s="70"/>
      <c r="T275" s="70"/>
      <c r="U275" s="70"/>
      <c r="V275" s="70"/>
      <c r="W275" s="70"/>
    </row>
    <row r="276">
      <c r="A276" s="70"/>
      <c r="B276" s="70"/>
      <c r="C276" s="70"/>
      <c r="D276" s="70"/>
      <c r="E276" s="66"/>
      <c r="F276" s="70"/>
      <c r="G276" s="70"/>
      <c r="H276" s="70"/>
      <c r="I276" s="70"/>
      <c r="J276" s="70"/>
      <c r="K276" s="70"/>
      <c r="L276" s="70"/>
      <c r="M276" s="70"/>
      <c r="N276" s="70"/>
      <c r="O276" s="70"/>
      <c r="P276" s="70"/>
      <c r="Q276" s="70"/>
      <c r="R276" s="70"/>
      <c r="S276" s="70"/>
      <c r="T276" s="70"/>
      <c r="U276" s="70"/>
      <c r="V276" s="70"/>
      <c r="W276" s="70"/>
    </row>
    <row r="277">
      <c r="A277" s="70"/>
      <c r="B277" s="70"/>
      <c r="C277" s="70"/>
      <c r="D277" s="70"/>
      <c r="E277" s="66"/>
      <c r="F277" s="70"/>
      <c r="G277" s="70"/>
      <c r="H277" s="70"/>
      <c r="I277" s="70"/>
      <c r="J277" s="70"/>
      <c r="K277" s="70"/>
      <c r="L277" s="70"/>
      <c r="M277" s="70"/>
      <c r="N277" s="70"/>
      <c r="O277" s="70"/>
      <c r="P277" s="70"/>
      <c r="Q277" s="70"/>
      <c r="R277" s="70"/>
      <c r="S277" s="70"/>
      <c r="T277" s="70"/>
      <c r="U277" s="70"/>
      <c r="V277" s="70"/>
      <c r="W277" s="70"/>
    </row>
    <row r="278">
      <c r="A278" s="70"/>
      <c r="B278" s="70"/>
      <c r="C278" s="70"/>
      <c r="D278" s="70"/>
      <c r="E278" s="66"/>
      <c r="F278" s="70"/>
      <c r="G278" s="70"/>
      <c r="H278" s="70"/>
      <c r="I278" s="70"/>
      <c r="J278" s="70"/>
      <c r="K278" s="70"/>
      <c r="L278" s="70"/>
      <c r="M278" s="70"/>
      <c r="N278" s="70"/>
      <c r="O278" s="70"/>
      <c r="P278" s="70"/>
      <c r="Q278" s="70"/>
      <c r="R278" s="70"/>
      <c r="S278" s="70"/>
      <c r="T278" s="70"/>
      <c r="U278" s="70"/>
      <c r="V278" s="70"/>
      <c r="W278" s="70"/>
    </row>
    <row r="279">
      <c r="A279" s="70"/>
      <c r="B279" s="70"/>
      <c r="C279" s="70"/>
      <c r="D279" s="70"/>
      <c r="E279" s="66"/>
      <c r="F279" s="70"/>
      <c r="G279" s="70"/>
      <c r="H279" s="70"/>
      <c r="I279" s="70"/>
      <c r="J279" s="70"/>
      <c r="K279" s="70"/>
      <c r="L279" s="70"/>
      <c r="M279" s="70"/>
      <c r="N279" s="70"/>
      <c r="O279" s="70"/>
      <c r="P279" s="70"/>
      <c r="Q279" s="70"/>
      <c r="R279" s="70"/>
      <c r="S279" s="70"/>
      <c r="T279" s="70"/>
      <c r="U279" s="70"/>
      <c r="V279" s="70"/>
      <c r="W279" s="70"/>
    </row>
    <row r="280">
      <c r="A280" s="70"/>
      <c r="B280" s="70"/>
      <c r="C280" s="70"/>
      <c r="D280" s="70"/>
      <c r="E280" s="66"/>
      <c r="F280" s="70"/>
      <c r="G280" s="70"/>
      <c r="H280" s="70"/>
      <c r="I280" s="70"/>
      <c r="J280" s="70"/>
      <c r="K280" s="70"/>
      <c r="L280" s="70"/>
      <c r="M280" s="70"/>
      <c r="N280" s="70"/>
      <c r="O280" s="70"/>
      <c r="P280" s="70"/>
      <c r="Q280" s="70"/>
      <c r="R280" s="70"/>
      <c r="S280" s="70"/>
      <c r="T280" s="70"/>
      <c r="U280" s="70"/>
      <c r="V280" s="70"/>
      <c r="W280" s="70"/>
    </row>
    <row r="281">
      <c r="A281" s="70"/>
      <c r="B281" s="70"/>
      <c r="C281" s="70"/>
      <c r="D281" s="70"/>
      <c r="E281" s="66"/>
      <c r="F281" s="70"/>
      <c r="G281" s="70"/>
      <c r="H281" s="70"/>
      <c r="I281" s="70"/>
      <c r="J281" s="70"/>
      <c r="K281" s="70"/>
      <c r="L281" s="70"/>
      <c r="M281" s="70"/>
      <c r="N281" s="70"/>
      <c r="O281" s="70"/>
      <c r="P281" s="70"/>
      <c r="Q281" s="70"/>
      <c r="R281" s="70"/>
      <c r="S281" s="70"/>
      <c r="T281" s="70"/>
      <c r="U281" s="70"/>
      <c r="V281" s="70"/>
      <c r="W281" s="70"/>
    </row>
    <row r="282">
      <c r="A282" s="70"/>
      <c r="B282" s="70"/>
      <c r="C282" s="70"/>
      <c r="D282" s="70"/>
      <c r="E282" s="66"/>
      <c r="F282" s="70"/>
      <c r="G282" s="70"/>
      <c r="H282" s="70"/>
      <c r="I282" s="70"/>
      <c r="J282" s="70"/>
      <c r="K282" s="70"/>
      <c r="L282" s="70"/>
      <c r="M282" s="70"/>
      <c r="N282" s="70"/>
      <c r="O282" s="70"/>
      <c r="P282" s="70"/>
      <c r="Q282" s="70"/>
      <c r="R282" s="70"/>
      <c r="S282" s="70"/>
      <c r="T282" s="70"/>
      <c r="U282" s="70"/>
      <c r="V282" s="70"/>
      <c r="W282" s="70"/>
    </row>
    <row r="283">
      <c r="A283" s="70"/>
      <c r="B283" s="70"/>
      <c r="C283" s="70"/>
      <c r="D283" s="70"/>
      <c r="E283" s="66"/>
      <c r="F283" s="70"/>
      <c r="G283" s="70"/>
      <c r="H283" s="70"/>
      <c r="I283" s="70"/>
      <c r="J283" s="70"/>
      <c r="K283" s="70"/>
      <c r="L283" s="70"/>
      <c r="M283" s="70"/>
      <c r="N283" s="70"/>
      <c r="O283" s="70"/>
      <c r="P283" s="70"/>
      <c r="Q283" s="70"/>
      <c r="R283" s="70"/>
      <c r="S283" s="70"/>
      <c r="T283" s="70"/>
      <c r="U283" s="70"/>
      <c r="V283" s="70"/>
      <c r="W283" s="70"/>
    </row>
    <row r="284">
      <c r="A284" s="70"/>
      <c r="B284" s="70"/>
      <c r="C284" s="70"/>
      <c r="D284" s="70"/>
      <c r="E284" s="66"/>
      <c r="F284" s="70"/>
      <c r="G284" s="70"/>
      <c r="H284" s="70"/>
      <c r="I284" s="70"/>
      <c r="J284" s="70"/>
      <c r="K284" s="70"/>
      <c r="L284" s="70"/>
      <c r="M284" s="70"/>
      <c r="N284" s="70"/>
      <c r="O284" s="70"/>
      <c r="P284" s="70"/>
      <c r="Q284" s="70"/>
      <c r="R284" s="70"/>
      <c r="S284" s="70"/>
      <c r="T284" s="70"/>
      <c r="U284" s="70"/>
      <c r="V284" s="70"/>
      <c r="W284" s="70"/>
    </row>
    <row r="285">
      <c r="A285" s="70"/>
      <c r="B285" s="70"/>
      <c r="C285" s="70"/>
      <c r="D285" s="70"/>
      <c r="E285" s="66"/>
      <c r="F285" s="70"/>
      <c r="G285" s="70"/>
      <c r="H285" s="70"/>
      <c r="I285" s="70"/>
      <c r="J285" s="70"/>
      <c r="K285" s="70"/>
      <c r="L285" s="70"/>
      <c r="M285" s="70"/>
      <c r="N285" s="70"/>
      <c r="O285" s="70"/>
      <c r="P285" s="70"/>
      <c r="Q285" s="70"/>
      <c r="R285" s="70"/>
      <c r="S285" s="70"/>
      <c r="T285" s="70"/>
      <c r="U285" s="70"/>
      <c r="V285" s="70"/>
      <c r="W285" s="70"/>
    </row>
    <row r="286">
      <c r="A286" s="70"/>
      <c r="B286" s="70"/>
      <c r="C286" s="70"/>
      <c r="D286" s="70"/>
      <c r="E286" s="66"/>
      <c r="F286" s="70"/>
      <c r="G286" s="70"/>
      <c r="H286" s="70"/>
      <c r="I286" s="70"/>
      <c r="J286" s="70"/>
      <c r="K286" s="70"/>
      <c r="L286" s="70"/>
      <c r="M286" s="70"/>
      <c r="N286" s="70"/>
      <c r="O286" s="70"/>
      <c r="P286" s="70"/>
      <c r="Q286" s="70"/>
      <c r="R286" s="70"/>
      <c r="S286" s="70"/>
      <c r="T286" s="70"/>
      <c r="U286" s="70"/>
      <c r="V286" s="70"/>
      <c r="W286" s="70"/>
    </row>
    <row r="287">
      <c r="A287" s="70"/>
      <c r="B287" s="70"/>
      <c r="C287" s="70"/>
      <c r="D287" s="70"/>
      <c r="E287" s="66"/>
      <c r="F287" s="70"/>
      <c r="G287" s="70"/>
      <c r="H287" s="70"/>
      <c r="I287" s="70"/>
      <c r="J287" s="70"/>
      <c r="K287" s="70"/>
      <c r="L287" s="70"/>
      <c r="M287" s="70"/>
      <c r="N287" s="70"/>
      <c r="O287" s="70"/>
      <c r="P287" s="70"/>
      <c r="Q287" s="70"/>
      <c r="R287" s="70"/>
      <c r="S287" s="70"/>
      <c r="T287" s="70"/>
      <c r="U287" s="70"/>
      <c r="V287" s="70"/>
      <c r="W287" s="70"/>
    </row>
    <row r="288">
      <c r="A288" s="70"/>
      <c r="B288" s="70"/>
      <c r="C288" s="70"/>
      <c r="D288" s="70"/>
      <c r="E288" s="66"/>
      <c r="F288" s="70"/>
      <c r="G288" s="70"/>
      <c r="H288" s="70"/>
      <c r="I288" s="70"/>
      <c r="J288" s="70"/>
      <c r="K288" s="70"/>
      <c r="L288" s="70"/>
      <c r="M288" s="70"/>
      <c r="N288" s="70"/>
      <c r="O288" s="70"/>
      <c r="P288" s="70"/>
      <c r="Q288" s="70"/>
      <c r="R288" s="70"/>
      <c r="S288" s="70"/>
      <c r="T288" s="70"/>
      <c r="U288" s="70"/>
      <c r="V288" s="70"/>
      <c r="W288" s="70"/>
    </row>
    <row r="289">
      <c r="A289" s="70"/>
      <c r="B289" s="70"/>
      <c r="C289" s="70"/>
      <c r="D289" s="70"/>
      <c r="E289" s="66"/>
      <c r="F289" s="70"/>
      <c r="G289" s="70"/>
      <c r="H289" s="70"/>
      <c r="I289" s="70"/>
      <c r="J289" s="70"/>
      <c r="K289" s="70"/>
      <c r="L289" s="70"/>
      <c r="M289" s="70"/>
      <c r="N289" s="70"/>
      <c r="O289" s="70"/>
      <c r="P289" s="70"/>
      <c r="Q289" s="70"/>
      <c r="R289" s="70"/>
      <c r="S289" s="70"/>
      <c r="T289" s="70"/>
      <c r="U289" s="70"/>
      <c r="V289" s="70"/>
      <c r="W289" s="70"/>
    </row>
    <row r="290">
      <c r="A290" s="70"/>
      <c r="B290" s="70"/>
      <c r="C290" s="70"/>
      <c r="D290" s="70"/>
      <c r="E290" s="66"/>
      <c r="F290" s="70"/>
      <c r="G290" s="70"/>
      <c r="H290" s="70"/>
      <c r="I290" s="70"/>
      <c r="J290" s="70"/>
      <c r="K290" s="70"/>
      <c r="L290" s="70"/>
      <c r="M290" s="70"/>
      <c r="N290" s="70"/>
      <c r="O290" s="70"/>
      <c r="P290" s="70"/>
      <c r="Q290" s="70"/>
      <c r="R290" s="70"/>
      <c r="S290" s="70"/>
      <c r="T290" s="70"/>
      <c r="U290" s="70"/>
      <c r="V290" s="70"/>
      <c r="W290" s="70"/>
    </row>
    <row r="291">
      <c r="A291" s="70"/>
      <c r="B291" s="70"/>
      <c r="C291" s="70"/>
      <c r="D291" s="70"/>
      <c r="E291" s="66"/>
      <c r="F291" s="70"/>
      <c r="G291" s="70"/>
      <c r="H291" s="70"/>
      <c r="I291" s="70"/>
      <c r="J291" s="70"/>
      <c r="K291" s="70"/>
      <c r="L291" s="70"/>
      <c r="M291" s="70"/>
      <c r="N291" s="70"/>
      <c r="O291" s="70"/>
      <c r="P291" s="70"/>
      <c r="Q291" s="70"/>
      <c r="R291" s="70"/>
      <c r="S291" s="70"/>
      <c r="T291" s="70"/>
      <c r="U291" s="70"/>
      <c r="V291" s="70"/>
      <c r="W291" s="70"/>
    </row>
    <row r="292">
      <c r="A292" s="70"/>
      <c r="B292" s="70"/>
      <c r="C292" s="70"/>
      <c r="D292" s="70"/>
      <c r="E292" s="66"/>
      <c r="F292" s="70"/>
      <c r="G292" s="70"/>
      <c r="H292" s="70"/>
      <c r="I292" s="70"/>
      <c r="J292" s="70"/>
      <c r="K292" s="70"/>
      <c r="L292" s="70"/>
      <c r="M292" s="70"/>
      <c r="N292" s="70"/>
      <c r="O292" s="70"/>
      <c r="P292" s="70"/>
      <c r="Q292" s="70"/>
      <c r="R292" s="70"/>
      <c r="S292" s="70"/>
      <c r="T292" s="70"/>
      <c r="U292" s="70"/>
      <c r="V292" s="70"/>
      <c r="W292" s="70"/>
    </row>
    <row r="293">
      <c r="A293" s="70"/>
      <c r="B293" s="70"/>
      <c r="C293" s="70"/>
      <c r="D293" s="70"/>
      <c r="E293" s="66"/>
      <c r="F293" s="70"/>
      <c r="G293" s="70"/>
      <c r="H293" s="70"/>
      <c r="I293" s="70"/>
      <c r="J293" s="70"/>
      <c r="K293" s="70"/>
      <c r="L293" s="70"/>
      <c r="M293" s="70"/>
      <c r="N293" s="70"/>
      <c r="O293" s="70"/>
      <c r="P293" s="70"/>
      <c r="Q293" s="70"/>
      <c r="R293" s="70"/>
      <c r="S293" s="70"/>
      <c r="T293" s="70"/>
      <c r="U293" s="70"/>
      <c r="V293" s="70"/>
      <c r="W293" s="70"/>
    </row>
    <row r="294">
      <c r="A294" s="70"/>
      <c r="B294" s="70"/>
      <c r="C294" s="70"/>
      <c r="D294" s="70"/>
      <c r="E294" s="66"/>
      <c r="F294" s="70"/>
      <c r="G294" s="70"/>
      <c r="H294" s="70"/>
      <c r="I294" s="70"/>
      <c r="J294" s="70"/>
      <c r="K294" s="70"/>
      <c r="L294" s="70"/>
      <c r="M294" s="70"/>
      <c r="N294" s="70"/>
      <c r="O294" s="70"/>
      <c r="P294" s="70"/>
      <c r="Q294" s="70"/>
      <c r="R294" s="70"/>
      <c r="S294" s="70"/>
      <c r="T294" s="70"/>
      <c r="U294" s="70"/>
      <c r="V294" s="70"/>
      <c r="W294" s="70"/>
    </row>
    <row r="295">
      <c r="A295" s="70"/>
      <c r="B295" s="70"/>
      <c r="C295" s="70"/>
      <c r="D295" s="70"/>
      <c r="E295" s="66"/>
      <c r="F295" s="70"/>
      <c r="G295" s="70"/>
      <c r="H295" s="70"/>
      <c r="I295" s="70"/>
      <c r="J295" s="70"/>
      <c r="K295" s="70"/>
      <c r="L295" s="70"/>
      <c r="M295" s="70"/>
      <c r="N295" s="70"/>
      <c r="O295" s="70"/>
      <c r="P295" s="70"/>
      <c r="Q295" s="70"/>
      <c r="R295" s="70"/>
      <c r="S295" s="70"/>
      <c r="T295" s="70"/>
      <c r="U295" s="70"/>
      <c r="V295" s="70"/>
      <c r="W295" s="70"/>
    </row>
    <row r="296">
      <c r="A296" s="70"/>
      <c r="B296" s="70"/>
      <c r="C296" s="70"/>
      <c r="D296" s="70"/>
      <c r="E296" s="66"/>
      <c r="F296" s="70"/>
      <c r="G296" s="70"/>
      <c r="H296" s="70"/>
      <c r="I296" s="70"/>
      <c r="J296" s="70"/>
      <c r="K296" s="70"/>
      <c r="L296" s="70"/>
      <c r="M296" s="70"/>
      <c r="N296" s="70"/>
      <c r="O296" s="70"/>
      <c r="P296" s="70"/>
      <c r="Q296" s="70"/>
      <c r="R296" s="70"/>
      <c r="S296" s="70"/>
      <c r="T296" s="70"/>
      <c r="U296" s="70"/>
      <c r="V296" s="70"/>
      <c r="W296" s="70"/>
    </row>
    <row r="297">
      <c r="A297" s="70"/>
      <c r="B297" s="70"/>
      <c r="C297" s="70"/>
      <c r="D297" s="70"/>
      <c r="E297" s="66"/>
      <c r="F297" s="70"/>
      <c r="G297" s="70"/>
      <c r="H297" s="70"/>
      <c r="I297" s="70"/>
      <c r="J297" s="70"/>
      <c r="K297" s="70"/>
      <c r="L297" s="70"/>
      <c r="M297" s="70"/>
      <c r="N297" s="70"/>
      <c r="O297" s="70"/>
      <c r="P297" s="70"/>
      <c r="Q297" s="70"/>
      <c r="R297" s="70"/>
      <c r="S297" s="70"/>
      <c r="T297" s="70"/>
      <c r="U297" s="70"/>
      <c r="V297" s="70"/>
      <c r="W297" s="70"/>
    </row>
    <row r="298">
      <c r="A298" s="70"/>
      <c r="B298" s="70"/>
      <c r="C298" s="70"/>
      <c r="D298" s="70"/>
      <c r="E298" s="66"/>
      <c r="F298" s="70"/>
      <c r="G298" s="70"/>
      <c r="H298" s="70"/>
      <c r="I298" s="70"/>
      <c r="J298" s="70"/>
      <c r="K298" s="70"/>
      <c r="L298" s="70"/>
      <c r="M298" s="70"/>
      <c r="N298" s="70"/>
      <c r="O298" s="70"/>
      <c r="P298" s="70"/>
      <c r="Q298" s="70"/>
      <c r="R298" s="70"/>
      <c r="S298" s="70"/>
      <c r="T298" s="70"/>
      <c r="U298" s="70"/>
      <c r="V298" s="70"/>
      <c r="W298" s="70"/>
    </row>
    <row r="299">
      <c r="A299" s="70"/>
      <c r="B299" s="70"/>
      <c r="C299" s="70"/>
      <c r="D299" s="70"/>
      <c r="E299" s="66"/>
      <c r="F299" s="70"/>
      <c r="G299" s="70"/>
      <c r="H299" s="70"/>
      <c r="I299" s="70"/>
      <c r="J299" s="70"/>
      <c r="K299" s="70"/>
      <c r="L299" s="70"/>
      <c r="M299" s="70"/>
      <c r="N299" s="70"/>
      <c r="O299" s="70"/>
      <c r="P299" s="70"/>
      <c r="Q299" s="70"/>
      <c r="R299" s="70"/>
      <c r="S299" s="70"/>
      <c r="T299" s="70"/>
      <c r="U299" s="70"/>
      <c r="V299" s="70"/>
      <c r="W299" s="70"/>
    </row>
    <row r="300">
      <c r="A300" s="70"/>
      <c r="B300" s="70"/>
      <c r="C300" s="70"/>
      <c r="D300" s="70"/>
      <c r="E300" s="66"/>
      <c r="F300" s="70"/>
      <c r="G300" s="70"/>
      <c r="H300" s="70"/>
      <c r="I300" s="70"/>
      <c r="J300" s="70"/>
      <c r="K300" s="70"/>
      <c r="L300" s="70"/>
      <c r="M300" s="70"/>
      <c r="N300" s="70"/>
      <c r="O300" s="70"/>
      <c r="P300" s="70"/>
      <c r="Q300" s="70"/>
      <c r="R300" s="70"/>
      <c r="S300" s="70"/>
      <c r="T300" s="70"/>
      <c r="U300" s="70"/>
      <c r="V300" s="70"/>
      <c r="W300" s="70"/>
    </row>
    <row r="301">
      <c r="A301" s="70"/>
      <c r="B301" s="70"/>
      <c r="C301" s="70"/>
      <c r="D301" s="70"/>
      <c r="E301" s="66"/>
      <c r="F301" s="70"/>
      <c r="G301" s="70"/>
      <c r="H301" s="70"/>
      <c r="I301" s="70"/>
      <c r="J301" s="70"/>
      <c r="K301" s="70"/>
      <c r="L301" s="70"/>
      <c r="M301" s="70"/>
      <c r="N301" s="70"/>
      <c r="O301" s="70"/>
      <c r="P301" s="70"/>
      <c r="Q301" s="70"/>
      <c r="R301" s="70"/>
      <c r="S301" s="70"/>
      <c r="T301" s="70"/>
      <c r="U301" s="70"/>
      <c r="V301" s="70"/>
      <c r="W301" s="70"/>
    </row>
    <row r="302">
      <c r="A302" s="70"/>
      <c r="B302" s="70"/>
      <c r="C302" s="70"/>
      <c r="D302" s="70"/>
      <c r="E302" s="66"/>
      <c r="F302" s="70"/>
      <c r="G302" s="70"/>
      <c r="H302" s="70"/>
      <c r="I302" s="70"/>
      <c r="J302" s="70"/>
      <c r="K302" s="70"/>
      <c r="L302" s="70"/>
      <c r="M302" s="70"/>
      <c r="N302" s="70"/>
      <c r="O302" s="70"/>
      <c r="P302" s="70"/>
      <c r="Q302" s="70"/>
      <c r="R302" s="70"/>
      <c r="S302" s="70"/>
      <c r="T302" s="70"/>
      <c r="U302" s="70"/>
      <c r="V302" s="70"/>
      <c r="W302" s="70"/>
    </row>
    <row r="303">
      <c r="A303" s="70"/>
      <c r="B303" s="70"/>
      <c r="C303" s="70"/>
      <c r="D303" s="70"/>
      <c r="E303" s="66"/>
      <c r="F303" s="70"/>
      <c r="G303" s="70"/>
      <c r="H303" s="70"/>
      <c r="I303" s="70"/>
      <c r="J303" s="70"/>
      <c r="K303" s="70"/>
      <c r="L303" s="70"/>
      <c r="M303" s="70"/>
      <c r="N303" s="70"/>
      <c r="O303" s="70"/>
      <c r="P303" s="70"/>
      <c r="Q303" s="70"/>
      <c r="R303" s="70"/>
      <c r="S303" s="70"/>
      <c r="T303" s="70"/>
      <c r="U303" s="70"/>
      <c r="V303" s="70"/>
      <c r="W303" s="70"/>
    </row>
    <row r="304">
      <c r="A304" s="70"/>
      <c r="B304" s="70"/>
      <c r="C304" s="70"/>
      <c r="D304" s="70"/>
      <c r="E304" s="66"/>
      <c r="F304" s="70"/>
      <c r="G304" s="70"/>
      <c r="H304" s="70"/>
      <c r="I304" s="70"/>
      <c r="J304" s="70"/>
      <c r="K304" s="70"/>
      <c r="L304" s="70"/>
      <c r="M304" s="70"/>
      <c r="N304" s="70"/>
      <c r="O304" s="70"/>
      <c r="P304" s="70"/>
      <c r="Q304" s="70"/>
      <c r="R304" s="70"/>
      <c r="S304" s="70"/>
      <c r="T304" s="70"/>
      <c r="U304" s="70"/>
      <c r="V304" s="70"/>
      <c r="W304" s="70"/>
    </row>
    <row r="305">
      <c r="A305" s="70"/>
      <c r="B305" s="70"/>
      <c r="C305" s="70"/>
      <c r="D305" s="70"/>
      <c r="E305" s="66"/>
      <c r="F305" s="70"/>
      <c r="G305" s="70"/>
      <c r="H305" s="70"/>
      <c r="I305" s="70"/>
      <c r="J305" s="70"/>
      <c r="K305" s="70"/>
      <c r="L305" s="70"/>
      <c r="M305" s="70"/>
      <c r="N305" s="70"/>
      <c r="O305" s="70"/>
      <c r="P305" s="70"/>
      <c r="Q305" s="70"/>
      <c r="R305" s="70"/>
      <c r="S305" s="70"/>
      <c r="T305" s="70"/>
      <c r="U305" s="70"/>
      <c r="V305" s="70"/>
      <c r="W305" s="70"/>
    </row>
    <row r="306">
      <c r="A306" s="70"/>
      <c r="B306" s="70"/>
      <c r="C306" s="70"/>
      <c r="D306" s="70"/>
      <c r="E306" s="66"/>
      <c r="F306" s="70"/>
      <c r="G306" s="70"/>
      <c r="H306" s="70"/>
      <c r="I306" s="70"/>
      <c r="J306" s="70"/>
      <c r="K306" s="70"/>
      <c r="L306" s="70"/>
      <c r="M306" s="70"/>
      <c r="N306" s="70"/>
      <c r="O306" s="70"/>
      <c r="P306" s="70"/>
      <c r="Q306" s="70"/>
      <c r="R306" s="70"/>
      <c r="S306" s="70"/>
      <c r="T306" s="70"/>
      <c r="U306" s="70"/>
      <c r="V306" s="70"/>
      <c r="W306" s="70"/>
    </row>
    <row r="307">
      <c r="A307" s="70"/>
      <c r="B307" s="70"/>
      <c r="C307" s="70"/>
      <c r="D307" s="70"/>
      <c r="E307" s="66"/>
      <c r="F307" s="70"/>
      <c r="G307" s="70"/>
      <c r="H307" s="70"/>
      <c r="I307" s="70"/>
      <c r="J307" s="70"/>
      <c r="K307" s="70"/>
      <c r="L307" s="70"/>
      <c r="M307" s="70"/>
      <c r="N307" s="70"/>
      <c r="O307" s="70"/>
      <c r="P307" s="70"/>
      <c r="Q307" s="70"/>
      <c r="R307" s="70"/>
      <c r="S307" s="70"/>
      <c r="T307" s="70"/>
      <c r="U307" s="70"/>
      <c r="V307" s="70"/>
      <c r="W307" s="70"/>
    </row>
    <row r="308">
      <c r="A308" s="70"/>
      <c r="B308" s="70"/>
      <c r="C308" s="70"/>
      <c r="D308" s="70"/>
      <c r="E308" s="66"/>
      <c r="F308" s="70"/>
      <c r="G308" s="70"/>
      <c r="H308" s="70"/>
      <c r="I308" s="70"/>
      <c r="J308" s="70"/>
      <c r="K308" s="70"/>
      <c r="L308" s="70"/>
      <c r="M308" s="70"/>
      <c r="N308" s="70"/>
      <c r="O308" s="70"/>
      <c r="P308" s="70"/>
      <c r="Q308" s="70"/>
      <c r="R308" s="70"/>
      <c r="S308" s="70"/>
      <c r="T308" s="70"/>
      <c r="U308" s="70"/>
      <c r="V308" s="70"/>
      <c r="W308" s="70"/>
    </row>
    <row r="309">
      <c r="A309" s="70"/>
      <c r="B309" s="70"/>
      <c r="C309" s="70"/>
      <c r="D309" s="70"/>
      <c r="E309" s="66"/>
      <c r="F309" s="70"/>
      <c r="G309" s="70"/>
      <c r="H309" s="70"/>
      <c r="I309" s="70"/>
      <c r="J309" s="70"/>
      <c r="K309" s="70"/>
      <c r="L309" s="70"/>
      <c r="M309" s="70"/>
      <c r="N309" s="70"/>
      <c r="O309" s="70"/>
      <c r="P309" s="70"/>
      <c r="Q309" s="70"/>
      <c r="R309" s="70"/>
      <c r="S309" s="70"/>
      <c r="T309" s="70"/>
      <c r="U309" s="70"/>
      <c r="V309" s="70"/>
      <c r="W309" s="70"/>
    </row>
    <row r="310">
      <c r="A310" s="70"/>
      <c r="B310" s="70"/>
      <c r="C310" s="70"/>
      <c r="D310" s="70"/>
      <c r="E310" s="66"/>
      <c r="F310" s="70"/>
      <c r="G310" s="70"/>
      <c r="H310" s="70"/>
      <c r="I310" s="70"/>
      <c r="J310" s="70"/>
      <c r="K310" s="70"/>
      <c r="L310" s="70"/>
      <c r="M310" s="70"/>
      <c r="N310" s="70"/>
      <c r="O310" s="70"/>
      <c r="P310" s="70"/>
      <c r="Q310" s="70"/>
      <c r="R310" s="70"/>
      <c r="S310" s="70"/>
      <c r="T310" s="70"/>
      <c r="U310" s="70"/>
      <c r="V310" s="70"/>
      <c r="W310" s="70"/>
    </row>
    <row r="311">
      <c r="A311" s="70"/>
      <c r="B311" s="70"/>
      <c r="C311" s="70"/>
      <c r="D311" s="70"/>
      <c r="E311" s="66"/>
      <c r="F311" s="70"/>
      <c r="G311" s="70"/>
      <c r="H311" s="70"/>
      <c r="I311" s="70"/>
      <c r="J311" s="70"/>
      <c r="K311" s="70"/>
      <c r="L311" s="70"/>
      <c r="M311" s="70"/>
      <c r="N311" s="70"/>
      <c r="O311" s="70"/>
      <c r="P311" s="70"/>
      <c r="Q311" s="70"/>
      <c r="R311" s="70"/>
      <c r="S311" s="70"/>
      <c r="T311" s="70"/>
      <c r="U311" s="70"/>
      <c r="V311" s="70"/>
      <c r="W311" s="70"/>
    </row>
    <row r="312">
      <c r="A312" s="70"/>
      <c r="B312" s="70"/>
      <c r="C312" s="70"/>
      <c r="D312" s="70"/>
      <c r="E312" s="66"/>
      <c r="F312" s="70"/>
      <c r="G312" s="70"/>
      <c r="H312" s="70"/>
      <c r="I312" s="70"/>
      <c r="J312" s="70"/>
      <c r="K312" s="70"/>
      <c r="L312" s="70"/>
      <c r="M312" s="70"/>
      <c r="N312" s="70"/>
      <c r="O312" s="70"/>
      <c r="P312" s="70"/>
      <c r="Q312" s="70"/>
      <c r="R312" s="70"/>
      <c r="S312" s="70"/>
      <c r="T312" s="70"/>
      <c r="U312" s="70"/>
      <c r="V312" s="70"/>
      <c r="W312" s="70"/>
    </row>
    <row r="313">
      <c r="A313" s="70"/>
      <c r="B313" s="70"/>
      <c r="C313" s="70"/>
      <c r="D313" s="70"/>
      <c r="E313" s="66"/>
      <c r="F313" s="70"/>
      <c r="G313" s="70"/>
      <c r="H313" s="70"/>
      <c r="I313" s="70"/>
      <c r="J313" s="70"/>
      <c r="K313" s="70"/>
      <c r="L313" s="70"/>
      <c r="M313" s="70"/>
      <c r="N313" s="70"/>
      <c r="O313" s="70"/>
      <c r="P313" s="70"/>
      <c r="Q313" s="70"/>
      <c r="R313" s="70"/>
      <c r="S313" s="70"/>
      <c r="T313" s="70"/>
      <c r="U313" s="70"/>
      <c r="V313" s="70"/>
      <c r="W313" s="70"/>
    </row>
    <row r="314">
      <c r="A314" s="70"/>
      <c r="B314" s="70"/>
      <c r="C314" s="70"/>
      <c r="D314" s="70"/>
      <c r="E314" s="66"/>
      <c r="F314" s="70"/>
      <c r="G314" s="70"/>
      <c r="H314" s="70"/>
      <c r="I314" s="70"/>
      <c r="J314" s="70"/>
      <c r="K314" s="70"/>
      <c r="L314" s="70"/>
      <c r="M314" s="70"/>
      <c r="N314" s="70"/>
      <c r="O314" s="70"/>
      <c r="P314" s="70"/>
      <c r="Q314" s="70"/>
      <c r="R314" s="70"/>
      <c r="S314" s="70"/>
      <c r="T314" s="70"/>
      <c r="U314" s="70"/>
      <c r="V314" s="70"/>
      <c r="W314" s="70"/>
    </row>
    <row r="315">
      <c r="A315" s="70"/>
      <c r="B315" s="70"/>
      <c r="C315" s="70"/>
      <c r="D315" s="70"/>
      <c r="E315" s="66"/>
      <c r="F315" s="70"/>
      <c r="G315" s="70"/>
      <c r="H315" s="70"/>
      <c r="I315" s="70"/>
      <c r="J315" s="70"/>
      <c r="K315" s="70"/>
      <c r="L315" s="70"/>
      <c r="M315" s="70"/>
      <c r="N315" s="70"/>
      <c r="O315" s="70"/>
      <c r="P315" s="70"/>
      <c r="Q315" s="70"/>
      <c r="R315" s="70"/>
      <c r="S315" s="70"/>
      <c r="T315" s="70"/>
      <c r="U315" s="70"/>
      <c r="V315" s="70"/>
      <c r="W315" s="70"/>
    </row>
    <row r="316">
      <c r="A316" s="70"/>
      <c r="B316" s="70"/>
      <c r="C316" s="70"/>
      <c r="D316" s="70"/>
      <c r="E316" s="66"/>
      <c r="F316" s="70"/>
      <c r="G316" s="70"/>
      <c r="H316" s="70"/>
      <c r="I316" s="70"/>
      <c r="J316" s="70"/>
      <c r="K316" s="70"/>
      <c r="L316" s="70"/>
      <c r="M316" s="70"/>
      <c r="N316" s="70"/>
      <c r="O316" s="70"/>
      <c r="P316" s="70"/>
      <c r="Q316" s="70"/>
      <c r="R316" s="70"/>
      <c r="S316" s="70"/>
      <c r="T316" s="70"/>
      <c r="U316" s="70"/>
      <c r="V316" s="70"/>
      <c r="W316" s="70"/>
    </row>
    <row r="317">
      <c r="A317" s="70"/>
      <c r="B317" s="70"/>
      <c r="C317" s="70"/>
      <c r="D317" s="70"/>
      <c r="E317" s="66"/>
      <c r="F317" s="70"/>
      <c r="G317" s="70"/>
      <c r="H317" s="70"/>
      <c r="I317" s="70"/>
      <c r="J317" s="70"/>
      <c r="K317" s="70"/>
      <c r="L317" s="70"/>
      <c r="M317" s="70"/>
      <c r="N317" s="70"/>
      <c r="O317" s="70"/>
      <c r="P317" s="70"/>
      <c r="Q317" s="70"/>
      <c r="R317" s="70"/>
      <c r="S317" s="70"/>
      <c r="T317" s="70"/>
      <c r="U317" s="70"/>
      <c r="V317" s="70"/>
      <c r="W317" s="70"/>
    </row>
    <row r="318">
      <c r="A318" s="70"/>
      <c r="B318" s="70"/>
      <c r="C318" s="70"/>
      <c r="D318" s="70"/>
      <c r="E318" s="66"/>
      <c r="F318" s="70"/>
      <c r="G318" s="70"/>
      <c r="H318" s="70"/>
      <c r="I318" s="70"/>
      <c r="J318" s="70"/>
      <c r="K318" s="70"/>
      <c r="L318" s="70"/>
      <c r="M318" s="70"/>
      <c r="N318" s="70"/>
      <c r="O318" s="70"/>
      <c r="P318" s="70"/>
      <c r="Q318" s="70"/>
      <c r="R318" s="70"/>
      <c r="S318" s="70"/>
      <c r="T318" s="70"/>
      <c r="U318" s="70"/>
      <c r="V318" s="70"/>
      <c r="W318" s="70"/>
    </row>
    <row r="319">
      <c r="A319" s="70"/>
      <c r="B319" s="70"/>
      <c r="C319" s="70"/>
      <c r="D319" s="70"/>
      <c r="E319" s="66"/>
      <c r="F319" s="70"/>
      <c r="G319" s="70"/>
      <c r="H319" s="70"/>
      <c r="I319" s="70"/>
      <c r="J319" s="70"/>
      <c r="K319" s="70"/>
      <c r="L319" s="70"/>
      <c r="M319" s="70"/>
      <c r="N319" s="70"/>
      <c r="O319" s="70"/>
      <c r="P319" s="70"/>
      <c r="Q319" s="70"/>
      <c r="R319" s="70"/>
      <c r="S319" s="70"/>
      <c r="T319" s="70"/>
      <c r="U319" s="70"/>
      <c r="V319" s="70"/>
      <c r="W319" s="70"/>
    </row>
    <row r="320">
      <c r="A320" s="70"/>
      <c r="B320" s="70"/>
      <c r="C320" s="70"/>
      <c r="D320" s="70"/>
      <c r="E320" s="66"/>
      <c r="F320" s="70"/>
      <c r="G320" s="70"/>
      <c r="H320" s="70"/>
      <c r="I320" s="70"/>
      <c r="J320" s="70"/>
      <c r="K320" s="70"/>
      <c r="L320" s="70"/>
      <c r="M320" s="70"/>
      <c r="N320" s="70"/>
      <c r="O320" s="70"/>
      <c r="P320" s="70"/>
      <c r="Q320" s="70"/>
      <c r="R320" s="70"/>
      <c r="S320" s="70"/>
      <c r="T320" s="70"/>
      <c r="U320" s="70"/>
      <c r="V320" s="70"/>
      <c r="W320" s="70"/>
    </row>
    <row r="321">
      <c r="A321" s="70"/>
      <c r="B321" s="70"/>
      <c r="C321" s="70"/>
      <c r="D321" s="70"/>
      <c r="E321" s="66"/>
      <c r="F321" s="70"/>
      <c r="G321" s="70"/>
      <c r="H321" s="70"/>
      <c r="I321" s="70"/>
      <c r="J321" s="70"/>
      <c r="K321" s="70"/>
      <c r="L321" s="70"/>
      <c r="M321" s="70"/>
      <c r="N321" s="70"/>
      <c r="O321" s="70"/>
      <c r="P321" s="70"/>
      <c r="Q321" s="70"/>
      <c r="R321" s="70"/>
      <c r="S321" s="70"/>
      <c r="T321" s="70"/>
      <c r="U321" s="70"/>
      <c r="V321" s="70"/>
      <c r="W321" s="70"/>
    </row>
    <row r="322">
      <c r="A322" s="70"/>
      <c r="B322" s="70"/>
      <c r="C322" s="70"/>
      <c r="D322" s="70"/>
      <c r="E322" s="66"/>
      <c r="F322" s="70"/>
      <c r="G322" s="70"/>
      <c r="H322" s="70"/>
      <c r="I322" s="70"/>
      <c r="J322" s="70"/>
      <c r="K322" s="70"/>
      <c r="L322" s="70"/>
      <c r="M322" s="70"/>
      <c r="N322" s="70"/>
      <c r="O322" s="70"/>
      <c r="P322" s="70"/>
      <c r="Q322" s="70"/>
      <c r="R322" s="70"/>
      <c r="S322" s="70"/>
      <c r="T322" s="70"/>
      <c r="U322" s="70"/>
      <c r="V322" s="70"/>
      <c r="W322" s="70"/>
    </row>
    <row r="323">
      <c r="A323" s="70"/>
      <c r="B323" s="70"/>
      <c r="C323" s="70"/>
      <c r="D323" s="70"/>
      <c r="E323" s="66"/>
      <c r="F323" s="70"/>
      <c r="G323" s="70"/>
      <c r="H323" s="70"/>
      <c r="I323" s="70"/>
      <c r="J323" s="70"/>
      <c r="K323" s="70"/>
      <c r="L323" s="70"/>
      <c r="M323" s="70"/>
      <c r="N323" s="70"/>
      <c r="O323" s="70"/>
      <c r="P323" s="70"/>
      <c r="Q323" s="70"/>
      <c r="R323" s="70"/>
      <c r="S323" s="70"/>
      <c r="T323" s="70"/>
      <c r="U323" s="70"/>
      <c r="V323" s="70"/>
      <c r="W323" s="70"/>
    </row>
    <row r="324">
      <c r="A324" s="70"/>
      <c r="B324" s="70"/>
      <c r="C324" s="70"/>
      <c r="D324" s="70"/>
      <c r="E324" s="66"/>
      <c r="F324" s="70"/>
      <c r="G324" s="70"/>
      <c r="H324" s="70"/>
      <c r="I324" s="70"/>
      <c r="J324" s="70"/>
      <c r="K324" s="70"/>
      <c r="L324" s="70"/>
      <c r="M324" s="70"/>
      <c r="N324" s="70"/>
      <c r="O324" s="70"/>
      <c r="P324" s="70"/>
      <c r="Q324" s="70"/>
      <c r="R324" s="70"/>
      <c r="S324" s="70"/>
      <c r="T324" s="70"/>
      <c r="U324" s="70"/>
      <c r="V324" s="70"/>
      <c r="W324" s="70"/>
    </row>
    <row r="325">
      <c r="A325" s="70"/>
      <c r="B325" s="70"/>
      <c r="C325" s="70"/>
      <c r="D325" s="70"/>
      <c r="E325" s="66"/>
      <c r="F325" s="70"/>
      <c r="G325" s="70"/>
      <c r="H325" s="70"/>
      <c r="I325" s="70"/>
      <c r="J325" s="70"/>
      <c r="K325" s="70"/>
      <c r="L325" s="70"/>
      <c r="M325" s="70"/>
      <c r="N325" s="70"/>
      <c r="O325" s="70"/>
      <c r="P325" s="70"/>
      <c r="Q325" s="70"/>
      <c r="R325" s="70"/>
      <c r="S325" s="70"/>
      <c r="T325" s="70"/>
      <c r="U325" s="70"/>
      <c r="V325" s="70"/>
      <c r="W325" s="70"/>
    </row>
    <row r="326">
      <c r="A326" s="70"/>
      <c r="B326" s="70"/>
      <c r="C326" s="70"/>
      <c r="D326" s="70"/>
      <c r="E326" s="66"/>
      <c r="F326" s="70"/>
      <c r="G326" s="70"/>
      <c r="H326" s="70"/>
      <c r="I326" s="70"/>
      <c r="J326" s="70"/>
      <c r="K326" s="70"/>
      <c r="L326" s="70"/>
      <c r="M326" s="70"/>
      <c r="N326" s="70"/>
      <c r="O326" s="70"/>
      <c r="P326" s="70"/>
      <c r="Q326" s="70"/>
      <c r="R326" s="70"/>
      <c r="S326" s="70"/>
      <c r="T326" s="70"/>
      <c r="U326" s="70"/>
      <c r="V326" s="70"/>
      <c r="W326" s="70"/>
    </row>
    <row r="327">
      <c r="A327" s="70"/>
      <c r="B327" s="70"/>
      <c r="C327" s="70"/>
      <c r="D327" s="70"/>
      <c r="E327" s="66"/>
      <c r="F327" s="70"/>
      <c r="G327" s="70"/>
      <c r="H327" s="70"/>
      <c r="I327" s="70"/>
      <c r="J327" s="70"/>
      <c r="K327" s="70"/>
      <c r="L327" s="70"/>
      <c r="M327" s="70"/>
      <c r="N327" s="70"/>
      <c r="O327" s="70"/>
      <c r="P327" s="70"/>
      <c r="Q327" s="70"/>
      <c r="R327" s="70"/>
      <c r="S327" s="70"/>
      <c r="T327" s="70"/>
      <c r="U327" s="70"/>
      <c r="V327" s="70"/>
      <c r="W327" s="70"/>
    </row>
    <row r="328">
      <c r="A328" s="70"/>
      <c r="B328" s="70"/>
      <c r="C328" s="70"/>
      <c r="D328" s="70"/>
      <c r="E328" s="66"/>
      <c r="F328" s="70"/>
      <c r="G328" s="70"/>
      <c r="H328" s="70"/>
      <c r="I328" s="70"/>
      <c r="J328" s="70"/>
      <c r="K328" s="70"/>
      <c r="L328" s="70"/>
      <c r="M328" s="70"/>
      <c r="N328" s="70"/>
      <c r="O328" s="70"/>
      <c r="P328" s="70"/>
      <c r="Q328" s="70"/>
      <c r="R328" s="70"/>
      <c r="S328" s="70"/>
      <c r="T328" s="70"/>
      <c r="U328" s="70"/>
      <c r="V328" s="70"/>
      <c r="W328" s="70"/>
    </row>
    <row r="329">
      <c r="A329" s="70"/>
      <c r="B329" s="70"/>
      <c r="C329" s="70"/>
      <c r="D329" s="70"/>
      <c r="E329" s="66"/>
      <c r="F329" s="70"/>
      <c r="G329" s="70"/>
      <c r="H329" s="70"/>
      <c r="I329" s="70"/>
      <c r="J329" s="70"/>
      <c r="K329" s="70"/>
      <c r="L329" s="70"/>
      <c r="M329" s="70"/>
      <c r="N329" s="70"/>
      <c r="O329" s="70"/>
      <c r="P329" s="70"/>
      <c r="Q329" s="70"/>
      <c r="R329" s="70"/>
      <c r="S329" s="70"/>
      <c r="T329" s="70"/>
      <c r="U329" s="70"/>
      <c r="V329" s="70"/>
      <c r="W329" s="70"/>
    </row>
    <row r="330">
      <c r="A330" s="70"/>
      <c r="B330" s="70"/>
      <c r="C330" s="70"/>
      <c r="D330" s="70"/>
      <c r="E330" s="66"/>
      <c r="F330" s="70"/>
      <c r="G330" s="70"/>
      <c r="H330" s="70"/>
      <c r="I330" s="70"/>
      <c r="J330" s="70"/>
      <c r="K330" s="70"/>
      <c r="L330" s="70"/>
      <c r="M330" s="70"/>
      <c r="N330" s="70"/>
      <c r="O330" s="70"/>
      <c r="P330" s="70"/>
      <c r="Q330" s="70"/>
      <c r="R330" s="70"/>
      <c r="S330" s="70"/>
      <c r="T330" s="70"/>
      <c r="U330" s="70"/>
      <c r="V330" s="70"/>
      <c r="W330" s="70"/>
    </row>
    <row r="331">
      <c r="A331" s="70"/>
      <c r="B331" s="70"/>
      <c r="C331" s="70"/>
      <c r="D331" s="70"/>
      <c r="E331" s="66"/>
      <c r="F331" s="70"/>
      <c r="G331" s="70"/>
      <c r="H331" s="70"/>
      <c r="I331" s="70"/>
      <c r="J331" s="70"/>
      <c r="K331" s="70"/>
      <c r="L331" s="70"/>
      <c r="M331" s="70"/>
      <c r="N331" s="70"/>
      <c r="O331" s="70"/>
      <c r="P331" s="70"/>
      <c r="Q331" s="70"/>
      <c r="R331" s="70"/>
      <c r="S331" s="70"/>
      <c r="T331" s="70"/>
      <c r="U331" s="70"/>
      <c r="V331" s="70"/>
      <c r="W331" s="70"/>
    </row>
    <row r="332">
      <c r="A332" s="70"/>
      <c r="B332" s="70"/>
      <c r="C332" s="70"/>
      <c r="D332" s="70"/>
      <c r="E332" s="66"/>
      <c r="F332" s="70"/>
      <c r="G332" s="70"/>
      <c r="H332" s="70"/>
      <c r="I332" s="70"/>
      <c r="J332" s="70"/>
      <c r="K332" s="70"/>
      <c r="L332" s="70"/>
      <c r="M332" s="70"/>
      <c r="N332" s="70"/>
      <c r="O332" s="70"/>
      <c r="P332" s="70"/>
      <c r="Q332" s="70"/>
      <c r="R332" s="70"/>
      <c r="S332" s="70"/>
      <c r="T332" s="70"/>
      <c r="U332" s="70"/>
      <c r="V332" s="70"/>
      <c r="W332" s="70"/>
    </row>
    <row r="333">
      <c r="A333" s="70"/>
      <c r="B333" s="70"/>
      <c r="C333" s="70"/>
      <c r="D333" s="70"/>
      <c r="E333" s="66"/>
      <c r="F333" s="70"/>
      <c r="G333" s="70"/>
      <c r="H333" s="70"/>
      <c r="I333" s="70"/>
      <c r="J333" s="70"/>
      <c r="K333" s="70"/>
      <c r="L333" s="70"/>
      <c r="M333" s="70"/>
      <c r="N333" s="70"/>
      <c r="O333" s="70"/>
      <c r="P333" s="70"/>
      <c r="Q333" s="70"/>
      <c r="R333" s="70"/>
      <c r="S333" s="70"/>
      <c r="T333" s="70"/>
      <c r="U333" s="70"/>
      <c r="V333" s="70"/>
      <c r="W333" s="70"/>
    </row>
    <row r="334">
      <c r="A334" s="70"/>
      <c r="B334" s="70"/>
      <c r="C334" s="70"/>
      <c r="D334" s="70"/>
      <c r="E334" s="66"/>
      <c r="F334" s="70"/>
      <c r="G334" s="70"/>
      <c r="H334" s="70"/>
      <c r="I334" s="70"/>
      <c r="J334" s="70"/>
      <c r="K334" s="70"/>
      <c r="L334" s="70"/>
      <c r="M334" s="70"/>
      <c r="N334" s="70"/>
      <c r="O334" s="70"/>
      <c r="P334" s="70"/>
      <c r="Q334" s="70"/>
      <c r="R334" s="70"/>
      <c r="S334" s="70"/>
      <c r="T334" s="70"/>
      <c r="U334" s="70"/>
      <c r="V334" s="70"/>
      <c r="W334" s="70"/>
    </row>
    <row r="335">
      <c r="A335" s="70"/>
      <c r="B335" s="70"/>
      <c r="C335" s="70"/>
      <c r="D335" s="70"/>
      <c r="E335" s="66"/>
      <c r="F335" s="70"/>
      <c r="G335" s="70"/>
      <c r="H335" s="70"/>
      <c r="I335" s="70"/>
      <c r="J335" s="70"/>
      <c r="K335" s="70"/>
      <c r="L335" s="70"/>
      <c r="M335" s="70"/>
      <c r="N335" s="70"/>
      <c r="O335" s="70"/>
      <c r="P335" s="70"/>
      <c r="Q335" s="70"/>
      <c r="R335" s="70"/>
      <c r="S335" s="70"/>
      <c r="T335" s="70"/>
      <c r="U335" s="70"/>
      <c r="V335" s="70"/>
      <c r="W335" s="70"/>
    </row>
    <row r="336">
      <c r="A336" s="70"/>
      <c r="B336" s="70"/>
      <c r="C336" s="70"/>
      <c r="D336" s="70"/>
      <c r="E336" s="66"/>
      <c r="F336" s="70"/>
      <c r="G336" s="70"/>
      <c r="H336" s="70"/>
      <c r="I336" s="70"/>
      <c r="J336" s="70"/>
      <c r="K336" s="70"/>
      <c r="L336" s="70"/>
      <c r="M336" s="70"/>
      <c r="N336" s="70"/>
      <c r="O336" s="70"/>
      <c r="P336" s="70"/>
      <c r="Q336" s="70"/>
      <c r="R336" s="70"/>
      <c r="S336" s="70"/>
      <c r="T336" s="70"/>
      <c r="U336" s="70"/>
      <c r="V336" s="70"/>
      <c r="W336" s="70"/>
    </row>
    <row r="337">
      <c r="A337" s="70"/>
      <c r="B337" s="70"/>
      <c r="C337" s="70"/>
      <c r="D337" s="70"/>
      <c r="E337" s="66"/>
      <c r="F337" s="70"/>
      <c r="G337" s="70"/>
      <c r="H337" s="70"/>
      <c r="I337" s="70"/>
      <c r="J337" s="70"/>
      <c r="K337" s="70"/>
      <c r="L337" s="70"/>
      <c r="M337" s="70"/>
      <c r="N337" s="70"/>
      <c r="O337" s="70"/>
      <c r="P337" s="70"/>
      <c r="Q337" s="70"/>
      <c r="R337" s="70"/>
      <c r="S337" s="70"/>
      <c r="T337" s="70"/>
      <c r="U337" s="70"/>
      <c r="V337" s="70"/>
      <c r="W337" s="70"/>
    </row>
    <row r="338">
      <c r="A338" s="70"/>
      <c r="B338" s="70"/>
      <c r="C338" s="70"/>
      <c r="D338" s="70"/>
      <c r="E338" s="66"/>
      <c r="F338" s="70"/>
      <c r="G338" s="70"/>
      <c r="H338" s="70"/>
      <c r="I338" s="70"/>
      <c r="J338" s="70"/>
      <c r="K338" s="70"/>
      <c r="L338" s="70"/>
      <c r="M338" s="70"/>
      <c r="N338" s="70"/>
      <c r="O338" s="70"/>
      <c r="P338" s="70"/>
      <c r="Q338" s="70"/>
      <c r="R338" s="70"/>
      <c r="S338" s="70"/>
      <c r="T338" s="70"/>
      <c r="U338" s="70"/>
      <c r="V338" s="70"/>
      <c r="W338" s="70"/>
    </row>
    <row r="339">
      <c r="A339" s="70"/>
      <c r="B339" s="70"/>
      <c r="C339" s="70"/>
      <c r="D339" s="70"/>
      <c r="E339" s="66"/>
      <c r="F339" s="70"/>
      <c r="G339" s="70"/>
      <c r="H339" s="70"/>
      <c r="I339" s="70"/>
      <c r="J339" s="70"/>
      <c r="K339" s="70"/>
      <c r="L339" s="70"/>
      <c r="M339" s="70"/>
      <c r="N339" s="70"/>
      <c r="O339" s="70"/>
      <c r="P339" s="70"/>
      <c r="Q339" s="70"/>
      <c r="R339" s="70"/>
      <c r="S339" s="70"/>
      <c r="T339" s="70"/>
      <c r="U339" s="70"/>
      <c r="V339" s="70"/>
      <c r="W339" s="70"/>
    </row>
    <row r="340">
      <c r="A340" s="70"/>
      <c r="B340" s="70"/>
      <c r="C340" s="70"/>
      <c r="D340" s="70"/>
      <c r="E340" s="66"/>
      <c r="F340" s="70"/>
      <c r="G340" s="70"/>
      <c r="H340" s="70"/>
      <c r="I340" s="70"/>
      <c r="J340" s="70"/>
      <c r="K340" s="70"/>
      <c r="L340" s="70"/>
      <c r="M340" s="70"/>
      <c r="N340" s="70"/>
      <c r="O340" s="70"/>
      <c r="P340" s="70"/>
      <c r="Q340" s="70"/>
      <c r="R340" s="70"/>
      <c r="S340" s="70"/>
      <c r="T340" s="70"/>
      <c r="U340" s="70"/>
      <c r="V340" s="70"/>
      <c r="W340" s="70"/>
    </row>
    <row r="341">
      <c r="A341" s="70"/>
      <c r="B341" s="70"/>
      <c r="C341" s="70"/>
      <c r="D341" s="70"/>
      <c r="E341" s="66"/>
      <c r="F341" s="70"/>
      <c r="G341" s="70"/>
      <c r="H341" s="70"/>
      <c r="I341" s="70"/>
      <c r="J341" s="70"/>
      <c r="K341" s="70"/>
      <c r="L341" s="70"/>
      <c r="M341" s="70"/>
      <c r="N341" s="70"/>
      <c r="O341" s="70"/>
      <c r="P341" s="70"/>
      <c r="Q341" s="70"/>
      <c r="R341" s="70"/>
      <c r="S341" s="70"/>
      <c r="T341" s="70"/>
      <c r="U341" s="70"/>
      <c r="V341" s="70"/>
      <c r="W341" s="70"/>
    </row>
    <row r="342">
      <c r="A342" s="70"/>
      <c r="B342" s="70"/>
      <c r="C342" s="70"/>
      <c r="D342" s="70"/>
      <c r="E342" s="66"/>
      <c r="F342" s="70"/>
      <c r="G342" s="70"/>
      <c r="H342" s="70"/>
      <c r="I342" s="70"/>
      <c r="J342" s="70"/>
      <c r="K342" s="70"/>
      <c r="L342" s="70"/>
      <c r="M342" s="70"/>
      <c r="N342" s="70"/>
      <c r="O342" s="70"/>
      <c r="P342" s="70"/>
      <c r="Q342" s="70"/>
      <c r="R342" s="70"/>
      <c r="S342" s="70"/>
      <c r="T342" s="70"/>
      <c r="U342" s="70"/>
      <c r="V342" s="70"/>
      <c r="W342" s="70"/>
    </row>
    <row r="343">
      <c r="A343" s="70"/>
      <c r="B343" s="70"/>
      <c r="C343" s="70"/>
      <c r="D343" s="70"/>
      <c r="E343" s="66"/>
      <c r="F343" s="70"/>
      <c r="G343" s="70"/>
      <c r="H343" s="70"/>
      <c r="I343" s="70"/>
      <c r="J343" s="70"/>
      <c r="K343" s="70"/>
      <c r="L343" s="70"/>
      <c r="M343" s="70"/>
      <c r="N343" s="70"/>
      <c r="O343" s="70"/>
      <c r="P343" s="70"/>
      <c r="Q343" s="70"/>
      <c r="R343" s="70"/>
      <c r="S343" s="70"/>
      <c r="T343" s="70"/>
      <c r="U343" s="70"/>
      <c r="V343" s="70"/>
      <c r="W343" s="70"/>
    </row>
    <row r="344">
      <c r="A344" s="70"/>
      <c r="B344" s="70"/>
      <c r="C344" s="70"/>
      <c r="D344" s="70"/>
      <c r="E344" s="66"/>
      <c r="F344" s="70"/>
      <c r="G344" s="70"/>
      <c r="H344" s="70"/>
      <c r="I344" s="70"/>
      <c r="J344" s="70"/>
      <c r="K344" s="70"/>
      <c r="L344" s="70"/>
      <c r="M344" s="70"/>
      <c r="N344" s="70"/>
      <c r="O344" s="70"/>
      <c r="P344" s="70"/>
      <c r="Q344" s="70"/>
      <c r="R344" s="70"/>
      <c r="S344" s="70"/>
      <c r="T344" s="70"/>
      <c r="U344" s="70"/>
      <c r="V344" s="70"/>
      <c r="W344" s="70"/>
    </row>
    <row r="345">
      <c r="A345" s="70"/>
      <c r="B345" s="70"/>
      <c r="C345" s="70"/>
      <c r="D345" s="70"/>
      <c r="E345" s="66"/>
      <c r="F345" s="70"/>
      <c r="G345" s="70"/>
      <c r="H345" s="70"/>
      <c r="I345" s="70"/>
      <c r="J345" s="70"/>
      <c r="K345" s="70"/>
      <c r="L345" s="70"/>
      <c r="M345" s="70"/>
      <c r="N345" s="70"/>
      <c r="O345" s="70"/>
      <c r="P345" s="70"/>
      <c r="Q345" s="70"/>
      <c r="R345" s="70"/>
      <c r="S345" s="70"/>
      <c r="T345" s="70"/>
      <c r="U345" s="70"/>
      <c r="V345" s="70"/>
      <c r="W345" s="70"/>
    </row>
    <row r="346">
      <c r="A346" s="70"/>
      <c r="B346" s="70"/>
      <c r="C346" s="70"/>
      <c r="D346" s="70"/>
      <c r="E346" s="66"/>
      <c r="F346" s="70"/>
      <c r="G346" s="70"/>
      <c r="H346" s="70"/>
      <c r="I346" s="70"/>
      <c r="J346" s="70"/>
      <c r="K346" s="70"/>
      <c r="L346" s="70"/>
      <c r="M346" s="70"/>
      <c r="N346" s="70"/>
      <c r="O346" s="70"/>
      <c r="P346" s="70"/>
      <c r="Q346" s="70"/>
      <c r="R346" s="70"/>
      <c r="S346" s="70"/>
      <c r="T346" s="70"/>
      <c r="U346" s="70"/>
      <c r="V346" s="70"/>
      <c r="W346" s="70"/>
    </row>
    <row r="347">
      <c r="A347" s="70"/>
      <c r="B347" s="70"/>
      <c r="C347" s="70"/>
      <c r="D347" s="70"/>
      <c r="E347" s="66"/>
      <c r="F347" s="70"/>
      <c r="G347" s="70"/>
      <c r="H347" s="70"/>
      <c r="I347" s="70"/>
      <c r="J347" s="70"/>
      <c r="K347" s="70"/>
      <c r="L347" s="70"/>
      <c r="M347" s="70"/>
      <c r="N347" s="70"/>
      <c r="O347" s="70"/>
      <c r="P347" s="70"/>
      <c r="Q347" s="70"/>
      <c r="R347" s="70"/>
      <c r="S347" s="70"/>
      <c r="T347" s="70"/>
      <c r="U347" s="70"/>
      <c r="V347" s="70"/>
      <c r="W347" s="70"/>
    </row>
    <row r="348">
      <c r="A348" s="70"/>
      <c r="B348" s="70"/>
      <c r="C348" s="70"/>
      <c r="D348" s="70"/>
      <c r="E348" s="66"/>
      <c r="F348" s="70"/>
      <c r="G348" s="70"/>
      <c r="H348" s="70"/>
      <c r="I348" s="70"/>
      <c r="J348" s="70"/>
      <c r="K348" s="70"/>
      <c r="L348" s="70"/>
      <c r="M348" s="70"/>
      <c r="N348" s="70"/>
      <c r="O348" s="70"/>
      <c r="P348" s="70"/>
      <c r="Q348" s="70"/>
      <c r="R348" s="70"/>
      <c r="S348" s="70"/>
      <c r="T348" s="70"/>
      <c r="U348" s="70"/>
      <c r="V348" s="70"/>
      <c r="W348" s="70"/>
    </row>
    <row r="349">
      <c r="A349" s="70"/>
      <c r="B349" s="70"/>
      <c r="C349" s="70"/>
      <c r="D349" s="70"/>
      <c r="E349" s="66"/>
      <c r="F349" s="70"/>
      <c r="G349" s="70"/>
      <c r="H349" s="70"/>
      <c r="I349" s="70"/>
      <c r="J349" s="70"/>
      <c r="K349" s="70"/>
      <c r="L349" s="70"/>
      <c r="M349" s="70"/>
      <c r="N349" s="70"/>
      <c r="O349" s="70"/>
      <c r="P349" s="70"/>
      <c r="Q349" s="70"/>
      <c r="R349" s="70"/>
      <c r="S349" s="70"/>
      <c r="T349" s="70"/>
      <c r="U349" s="70"/>
      <c r="V349" s="70"/>
      <c r="W349" s="70"/>
    </row>
    <row r="350">
      <c r="A350" s="70"/>
      <c r="B350" s="70"/>
      <c r="C350" s="70"/>
      <c r="D350" s="70"/>
      <c r="E350" s="66"/>
      <c r="F350" s="70"/>
      <c r="G350" s="70"/>
      <c r="H350" s="70"/>
      <c r="I350" s="70"/>
      <c r="J350" s="70"/>
      <c r="K350" s="70"/>
      <c r="L350" s="70"/>
      <c r="M350" s="70"/>
      <c r="N350" s="70"/>
      <c r="O350" s="70"/>
      <c r="P350" s="70"/>
      <c r="Q350" s="70"/>
      <c r="R350" s="70"/>
      <c r="S350" s="70"/>
      <c r="T350" s="70"/>
      <c r="U350" s="70"/>
      <c r="V350" s="70"/>
      <c r="W350" s="70"/>
    </row>
    <row r="351">
      <c r="A351" s="70"/>
      <c r="B351" s="70"/>
      <c r="C351" s="70"/>
      <c r="D351" s="70"/>
      <c r="E351" s="66"/>
      <c r="F351" s="70"/>
      <c r="G351" s="70"/>
      <c r="H351" s="70"/>
      <c r="I351" s="70"/>
      <c r="J351" s="70"/>
      <c r="K351" s="70"/>
      <c r="L351" s="70"/>
      <c r="M351" s="70"/>
      <c r="N351" s="70"/>
      <c r="O351" s="70"/>
      <c r="P351" s="70"/>
      <c r="Q351" s="70"/>
      <c r="R351" s="70"/>
      <c r="S351" s="70"/>
      <c r="T351" s="70"/>
      <c r="U351" s="70"/>
      <c r="V351" s="70"/>
      <c r="W351" s="70"/>
    </row>
    <row r="352">
      <c r="A352" s="70"/>
      <c r="B352" s="70"/>
      <c r="C352" s="70"/>
      <c r="D352" s="70"/>
      <c r="E352" s="66"/>
      <c r="F352" s="70"/>
      <c r="G352" s="70"/>
      <c r="H352" s="70"/>
      <c r="I352" s="70"/>
      <c r="J352" s="70"/>
      <c r="K352" s="70"/>
      <c r="L352" s="70"/>
      <c r="M352" s="70"/>
      <c r="N352" s="70"/>
      <c r="O352" s="70"/>
      <c r="P352" s="70"/>
      <c r="Q352" s="70"/>
      <c r="R352" s="70"/>
      <c r="S352" s="70"/>
      <c r="T352" s="70"/>
      <c r="U352" s="70"/>
      <c r="V352" s="70"/>
      <c r="W352" s="70"/>
    </row>
    <row r="353">
      <c r="A353" s="70"/>
      <c r="B353" s="70"/>
      <c r="C353" s="70"/>
      <c r="D353" s="70"/>
      <c r="E353" s="66"/>
      <c r="F353" s="70"/>
      <c r="G353" s="70"/>
      <c r="H353" s="70"/>
      <c r="I353" s="70"/>
      <c r="J353" s="70"/>
      <c r="K353" s="70"/>
      <c r="L353" s="70"/>
      <c r="M353" s="70"/>
      <c r="N353" s="70"/>
      <c r="O353" s="70"/>
      <c r="P353" s="70"/>
      <c r="Q353" s="70"/>
      <c r="R353" s="70"/>
      <c r="S353" s="70"/>
      <c r="T353" s="70"/>
      <c r="U353" s="70"/>
      <c r="V353" s="70"/>
      <c r="W353" s="70"/>
    </row>
    <row r="354">
      <c r="A354" s="70"/>
      <c r="B354" s="70"/>
      <c r="C354" s="70"/>
      <c r="D354" s="70"/>
      <c r="E354" s="66"/>
      <c r="F354" s="70"/>
      <c r="G354" s="70"/>
      <c r="H354" s="70"/>
      <c r="I354" s="70"/>
      <c r="J354" s="70"/>
      <c r="K354" s="70"/>
      <c r="L354" s="70"/>
      <c r="M354" s="70"/>
      <c r="N354" s="70"/>
      <c r="O354" s="70"/>
      <c r="P354" s="70"/>
      <c r="Q354" s="70"/>
      <c r="R354" s="70"/>
      <c r="S354" s="70"/>
      <c r="T354" s="70"/>
      <c r="U354" s="70"/>
      <c r="V354" s="70"/>
      <c r="W354" s="70"/>
    </row>
    <row r="355">
      <c r="A355" s="70"/>
      <c r="B355" s="70"/>
      <c r="C355" s="70"/>
      <c r="D355" s="70"/>
      <c r="E355" s="66"/>
      <c r="F355" s="70"/>
      <c r="G355" s="70"/>
      <c r="H355" s="70"/>
      <c r="I355" s="70"/>
      <c r="J355" s="70"/>
      <c r="K355" s="70"/>
      <c r="L355" s="70"/>
      <c r="M355" s="70"/>
      <c r="N355" s="70"/>
      <c r="O355" s="70"/>
      <c r="P355" s="70"/>
      <c r="Q355" s="70"/>
      <c r="R355" s="70"/>
      <c r="S355" s="70"/>
      <c r="T355" s="70"/>
      <c r="U355" s="70"/>
      <c r="V355" s="70"/>
      <c r="W355" s="70"/>
    </row>
    <row r="356">
      <c r="A356" s="70"/>
      <c r="B356" s="70"/>
      <c r="C356" s="70"/>
      <c r="D356" s="70"/>
      <c r="E356" s="66"/>
      <c r="F356" s="70"/>
      <c r="G356" s="70"/>
      <c r="H356" s="70"/>
      <c r="I356" s="70"/>
      <c r="J356" s="70"/>
      <c r="K356" s="70"/>
      <c r="L356" s="70"/>
      <c r="M356" s="70"/>
      <c r="N356" s="70"/>
      <c r="O356" s="70"/>
      <c r="P356" s="70"/>
      <c r="Q356" s="70"/>
      <c r="R356" s="70"/>
      <c r="S356" s="70"/>
      <c r="T356" s="70"/>
      <c r="U356" s="70"/>
      <c r="V356" s="70"/>
      <c r="W356" s="70"/>
    </row>
    <row r="357">
      <c r="A357" s="70"/>
      <c r="B357" s="70"/>
      <c r="C357" s="70"/>
      <c r="D357" s="70"/>
      <c r="E357" s="66"/>
      <c r="F357" s="70"/>
      <c r="G357" s="70"/>
      <c r="H357" s="70"/>
      <c r="I357" s="70"/>
      <c r="J357" s="70"/>
      <c r="K357" s="70"/>
      <c r="L357" s="70"/>
      <c r="M357" s="70"/>
      <c r="N357" s="70"/>
      <c r="O357" s="70"/>
      <c r="P357" s="70"/>
      <c r="Q357" s="70"/>
      <c r="R357" s="70"/>
      <c r="S357" s="70"/>
      <c r="T357" s="70"/>
      <c r="U357" s="70"/>
      <c r="V357" s="70"/>
      <c r="W357" s="70"/>
    </row>
    <row r="358">
      <c r="A358" s="70"/>
      <c r="B358" s="70"/>
      <c r="C358" s="70"/>
      <c r="D358" s="70"/>
      <c r="E358" s="66"/>
      <c r="F358" s="70"/>
      <c r="G358" s="70"/>
      <c r="H358" s="70"/>
      <c r="I358" s="70"/>
      <c r="J358" s="70"/>
      <c r="K358" s="70"/>
      <c r="L358" s="70"/>
      <c r="M358" s="70"/>
      <c r="N358" s="70"/>
      <c r="O358" s="70"/>
      <c r="P358" s="70"/>
      <c r="Q358" s="70"/>
      <c r="R358" s="70"/>
      <c r="S358" s="70"/>
      <c r="T358" s="70"/>
      <c r="U358" s="70"/>
      <c r="V358" s="70"/>
      <c r="W358" s="70"/>
    </row>
    <row r="359">
      <c r="A359" s="70"/>
      <c r="B359" s="70"/>
      <c r="C359" s="70"/>
      <c r="D359" s="70"/>
      <c r="E359" s="66"/>
      <c r="F359" s="70"/>
      <c r="G359" s="70"/>
      <c r="H359" s="70"/>
      <c r="I359" s="70"/>
      <c r="J359" s="70"/>
      <c r="K359" s="70"/>
      <c r="L359" s="70"/>
      <c r="M359" s="70"/>
      <c r="N359" s="70"/>
      <c r="O359" s="70"/>
      <c r="P359" s="70"/>
      <c r="Q359" s="70"/>
      <c r="R359" s="70"/>
      <c r="S359" s="70"/>
      <c r="T359" s="70"/>
      <c r="U359" s="70"/>
      <c r="V359" s="70"/>
      <c r="W359" s="70"/>
    </row>
    <row r="360">
      <c r="A360" s="70"/>
      <c r="B360" s="70"/>
      <c r="C360" s="70"/>
      <c r="D360" s="70"/>
      <c r="E360" s="66"/>
      <c r="F360" s="70"/>
      <c r="G360" s="70"/>
      <c r="H360" s="70"/>
      <c r="I360" s="70"/>
      <c r="J360" s="70"/>
      <c r="K360" s="70"/>
      <c r="L360" s="70"/>
      <c r="M360" s="70"/>
      <c r="N360" s="70"/>
      <c r="O360" s="70"/>
      <c r="P360" s="70"/>
      <c r="Q360" s="70"/>
      <c r="R360" s="70"/>
      <c r="S360" s="70"/>
      <c r="T360" s="70"/>
      <c r="U360" s="70"/>
      <c r="V360" s="70"/>
      <c r="W360" s="70"/>
    </row>
    <row r="361">
      <c r="A361" s="70"/>
      <c r="B361" s="70"/>
      <c r="C361" s="70"/>
      <c r="D361" s="70"/>
      <c r="E361" s="66"/>
      <c r="F361" s="70"/>
      <c r="G361" s="70"/>
      <c r="H361" s="70"/>
      <c r="I361" s="70"/>
      <c r="J361" s="70"/>
      <c r="K361" s="70"/>
      <c r="L361" s="70"/>
      <c r="M361" s="70"/>
      <c r="N361" s="70"/>
      <c r="O361" s="70"/>
      <c r="P361" s="70"/>
      <c r="Q361" s="70"/>
      <c r="R361" s="70"/>
      <c r="S361" s="70"/>
      <c r="T361" s="70"/>
      <c r="U361" s="70"/>
      <c r="V361" s="70"/>
      <c r="W361" s="70"/>
    </row>
    <row r="362">
      <c r="A362" s="70"/>
      <c r="B362" s="70"/>
      <c r="C362" s="70"/>
      <c r="D362" s="70"/>
      <c r="E362" s="66"/>
      <c r="F362" s="70"/>
      <c r="G362" s="70"/>
      <c r="H362" s="70"/>
      <c r="I362" s="70"/>
      <c r="J362" s="70"/>
      <c r="K362" s="70"/>
      <c r="L362" s="70"/>
      <c r="M362" s="70"/>
      <c r="N362" s="70"/>
      <c r="O362" s="70"/>
      <c r="P362" s="70"/>
      <c r="Q362" s="70"/>
      <c r="R362" s="70"/>
      <c r="S362" s="70"/>
      <c r="T362" s="70"/>
      <c r="U362" s="70"/>
      <c r="V362" s="70"/>
      <c r="W362" s="70"/>
    </row>
    <row r="363">
      <c r="A363" s="70"/>
      <c r="B363" s="70"/>
      <c r="C363" s="70"/>
      <c r="D363" s="70"/>
      <c r="E363" s="66"/>
      <c r="F363" s="70"/>
      <c r="G363" s="70"/>
      <c r="H363" s="70"/>
      <c r="I363" s="70"/>
      <c r="J363" s="70"/>
      <c r="K363" s="70"/>
      <c r="L363" s="70"/>
      <c r="M363" s="70"/>
      <c r="N363" s="70"/>
      <c r="O363" s="70"/>
      <c r="P363" s="70"/>
      <c r="Q363" s="70"/>
      <c r="R363" s="70"/>
      <c r="S363" s="70"/>
      <c r="T363" s="70"/>
      <c r="U363" s="70"/>
      <c r="V363" s="70"/>
      <c r="W363" s="70"/>
    </row>
    <row r="364">
      <c r="A364" s="70"/>
      <c r="B364" s="70"/>
      <c r="C364" s="70"/>
      <c r="D364" s="70"/>
      <c r="E364" s="66"/>
      <c r="F364" s="70"/>
      <c r="G364" s="70"/>
      <c r="H364" s="70"/>
      <c r="I364" s="70"/>
      <c r="J364" s="70"/>
      <c r="K364" s="70"/>
      <c r="L364" s="70"/>
      <c r="M364" s="70"/>
      <c r="N364" s="70"/>
      <c r="O364" s="70"/>
      <c r="P364" s="70"/>
      <c r="Q364" s="70"/>
      <c r="R364" s="70"/>
      <c r="S364" s="70"/>
      <c r="T364" s="70"/>
      <c r="U364" s="70"/>
      <c r="V364" s="70"/>
      <c r="W364" s="70"/>
    </row>
    <row r="365">
      <c r="A365" s="70"/>
      <c r="B365" s="70"/>
      <c r="C365" s="70"/>
      <c r="D365" s="70"/>
      <c r="E365" s="66"/>
      <c r="F365" s="70"/>
      <c r="G365" s="70"/>
      <c r="H365" s="70"/>
      <c r="I365" s="70"/>
      <c r="J365" s="70"/>
      <c r="K365" s="70"/>
      <c r="L365" s="70"/>
      <c r="M365" s="70"/>
      <c r="N365" s="70"/>
      <c r="O365" s="70"/>
      <c r="P365" s="70"/>
      <c r="Q365" s="70"/>
      <c r="R365" s="70"/>
      <c r="S365" s="70"/>
      <c r="T365" s="70"/>
      <c r="U365" s="70"/>
      <c r="V365" s="70"/>
      <c r="W365" s="70"/>
    </row>
    <row r="366">
      <c r="A366" s="70"/>
      <c r="B366" s="70"/>
      <c r="C366" s="70"/>
      <c r="D366" s="70"/>
      <c r="E366" s="66"/>
      <c r="F366" s="70"/>
      <c r="G366" s="70"/>
      <c r="H366" s="70"/>
      <c r="I366" s="70"/>
      <c r="J366" s="70"/>
      <c r="K366" s="70"/>
      <c r="L366" s="70"/>
      <c r="M366" s="70"/>
      <c r="N366" s="70"/>
      <c r="O366" s="70"/>
      <c r="P366" s="70"/>
      <c r="Q366" s="70"/>
      <c r="R366" s="70"/>
      <c r="S366" s="70"/>
      <c r="T366" s="70"/>
      <c r="U366" s="70"/>
      <c r="V366" s="70"/>
      <c r="W366" s="70"/>
    </row>
    <row r="367">
      <c r="A367" s="70"/>
      <c r="B367" s="70"/>
      <c r="C367" s="70"/>
      <c r="D367" s="70"/>
      <c r="E367" s="66"/>
      <c r="F367" s="70"/>
      <c r="G367" s="70"/>
      <c r="H367" s="70"/>
      <c r="I367" s="70"/>
      <c r="J367" s="70"/>
      <c r="K367" s="70"/>
      <c r="L367" s="70"/>
      <c r="M367" s="70"/>
      <c r="N367" s="70"/>
      <c r="O367" s="70"/>
      <c r="P367" s="70"/>
      <c r="Q367" s="70"/>
      <c r="R367" s="70"/>
      <c r="S367" s="70"/>
      <c r="T367" s="70"/>
      <c r="U367" s="70"/>
      <c r="V367" s="70"/>
      <c r="W367" s="70"/>
    </row>
    <row r="368">
      <c r="A368" s="70"/>
      <c r="B368" s="70"/>
      <c r="C368" s="70"/>
      <c r="D368" s="70"/>
      <c r="E368" s="66"/>
      <c r="F368" s="70"/>
      <c r="G368" s="70"/>
      <c r="H368" s="70"/>
      <c r="I368" s="70"/>
      <c r="J368" s="70"/>
      <c r="K368" s="70"/>
      <c r="L368" s="70"/>
      <c r="M368" s="70"/>
      <c r="N368" s="70"/>
      <c r="O368" s="70"/>
      <c r="P368" s="70"/>
      <c r="Q368" s="70"/>
      <c r="R368" s="70"/>
      <c r="S368" s="70"/>
      <c r="T368" s="70"/>
      <c r="U368" s="70"/>
      <c r="V368" s="70"/>
      <c r="W368" s="70"/>
    </row>
    <row r="369">
      <c r="A369" s="70"/>
      <c r="B369" s="70"/>
      <c r="C369" s="70"/>
      <c r="D369" s="70"/>
      <c r="E369" s="66"/>
      <c r="F369" s="70"/>
      <c r="G369" s="70"/>
      <c r="H369" s="70"/>
      <c r="I369" s="70"/>
      <c r="J369" s="70"/>
      <c r="K369" s="70"/>
      <c r="L369" s="70"/>
      <c r="M369" s="70"/>
      <c r="N369" s="70"/>
      <c r="O369" s="70"/>
      <c r="P369" s="70"/>
      <c r="Q369" s="70"/>
      <c r="R369" s="70"/>
      <c r="S369" s="70"/>
      <c r="T369" s="70"/>
      <c r="U369" s="70"/>
      <c r="V369" s="70"/>
      <c r="W369" s="70"/>
    </row>
    <row r="370">
      <c r="A370" s="70"/>
      <c r="B370" s="70"/>
      <c r="C370" s="70"/>
      <c r="D370" s="70"/>
      <c r="E370" s="66"/>
      <c r="F370" s="70"/>
      <c r="G370" s="70"/>
      <c r="H370" s="70"/>
      <c r="I370" s="70"/>
      <c r="J370" s="70"/>
      <c r="K370" s="70"/>
      <c r="L370" s="70"/>
      <c r="M370" s="70"/>
      <c r="N370" s="70"/>
      <c r="O370" s="70"/>
      <c r="P370" s="70"/>
      <c r="Q370" s="70"/>
      <c r="R370" s="70"/>
      <c r="S370" s="70"/>
      <c r="T370" s="70"/>
      <c r="U370" s="70"/>
      <c r="V370" s="70"/>
      <c r="W370" s="70"/>
    </row>
    <row r="371">
      <c r="A371" s="70"/>
      <c r="B371" s="70"/>
      <c r="C371" s="70"/>
      <c r="D371" s="70"/>
      <c r="E371" s="66"/>
      <c r="F371" s="70"/>
      <c r="G371" s="70"/>
      <c r="H371" s="70"/>
      <c r="I371" s="70"/>
      <c r="J371" s="70"/>
      <c r="K371" s="70"/>
      <c r="L371" s="70"/>
      <c r="M371" s="70"/>
      <c r="N371" s="70"/>
      <c r="O371" s="70"/>
      <c r="P371" s="70"/>
      <c r="Q371" s="70"/>
      <c r="R371" s="70"/>
      <c r="S371" s="70"/>
      <c r="T371" s="70"/>
      <c r="U371" s="70"/>
      <c r="V371" s="70"/>
      <c r="W371" s="70"/>
    </row>
    <row r="372">
      <c r="A372" s="70"/>
      <c r="B372" s="70"/>
      <c r="C372" s="70"/>
      <c r="D372" s="70"/>
      <c r="E372" s="66"/>
      <c r="F372" s="70"/>
      <c r="G372" s="70"/>
      <c r="H372" s="70"/>
      <c r="I372" s="70"/>
      <c r="J372" s="70"/>
      <c r="K372" s="70"/>
      <c r="L372" s="70"/>
      <c r="M372" s="70"/>
      <c r="N372" s="70"/>
      <c r="O372" s="70"/>
      <c r="P372" s="70"/>
      <c r="Q372" s="70"/>
      <c r="R372" s="70"/>
      <c r="S372" s="70"/>
      <c r="T372" s="70"/>
      <c r="U372" s="70"/>
      <c r="V372" s="70"/>
      <c r="W372" s="70"/>
    </row>
    <row r="373">
      <c r="A373" s="70"/>
      <c r="B373" s="70"/>
      <c r="C373" s="70"/>
      <c r="D373" s="70"/>
      <c r="E373" s="66"/>
      <c r="F373" s="70"/>
      <c r="G373" s="70"/>
      <c r="H373" s="70"/>
      <c r="I373" s="70"/>
      <c r="J373" s="70"/>
      <c r="K373" s="70"/>
      <c r="L373" s="70"/>
      <c r="M373" s="70"/>
      <c r="N373" s="70"/>
      <c r="O373" s="70"/>
      <c r="P373" s="70"/>
      <c r="Q373" s="70"/>
      <c r="R373" s="70"/>
      <c r="S373" s="70"/>
      <c r="T373" s="70"/>
      <c r="U373" s="70"/>
      <c r="V373" s="70"/>
      <c r="W373" s="70"/>
    </row>
    <row r="374">
      <c r="A374" s="70"/>
      <c r="B374" s="70"/>
      <c r="C374" s="70"/>
      <c r="D374" s="70"/>
      <c r="E374" s="66"/>
      <c r="F374" s="70"/>
      <c r="G374" s="70"/>
      <c r="H374" s="70"/>
      <c r="I374" s="70"/>
      <c r="J374" s="70"/>
      <c r="K374" s="70"/>
      <c r="L374" s="70"/>
      <c r="M374" s="70"/>
      <c r="N374" s="70"/>
      <c r="O374" s="70"/>
      <c r="P374" s="70"/>
      <c r="Q374" s="70"/>
      <c r="R374" s="70"/>
      <c r="S374" s="70"/>
      <c r="T374" s="70"/>
      <c r="U374" s="70"/>
      <c r="V374" s="70"/>
      <c r="W374" s="70"/>
    </row>
    <row r="375">
      <c r="A375" s="70"/>
      <c r="B375" s="70"/>
      <c r="C375" s="70"/>
      <c r="D375" s="70"/>
      <c r="E375" s="66"/>
      <c r="F375" s="70"/>
      <c r="G375" s="70"/>
      <c r="H375" s="70"/>
      <c r="I375" s="70"/>
      <c r="J375" s="70"/>
      <c r="K375" s="70"/>
      <c r="L375" s="70"/>
      <c r="M375" s="70"/>
      <c r="N375" s="70"/>
      <c r="O375" s="70"/>
      <c r="P375" s="70"/>
      <c r="Q375" s="70"/>
      <c r="R375" s="70"/>
      <c r="S375" s="70"/>
      <c r="T375" s="70"/>
      <c r="U375" s="70"/>
      <c r="V375" s="70"/>
      <c r="W375" s="70"/>
    </row>
    <row r="376">
      <c r="A376" s="70"/>
      <c r="B376" s="70"/>
      <c r="C376" s="70"/>
      <c r="D376" s="70"/>
      <c r="E376" s="66"/>
      <c r="F376" s="70"/>
      <c r="G376" s="70"/>
      <c r="H376" s="70"/>
      <c r="I376" s="70"/>
      <c r="J376" s="70"/>
      <c r="K376" s="70"/>
      <c r="L376" s="70"/>
      <c r="M376" s="70"/>
      <c r="N376" s="70"/>
      <c r="O376" s="70"/>
      <c r="P376" s="70"/>
      <c r="Q376" s="70"/>
      <c r="R376" s="70"/>
      <c r="S376" s="70"/>
      <c r="T376" s="70"/>
      <c r="U376" s="70"/>
      <c r="V376" s="70"/>
      <c r="W376" s="70"/>
    </row>
    <row r="377">
      <c r="A377" s="70"/>
      <c r="B377" s="70"/>
      <c r="C377" s="70"/>
      <c r="D377" s="70"/>
      <c r="E377" s="66"/>
      <c r="F377" s="70"/>
      <c r="G377" s="70"/>
      <c r="H377" s="70"/>
      <c r="I377" s="70"/>
      <c r="J377" s="70"/>
      <c r="K377" s="70"/>
      <c r="L377" s="70"/>
      <c r="M377" s="70"/>
      <c r="N377" s="70"/>
      <c r="O377" s="70"/>
      <c r="P377" s="70"/>
      <c r="Q377" s="70"/>
      <c r="R377" s="70"/>
      <c r="S377" s="70"/>
      <c r="T377" s="70"/>
      <c r="U377" s="70"/>
      <c r="V377" s="70"/>
      <c r="W377" s="70"/>
    </row>
    <row r="378">
      <c r="A378" s="70"/>
      <c r="B378" s="70"/>
      <c r="C378" s="70"/>
      <c r="D378" s="70"/>
      <c r="E378" s="66"/>
      <c r="F378" s="70"/>
      <c r="G378" s="70"/>
      <c r="H378" s="70"/>
      <c r="I378" s="70"/>
      <c r="J378" s="70"/>
      <c r="K378" s="70"/>
      <c r="L378" s="70"/>
      <c r="M378" s="70"/>
      <c r="N378" s="70"/>
      <c r="O378" s="70"/>
      <c r="P378" s="70"/>
      <c r="Q378" s="70"/>
      <c r="R378" s="70"/>
      <c r="S378" s="70"/>
      <c r="T378" s="70"/>
      <c r="U378" s="70"/>
      <c r="V378" s="70"/>
      <c r="W378" s="70"/>
    </row>
    <row r="379">
      <c r="A379" s="70"/>
      <c r="B379" s="70"/>
      <c r="C379" s="70"/>
      <c r="D379" s="70"/>
      <c r="E379" s="66"/>
      <c r="F379" s="70"/>
      <c r="G379" s="70"/>
      <c r="H379" s="70"/>
      <c r="I379" s="70"/>
      <c r="J379" s="70"/>
      <c r="K379" s="70"/>
      <c r="L379" s="70"/>
      <c r="M379" s="70"/>
      <c r="N379" s="70"/>
      <c r="O379" s="70"/>
      <c r="P379" s="70"/>
      <c r="Q379" s="70"/>
      <c r="R379" s="70"/>
      <c r="S379" s="70"/>
      <c r="T379" s="70"/>
      <c r="U379" s="70"/>
      <c r="V379" s="70"/>
      <c r="W379" s="70"/>
    </row>
    <row r="380">
      <c r="A380" s="70"/>
      <c r="B380" s="70"/>
      <c r="C380" s="70"/>
      <c r="D380" s="70"/>
      <c r="E380" s="66"/>
      <c r="F380" s="70"/>
      <c r="G380" s="70"/>
      <c r="H380" s="70"/>
      <c r="I380" s="70"/>
      <c r="J380" s="70"/>
      <c r="K380" s="70"/>
      <c r="L380" s="70"/>
      <c r="M380" s="70"/>
      <c r="N380" s="70"/>
      <c r="O380" s="70"/>
      <c r="P380" s="70"/>
      <c r="Q380" s="70"/>
      <c r="R380" s="70"/>
      <c r="S380" s="70"/>
      <c r="T380" s="70"/>
      <c r="U380" s="70"/>
      <c r="V380" s="70"/>
      <c r="W380" s="70"/>
    </row>
    <row r="381">
      <c r="A381" s="70"/>
      <c r="B381" s="70"/>
      <c r="C381" s="70"/>
      <c r="D381" s="70"/>
      <c r="E381" s="66"/>
      <c r="F381" s="70"/>
      <c r="G381" s="70"/>
      <c r="H381" s="70"/>
      <c r="I381" s="70"/>
      <c r="J381" s="70"/>
      <c r="K381" s="70"/>
      <c r="L381" s="70"/>
      <c r="M381" s="70"/>
      <c r="N381" s="70"/>
      <c r="O381" s="70"/>
      <c r="P381" s="70"/>
      <c r="Q381" s="70"/>
      <c r="R381" s="70"/>
      <c r="S381" s="70"/>
      <c r="T381" s="70"/>
      <c r="U381" s="70"/>
      <c r="V381" s="70"/>
      <c r="W381" s="70"/>
    </row>
    <row r="382">
      <c r="A382" s="70"/>
      <c r="B382" s="70"/>
      <c r="C382" s="70"/>
      <c r="D382" s="70"/>
      <c r="E382" s="66"/>
      <c r="F382" s="70"/>
      <c r="G382" s="70"/>
      <c r="H382" s="70"/>
      <c r="I382" s="70"/>
      <c r="J382" s="70"/>
      <c r="K382" s="70"/>
      <c r="L382" s="70"/>
      <c r="M382" s="70"/>
      <c r="N382" s="70"/>
      <c r="O382" s="70"/>
      <c r="P382" s="70"/>
      <c r="Q382" s="70"/>
      <c r="R382" s="70"/>
      <c r="S382" s="70"/>
      <c r="T382" s="70"/>
      <c r="U382" s="70"/>
      <c r="V382" s="70"/>
      <c r="W382" s="70"/>
    </row>
    <row r="383">
      <c r="A383" s="70"/>
      <c r="B383" s="70"/>
      <c r="C383" s="70"/>
      <c r="D383" s="70"/>
      <c r="E383" s="66"/>
      <c r="F383" s="70"/>
      <c r="G383" s="70"/>
      <c r="H383" s="70"/>
      <c r="I383" s="70"/>
      <c r="J383" s="70"/>
      <c r="K383" s="70"/>
      <c r="L383" s="70"/>
      <c r="M383" s="70"/>
      <c r="N383" s="70"/>
      <c r="O383" s="70"/>
      <c r="P383" s="70"/>
      <c r="Q383" s="70"/>
      <c r="R383" s="70"/>
      <c r="S383" s="70"/>
      <c r="T383" s="70"/>
      <c r="U383" s="70"/>
      <c r="V383" s="70"/>
      <c r="W383" s="70"/>
    </row>
    <row r="384">
      <c r="A384" s="70"/>
      <c r="B384" s="70"/>
      <c r="C384" s="70"/>
      <c r="D384" s="70"/>
      <c r="E384" s="66"/>
      <c r="F384" s="70"/>
      <c r="G384" s="70"/>
      <c r="H384" s="70"/>
      <c r="I384" s="70"/>
      <c r="J384" s="70"/>
      <c r="K384" s="70"/>
      <c r="L384" s="70"/>
      <c r="M384" s="70"/>
      <c r="N384" s="70"/>
      <c r="O384" s="70"/>
      <c r="P384" s="70"/>
      <c r="Q384" s="70"/>
      <c r="R384" s="70"/>
      <c r="S384" s="70"/>
      <c r="T384" s="70"/>
      <c r="U384" s="70"/>
      <c r="V384" s="70"/>
      <c r="W384" s="70"/>
    </row>
    <row r="385">
      <c r="A385" s="70"/>
      <c r="B385" s="70"/>
      <c r="C385" s="70"/>
      <c r="D385" s="70"/>
      <c r="E385" s="66"/>
      <c r="F385" s="70"/>
      <c r="G385" s="70"/>
      <c r="H385" s="70"/>
      <c r="I385" s="70"/>
      <c r="J385" s="70"/>
      <c r="K385" s="70"/>
      <c r="L385" s="70"/>
      <c r="M385" s="70"/>
      <c r="N385" s="70"/>
      <c r="O385" s="70"/>
      <c r="P385" s="70"/>
      <c r="Q385" s="70"/>
      <c r="R385" s="70"/>
      <c r="S385" s="70"/>
      <c r="T385" s="70"/>
      <c r="U385" s="70"/>
      <c r="V385" s="70"/>
      <c r="W385" s="70"/>
    </row>
    <row r="386">
      <c r="A386" s="70"/>
      <c r="B386" s="70"/>
      <c r="C386" s="70"/>
      <c r="D386" s="70"/>
      <c r="E386" s="66"/>
      <c r="F386" s="70"/>
      <c r="G386" s="70"/>
      <c r="H386" s="70"/>
      <c r="I386" s="70"/>
      <c r="J386" s="70"/>
      <c r="K386" s="70"/>
      <c r="L386" s="70"/>
      <c r="M386" s="70"/>
      <c r="N386" s="70"/>
      <c r="O386" s="70"/>
      <c r="P386" s="70"/>
      <c r="Q386" s="70"/>
      <c r="R386" s="70"/>
      <c r="S386" s="70"/>
      <c r="T386" s="70"/>
      <c r="U386" s="70"/>
      <c r="V386" s="70"/>
      <c r="W386" s="70"/>
    </row>
    <row r="387">
      <c r="A387" s="70"/>
      <c r="B387" s="70"/>
      <c r="C387" s="70"/>
      <c r="D387" s="70"/>
      <c r="E387" s="66"/>
      <c r="F387" s="70"/>
      <c r="G387" s="70"/>
      <c r="H387" s="70"/>
      <c r="I387" s="70"/>
      <c r="J387" s="70"/>
      <c r="K387" s="70"/>
      <c r="L387" s="70"/>
      <c r="M387" s="70"/>
      <c r="N387" s="70"/>
      <c r="O387" s="70"/>
      <c r="P387" s="70"/>
      <c r="Q387" s="70"/>
      <c r="R387" s="70"/>
      <c r="S387" s="70"/>
      <c r="T387" s="70"/>
      <c r="U387" s="70"/>
      <c r="V387" s="70"/>
      <c r="W387" s="70"/>
    </row>
    <row r="388">
      <c r="A388" s="70"/>
      <c r="B388" s="70"/>
      <c r="C388" s="70"/>
      <c r="D388" s="70"/>
      <c r="E388" s="66"/>
      <c r="F388" s="70"/>
      <c r="G388" s="70"/>
      <c r="H388" s="70"/>
      <c r="I388" s="70"/>
      <c r="J388" s="70"/>
      <c r="K388" s="70"/>
      <c r="L388" s="70"/>
      <c r="M388" s="70"/>
      <c r="N388" s="70"/>
      <c r="O388" s="70"/>
      <c r="P388" s="70"/>
      <c r="Q388" s="70"/>
      <c r="R388" s="70"/>
      <c r="S388" s="70"/>
      <c r="T388" s="70"/>
      <c r="U388" s="70"/>
      <c r="V388" s="70"/>
      <c r="W388" s="70"/>
    </row>
    <row r="389">
      <c r="A389" s="70"/>
      <c r="B389" s="70"/>
      <c r="C389" s="70"/>
      <c r="D389" s="70"/>
      <c r="E389" s="66"/>
      <c r="F389" s="70"/>
      <c r="G389" s="70"/>
      <c r="H389" s="70"/>
      <c r="I389" s="70"/>
      <c r="J389" s="70"/>
      <c r="K389" s="70"/>
      <c r="L389" s="70"/>
      <c r="M389" s="70"/>
      <c r="N389" s="70"/>
      <c r="O389" s="70"/>
      <c r="P389" s="70"/>
      <c r="Q389" s="70"/>
      <c r="R389" s="70"/>
      <c r="S389" s="70"/>
      <c r="T389" s="70"/>
      <c r="U389" s="70"/>
      <c r="V389" s="70"/>
      <c r="W389" s="70"/>
    </row>
    <row r="390">
      <c r="A390" s="70"/>
      <c r="B390" s="70"/>
      <c r="C390" s="70"/>
      <c r="D390" s="70"/>
      <c r="E390" s="66"/>
      <c r="F390" s="70"/>
      <c r="G390" s="70"/>
      <c r="H390" s="70"/>
      <c r="I390" s="70"/>
      <c r="J390" s="70"/>
      <c r="K390" s="70"/>
      <c r="L390" s="70"/>
      <c r="M390" s="70"/>
      <c r="N390" s="70"/>
      <c r="O390" s="70"/>
      <c r="P390" s="70"/>
      <c r="Q390" s="70"/>
      <c r="R390" s="70"/>
      <c r="S390" s="70"/>
      <c r="T390" s="70"/>
      <c r="U390" s="70"/>
      <c r="V390" s="70"/>
      <c r="W390" s="70"/>
    </row>
    <row r="391">
      <c r="A391" s="70"/>
      <c r="B391" s="70"/>
      <c r="C391" s="70"/>
      <c r="D391" s="70"/>
      <c r="E391" s="66"/>
      <c r="F391" s="70"/>
      <c r="G391" s="70"/>
      <c r="H391" s="70"/>
      <c r="I391" s="70"/>
      <c r="J391" s="70"/>
      <c r="K391" s="70"/>
      <c r="L391" s="70"/>
      <c r="M391" s="70"/>
      <c r="N391" s="70"/>
      <c r="O391" s="70"/>
      <c r="P391" s="70"/>
      <c r="Q391" s="70"/>
      <c r="R391" s="70"/>
      <c r="S391" s="70"/>
      <c r="T391" s="70"/>
      <c r="U391" s="70"/>
      <c r="V391" s="70"/>
      <c r="W391" s="70"/>
    </row>
    <row r="392">
      <c r="A392" s="70"/>
      <c r="B392" s="70"/>
      <c r="C392" s="70"/>
      <c r="D392" s="70"/>
      <c r="E392" s="66"/>
      <c r="F392" s="70"/>
      <c r="G392" s="70"/>
      <c r="H392" s="70"/>
      <c r="I392" s="70"/>
      <c r="J392" s="70"/>
      <c r="K392" s="70"/>
      <c r="L392" s="70"/>
      <c r="M392" s="70"/>
      <c r="N392" s="70"/>
      <c r="O392" s="70"/>
      <c r="P392" s="70"/>
      <c r="Q392" s="70"/>
      <c r="R392" s="70"/>
      <c r="S392" s="70"/>
      <c r="T392" s="70"/>
      <c r="U392" s="70"/>
      <c r="V392" s="70"/>
      <c r="W392" s="70"/>
    </row>
    <row r="393">
      <c r="A393" s="70"/>
      <c r="B393" s="70"/>
      <c r="C393" s="70"/>
      <c r="D393" s="70"/>
      <c r="E393" s="66"/>
      <c r="F393" s="70"/>
      <c r="G393" s="70"/>
      <c r="H393" s="70"/>
      <c r="I393" s="70"/>
      <c r="J393" s="70"/>
      <c r="K393" s="70"/>
      <c r="L393" s="70"/>
      <c r="M393" s="70"/>
      <c r="N393" s="70"/>
      <c r="O393" s="70"/>
      <c r="P393" s="70"/>
      <c r="Q393" s="70"/>
      <c r="R393" s="70"/>
      <c r="S393" s="70"/>
      <c r="T393" s="70"/>
      <c r="U393" s="70"/>
      <c r="V393" s="70"/>
      <c r="W393" s="70"/>
    </row>
    <row r="394">
      <c r="A394" s="70"/>
      <c r="B394" s="70"/>
      <c r="C394" s="70"/>
      <c r="D394" s="70"/>
      <c r="E394" s="66"/>
      <c r="F394" s="70"/>
      <c r="G394" s="70"/>
      <c r="H394" s="70"/>
      <c r="I394" s="70"/>
      <c r="J394" s="70"/>
      <c r="K394" s="70"/>
      <c r="L394" s="70"/>
      <c r="M394" s="70"/>
      <c r="N394" s="70"/>
      <c r="O394" s="70"/>
      <c r="P394" s="70"/>
      <c r="Q394" s="70"/>
      <c r="R394" s="70"/>
      <c r="S394" s="70"/>
      <c r="T394" s="70"/>
      <c r="U394" s="70"/>
      <c r="V394" s="70"/>
      <c r="W394" s="70"/>
    </row>
    <row r="395">
      <c r="A395" s="70"/>
      <c r="B395" s="70"/>
      <c r="C395" s="70"/>
      <c r="D395" s="70"/>
      <c r="E395" s="66"/>
      <c r="F395" s="70"/>
      <c r="G395" s="70"/>
      <c r="H395" s="70"/>
      <c r="I395" s="70"/>
      <c r="J395" s="70"/>
      <c r="K395" s="70"/>
      <c r="L395" s="70"/>
      <c r="M395" s="70"/>
      <c r="N395" s="70"/>
      <c r="O395" s="70"/>
      <c r="P395" s="70"/>
      <c r="Q395" s="70"/>
      <c r="R395" s="70"/>
      <c r="S395" s="70"/>
      <c r="T395" s="70"/>
      <c r="U395" s="70"/>
      <c r="V395" s="70"/>
      <c r="W395" s="70"/>
    </row>
    <row r="396">
      <c r="A396" s="70"/>
      <c r="B396" s="70"/>
      <c r="C396" s="70"/>
      <c r="D396" s="70"/>
      <c r="E396" s="66"/>
      <c r="F396" s="70"/>
      <c r="G396" s="70"/>
      <c r="H396" s="70"/>
      <c r="I396" s="70"/>
      <c r="J396" s="70"/>
      <c r="K396" s="70"/>
      <c r="L396" s="70"/>
      <c r="M396" s="70"/>
      <c r="N396" s="70"/>
      <c r="O396" s="70"/>
      <c r="P396" s="70"/>
      <c r="Q396" s="70"/>
      <c r="R396" s="70"/>
      <c r="S396" s="70"/>
      <c r="T396" s="70"/>
      <c r="U396" s="70"/>
      <c r="V396" s="70"/>
      <c r="W396" s="70"/>
    </row>
    <row r="397">
      <c r="A397" s="70"/>
      <c r="B397" s="70"/>
      <c r="C397" s="70"/>
      <c r="D397" s="70"/>
      <c r="E397" s="66"/>
      <c r="F397" s="70"/>
      <c r="G397" s="70"/>
      <c r="H397" s="70"/>
      <c r="I397" s="70"/>
      <c r="J397" s="70"/>
      <c r="K397" s="70"/>
      <c r="L397" s="70"/>
      <c r="M397" s="70"/>
      <c r="N397" s="70"/>
      <c r="O397" s="70"/>
      <c r="P397" s="70"/>
      <c r="Q397" s="70"/>
      <c r="R397" s="70"/>
      <c r="S397" s="70"/>
      <c r="T397" s="70"/>
      <c r="U397" s="70"/>
      <c r="V397" s="70"/>
      <c r="W397" s="70"/>
    </row>
    <row r="398">
      <c r="A398" s="70"/>
      <c r="B398" s="70"/>
      <c r="C398" s="70"/>
      <c r="D398" s="70"/>
      <c r="E398" s="66"/>
      <c r="F398" s="70"/>
      <c r="G398" s="70"/>
      <c r="H398" s="70"/>
      <c r="I398" s="70"/>
      <c r="J398" s="70"/>
      <c r="K398" s="70"/>
      <c r="L398" s="70"/>
      <c r="M398" s="70"/>
      <c r="N398" s="70"/>
      <c r="O398" s="70"/>
      <c r="P398" s="70"/>
      <c r="Q398" s="70"/>
      <c r="R398" s="70"/>
      <c r="S398" s="70"/>
      <c r="T398" s="70"/>
      <c r="U398" s="70"/>
      <c r="V398" s="70"/>
      <c r="W398" s="70"/>
    </row>
    <row r="399">
      <c r="A399" s="70"/>
      <c r="B399" s="70"/>
      <c r="C399" s="70"/>
      <c r="D399" s="70"/>
      <c r="E399" s="66"/>
      <c r="F399" s="70"/>
      <c r="G399" s="70"/>
      <c r="H399" s="70"/>
      <c r="I399" s="70"/>
      <c r="J399" s="70"/>
      <c r="K399" s="70"/>
      <c r="L399" s="70"/>
      <c r="M399" s="70"/>
      <c r="N399" s="70"/>
      <c r="O399" s="70"/>
      <c r="P399" s="70"/>
      <c r="Q399" s="70"/>
      <c r="R399" s="70"/>
      <c r="S399" s="70"/>
      <c r="T399" s="70"/>
      <c r="U399" s="70"/>
      <c r="V399" s="70"/>
      <c r="W399" s="70"/>
    </row>
    <row r="400">
      <c r="A400" s="70"/>
      <c r="B400" s="70"/>
      <c r="C400" s="70"/>
      <c r="D400" s="70"/>
      <c r="E400" s="66"/>
      <c r="F400" s="70"/>
      <c r="G400" s="70"/>
      <c r="H400" s="70"/>
      <c r="I400" s="70"/>
      <c r="J400" s="70"/>
      <c r="K400" s="70"/>
      <c r="L400" s="70"/>
      <c r="M400" s="70"/>
      <c r="N400" s="70"/>
      <c r="O400" s="70"/>
      <c r="P400" s="70"/>
      <c r="Q400" s="70"/>
      <c r="R400" s="70"/>
      <c r="S400" s="70"/>
      <c r="T400" s="70"/>
      <c r="U400" s="70"/>
      <c r="V400" s="70"/>
      <c r="W400" s="70"/>
    </row>
    <row r="401">
      <c r="A401" s="70"/>
      <c r="B401" s="70"/>
      <c r="C401" s="70"/>
      <c r="D401" s="70"/>
      <c r="E401" s="66"/>
      <c r="F401" s="70"/>
      <c r="G401" s="70"/>
      <c r="H401" s="70"/>
      <c r="I401" s="70"/>
      <c r="J401" s="70"/>
      <c r="K401" s="70"/>
      <c r="L401" s="70"/>
      <c r="M401" s="70"/>
      <c r="N401" s="70"/>
      <c r="O401" s="70"/>
      <c r="P401" s="70"/>
      <c r="Q401" s="70"/>
      <c r="R401" s="70"/>
      <c r="S401" s="70"/>
      <c r="T401" s="70"/>
      <c r="U401" s="70"/>
      <c r="V401" s="70"/>
      <c r="W401" s="70"/>
    </row>
    <row r="402">
      <c r="A402" s="70"/>
      <c r="B402" s="70"/>
      <c r="C402" s="70"/>
      <c r="D402" s="70"/>
      <c r="E402" s="66"/>
      <c r="F402" s="70"/>
      <c r="G402" s="70"/>
      <c r="H402" s="70"/>
      <c r="I402" s="70"/>
      <c r="J402" s="70"/>
      <c r="K402" s="70"/>
      <c r="L402" s="70"/>
      <c r="M402" s="70"/>
      <c r="N402" s="70"/>
      <c r="O402" s="70"/>
      <c r="P402" s="70"/>
      <c r="Q402" s="70"/>
      <c r="R402" s="70"/>
      <c r="S402" s="70"/>
      <c r="T402" s="70"/>
      <c r="U402" s="70"/>
      <c r="V402" s="70"/>
      <c r="W402" s="70"/>
    </row>
    <row r="403">
      <c r="A403" s="70"/>
      <c r="B403" s="70"/>
      <c r="C403" s="70"/>
      <c r="D403" s="70"/>
      <c r="E403" s="66"/>
      <c r="F403" s="70"/>
      <c r="G403" s="70"/>
      <c r="H403" s="70"/>
      <c r="I403" s="70"/>
      <c r="J403" s="70"/>
      <c r="K403" s="70"/>
      <c r="L403" s="70"/>
      <c r="M403" s="70"/>
      <c r="N403" s="70"/>
      <c r="O403" s="70"/>
      <c r="P403" s="70"/>
      <c r="Q403" s="70"/>
      <c r="R403" s="70"/>
      <c r="S403" s="70"/>
      <c r="T403" s="70"/>
      <c r="U403" s="70"/>
      <c r="V403" s="70"/>
      <c r="W403" s="70"/>
    </row>
    <row r="404">
      <c r="A404" s="70"/>
      <c r="B404" s="70"/>
      <c r="C404" s="70"/>
      <c r="D404" s="70"/>
      <c r="E404" s="66"/>
      <c r="F404" s="70"/>
      <c r="G404" s="70"/>
      <c r="H404" s="70"/>
      <c r="I404" s="70"/>
      <c r="J404" s="70"/>
      <c r="K404" s="70"/>
      <c r="L404" s="70"/>
      <c r="M404" s="70"/>
      <c r="N404" s="70"/>
      <c r="O404" s="70"/>
      <c r="P404" s="70"/>
      <c r="Q404" s="70"/>
      <c r="R404" s="70"/>
      <c r="S404" s="70"/>
      <c r="T404" s="70"/>
      <c r="U404" s="70"/>
      <c r="V404" s="70"/>
      <c r="W404" s="70"/>
    </row>
    <row r="405">
      <c r="A405" s="70"/>
      <c r="B405" s="70"/>
      <c r="C405" s="70"/>
      <c r="D405" s="70"/>
      <c r="E405" s="66"/>
      <c r="F405" s="70"/>
      <c r="G405" s="70"/>
      <c r="H405" s="70"/>
      <c r="I405" s="70"/>
      <c r="J405" s="70"/>
      <c r="K405" s="70"/>
      <c r="L405" s="70"/>
      <c r="M405" s="70"/>
      <c r="N405" s="70"/>
      <c r="O405" s="70"/>
      <c r="P405" s="70"/>
      <c r="Q405" s="70"/>
      <c r="R405" s="70"/>
      <c r="S405" s="70"/>
      <c r="T405" s="70"/>
      <c r="U405" s="70"/>
      <c r="V405" s="70"/>
      <c r="W405" s="70"/>
    </row>
    <row r="406">
      <c r="A406" s="70"/>
      <c r="B406" s="70"/>
      <c r="C406" s="70"/>
      <c r="D406" s="70"/>
      <c r="E406" s="66"/>
      <c r="F406" s="70"/>
      <c r="G406" s="70"/>
      <c r="H406" s="70"/>
      <c r="I406" s="70"/>
      <c r="J406" s="70"/>
      <c r="K406" s="70"/>
      <c r="L406" s="70"/>
      <c r="M406" s="70"/>
      <c r="N406" s="70"/>
      <c r="O406" s="70"/>
      <c r="P406" s="70"/>
      <c r="Q406" s="70"/>
      <c r="R406" s="70"/>
      <c r="S406" s="70"/>
      <c r="T406" s="70"/>
      <c r="U406" s="70"/>
      <c r="V406" s="70"/>
      <c r="W406" s="70"/>
    </row>
    <row r="407">
      <c r="A407" s="70"/>
      <c r="B407" s="70"/>
      <c r="C407" s="70"/>
      <c r="D407" s="70"/>
      <c r="E407" s="66"/>
      <c r="F407" s="70"/>
      <c r="G407" s="70"/>
      <c r="H407" s="70"/>
      <c r="I407" s="70"/>
      <c r="J407" s="70"/>
      <c r="K407" s="70"/>
      <c r="L407" s="70"/>
      <c r="M407" s="70"/>
      <c r="N407" s="70"/>
      <c r="O407" s="70"/>
      <c r="P407" s="70"/>
      <c r="Q407" s="70"/>
      <c r="R407" s="70"/>
      <c r="S407" s="70"/>
      <c r="T407" s="70"/>
      <c r="U407" s="70"/>
      <c r="V407" s="70"/>
      <c r="W407" s="70"/>
    </row>
    <row r="408">
      <c r="A408" s="70"/>
      <c r="B408" s="70"/>
      <c r="C408" s="70"/>
      <c r="D408" s="70"/>
      <c r="E408" s="66"/>
      <c r="F408" s="70"/>
      <c r="G408" s="70"/>
      <c r="H408" s="70"/>
      <c r="I408" s="70"/>
      <c r="J408" s="70"/>
      <c r="K408" s="70"/>
      <c r="L408" s="70"/>
      <c r="M408" s="70"/>
      <c r="N408" s="70"/>
      <c r="O408" s="70"/>
      <c r="P408" s="70"/>
      <c r="Q408" s="70"/>
      <c r="R408" s="70"/>
      <c r="S408" s="70"/>
      <c r="T408" s="70"/>
      <c r="U408" s="70"/>
      <c r="V408" s="70"/>
      <c r="W408" s="70"/>
    </row>
    <row r="409">
      <c r="A409" s="70"/>
      <c r="B409" s="70"/>
      <c r="C409" s="70"/>
      <c r="D409" s="70"/>
      <c r="E409" s="66"/>
      <c r="F409" s="70"/>
      <c r="G409" s="70"/>
      <c r="H409" s="70"/>
      <c r="I409" s="70"/>
      <c r="J409" s="70"/>
      <c r="K409" s="70"/>
      <c r="L409" s="70"/>
      <c r="M409" s="70"/>
      <c r="N409" s="70"/>
      <c r="O409" s="70"/>
      <c r="P409" s="70"/>
      <c r="Q409" s="70"/>
      <c r="R409" s="70"/>
      <c r="S409" s="70"/>
      <c r="T409" s="70"/>
      <c r="U409" s="70"/>
      <c r="V409" s="70"/>
      <c r="W409" s="70"/>
    </row>
    <row r="410">
      <c r="A410" s="70"/>
      <c r="B410" s="70"/>
      <c r="C410" s="70"/>
      <c r="D410" s="70"/>
      <c r="E410" s="66"/>
      <c r="F410" s="70"/>
      <c r="G410" s="70"/>
      <c r="H410" s="70"/>
      <c r="I410" s="70"/>
      <c r="J410" s="70"/>
      <c r="K410" s="70"/>
      <c r="L410" s="70"/>
      <c r="M410" s="70"/>
      <c r="N410" s="70"/>
      <c r="O410" s="70"/>
      <c r="P410" s="70"/>
      <c r="Q410" s="70"/>
      <c r="R410" s="70"/>
      <c r="S410" s="70"/>
      <c r="T410" s="70"/>
      <c r="U410" s="70"/>
      <c r="V410" s="70"/>
      <c r="W410" s="70"/>
    </row>
    <row r="411">
      <c r="A411" s="70"/>
      <c r="B411" s="70"/>
      <c r="C411" s="70"/>
      <c r="D411" s="70"/>
      <c r="E411" s="66"/>
      <c r="F411" s="70"/>
      <c r="G411" s="70"/>
      <c r="H411" s="70"/>
      <c r="I411" s="70"/>
      <c r="J411" s="70"/>
      <c r="K411" s="70"/>
      <c r="L411" s="70"/>
      <c r="M411" s="70"/>
      <c r="N411" s="70"/>
      <c r="O411" s="70"/>
      <c r="P411" s="70"/>
      <c r="Q411" s="70"/>
      <c r="R411" s="70"/>
      <c r="S411" s="70"/>
      <c r="T411" s="70"/>
      <c r="U411" s="70"/>
      <c r="V411" s="70"/>
      <c r="W411" s="70"/>
    </row>
    <row r="412">
      <c r="A412" s="70"/>
      <c r="B412" s="70"/>
      <c r="C412" s="70"/>
      <c r="D412" s="70"/>
      <c r="E412" s="66"/>
      <c r="F412" s="70"/>
      <c r="G412" s="70"/>
      <c r="H412" s="70"/>
      <c r="I412" s="70"/>
      <c r="J412" s="70"/>
      <c r="K412" s="70"/>
      <c r="L412" s="70"/>
      <c r="M412" s="70"/>
      <c r="N412" s="70"/>
      <c r="O412" s="70"/>
      <c r="P412" s="70"/>
      <c r="Q412" s="70"/>
      <c r="R412" s="70"/>
      <c r="S412" s="70"/>
      <c r="T412" s="70"/>
      <c r="U412" s="70"/>
      <c r="V412" s="70"/>
      <c r="W412" s="70"/>
    </row>
    <row r="413">
      <c r="A413" s="70"/>
      <c r="B413" s="70"/>
      <c r="C413" s="70"/>
      <c r="D413" s="70"/>
      <c r="E413" s="66"/>
      <c r="F413" s="70"/>
      <c r="G413" s="70"/>
      <c r="H413" s="70"/>
      <c r="I413" s="70"/>
      <c r="J413" s="70"/>
      <c r="K413" s="70"/>
      <c r="L413" s="70"/>
      <c r="M413" s="70"/>
      <c r="N413" s="70"/>
      <c r="O413" s="70"/>
      <c r="P413" s="70"/>
      <c r="Q413" s="70"/>
      <c r="R413" s="70"/>
      <c r="S413" s="70"/>
      <c r="T413" s="70"/>
      <c r="U413" s="70"/>
      <c r="V413" s="70"/>
      <c r="W413" s="70"/>
    </row>
    <row r="414">
      <c r="A414" s="70"/>
      <c r="B414" s="70"/>
      <c r="C414" s="70"/>
      <c r="D414" s="70"/>
      <c r="E414" s="66"/>
      <c r="F414" s="70"/>
      <c r="G414" s="70"/>
      <c r="H414" s="70"/>
      <c r="I414" s="70"/>
      <c r="J414" s="70"/>
      <c r="K414" s="70"/>
      <c r="L414" s="70"/>
      <c r="M414" s="70"/>
      <c r="N414" s="70"/>
      <c r="O414" s="70"/>
      <c r="P414" s="70"/>
      <c r="Q414" s="70"/>
      <c r="R414" s="70"/>
      <c r="S414" s="70"/>
      <c r="T414" s="70"/>
      <c r="U414" s="70"/>
      <c r="V414" s="70"/>
      <c r="W414" s="70"/>
    </row>
    <row r="415">
      <c r="A415" s="70"/>
      <c r="B415" s="70"/>
      <c r="C415" s="70"/>
      <c r="D415" s="70"/>
      <c r="E415" s="66"/>
      <c r="F415" s="70"/>
      <c r="G415" s="70"/>
      <c r="H415" s="70"/>
      <c r="I415" s="70"/>
      <c r="J415" s="70"/>
      <c r="K415" s="70"/>
      <c r="L415" s="70"/>
      <c r="M415" s="70"/>
      <c r="N415" s="70"/>
      <c r="O415" s="70"/>
      <c r="P415" s="70"/>
      <c r="Q415" s="70"/>
      <c r="R415" s="70"/>
      <c r="S415" s="70"/>
      <c r="T415" s="70"/>
      <c r="U415" s="70"/>
      <c r="V415" s="70"/>
      <c r="W415" s="70"/>
    </row>
    <row r="416">
      <c r="A416" s="70"/>
      <c r="B416" s="70"/>
      <c r="C416" s="70"/>
      <c r="D416" s="70"/>
      <c r="E416" s="66"/>
      <c r="F416" s="70"/>
      <c r="G416" s="70"/>
      <c r="H416" s="70"/>
      <c r="I416" s="70"/>
      <c r="J416" s="70"/>
      <c r="K416" s="70"/>
      <c r="L416" s="70"/>
      <c r="M416" s="70"/>
      <c r="N416" s="70"/>
      <c r="O416" s="70"/>
      <c r="P416" s="70"/>
      <c r="Q416" s="70"/>
      <c r="R416" s="70"/>
      <c r="S416" s="70"/>
      <c r="T416" s="70"/>
      <c r="U416" s="70"/>
      <c r="V416" s="70"/>
      <c r="W416" s="70"/>
    </row>
    <row r="417">
      <c r="A417" s="70"/>
      <c r="B417" s="70"/>
      <c r="C417" s="70"/>
      <c r="D417" s="70"/>
      <c r="E417" s="66"/>
      <c r="F417" s="70"/>
      <c r="G417" s="70"/>
      <c r="H417" s="70"/>
      <c r="I417" s="70"/>
      <c r="J417" s="70"/>
      <c r="K417" s="70"/>
      <c r="L417" s="70"/>
      <c r="M417" s="70"/>
      <c r="N417" s="70"/>
      <c r="O417" s="70"/>
      <c r="P417" s="70"/>
      <c r="Q417" s="70"/>
      <c r="R417" s="70"/>
      <c r="S417" s="70"/>
      <c r="T417" s="70"/>
      <c r="U417" s="70"/>
      <c r="V417" s="70"/>
      <c r="W417" s="70"/>
    </row>
    <row r="418">
      <c r="A418" s="70"/>
      <c r="B418" s="70"/>
      <c r="C418" s="70"/>
      <c r="D418" s="70"/>
      <c r="E418" s="66"/>
      <c r="F418" s="70"/>
      <c r="G418" s="70"/>
      <c r="H418" s="70"/>
      <c r="I418" s="70"/>
      <c r="J418" s="70"/>
      <c r="K418" s="70"/>
      <c r="L418" s="70"/>
      <c r="M418" s="70"/>
      <c r="N418" s="70"/>
      <c r="O418" s="70"/>
      <c r="P418" s="70"/>
      <c r="Q418" s="70"/>
      <c r="R418" s="70"/>
      <c r="S418" s="70"/>
      <c r="T418" s="70"/>
      <c r="U418" s="70"/>
      <c r="V418" s="70"/>
      <c r="W418" s="70"/>
    </row>
    <row r="419">
      <c r="A419" s="70"/>
      <c r="B419" s="70"/>
      <c r="C419" s="70"/>
      <c r="D419" s="70"/>
      <c r="E419" s="66"/>
      <c r="F419" s="70"/>
      <c r="G419" s="70"/>
      <c r="H419" s="70"/>
      <c r="I419" s="70"/>
      <c r="J419" s="70"/>
      <c r="K419" s="70"/>
      <c r="L419" s="70"/>
      <c r="M419" s="70"/>
      <c r="N419" s="70"/>
      <c r="O419" s="70"/>
      <c r="P419" s="70"/>
      <c r="Q419" s="70"/>
      <c r="R419" s="70"/>
      <c r="S419" s="70"/>
      <c r="T419" s="70"/>
      <c r="U419" s="70"/>
      <c r="V419" s="70"/>
      <c r="W419" s="70"/>
    </row>
    <row r="420">
      <c r="A420" s="70"/>
      <c r="B420" s="70"/>
      <c r="C420" s="70"/>
      <c r="D420" s="70"/>
      <c r="E420" s="66"/>
      <c r="F420" s="70"/>
      <c r="G420" s="70"/>
      <c r="H420" s="70"/>
      <c r="I420" s="70"/>
      <c r="J420" s="70"/>
      <c r="K420" s="70"/>
      <c r="L420" s="70"/>
      <c r="M420" s="70"/>
      <c r="N420" s="70"/>
      <c r="O420" s="70"/>
      <c r="P420" s="70"/>
      <c r="Q420" s="70"/>
      <c r="R420" s="70"/>
      <c r="S420" s="70"/>
      <c r="T420" s="70"/>
      <c r="U420" s="70"/>
      <c r="V420" s="70"/>
      <c r="W420" s="70"/>
    </row>
    <row r="421">
      <c r="A421" s="70"/>
      <c r="B421" s="70"/>
      <c r="C421" s="70"/>
      <c r="D421" s="70"/>
      <c r="E421" s="66"/>
      <c r="F421" s="70"/>
      <c r="G421" s="70"/>
      <c r="H421" s="70"/>
      <c r="I421" s="70"/>
      <c r="J421" s="70"/>
      <c r="K421" s="70"/>
      <c r="L421" s="70"/>
      <c r="M421" s="70"/>
      <c r="N421" s="70"/>
      <c r="O421" s="70"/>
      <c r="P421" s="70"/>
      <c r="Q421" s="70"/>
      <c r="R421" s="70"/>
      <c r="S421" s="70"/>
      <c r="T421" s="70"/>
      <c r="U421" s="70"/>
      <c r="V421" s="70"/>
      <c r="W421" s="70"/>
    </row>
    <row r="422">
      <c r="A422" s="70"/>
      <c r="B422" s="70"/>
      <c r="C422" s="70"/>
      <c r="D422" s="70"/>
      <c r="E422" s="66"/>
      <c r="F422" s="70"/>
      <c r="G422" s="70"/>
      <c r="H422" s="70"/>
      <c r="I422" s="70"/>
      <c r="J422" s="70"/>
      <c r="K422" s="70"/>
      <c r="L422" s="70"/>
      <c r="M422" s="70"/>
      <c r="N422" s="70"/>
      <c r="O422" s="70"/>
      <c r="P422" s="70"/>
      <c r="Q422" s="70"/>
      <c r="R422" s="70"/>
      <c r="S422" s="70"/>
      <c r="T422" s="70"/>
      <c r="U422" s="70"/>
      <c r="V422" s="70"/>
      <c r="W422" s="70"/>
    </row>
    <row r="423">
      <c r="A423" s="70"/>
      <c r="B423" s="70"/>
      <c r="C423" s="70"/>
      <c r="D423" s="70"/>
      <c r="E423" s="66"/>
      <c r="F423" s="70"/>
      <c r="G423" s="70"/>
      <c r="H423" s="70"/>
      <c r="I423" s="70"/>
      <c r="J423" s="70"/>
      <c r="K423" s="70"/>
      <c r="L423" s="70"/>
      <c r="M423" s="70"/>
      <c r="N423" s="70"/>
      <c r="O423" s="70"/>
      <c r="P423" s="70"/>
      <c r="Q423" s="70"/>
      <c r="R423" s="70"/>
      <c r="S423" s="70"/>
      <c r="T423" s="70"/>
      <c r="U423" s="70"/>
      <c r="V423" s="70"/>
      <c r="W423" s="70"/>
    </row>
    <row r="424">
      <c r="A424" s="70"/>
      <c r="B424" s="70"/>
      <c r="C424" s="70"/>
      <c r="D424" s="70"/>
      <c r="E424" s="66"/>
      <c r="F424" s="70"/>
      <c r="G424" s="70"/>
      <c r="H424" s="70"/>
      <c r="I424" s="70"/>
      <c r="J424" s="70"/>
      <c r="K424" s="70"/>
      <c r="L424" s="70"/>
      <c r="M424" s="70"/>
      <c r="N424" s="70"/>
      <c r="O424" s="70"/>
      <c r="P424" s="70"/>
      <c r="Q424" s="70"/>
      <c r="R424" s="70"/>
      <c r="S424" s="70"/>
      <c r="T424" s="70"/>
      <c r="U424" s="70"/>
      <c r="V424" s="70"/>
      <c r="W424" s="70"/>
    </row>
    <row r="425">
      <c r="A425" s="70"/>
      <c r="B425" s="70"/>
      <c r="C425" s="70"/>
      <c r="D425" s="70"/>
      <c r="E425" s="66"/>
      <c r="F425" s="70"/>
      <c r="G425" s="70"/>
      <c r="H425" s="70"/>
      <c r="I425" s="70"/>
      <c r="J425" s="70"/>
      <c r="K425" s="70"/>
      <c r="L425" s="70"/>
      <c r="M425" s="70"/>
      <c r="N425" s="70"/>
      <c r="O425" s="70"/>
      <c r="P425" s="70"/>
      <c r="Q425" s="70"/>
      <c r="R425" s="70"/>
      <c r="S425" s="70"/>
      <c r="T425" s="70"/>
      <c r="U425" s="70"/>
      <c r="V425" s="70"/>
      <c r="W425" s="70"/>
    </row>
    <row r="426">
      <c r="A426" s="70"/>
      <c r="B426" s="70"/>
      <c r="C426" s="70"/>
      <c r="D426" s="70"/>
      <c r="E426" s="66"/>
      <c r="F426" s="70"/>
      <c r="G426" s="70"/>
      <c r="H426" s="70"/>
      <c r="I426" s="70"/>
      <c r="J426" s="70"/>
      <c r="K426" s="70"/>
      <c r="L426" s="70"/>
      <c r="M426" s="70"/>
      <c r="N426" s="70"/>
      <c r="O426" s="70"/>
      <c r="P426" s="70"/>
      <c r="Q426" s="70"/>
      <c r="R426" s="70"/>
      <c r="S426" s="70"/>
      <c r="T426" s="70"/>
      <c r="U426" s="70"/>
      <c r="V426" s="70"/>
      <c r="W426" s="70"/>
    </row>
    <row r="427">
      <c r="A427" s="70"/>
      <c r="B427" s="70"/>
      <c r="C427" s="70"/>
      <c r="D427" s="70"/>
      <c r="E427" s="66"/>
      <c r="F427" s="70"/>
      <c r="G427" s="70"/>
      <c r="H427" s="70"/>
      <c r="I427" s="70"/>
      <c r="J427" s="70"/>
      <c r="K427" s="70"/>
      <c r="L427" s="70"/>
      <c r="M427" s="70"/>
      <c r="N427" s="70"/>
      <c r="O427" s="70"/>
      <c r="P427" s="70"/>
      <c r="Q427" s="70"/>
      <c r="R427" s="70"/>
      <c r="S427" s="70"/>
      <c r="T427" s="70"/>
      <c r="U427" s="70"/>
      <c r="V427" s="70"/>
      <c r="W427" s="70"/>
    </row>
    <row r="428">
      <c r="A428" s="70"/>
      <c r="B428" s="70"/>
      <c r="C428" s="70"/>
      <c r="D428" s="70"/>
      <c r="E428" s="66"/>
      <c r="F428" s="70"/>
      <c r="G428" s="70"/>
      <c r="H428" s="70"/>
      <c r="I428" s="70"/>
      <c r="J428" s="70"/>
      <c r="K428" s="70"/>
      <c r="L428" s="70"/>
      <c r="M428" s="70"/>
      <c r="N428" s="70"/>
      <c r="O428" s="70"/>
      <c r="P428" s="70"/>
      <c r="Q428" s="70"/>
      <c r="R428" s="70"/>
      <c r="S428" s="70"/>
      <c r="T428" s="70"/>
      <c r="U428" s="70"/>
      <c r="V428" s="70"/>
      <c r="W428" s="70"/>
    </row>
    <row r="429">
      <c r="A429" s="70"/>
      <c r="B429" s="70"/>
      <c r="C429" s="70"/>
      <c r="D429" s="70"/>
      <c r="E429" s="66"/>
      <c r="F429" s="70"/>
      <c r="G429" s="70"/>
      <c r="H429" s="70"/>
      <c r="I429" s="70"/>
      <c r="J429" s="70"/>
      <c r="K429" s="70"/>
      <c r="L429" s="70"/>
      <c r="M429" s="70"/>
      <c r="N429" s="70"/>
      <c r="O429" s="70"/>
      <c r="P429" s="70"/>
      <c r="Q429" s="70"/>
      <c r="R429" s="70"/>
      <c r="S429" s="70"/>
      <c r="T429" s="70"/>
      <c r="U429" s="70"/>
      <c r="V429" s="70"/>
      <c r="W429" s="70"/>
    </row>
    <row r="430">
      <c r="A430" s="70"/>
      <c r="B430" s="70"/>
      <c r="C430" s="70"/>
      <c r="D430" s="70"/>
      <c r="E430" s="66"/>
      <c r="F430" s="70"/>
      <c r="G430" s="70"/>
      <c r="H430" s="70"/>
      <c r="I430" s="70"/>
      <c r="J430" s="70"/>
      <c r="K430" s="70"/>
      <c r="L430" s="70"/>
      <c r="M430" s="70"/>
      <c r="N430" s="70"/>
      <c r="O430" s="70"/>
      <c r="P430" s="70"/>
      <c r="Q430" s="70"/>
      <c r="R430" s="70"/>
      <c r="S430" s="70"/>
      <c r="T430" s="70"/>
      <c r="U430" s="70"/>
      <c r="V430" s="70"/>
      <c r="W430" s="70"/>
    </row>
    <row r="431">
      <c r="A431" s="70"/>
      <c r="B431" s="70"/>
      <c r="C431" s="70"/>
      <c r="D431" s="70"/>
      <c r="E431" s="66"/>
      <c r="F431" s="70"/>
      <c r="G431" s="70"/>
      <c r="H431" s="70"/>
      <c r="I431" s="70"/>
      <c r="J431" s="70"/>
      <c r="K431" s="70"/>
      <c r="L431" s="70"/>
      <c r="M431" s="70"/>
      <c r="N431" s="70"/>
      <c r="O431" s="70"/>
      <c r="P431" s="70"/>
      <c r="Q431" s="70"/>
      <c r="R431" s="70"/>
      <c r="S431" s="70"/>
      <c r="T431" s="70"/>
      <c r="U431" s="70"/>
      <c r="V431" s="70"/>
      <c r="W431" s="70"/>
    </row>
    <row r="432">
      <c r="A432" s="70"/>
      <c r="B432" s="70"/>
      <c r="C432" s="70"/>
      <c r="D432" s="70"/>
      <c r="E432" s="66"/>
      <c r="F432" s="70"/>
      <c r="G432" s="70"/>
      <c r="H432" s="70"/>
      <c r="I432" s="70"/>
      <c r="J432" s="70"/>
      <c r="K432" s="70"/>
      <c r="L432" s="70"/>
      <c r="M432" s="70"/>
      <c r="N432" s="70"/>
      <c r="O432" s="70"/>
      <c r="P432" s="70"/>
      <c r="Q432" s="70"/>
      <c r="R432" s="70"/>
      <c r="S432" s="70"/>
      <c r="T432" s="70"/>
      <c r="U432" s="70"/>
      <c r="V432" s="70"/>
      <c r="W432" s="70"/>
    </row>
    <row r="433">
      <c r="A433" s="70"/>
      <c r="B433" s="70"/>
      <c r="C433" s="70"/>
      <c r="D433" s="70"/>
      <c r="E433" s="66"/>
      <c r="F433" s="70"/>
      <c r="G433" s="70"/>
      <c r="H433" s="70"/>
      <c r="I433" s="70"/>
      <c r="J433" s="70"/>
      <c r="K433" s="70"/>
      <c r="L433" s="70"/>
      <c r="M433" s="70"/>
      <c r="N433" s="70"/>
      <c r="O433" s="70"/>
      <c r="P433" s="70"/>
      <c r="Q433" s="70"/>
      <c r="R433" s="70"/>
      <c r="S433" s="70"/>
      <c r="T433" s="70"/>
      <c r="U433" s="70"/>
      <c r="V433" s="70"/>
      <c r="W433" s="70"/>
    </row>
    <row r="434">
      <c r="A434" s="70"/>
      <c r="B434" s="70"/>
      <c r="C434" s="70"/>
      <c r="D434" s="70"/>
      <c r="E434" s="66"/>
      <c r="F434" s="70"/>
      <c r="G434" s="70"/>
      <c r="H434" s="70"/>
      <c r="I434" s="70"/>
      <c r="J434" s="70"/>
      <c r="K434" s="70"/>
      <c r="L434" s="70"/>
      <c r="M434" s="70"/>
      <c r="N434" s="70"/>
      <c r="O434" s="70"/>
      <c r="P434" s="70"/>
      <c r="Q434" s="70"/>
      <c r="R434" s="70"/>
      <c r="S434" s="70"/>
      <c r="T434" s="70"/>
      <c r="U434" s="70"/>
      <c r="V434" s="70"/>
      <c r="W434" s="70"/>
    </row>
    <row r="435">
      <c r="A435" s="70"/>
      <c r="B435" s="70"/>
      <c r="C435" s="70"/>
      <c r="D435" s="70"/>
      <c r="E435" s="66"/>
      <c r="F435" s="70"/>
      <c r="G435" s="70"/>
      <c r="H435" s="70"/>
      <c r="I435" s="70"/>
      <c r="J435" s="70"/>
      <c r="K435" s="70"/>
      <c r="L435" s="70"/>
      <c r="M435" s="70"/>
      <c r="N435" s="70"/>
      <c r="O435" s="70"/>
      <c r="P435" s="70"/>
      <c r="Q435" s="70"/>
      <c r="R435" s="70"/>
      <c r="S435" s="70"/>
      <c r="T435" s="70"/>
      <c r="U435" s="70"/>
      <c r="V435" s="70"/>
      <c r="W435" s="70"/>
    </row>
    <row r="436">
      <c r="A436" s="70"/>
      <c r="B436" s="70"/>
      <c r="C436" s="70"/>
      <c r="D436" s="70"/>
      <c r="E436" s="66"/>
      <c r="F436" s="70"/>
      <c r="G436" s="70"/>
      <c r="H436" s="70"/>
      <c r="I436" s="70"/>
      <c r="J436" s="70"/>
      <c r="K436" s="70"/>
      <c r="L436" s="70"/>
      <c r="M436" s="70"/>
      <c r="N436" s="70"/>
      <c r="O436" s="70"/>
      <c r="P436" s="70"/>
      <c r="Q436" s="70"/>
      <c r="R436" s="70"/>
      <c r="S436" s="70"/>
      <c r="T436" s="70"/>
      <c r="U436" s="70"/>
      <c r="V436" s="70"/>
      <c r="W436" s="70"/>
    </row>
    <row r="437">
      <c r="A437" s="70"/>
      <c r="B437" s="70"/>
      <c r="C437" s="70"/>
      <c r="D437" s="70"/>
      <c r="E437" s="66"/>
      <c r="F437" s="70"/>
      <c r="G437" s="70"/>
      <c r="H437" s="70"/>
      <c r="I437" s="70"/>
      <c r="J437" s="70"/>
      <c r="K437" s="70"/>
      <c r="L437" s="70"/>
      <c r="M437" s="70"/>
      <c r="N437" s="70"/>
      <c r="O437" s="70"/>
      <c r="P437" s="70"/>
      <c r="Q437" s="70"/>
      <c r="R437" s="70"/>
      <c r="S437" s="70"/>
      <c r="T437" s="70"/>
      <c r="U437" s="70"/>
      <c r="V437" s="70"/>
      <c r="W437" s="70"/>
    </row>
    <row r="438">
      <c r="A438" s="70"/>
      <c r="B438" s="70"/>
      <c r="C438" s="70"/>
      <c r="D438" s="70"/>
      <c r="E438" s="66"/>
      <c r="F438" s="70"/>
      <c r="G438" s="70"/>
      <c r="H438" s="70"/>
      <c r="I438" s="70"/>
      <c r="J438" s="70"/>
      <c r="K438" s="70"/>
      <c r="L438" s="70"/>
      <c r="M438" s="70"/>
      <c r="N438" s="70"/>
      <c r="O438" s="70"/>
      <c r="P438" s="70"/>
      <c r="Q438" s="70"/>
      <c r="R438" s="70"/>
      <c r="S438" s="70"/>
      <c r="T438" s="70"/>
      <c r="U438" s="70"/>
      <c r="V438" s="70"/>
      <c r="W438" s="70"/>
    </row>
    <row r="439">
      <c r="A439" s="70"/>
      <c r="B439" s="70"/>
      <c r="C439" s="70"/>
      <c r="D439" s="70"/>
      <c r="E439" s="66"/>
      <c r="F439" s="70"/>
      <c r="G439" s="70"/>
      <c r="H439" s="70"/>
      <c r="I439" s="70"/>
      <c r="J439" s="70"/>
      <c r="K439" s="70"/>
      <c r="L439" s="70"/>
      <c r="M439" s="70"/>
      <c r="N439" s="70"/>
      <c r="O439" s="70"/>
      <c r="P439" s="70"/>
      <c r="Q439" s="70"/>
      <c r="R439" s="70"/>
      <c r="S439" s="70"/>
      <c r="T439" s="70"/>
      <c r="U439" s="70"/>
      <c r="V439" s="70"/>
      <c r="W439" s="70"/>
    </row>
    <row r="440">
      <c r="A440" s="70"/>
      <c r="B440" s="70"/>
      <c r="C440" s="70"/>
      <c r="D440" s="70"/>
      <c r="E440" s="66"/>
      <c r="F440" s="70"/>
      <c r="G440" s="70"/>
      <c r="H440" s="70"/>
      <c r="I440" s="70"/>
      <c r="J440" s="70"/>
      <c r="K440" s="70"/>
      <c r="L440" s="70"/>
      <c r="M440" s="70"/>
      <c r="N440" s="70"/>
      <c r="O440" s="70"/>
      <c r="P440" s="70"/>
      <c r="Q440" s="70"/>
      <c r="R440" s="70"/>
      <c r="S440" s="70"/>
      <c r="T440" s="70"/>
      <c r="U440" s="70"/>
      <c r="V440" s="70"/>
      <c r="W440" s="70"/>
    </row>
    <row r="441">
      <c r="A441" s="70"/>
      <c r="B441" s="70"/>
      <c r="C441" s="70"/>
      <c r="D441" s="70"/>
      <c r="E441" s="66"/>
      <c r="F441" s="70"/>
      <c r="G441" s="70"/>
      <c r="H441" s="70"/>
      <c r="I441" s="70"/>
      <c r="J441" s="70"/>
      <c r="K441" s="70"/>
      <c r="L441" s="70"/>
      <c r="M441" s="70"/>
      <c r="N441" s="70"/>
      <c r="O441" s="70"/>
      <c r="P441" s="70"/>
      <c r="Q441" s="70"/>
      <c r="R441" s="70"/>
      <c r="S441" s="70"/>
      <c r="T441" s="70"/>
      <c r="U441" s="70"/>
      <c r="V441" s="70"/>
      <c r="W441" s="70"/>
    </row>
    <row r="442">
      <c r="A442" s="70"/>
      <c r="B442" s="70"/>
      <c r="C442" s="70"/>
      <c r="D442" s="70"/>
      <c r="E442" s="66"/>
      <c r="F442" s="70"/>
      <c r="G442" s="70"/>
      <c r="H442" s="70"/>
      <c r="I442" s="70"/>
      <c r="J442" s="70"/>
      <c r="K442" s="70"/>
      <c r="L442" s="70"/>
      <c r="M442" s="70"/>
      <c r="N442" s="70"/>
      <c r="O442" s="70"/>
      <c r="P442" s="70"/>
      <c r="Q442" s="70"/>
      <c r="R442" s="70"/>
      <c r="S442" s="70"/>
      <c r="T442" s="70"/>
      <c r="U442" s="70"/>
      <c r="V442" s="70"/>
      <c r="W442" s="70"/>
    </row>
    <row r="443">
      <c r="A443" s="70"/>
      <c r="B443" s="70"/>
      <c r="C443" s="70"/>
      <c r="D443" s="70"/>
      <c r="E443" s="66"/>
      <c r="F443" s="70"/>
      <c r="G443" s="70"/>
      <c r="H443" s="70"/>
      <c r="I443" s="70"/>
      <c r="J443" s="70"/>
      <c r="K443" s="70"/>
      <c r="L443" s="70"/>
      <c r="M443" s="70"/>
      <c r="N443" s="70"/>
      <c r="O443" s="70"/>
      <c r="P443" s="70"/>
      <c r="Q443" s="70"/>
      <c r="R443" s="70"/>
      <c r="S443" s="70"/>
      <c r="T443" s="70"/>
      <c r="U443" s="70"/>
      <c r="V443" s="70"/>
      <c r="W443" s="70"/>
    </row>
    <row r="444">
      <c r="A444" s="70"/>
      <c r="B444" s="70"/>
      <c r="C444" s="70"/>
      <c r="D444" s="70"/>
      <c r="E444" s="66"/>
      <c r="F444" s="70"/>
      <c r="G444" s="70"/>
      <c r="H444" s="70"/>
      <c r="I444" s="70"/>
      <c r="J444" s="70"/>
      <c r="K444" s="70"/>
      <c r="L444" s="70"/>
      <c r="M444" s="70"/>
      <c r="N444" s="70"/>
      <c r="O444" s="70"/>
      <c r="P444" s="70"/>
      <c r="Q444" s="70"/>
      <c r="R444" s="70"/>
      <c r="S444" s="70"/>
      <c r="T444" s="70"/>
      <c r="U444" s="70"/>
      <c r="V444" s="70"/>
      <c r="W444" s="70"/>
    </row>
    <row r="445">
      <c r="A445" s="70"/>
      <c r="B445" s="70"/>
      <c r="C445" s="70"/>
      <c r="D445" s="70"/>
      <c r="E445" s="66"/>
      <c r="F445" s="70"/>
      <c r="G445" s="70"/>
      <c r="H445" s="70"/>
      <c r="I445" s="70"/>
      <c r="J445" s="70"/>
      <c r="K445" s="70"/>
      <c r="L445" s="70"/>
      <c r="M445" s="70"/>
      <c r="N445" s="70"/>
      <c r="O445" s="70"/>
      <c r="P445" s="70"/>
      <c r="Q445" s="70"/>
      <c r="R445" s="70"/>
      <c r="S445" s="70"/>
      <c r="T445" s="70"/>
      <c r="U445" s="70"/>
      <c r="V445" s="70"/>
      <c r="W445" s="70"/>
    </row>
    <row r="446">
      <c r="A446" s="70"/>
      <c r="B446" s="70"/>
      <c r="C446" s="70"/>
      <c r="D446" s="70"/>
      <c r="E446" s="66"/>
      <c r="F446" s="70"/>
      <c r="G446" s="70"/>
      <c r="H446" s="70"/>
      <c r="I446" s="70"/>
      <c r="J446" s="70"/>
      <c r="K446" s="70"/>
      <c r="L446" s="70"/>
      <c r="M446" s="70"/>
      <c r="N446" s="70"/>
      <c r="O446" s="70"/>
      <c r="P446" s="70"/>
      <c r="Q446" s="70"/>
      <c r="R446" s="70"/>
      <c r="S446" s="70"/>
      <c r="T446" s="70"/>
      <c r="U446" s="70"/>
      <c r="V446" s="70"/>
      <c r="W446" s="70"/>
    </row>
    <row r="447">
      <c r="A447" s="70"/>
      <c r="B447" s="70"/>
      <c r="C447" s="70"/>
      <c r="D447" s="70"/>
      <c r="E447" s="66"/>
      <c r="F447" s="70"/>
      <c r="G447" s="70"/>
      <c r="H447" s="70"/>
      <c r="I447" s="70"/>
      <c r="J447" s="70"/>
      <c r="K447" s="70"/>
      <c r="L447" s="70"/>
      <c r="M447" s="70"/>
      <c r="N447" s="70"/>
      <c r="O447" s="70"/>
      <c r="P447" s="70"/>
      <c r="Q447" s="70"/>
      <c r="R447" s="70"/>
      <c r="S447" s="70"/>
      <c r="T447" s="70"/>
      <c r="U447" s="70"/>
      <c r="V447" s="70"/>
      <c r="W447" s="70"/>
    </row>
    <row r="448">
      <c r="A448" s="70"/>
      <c r="B448" s="70"/>
      <c r="C448" s="70"/>
      <c r="D448" s="70"/>
      <c r="E448" s="66"/>
      <c r="F448" s="70"/>
      <c r="G448" s="70"/>
      <c r="H448" s="70"/>
      <c r="I448" s="70"/>
      <c r="J448" s="70"/>
      <c r="K448" s="70"/>
      <c r="L448" s="70"/>
      <c r="M448" s="70"/>
      <c r="N448" s="70"/>
      <c r="O448" s="70"/>
      <c r="P448" s="70"/>
      <c r="Q448" s="70"/>
      <c r="R448" s="70"/>
      <c r="S448" s="70"/>
      <c r="T448" s="70"/>
      <c r="U448" s="70"/>
      <c r="V448" s="70"/>
      <c r="W448" s="70"/>
    </row>
    <row r="449">
      <c r="A449" s="70"/>
      <c r="B449" s="70"/>
      <c r="C449" s="70"/>
      <c r="D449" s="70"/>
      <c r="E449" s="66"/>
      <c r="F449" s="70"/>
      <c r="G449" s="70"/>
      <c r="H449" s="70"/>
      <c r="I449" s="70"/>
      <c r="J449" s="70"/>
      <c r="K449" s="70"/>
      <c r="L449" s="70"/>
      <c r="M449" s="70"/>
      <c r="N449" s="70"/>
      <c r="O449" s="70"/>
      <c r="P449" s="70"/>
      <c r="Q449" s="70"/>
      <c r="R449" s="70"/>
      <c r="S449" s="70"/>
      <c r="T449" s="70"/>
      <c r="U449" s="70"/>
      <c r="V449" s="70"/>
      <c r="W449" s="70"/>
    </row>
    <row r="450">
      <c r="A450" s="70"/>
      <c r="B450" s="70"/>
      <c r="C450" s="70"/>
      <c r="D450" s="70"/>
      <c r="E450" s="66"/>
      <c r="F450" s="70"/>
      <c r="G450" s="70"/>
      <c r="H450" s="70"/>
      <c r="I450" s="70"/>
      <c r="J450" s="70"/>
      <c r="K450" s="70"/>
      <c r="L450" s="70"/>
      <c r="M450" s="70"/>
      <c r="N450" s="70"/>
      <c r="O450" s="70"/>
      <c r="P450" s="70"/>
      <c r="Q450" s="70"/>
      <c r="R450" s="70"/>
      <c r="S450" s="70"/>
      <c r="T450" s="70"/>
      <c r="U450" s="70"/>
      <c r="V450" s="70"/>
      <c r="W450" s="70"/>
    </row>
    <row r="451">
      <c r="A451" s="70"/>
      <c r="B451" s="70"/>
      <c r="C451" s="70"/>
      <c r="D451" s="70"/>
      <c r="E451" s="66"/>
      <c r="F451" s="70"/>
      <c r="G451" s="70"/>
      <c r="H451" s="70"/>
      <c r="I451" s="70"/>
      <c r="J451" s="70"/>
      <c r="K451" s="70"/>
      <c r="L451" s="70"/>
      <c r="M451" s="70"/>
      <c r="N451" s="70"/>
      <c r="O451" s="70"/>
      <c r="P451" s="70"/>
      <c r="Q451" s="70"/>
      <c r="R451" s="70"/>
      <c r="S451" s="70"/>
      <c r="T451" s="70"/>
      <c r="U451" s="70"/>
      <c r="V451" s="70"/>
      <c r="W451" s="70"/>
    </row>
    <row r="452">
      <c r="A452" s="70"/>
      <c r="B452" s="70"/>
      <c r="C452" s="70"/>
      <c r="D452" s="70"/>
      <c r="E452" s="66"/>
      <c r="F452" s="70"/>
      <c r="G452" s="70"/>
      <c r="H452" s="70"/>
      <c r="I452" s="70"/>
      <c r="J452" s="70"/>
      <c r="K452" s="70"/>
      <c r="L452" s="70"/>
      <c r="M452" s="70"/>
      <c r="N452" s="70"/>
      <c r="O452" s="70"/>
      <c r="P452" s="70"/>
      <c r="Q452" s="70"/>
      <c r="R452" s="70"/>
      <c r="S452" s="70"/>
      <c r="T452" s="70"/>
      <c r="U452" s="70"/>
      <c r="V452" s="70"/>
      <c r="W452" s="70"/>
    </row>
    <row r="453">
      <c r="A453" s="70"/>
      <c r="B453" s="70"/>
      <c r="C453" s="70"/>
      <c r="D453" s="70"/>
      <c r="E453" s="66"/>
      <c r="F453" s="70"/>
      <c r="G453" s="70"/>
      <c r="H453" s="70"/>
      <c r="I453" s="70"/>
      <c r="J453" s="70"/>
      <c r="K453" s="70"/>
      <c r="L453" s="70"/>
      <c r="M453" s="70"/>
      <c r="N453" s="70"/>
      <c r="O453" s="70"/>
      <c r="P453" s="70"/>
      <c r="Q453" s="70"/>
      <c r="R453" s="70"/>
      <c r="S453" s="70"/>
      <c r="T453" s="70"/>
      <c r="U453" s="70"/>
      <c r="V453" s="70"/>
      <c r="W453" s="70"/>
    </row>
    <row r="454">
      <c r="A454" s="70"/>
      <c r="B454" s="70"/>
      <c r="C454" s="70"/>
      <c r="D454" s="70"/>
      <c r="E454" s="66"/>
      <c r="F454" s="70"/>
      <c r="G454" s="70"/>
      <c r="H454" s="70"/>
      <c r="I454" s="70"/>
      <c r="J454" s="70"/>
      <c r="K454" s="70"/>
      <c r="L454" s="70"/>
      <c r="M454" s="70"/>
      <c r="N454" s="70"/>
      <c r="O454" s="70"/>
      <c r="P454" s="70"/>
      <c r="Q454" s="70"/>
      <c r="R454" s="70"/>
      <c r="S454" s="70"/>
      <c r="T454" s="70"/>
      <c r="U454" s="70"/>
      <c r="V454" s="70"/>
      <c r="W454" s="70"/>
    </row>
    <row r="455">
      <c r="A455" s="70"/>
      <c r="B455" s="70"/>
      <c r="C455" s="70"/>
      <c r="D455" s="70"/>
      <c r="E455" s="66"/>
      <c r="F455" s="70"/>
      <c r="G455" s="70"/>
      <c r="H455" s="70"/>
      <c r="I455" s="70"/>
      <c r="J455" s="70"/>
      <c r="K455" s="70"/>
      <c r="L455" s="70"/>
      <c r="M455" s="70"/>
      <c r="N455" s="70"/>
      <c r="O455" s="70"/>
      <c r="P455" s="70"/>
      <c r="Q455" s="70"/>
      <c r="R455" s="70"/>
      <c r="S455" s="70"/>
      <c r="T455" s="70"/>
      <c r="U455" s="70"/>
      <c r="V455" s="70"/>
      <c r="W455" s="70"/>
    </row>
    <row r="456">
      <c r="A456" s="70"/>
      <c r="B456" s="70"/>
      <c r="C456" s="70"/>
      <c r="D456" s="70"/>
      <c r="E456" s="66"/>
      <c r="F456" s="70"/>
      <c r="G456" s="70"/>
      <c r="H456" s="70"/>
      <c r="I456" s="70"/>
      <c r="J456" s="70"/>
      <c r="K456" s="70"/>
      <c r="L456" s="70"/>
      <c r="M456" s="70"/>
      <c r="N456" s="70"/>
      <c r="O456" s="70"/>
      <c r="P456" s="70"/>
      <c r="Q456" s="70"/>
      <c r="R456" s="70"/>
      <c r="S456" s="70"/>
      <c r="T456" s="70"/>
      <c r="U456" s="70"/>
      <c r="V456" s="70"/>
      <c r="W456" s="70"/>
    </row>
    <row r="457">
      <c r="A457" s="70"/>
      <c r="B457" s="70"/>
      <c r="C457" s="70"/>
      <c r="D457" s="70"/>
      <c r="E457" s="66"/>
      <c r="F457" s="70"/>
      <c r="G457" s="70"/>
      <c r="H457" s="70"/>
      <c r="I457" s="70"/>
      <c r="J457" s="70"/>
      <c r="K457" s="70"/>
      <c r="L457" s="70"/>
      <c r="M457" s="70"/>
      <c r="N457" s="70"/>
      <c r="O457" s="70"/>
      <c r="P457" s="70"/>
      <c r="Q457" s="70"/>
      <c r="R457" s="70"/>
      <c r="S457" s="70"/>
      <c r="T457" s="70"/>
      <c r="U457" s="70"/>
      <c r="V457" s="70"/>
      <c r="W457" s="70"/>
    </row>
    <row r="458">
      <c r="A458" s="70"/>
      <c r="B458" s="70"/>
      <c r="C458" s="70"/>
      <c r="D458" s="70"/>
      <c r="E458" s="66"/>
      <c r="F458" s="70"/>
      <c r="G458" s="70"/>
      <c r="H458" s="70"/>
      <c r="I458" s="70"/>
      <c r="J458" s="70"/>
      <c r="K458" s="70"/>
      <c r="L458" s="70"/>
      <c r="M458" s="70"/>
      <c r="N458" s="70"/>
      <c r="O458" s="70"/>
      <c r="P458" s="70"/>
      <c r="Q458" s="70"/>
      <c r="R458" s="70"/>
      <c r="S458" s="70"/>
      <c r="T458" s="70"/>
      <c r="U458" s="70"/>
      <c r="V458" s="70"/>
      <c r="W458" s="70"/>
    </row>
    <row r="459">
      <c r="A459" s="70"/>
      <c r="B459" s="70"/>
      <c r="C459" s="70"/>
      <c r="D459" s="70"/>
      <c r="E459" s="66"/>
      <c r="F459" s="70"/>
      <c r="G459" s="70"/>
      <c r="H459" s="70"/>
      <c r="I459" s="70"/>
      <c r="J459" s="70"/>
      <c r="K459" s="70"/>
      <c r="L459" s="70"/>
      <c r="M459" s="70"/>
      <c r="N459" s="70"/>
      <c r="O459" s="70"/>
      <c r="P459" s="70"/>
      <c r="Q459" s="70"/>
      <c r="R459" s="70"/>
      <c r="S459" s="70"/>
      <c r="T459" s="70"/>
      <c r="U459" s="70"/>
      <c r="V459" s="70"/>
      <c r="W459" s="70"/>
    </row>
    <row r="460">
      <c r="A460" s="70"/>
      <c r="B460" s="70"/>
      <c r="C460" s="70"/>
      <c r="D460" s="70"/>
      <c r="E460" s="66"/>
      <c r="F460" s="70"/>
      <c r="G460" s="70"/>
      <c r="H460" s="70"/>
      <c r="I460" s="70"/>
      <c r="J460" s="70"/>
      <c r="K460" s="70"/>
      <c r="L460" s="70"/>
      <c r="M460" s="70"/>
      <c r="N460" s="70"/>
      <c r="O460" s="70"/>
      <c r="P460" s="70"/>
      <c r="Q460" s="70"/>
      <c r="R460" s="70"/>
      <c r="S460" s="70"/>
      <c r="T460" s="70"/>
      <c r="U460" s="70"/>
      <c r="V460" s="70"/>
      <c r="W460" s="70"/>
    </row>
    <row r="461">
      <c r="A461" s="70"/>
      <c r="B461" s="70"/>
      <c r="C461" s="70"/>
      <c r="D461" s="70"/>
      <c r="E461" s="66"/>
      <c r="F461" s="70"/>
      <c r="G461" s="70"/>
      <c r="H461" s="70"/>
      <c r="I461" s="70"/>
      <c r="J461" s="70"/>
      <c r="K461" s="70"/>
      <c r="L461" s="70"/>
      <c r="M461" s="70"/>
      <c r="N461" s="70"/>
      <c r="O461" s="70"/>
      <c r="P461" s="70"/>
      <c r="Q461" s="70"/>
      <c r="R461" s="70"/>
      <c r="S461" s="70"/>
      <c r="T461" s="70"/>
      <c r="U461" s="70"/>
      <c r="V461" s="70"/>
      <c r="W461" s="70"/>
    </row>
    <row r="462">
      <c r="A462" s="70"/>
      <c r="B462" s="70"/>
      <c r="C462" s="70"/>
      <c r="D462" s="70"/>
      <c r="E462" s="66"/>
      <c r="F462" s="70"/>
      <c r="G462" s="70"/>
      <c r="H462" s="70"/>
      <c r="I462" s="70"/>
      <c r="J462" s="70"/>
      <c r="K462" s="70"/>
      <c r="L462" s="70"/>
      <c r="M462" s="70"/>
      <c r="N462" s="70"/>
      <c r="O462" s="70"/>
      <c r="P462" s="70"/>
      <c r="Q462" s="70"/>
      <c r="R462" s="70"/>
      <c r="S462" s="70"/>
      <c r="T462" s="70"/>
      <c r="U462" s="70"/>
      <c r="V462" s="70"/>
      <c r="W462" s="70"/>
    </row>
    <row r="463">
      <c r="A463" s="70"/>
      <c r="B463" s="70"/>
      <c r="C463" s="70"/>
      <c r="D463" s="70"/>
      <c r="E463" s="66"/>
      <c r="F463" s="70"/>
      <c r="G463" s="70"/>
      <c r="H463" s="70"/>
      <c r="I463" s="70"/>
      <c r="J463" s="70"/>
      <c r="K463" s="70"/>
      <c r="L463" s="70"/>
      <c r="M463" s="70"/>
      <c r="N463" s="70"/>
      <c r="O463" s="70"/>
      <c r="P463" s="70"/>
      <c r="Q463" s="70"/>
      <c r="R463" s="70"/>
      <c r="S463" s="70"/>
      <c r="T463" s="70"/>
      <c r="U463" s="70"/>
      <c r="V463" s="70"/>
      <c r="W463" s="70"/>
    </row>
    <row r="464">
      <c r="A464" s="70"/>
      <c r="B464" s="70"/>
      <c r="C464" s="70"/>
      <c r="D464" s="70"/>
      <c r="E464" s="66"/>
      <c r="F464" s="70"/>
      <c r="G464" s="70"/>
      <c r="H464" s="70"/>
      <c r="I464" s="70"/>
      <c r="J464" s="70"/>
      <c r="K464" s="70"/>
      <c r="L464" s="70"/>
      <c r="M464" s="70"/>
      <c r="N464" s="70"/>
      <c r="O464" s="70"/>
      <c r="P464" s="70"/>
      <c r="Q464" s="70"/>
      <c r="R464" s="70"/>
      <c r="S464" s="70"/>
      <c r="T464" s="70"/>
      <c r="U464" s="70"/>
      <c r="V464" s="70"/>
      <c r="W464" s="70"/>
    </row>
    <row r="465">
      <c r="A465" s="70"/>
      <c r="B465" s="70"/>
      <c r="C465" s="70"/>
      <c r="D465" s="70"/>
      <c r="E465" s="66"/>
      <c r="F465" s="70"/>
      <c r="G465" s="70"/>
      <c r="H465" s="70"/>
      <c r="I465" s="70"/>
      <c r="J465" s="70"/>
      <c r="K465" s="70"/>
      <c r="L465" s="70"/>
      <c r="M465" s="70"/>
      <c r="N465" s="70"/>
      <c r="O465" s="70"/>
      <c r="P465" s="70"/>
      <c r="Q465" s="70"/>
      <c r="R465" s="70"/>
      <c r="S465" s="70"/>
      <c r="T465" s="70"/>
      <c r="U465" s="70"/>
      <c r="V465" s="70"/>
      <c r="W465" s="70"/>
    </row>
    <row r="466">
      <c r="A466" s="70"/>
      <c r="B466" s="70"/>
      <c r="C466" s="70"/>
      <c r="D466" s="70"/>
      <c r="E466" s="66"/>
      <c r="F466" s="70"/>
      <c r="G466" s="70"/>
      <c r="H466" s="70"/>
      <c r="I466" s="70"/>
      <c r="J466" s="70"/>
      <c r="K466" s="70"/>
      <c r="L466" s="70"/>
      <c r="M466" s="70"/>
      <c r="N466" s="70"/>
      <c r="O466" s="70"/>
      <c r="P466" s="70"/>
      <c r="Q466" s="70"/>
      <c r="R466" s="70"/>
      <c r="S466" s="70"/>
      <c r="T466" s="70"/>
      <c r="U466" s="70"/>
      <c r="V466" s="70"/>
      <c r="W466" s="70"/>
    </row>
    <row r="467">
      <c r="A467" s="70"/>
      <c r="B467" s="70"/>
      <c r="C467" s="70"/>
      <c r="D467" s="70"/>
      <c r="E467" s="66"/>
      <c r="F467" s="70"/>
      <c r="G467" s="70"/>
      <c r="H467" s="70"/>
      <c r="I467" s="70"/>
      <c r="J467" s="70"/>
      <c r="K467" s="70"/>
      <c r="L467" s="70"/>
      <c r="M467" s="70"/>
      <c r="N467" s="70"/>
      <c r="O467" s="70"/>
      <c r="P467" s="70"/>
      <c r="Q467" s="70"/>
      <c r="R467" s="70"/>
      <c r="S467" s="70"/>
      <c r="T467" s="70"/>
      <c r="U467" s="70"/>
      <c r="V467" s="70"/>
      <c r="W467" s="70"/>
    </row>
    <row r="468">
      <c r="A468" s="70"/>
      <c r="B468" s="70"/>
      <c r="C468" s="70"/>
      <c r="D468" s="70"/>
      <c r="E468" s="66"/>
      <c r="F468" s="70"/>
      <c r="G468" s="70"/>
      <c r="H468" s="70"/>
      <c r="I468" s="70"/>
      <c r="J468" s="70"/>
      <c r="K468" s="70"/>
      <c r="L468" s="70"/>
      <c r="M468" s="70"/>
      <c r="N468" s="70"/>
      <c r="O468" s="70"/>
      <c r="P468" s="70"/>
      <c r="Q468" s="70"/>
      <c r="R468" s="70"/>
      <c r="S468" s="70"/>
      <c r="T468" s="70"/>
      <c r="U468" s="70"/>
      <c r="V468" s="70"/>
      <c r="W468" s="70"/>
    </row>
    <row r="469">
      <c r="A469" s="70"/>
      <c r="B469" s="70"/>
      <c r="C469" s="70"/>
      <c r="D469" s="70"/>
      <c r="E469" s="66"/>
      <c r="F469" s="70"/>
      <c r="G469" s="70"/>
      <c r="H469" s="70"/>
      <c r="I469" s="70"/>
      <c r="J469" s="70"/>
      <c r="K469" s="70"/>
      <c r="L469" s="70"/>
      <c r="M469" s="70"/>
      <c r="N469" s="70"/>
      <c r="O469" s="70"/>
      <c r="P469" s="70"/>
      <c r="Q469" s="70"/>
      <c r="R469" s="70"/>
      <c r="S469" s="70"/>
      <c r="T469" s="70"/>
      <c r="U469" s="70"/>
      <c r="V469" s="70"/>
      <c r="W469" s="70"/>
    </row>
    <row r="470">
      <c r="A470" s="70"/>
      <c r="B470" s="70"/>
      <c r="C470" s="70"/>
      <c r="D470" s="70"/>
      <c r="E470" s="66"/>
      <c r="F470" s="70"/>
      <c r="G470" s="70"/>
      <c r="H470" s="70"/>
      <c r="I470" s="70"/>
      <c r="J470" s="70"/>
      <c r="K470" s="70"/>
      <c r="L470" s="70"/>
      <c r="M470" s="70"/>
      <c r="N470" s="70"/>
      <c r="O470" s="70"/>
      <c r="P470" s="70"/>
      <c r="Q470" s="70"/>
      <c r="R470" s="70"/>
      <c r="S470" s="70"/>
      <c r="T470" s="70"/>
      <c r="U470" s="70"/>
      <c r="V470" s="70"/>
      <c r="W470" s="70"/>
    </row>
    <row r="471">
      <c r="A471" s="70"/>
      <c r="B471" s="70"/>
      <c r="C471" s="70"/>
      <c r="D471" s="70"/>
      <c r="E471" s="66"/>
      <c r="F471" s="70"/>
      <c r="G471" s="70"/>
      <c r="H471" s="70"/>
      <c r="I471" s="70"/>
      <c r="J471" s="70"/>
      <c r="K471" s="70"/>
      <c r="L471" s="70"/>
      <c r="M471" s="70"/>
      <c r="N471" s="70"/>
      <c r="O471" s="70"/>
      <c r="P471" s="70"/>
      <c r="Q471" s="70"/>
      <c r="R471" s="70"/>
      <c r="S471" s="70"/>
      <c r="T471" s="70"/>
      <c r="U471" s="70"/>
      <c r="V471" s="70"/>
      <c r="W471" s="70"/>
    </row>
    <row r="472">
      <c r="A472" s="70"/>
      <c r="B472" s="70"/>
      <c r="C472" s="70"/>
      <c r="D472" s="70"/>
      <c r="E472" s="66"/>
      <c r="F472" s="70"/>
      <c r="G472" s="70"/>
      <c r="H472" s="70"/>
      <c r="I472" s="70"/>
      <c r="J472" s="70"/>
      <c r="K472" s="70"/>
      <c r="L472" s="70"/>
      <c r="M472" s="70"/>
      <c r="N472" s="70"/>
      <c r="O472" s="70"/>
      <c r="P472" s="70"/>
      <c r="Q472" s="70"/>
      <c r="R472" s="70"/>
      <c r="S472" s="70"/>
      <c r="T472" s="70"/>
      <c r="U472" s="70"/>
      <c r="V472" s="70"/>
      <c r="W472" s="70"/>
    </row>
    <row r="473">
      <c r="A473" s="70"/>
      <c r="B473" s="70"/>
      <c r="C473" s="70"/>
      <c r="D473" s="70"/>
      <c r="E473" s="66"/>
      <c r="F473" s="70"/>
      <c r="G473" s="70"/>
      <c r="H473" s="70"/>
      <c r="I473" s="70"/>
      <c r="J473" s="70"/>
      <c r="K473" s="70"/>
      <c r="L473" s="70"/>
      <c r="M473" s="70"/>
      <c r="N473" s="70"/>
      <c r="O473" s="70"/>
      <c r="P473" s="70"/>
      <c r="Q473" s="70"/>
      <c r="R473" s="70"/>
      <c r="S473" s="70"/>
      <c r="T473" s="70"/>
      <c r="U473" s="70"/>
      <c r="V473" s="70"/>
      <c r="W473" s="70"/>
    </row>
    <row r="474">
      <c r="A474" s="70"/>
      <c r="B474" s="70"/>
      <c r="C474" s="70"/>
      <c r="D474" s="70"/>
      <c r="E474" s="66"/>
      <c r="F474" s="70"/>
      <c r="G474" s="70"/>
      <c r="H474" s="70"/>
      <c r="I474" s="70"/>
      <c r="J474" s="70"/>
      <c r="K474" s="70"/>
      <c r="L474" s="70"/>
      <c r="M474" s="70"/>
      <c r="N474" s="70"/>
      <c r="O474" s="70"/>
      <c r="P474" s="70"/>
      <c r="Q474" s="70"/>
      <c r="R474" s="70"/>
      <c r="S474" s="70"/>
      <c r="T474" s="70"/>
      <c r="U474" s="70"/>
      <c r="V474" s="70"/>
      <c r="W474" s="70"/>
    </row>
    <row r="475">
      <c r="A475" s="70"/>
      <c r="B475" s="70"/>
      <c r="C475" s="70"/>
      <c r="D475" s="70"/>
      <c r="E475" s="66"/>
      <c r="F475" s="70"/>
      <c r="G475" s="70"/>
      <c r="H475" s="70"/>
      <c r="I475" s="70"/>
      <c r="J475" s="70"/>
      <c r="K475" s="70"/>
      <c r="L475" s="70"/>
      <c r="M475" s="70"/>
      <c r="N475" s="70"/>
      <c r="O475" s="70"/>
      <c r="P475" s="70"/>
      <c r="Q475" s="70"/>
      <c r="R475" s="70"/>
      <c r="S475" s="70"/>
      <c r="T475" s="70"/>
      <c r="U475" s="70"/>
      <c r="V475" s="70"/>
      <c r="W475" s="70"/>
    </row>
    <row r="476">
      <c r="A476" s="70"/>
      <c r="B476" s="70"/>
      <c r="C476" s="70"/>
      <c r="D476" s="70"/>
      <c r="E476" s="66"/>
      <c r="F476" s="70"/>
      <c r="G476" s="70"/>
      <c r="H476" s="70"/>
      <c r="I476" s="70"/>
      <c r="J476" s="70"/>
      <c r="K476" s="70"/>
      <c r="L476" s="70"/>
      <c r="M476" s="70"/>
      <c r="N476" s="70"/>
      <c r="O476" s="70"/>
      <c r="P476" s="70"/>
      <c r="Q476" s="70"/>
      <c r="R476" s="70"/>
      <c r="S476" s="70"/>
      <c r="T476" s="70"/>
      <c r="U476" s="70"/>
      <c r="V476" s="70"/>
      <c r="W476" s="70"/>
    </row>
    <row r="477">
      <c r="A477" s="70"/>
      <c r="B477" s="70"/>
      <c r="C477" s="70"/>
      <c r="D477" s="70"/>
      <c r="E477" s="66"/>
      <c r="F477" s="70"/>
      <c r="G477" s="70"/>
      <c r="H477" s="70"/>
      <c r="I477" s="70"/>
      <c r="J477" s="70"/>
      <c r="K477" s="70"/>
      <c r="L477" s="70"/>
      <c r="M477" s="70"/>
      <c r="N477" s="70"/>
      <c r="O477" s="70"/>
      <c r="P477" s="70"/>
      <c r="Q477" s="70"/>
      <c r="R477" s="70"/>
      <c r="S477" s="70"/>
      <c r="T477" s="70"/>
      <c r="U477" s="70"/>
      <c r="V477" s="70"/>
      <c r="W477" s="70"/>
    </row>
    <row r="478">
      <c r="A478" s="70"/>
      <c r="B478" s="70"/>
      <c r="C478" s="70"/>
      <c r="D478" s="70"/>
      <c r="E478" s="66"/>
      <c r="F478" s="70"/>
      <c r="G478" s="70"/>
      <c r="H478" s="70"/>
      <c r="I478" s="70"/>
      <c r="J478" s="70"/>
      <c r="K478" s="70"/>
      <c r="L478" s="70"/>
      <c r="M478" s="70"/>
      <c r="N478" s="70"/>
      <c r="O478" s="70"/>
      <c r="P478" s="70"/>
      <c r="Q478" s="70"/>
      <c r="R478" s="70"/>
      <c r="S478" s="70"/>
      <c r="T478" s="70"/>
      <c r="U478" s="70"/>
      <c r="V478" s="70"/>
      <c r="W478" s="70"/>
    </row>
    <row r="479">
      <c r="A479" s="70"/>
      <c r="B479" s="70"/>
      <c r="C479" s="70"/>
      <c r="D479" s="70"/>
      <c r="E479" s="66"/>
      <c r="F479" s="70"/>
      <c r="G479" s="70"/>
      <c r="H479" s="70"/>
      <c r="I479" s="70"/>
      <c r="J479" s="70"/>
      <c r="K479" s="70"/>
      <c r="L479" s="70"/>
      <c r="M479" s="70"/>
      <c r="N479" s="70"/>
      <c r="O479" s="70"/>
      <c r="P479" s="70"/>
      <c r="Q479" s="70"/>
      <c r="R479" s="70"/>
      <c r="S479" s="70"/>
      <c r="T479" s="70"/>
      <c r="U479" s="70"/>
      <c r="V479" s="70"/>
      <c r="W479" s="70"/>
    </row>
    <row r="480">
      <c r="A480" s="70"/>
      <c r="B480" s="70"/>
      <c r="C480" s="70"/>
      <c r="D480" s="70"/>
      <c r="E480" s="66"/>
      <c r="F480" s="70"/>
      <c r="G480" s="70"/>
      <c r="H480" s="70"/>
      <c r="I480" s="70"/>
      <c r="J480" s="70"/>
      <c r="K480" s="70"/>
      <c r="L480" s="70"/>
      <c r="M480" s="70"/>
      <c r="N480" s="70"/>
      <c r="O480" s="70"/>
      <c r="P480" s="70"/>
      <c r="Q480" s="70"/>
      <c r="R480" s="70"/>
      <c r="S480" s="70"/>
      <c r="T480" s="70"/>
      <c r="U480" s="70"/>
      <c r="V480" s="70"/>
      <c r="W480" s="70"/>
    </row>
    <row r="481">
      <c r="A481" s="70"/>
      <c r="B481" s="70"/>
      <c r="C481" s="70"/>
      <c r="D481" s="70"/>
      <c r="E481" s="66"/>
      <c r="F481" s="70"/>
      <c r="G481" s="70"/>
      <c r="H481" s="70"/>
      <c r="I481" s="70"/>
      <c r="J481" s="70"/>
      <c r="K481" s="70"/>
      <c r="L481" s="70"/>
      <c r="M481" s="70"/>
      <c r="N481" s="70"/>
      <c r="O481" s="70"/>
      <c r="P481" s="70"/>
      <c r="Q481" s="70"/>
      <c r="R481" s="70"/>
      <c r="S481" s="70"/>
      <c r="T481" s="70"/>
      <c r="U481" s="70"/>
      <c r="V481" s="70"/>
      <c r="W481" s="70"/>
    </row>
    <row r="482">
      <c r="A482" s="70"/>
      <c r="B482" s="70"/>
      <c r="C482" s="70"/>
      <c r="D482" s="70"/>
      <c r="E482" s="66"/>
      <c r="F482" s="70"/>
      <c r="G482" s="70"/>
      <c r="H482" s="70"/>
      <c r="I482" s="70"/>
      <c r="J482" s="70"/>
      <c r="K482" s="70"/>
      <c r="L482" s="70"/>
      <c r="M482" s="70"/>
      <c r="N482" s="70"/>
      <c r="O482" s="70"/>
      <c r="P482" s="70"/>
      <c r="Q482" s="70"/>
      <c r="R482" s="70"/>
      <c r="S482" s="70"/>
      <c r="T482" s="70"/>
      <c r="U482" s="70"/>
      <c r="V482" s="70"/>
      <c r="W482" s="70"/>
    </row>
    <row r="483">
      <c r="A483" s="70"/>
      <c r="B483" s="70"/>
      <c r="C483" s="70"/>
      <c r="D483" s="70"/>
      <c r="E483" s="66"/>
      <c r="F483" s="70"/>
      <c r="G483" s="70"/>
      <c r="H483" s="70"/>
      <c r="I483" s="70"/>
      <c r="J483" s="70"/>
      <c r="K483" s="70"/>
      <c r="L483" s="70"/>
      <c r="M483" s="70"/>
      <c r="N483" s="70"/>
      <c r="O483" s="70"/>
      <c r="P483" s="70"/>
      <c r="Q483" s="70"/>
      <c r="R483" s="70"/>
      <c r="S483" s="70"/>
      <c r="T483" s="70"/>
      <c r="U483" s="70"/>
      <c r="V483" s="70"/>
      <c r="W483" s="70"/>
    </row>
    <row r="484">
      <c r="A484" s="70"/>
      <c r="B484" s="70"/>
      <c r="C484" s="70"/>
      <c r="D484" s="70"/>
      <c r="E484" s="66"/>
      <c r="F484" s="70"/>
      <c r="G484" s="70"/>
      <c r="H484" s="70"/>
      <c r="I484" s="70"/>
      <c r="J484" s="70"/>
      <c r="K484" s="70"/>
      <c r="L484" s="70"/>
      <c r="M484" s="70"/>
      <c r="N484" s="70"/>
      <c r="O484" s="70"/>
      <c r="P484" s="70"/>
      <c r="Q484" s="70"/>
      <c r="R484" s="70"/>
      <c r="S484" s="70"/>
      <c r="T484" s="70"/>
      <c r="U484" s="70"/>
      <c r="V484" s="70"/>
      <c r="W484" s="70"/>
    </row>
    <row r="485">
      <c r="A485" s="70"/>
      <c r="B485" s="70"/>
      <c r="C485" s="70"/>
      <c r="D485" s="70"/>
      <c r="E485" s="66"/>
      <c r="F485" s="70"/>
      <c r="G485" s="70"/>
      <c r="H485" s="70"/>
      <c r="I485" s="70"/>
      <c r="J485" s="70"/>
      <c r="K485" s="70"/>
      <c r="L485" s="70"/>
      <c r="M485" s="70"/>
      <c r="N485" s="70"/>
      <c r="O485" s="70"/>
      <c r="P485" s="70"/>
      <c r="Q485" s="70"/>
      <c r="R485" s="70"/>
      <c r="S485" s="70"/>
      <c r="T485" s="70"/>
      <c r="U485" s="70"/>
      <c r="V485" s="70"/>
      <c r="W485" s="70"/>
    </row>
    <row r="486">
      <c r="A486" s="70"/>
      <c r="B486" s="70"/>
      <c r="C486" s="70"/>
      <c r="D486" s="70"/>
      <c r="E486" s="66"/>
      <c r="F486" s="70"/>
      <c r="G486" s="70"/>
      <c r="H486" s="70"/>
      <c r="I486" s="70"/>
      <c r="J486" s="70"/>
      <c r="K486" s="70"/>
      <c r="L486" s="70"/>
      <c r="M486" s="70"/>
      <c r="N486" s="70"/>
      <c r="O486" s="70"/>
      <c r="P486" s="70"/>
      <c r="Q486" s="70"/>
      <c r="R486" s="70"/>
      <c r="S486" s="70"/>
      <c r="T486" s="70"/>
      <c r="U486" s="70"/>
      <c r="V486" s="70"/>
      <c r="W486" s="70"/>
    </row>
    <row r="487">
      <c r="A487" s="70"/>
      <c r="B487" s="70"/>
      <c r="C487" s="70"/>
      <c r="D487" s="70"/>
      <c r="E487" s="66"/>
      <c r="F487" s="70"/>
      <c r="G487" s="70"/>
      <c r="H487" s="70"/>
      <c r="I487" s="70"/>
      <c r="J487" s="70"/>
      <c r="K487" s="70"/>
      <c r="L487" s="70"/>
      <c r="M487" s="70"/>
      <c r="N487" s="70"/>
      <c r="O487" s="70"/>
      <c r="P487" s="70"/>
      <c r="Q487" s="70"/>
      <c r="R487" s="70"/>
      <c r="S487" s="70"/>
      <c r="T487" s="70"/>
      <c r="U487" s="70"/>
      <c r="V487" s="70"/>
      <c r="W487" s="70"/>
    </row>
    <row r="488">
      <c r="A488" s="70"/>
      <c r="B488" s="70"/>
      <c r="C488" s="70"/>
      <c r="D488" s="70"/>
      <c r="E488" s="66"/>
      <c r="F488" s="70"/>
      <c r="G488" s="70"/>
      <c r="H488" s="70"/>
      <c r="I488" s="70"/>
      <c r="J488" s="70"/>
      <c r="K488" s="70"/>
      <c r="L488" s="70"/>
      <c r="M488" s="70"/>
      <c r="N488" s="70"/>
      <c r="O488" s="70"/>
      <c r="P488" s="70"/>
      <c r="Q488" s="70"/>
      <c r="R488" s="70"/>
      <c r="S488" s="70"/>
      <c r="T488" s="70"/>
      <c r="U488" s="70"/>
      <c r="V488" s="70"/>
      <c r="W488" s="70"/>
    </row>
    <row r="489">
      <c r="A489" s="70"/>
      <c r="B489" s="70"/>
      <c r="C489" s="70"/>
      <c r="D489" s="70"/>
      <c r="E489" s="66"/>
      <c r="F489" s="70"/>
      <c r="G489" s="70"/>
      <c r="H489" s="70"/>
      <c r="I489" s="70"/>
      <c r="J489" s="70"/>
      <c r="K489" s="70"/>
      <c r="L489" s="70"/>
      <c r="M489" s="70"/>
      <c r="N489" s="70"/>
      <c r="O489" s="70"/>
      <c r="P489" s="70"/>
      <c r="Q489" s="70"/>
      <c r="R489" s="70"/>
      <c r="S489" s="70"/>
      <c r="T489" s="70"/>
      <c r="U489" s="70"/>
      <c r="V489" s="70"/>
      <c r="W489" s="70"/>
    </row>
    <row r="490">
      <c r="A490" s="70"/>
      <c r="B490" s="70"/>
      <c r="C490" s="70"/>
      <c r="D490" s="70"/>
      <c r="E490" s="66"/>
      <c r="F490" s="70"/>
      <c r="G490" s="70"/>
      <c r="H490" s="70"/>
      <c r="I490" s="70"/>
      <c r="J490" s="70"/>
      <c r="K490" s="70"/>
      <c r="L490" s="70"/>
      <c r="M490" s="70"/>
      <c r="N490" s="70"/>
      <c r="O490" s="70"/>
      <c r="P490" s="70"/>
      <c r="Q490" s="70"/>
      <c r="R490" s="70"/>
      <c r="S490" s="70"/>
      <c r="T490" s="70"/>
      <c r="U490" s="70"/>
      <c r="V490" s="70"/>
      <c r="W490" s="70"/>
    </row>
    <row r="491">
      <c r="A491" s="70"/>
      <c r="B491" s="70"/>
      <c r="C491" s="70"/>
      <c r="D491" s="70"/>
      <c r="E491" s="66"/>
      <c r="F491" s="70"/>
      <c r="G491" s="70"/>
      <c r="H491" s="70"/>
      <c r="I491" s="70"/>
      <c r="J491" s="70"/>
      <c r="K491" s="70"/>
      <c r="L491" s="70"/>
      <c r="M491" s="70"/>
      <c r="N491" s="70"/>
      <c r="O491" s="70"/>
      <c r="P491" s="70"/>
      <c r="Q491" s="70"/>
      <c r="R491" s="70"/>
      <c r="S491" s="70"/>
      <c r="T491" s="70"/>
      <c r="U491" s="70"/>
      <c r="V491" s="70"/>
      <c r="W491" s="70"/>
    </row>
    <row r="492">
      <c r="A492" s="70"/>
      <c r="B492" s="70"/>
      <c r="C492" s="70"/>
      <c r="D492" s="70"/>
      <c r="E492" s="66"/>
      <c r="F492" s="70"/>
      <c r="G492" s="70"/>
      <c r="H492" s="70"/>
      <c r="I492" s="70"/>
      <c r="J492" s="70"/>
      <c r="K492" s="70"/>
      <c r="L492" s="70"/>
      <c r="M492" s="70"/>
      <c r="N492" s="70"/>
      <c r="O492" s="70"/>
      <c r="P492" s="70"/>
      <c r="Q492" s="70"/>
      <c r="R492" s="70"/>
      <c r="S492" s="70"/>
      <c r="T492" s="70"/>
      <c r="U492" s="70"/>
      <c r="V492" s="70"/>
      <c r="W492" s="70"/>
    </row>
    <row r="493">
      <c r="A493" s="70"/>
      <c r="B493" s="70"/>
      <c r="C493" s="70"/>
      <c r="D493" s="70"/>
      <c r="E493" s="66"/>
      <c r="F493" s="70"/>
      <c r="G493" s="70"/>
      <c r="H493" s="70"/>
      <c r="I493" s="70"/>
      <c r="J493" s="70"/>
      <c r="K493" s="70"/>
      <c r="L493" s="70"/>
      <c r="M493" s="70"/>
      <c r="N493" s="70"/>
      <c r="O493" s="70"/>
      <c r="P493" s="70"/>
      <c r="Q493" s="70"/>
      <c r="R493" s="70"/>
      <c r="S493" s="70"/>
      <c r="T493" s="70"/>
      <c r="U493" s="70"/>
      <c r="V493" s="70"/>
      <c r="W493" s="70"/>
    </row>
    <row r="494">
      <c r="A494" s="70"/>
      <c r="B494" s="70"/>
      <c r="C494" s="70"/>
      <c r="D494" s="70"/>
      <c r="E494" s="66"/>
      <c r="F494" s="70"/>
      <c r="G494" s="70"/>
      <c r="H494" s="70"/>
      <c r="I494" s="70"/>
      <c r="J494" s="70"/>
      <c r="K494" s="70"/>
      <c r="L494" s="70"/>
      <c r="M494" s="70"/>
      <c r="N494" s="70"/>
      <c r="O494" s="70"/>
      <c r="P494" s="70"/>
      <c r="Q494" s="70"/>
      <c r="R494" s="70"/>
      <c r="S494" s="70"/>
      <c r="T494" s="70"/>
      <c r="U494" s="70"/>
      <c r="V494" s="70"/>
      <c r="W494" s="70"/>
    </row>
    <row r="495">
      <c r="A495" s="70"/>
      <c r="B495" s="70"/>
      <c r="C495" s="70"/>
      <c r="D495" s="70"/>
      <c r="E495" s="66"/>
      <c r="F495" s="70"/>
      <c r="G495" s="70"/>
      <c r="H495" s="70"/>
      <c r="I495" s="70"/>
      <c r="J495" s="70"/>
      <c r="K495" s="70"/>
      <c r="L495" s="70"/>
      <c r="M495" s="70"/>
      <c r="N495" s="70"/>
      <c r="O495" s="70"/>
      <c r="P495" s="70"/>
      <c r="Q495" s="70"/>
      <c r="R495" s="70"/>
      <c r="S495" s="70"/>
      <c r="T495" s="70"/>
      <c r="U495" s="70"/>
      <c r="V495" s="70"/>
      <c r="W495" s="70"/>
    </row>
    <row r="496">
      <c r="A496" s="70"/>
      <c r="B496" s="70"/>
      <c r="C496" s="70"/>
      <c r="D496" s="70"/>
      <c r="E496" s="66"/>
      <c r="F496" s="70"/>
      <c r="G496" s="70"/>
      <c r="H496" s="70"/>
      <c r="I496" s="70"/>
      <c r="J496" s="70"/>
      <c r="K496" s="70"/>
      <c r="L496" s="70"/>
      <c r="M496" s="70"/>
      <c r="N496" s="70"/>
      <c r="O496" s="70"/>
      <c r="P496" s="70"/>
      <c r="Q496" s="70"/>
      <c r="R496" s="70"/>
      <c r="S496" s="70"/>
      <c r="T496" s="70"/>
      <c r="U496" s="70"/>
      <c r="V496" s="70"/>
      <c r="W496" s="70"/>
    </row>
    <row r="497">
      <c r="A497" s="70"/>
      <c r="B497" s="70"/>
      <c r="C497" s="70"/>
      <c r="D497" s="70"/>
      <c r="E497" s="66"/>
      <c r="F497" s="70"/>
      <c r="G497" s="70"/>
      <c r="H497" s="70"/>
      <c r="I497" s="70"/>
      <c r="J497" s="70"/>
      <c r="K497" s="70"/>
      <c r="L497" s="70"/>
      <c r="M497" s="70"/>
      <c r="N497" s="70"/>
      <c r="O497" s="70"/>
      <c r="P497" s="70"/>
      <c r="Q497" s="70"/>
      <c r="R497" s="70"/>
      <c r="S497" s="70"/>
      <c r="T497" s="70"/>
      <c r="U497" s="70"/>
      <c r="V497" s="70"/>
      <c r="W497" s="70"/>
    </row>
    <row r="498">
      <c r="A498" s="70"/>
      <c r="B498" s="70"/>
      <c r="C498" s="70"/>
      <c r="D498" s="70"/>
      <c r="E498" s="66"/>
      <c r="F498" s="70"/>
      <c r="G498" s="70"/>
      <c r="H498" s="70"/>
      <c r="I498" s="70"/>
      <c r="J498" s="70"/>
      <c r="K498" s="70"/>
      <c r="L498" s="70"/>
      <c r="M498" s="70"/>
      <c r="N498" s="70"/>
      <c r="O498" s="70"/>
      <c r="P498" s="70"/>
      <c r="Q498" s="70"/>
      <c r="R498" s="70"/>
      <c r="S498" s="70"/>
      <c r="T498" s="70"/>
      <c r="U498" s="70"/>
      <c r="V498" s="70"/>
      <c r="W498" s="70"/>
    </row>
    <row r="499">
      <c r="A499" s="70"/>
      <c r="B499" s="70"/>
      <c r="C499" s="70"/>
      <c r="D499" s="70"/>
      <c r="E499" s="66"/>
      <c r="F499" s="70"/>
      <c r="G499" s="70"/>
      <c r="H499" s="70"/>
      <c r="I499" s="70"/>
      <c r="J499" s="70"/>
      <c r="K499" s="70"/>
      <c r="L499" s="70"/>
      <c r="M499" s="70"/>
      <c r="N499" s="70"/>
      <c r="O499" s="70"/>
      <c r="P499" s="70"/>
      <c r="Q499" s="70"/>
      <c r="R499" s="70"/>
      <c r="S499" s="70"/>
      <c r="T499" s="70"/>
      <c r="U499" s="70"/>
      <c r="V499" s="70"/>
      <c r="W499" s="70"/>
    </row>
    <row r="500">
      <c r="A500" s="70"/>
      <c r="B500" s="70"/>
      <c r="C500" s="70"/>
      <c r="D500" s="70"/>
      <c r="E500" s="66"/>
      <c r="F500" s="70"/>
      <c r="G500" s="70"/>
      <c r="H500" s="70"/>
      <c r="I500" s="70"/>
      <c r="J500" s="70"/>
      <c r="K500" s="70"/>
      <c r="L500" s="70"/>
      <c r="M500" s="70"/>
      <c r="N500" s="70"/>
      <c r="O500" s="70"/>
      <c r="P500" s="70"/>
      <c r="Q500" s="70"/>
      <c r="R500" s="70"/>
      <c r="S500" s="70"/>
      <c r="T500" s="70"/>
      <c r="U500" s="70"/>
      <c r="V500" s="70"/>
      <c r="W500" s="70"/>
    </row>
    <row r="501">
      <c r="A501" s="70"/>
      <c r="B501" s="70"/>
      <c r="C501" s="70"/>
      <c r="D501" s="70"/>
      <c r="E501" s="66"/>
      <c r="F501" s="70"/>
      <c r="G501" s="70"/>
      <c r="H501" s="70"/>
      <c r="I501" s="70"/>
      <c r="J501" s="70"/>
      <c r="K501" s="70"/>
      <c r="L501" s="70"/>
      <c r="M501" s="70"/>
      <c r="N501" s="70"/>
      <c r="O501" s="70"/>
      <c r="P501" s="70"/>
      <c r="Q501" s="70"/>
      <c r="R501" s="70"/>
      <c r="S501" s="70"/>
      <c r="T501" s="70"/>
      <c r="U501" s="70"/>
      <c r="V501" s="70"/>
      <c r="W501" s="70"/>
    </row>
    <row r="502">
      <c r="A502" s="70"/>
      <c r="B502" s="70"/>
      <c r="C502" s="70"/>
      <c r="D502" s="70"/>
      <c r="E502" s="66"/>
      <c r="F502" s="70"/>
      <c r="G502" s="70"/>
      <c r="H502" s="70"/>
      <c r="I502" s="70"/>
      <c r="J502" s="70"/>
      <c r="K502" s="70"/>
      <c r="L502" s="70"/>
      <c r="M502" s="70"/>
      <c r="N502" s="70"/>
      <c r="O502" s="70"/>
      <c r="P502" s="70"/>
      <c r="Q502" s="70"/>
      <c r="R502" s="70"/>
      <c r="S502" s="70"/>
      <c r="T502" s="70"/>
      <c r="U502" s="70"/>
      <c r="V502" s="70"/>
      <c r="W502" s="70"/>
    </row>
    <row r="503">
      <c r="A503" s="70"/>
      <c r="B503" s="70"/>
      <c r="C503" s="70"/>
      <c r="D503" s="70"/>
      <c r="E503" s="66"/>
      <c r="F503" s="70"/>
      <c r="G503" s="70"/>
      <c r="H503" s="70"/>
      <c r="I503" s="70"/>
      <c r="J503" s="70"/>
      <c r="K503" s="70"/>
      <c r="L503" s="70"/>
      <c r="M503" s="70"/>
      <c r="N503" s="70"/>
      <c r="O503" s="70"/>
      <c r="P503" s="70"/>
      <c r="Q503" s="70"/>
      <c r="R503" s="70"/>
      <c r="S503" s="70"/>
      <c r="T503" s="70"/>
      <c r="U503" s="70"/>
      <c r="V503" s="70"/>
      <c r="W503" s="70"/>
    </row>
    <row r="504">
      <c r="A504" s="70"/>
      <c r="B504" s="70"/>
      <c r="C504" s="70"/>
      <c r="D504" s="70"/>
      <c r="E504" s="66"/>
      <c r="F504" s="70"/>
      <c r="G504" s="70"/>
      <c r="H504" s="70"/>
      <c r="I504" s="70"/>
      <c r="J504" s="70"/>
      <c r="K504" s="70"/>
      <c r="L504" s="70"/>
      <c r="M504" s="70"/>
      <c r="N504" s="70"/>
      <c r="O504" s="70"/>
      <c r="P504" s="70"/>
      <c r="Q504" s="70"/>
      <c r="R504" s="70"/>
      <c r="S504" s="70"/>
      <c r="T504" s="70"/>
      <c r="U504" s="70"/>
      <c r="V504" s="70"/>
      <c r="W504" s="70"/>
    </row>
    <row r="505">
      <c r="A505" s="70"/>
      <c r="B505" s="70"/>
      <c r="C505" s="70"/>
      <c r="D505" s="70"/>
      <c r="E505" s="66"/>
      <c r="F505" s="70"/>
      <c r="G505" s="70"/>
      <c r="H505" s="70"/>
      <c r="I505" s="70"/>
      <c r="J505" s="70"/>
      <c r="K505" s="70"/>
      <c r="L505" s="70"/>
      <c r="M505" s="70"/>
      <c r="N505" s="70"/>
      <c r="O505" s="70"/>
      <c r="P505" s="70"/>
      <c r="Q505" s="70"/>
      <c r="R505" s="70"/>
      <c r="S505" s="70"/>
      <c r="T505" s="70"/>
      <c r="U505" s="70"/>
      <c r="V505" s="70"/>
      <c r="W505" s="70"/>
    </row>
    <row r="506">
      <c r="A506" s="70"/>
      <c r="B506" s="70"/>
      <c r="C506" s="70"/>
      <c r="D506" s="70"/>
      <c r="E506" s="66"/>
      <c r="F506" s="70"/>
      <c r="G506" s="70"/>
      <c r="H506" s="70"/>
      <c r="I506" s="70"/>
      <c r="J506" s="70"/>
      <c r="K506" s="70"/>
      <c r="L506" s="70"/>
      <c r="M506" s="70"/>
      <c r="N506" s="70"/>
      <c r="O506" s="70"/>
      <c r="P506" s="70"/>
      <c r="Q506" s="70"/>
      <c r="R506" s="70"/>
      <c r="S506" s="70"/>
      <c r="T506" s="70"/>
      <c r="U506" s="70"/>
      <c r="V506" s="70"/>
      <c r="W506" s="70"/>
    </row>
    <row r="507">
      <c r="A507" s="70"/>
      <c r="B507" s="70"/>
      <c r="C507" s="70"/>
      <c r="D507" s="70"/>
      <c r="E507" s="66"/>
      <c r="F507" s="70"/>
      <c r="G507" s="70"/>
      <c r="H507" s="70"/>
      <c r="I507" s="70"/>
      <c r="J507" s="70"/>
      <c r="K507" s="70"/>
      <c r="L507" s="70"/>
      <c r="M507" s="70"/>
      <c r="N507" s="70"/>
      <c r="O507" s="70"/>
      <c r="P507" s="70"/>
      <c r="Q507" s="70"/>
      <c r="R507" s="70"/>
      <c r="S507" s="70"/>
      <c r="T507" s="70"/>
      <c r="U507" s="70"/>
      <c r="V507" s="70"/>
      <c r="W507" s="70"/>
    </row>
    <row r="508">
      <c r="A508" s="70"/>
      <c r="B508" s="70"/>
      <c r="C508" s="70"/>
      <c r="D508" s="70"/>
      <c r="E508" s="66"/>
      <c r="F508" s="70"/>
      <c r="G508" s="70"/>
      <c r="H508" s="70"/>
      <c r="I508" s="70"/>
      <c r="J508" s="70"/>
      <c r="K508" s="70"/>
      <c r="L508" s="70"/>
      <c r="M508" s="70"/>
      <c r="N508" s="70"/>
      <c r="O508" s="70"/>
      <c r="P508" s="70"/>
      <c r="Q508" s="70"/>
      <c r="R508" s="70"/>
      <c r="S508" s="70"/>
      <c r="T508" s="70"/>
      <c r="U508" s="70"/>
      <c r="V508" s="70"/>
      <c r="W508" s="70"/>
    </row>
    <row r="509">
      <c r="A509" s="70"/>
      <c r="B509" s="70"/>
      <c r="C509" s="70"/>
      <c r="D509" s="70"/>
      <c r="E509" s="66"/>
      <c r="F509" s="70"/>
      <c r="G509" s="70"/>
      <c r="H509" s="70"/>
      <c r="I509" s="70"/>
      <c r="J509" s="70"/>
      <c r="K509" s="70"/>
      <c r="L509" s="70"/>
      <c r="M509" s="70"/>
      <c r="N509" s="70"/>
      <c r="O509" s="70"/>
      <c r="P509" s="70"/>
      <c r="Q509" s="70"/>
      <c r="R509" s="70"/>
      <c r="S509" s="70"/>
      <c r="T509" s="70"/>
      <c r="U509" s="70"/>
      <c r="V509" s="70"/>
      <c r="W509" s="70"/>
    </row>
    <row r="510">
      <c r="A510" s="70"/>
      <c r="B510" s="70"/>
      <c r="C510" s="70"/>
      <c r="D510" s="70"/>
      <c r="E510" s="66"/>
      <c r="F510" s="70"/>
      <c r="G510" s="70"/>
      <c r="H510" s="70"/>
      <c r="I510" s="70"/>
      <c r="J510" s="70"/>
      <c r="K510" s="70"/>
      <c r="L510" s="70"/>
      <c r="M510" s="70"/>
      <c r="N510" s="70"/>
      <c r="O510" s="70"/>
      <c r="P510" s="70"/>
      <c r="Q510" s="70"/>
      <c r="R510" s="70"/>
      <c r="S510" s="70"/>
      <c r="T510" s="70"/>
      <c r="U510" s="70"/>
      <c r="V510" s="70"/>
      <c r="W510" s="70"/>
    </row>
    <row r="511">
      <c r="A511" s="70"/>
      <c r="B511" s="70"/>
      <c r="C511" s="70"/>
      <c r="D511" s="70"/>
      <c r="E511" s="66"/>
      <c r="F511" s="70"/>
      <c r="G511" s="70"/>
      <c r="H511" s="70"/>
      <c r="I511" s="70"/>
      <c r="J511" s="70"/>
      <c r="K511" s="70"/>
      <c r="L511" s="70"/>
      <c r="M511" s="70"/>
      <c r="N511" s="70"/>
      <c r="O511" s="70"/>
      <c r="P511" s="70"/>
      <c r="Q511" s="70"/>
      <c r="R511" s="70"/>
      <c r="S511" s="70"/>
      <c r="T511" s="70"/>
      <c r="U511" s="70"/>
      <c r="V511" s="70"/>
      <c r="W511" s="70"/>
    </row>
    <row r="512">
      <c r="A512" s="70"/>
      <c r="B512" s="70"/>
      <c r="C512" s="70"/>
      <c r="D512" s="70"/>
      <c r="E512" s="66"/>
      <c r="F512" s="70"/>
      <c r="G512" s="70"/>
      <c r="H512" s="70"/>
      <c r="I512" s="70"/>
      <c r="J512" s="70"/>
      <c r="K512" s="70"/>
      <c r="L512" s="70"/>
      <c r="M512" s="70"/>
      <c r="N512" s="70"/>
      <c r="O512" s="70"/>
      <c r="P512" s="70"/>
      <c r="Q512" s="70"/>
      <c r="R512" s="70"/>
      <c r="S512" s="70"/>
      <c r="T512" s="70"/>
      <c r="U512" s="70"/>
      <c r="V512" s="70"/>
      <c r="W512" s="70"/>
    </row>
    <row r="513">
      <c r="A513" s="70"/>
      <c r="B513" s="70"/>
      <c r="C513" s="70"/>
      <c r="D513" s="70"/>
      <c r="E513" s="66"/>
      <c r="F513" s="70"/>
      <c r="G513" s="70"/>
      <c r="H513" s="70"/>
      <c r="I513" s="70"/>
      <c r="J513" s="70"/>
      <c r="K513" s="70"/>
      <c r="L513" s="70"/>
      <c r="M513" s="70"/>
      <c r="N513" s="70"/>
      <c r="O513" s="70"/>
      <c r="P513" s="70"/>
      <c r="Q513" s="70"/>
      <c r="R513" s="70"/>
      <c r="S513" s="70"/>
      <c r="T513" s="70"/>
      <c r="U513" s="70"/>
      <c r="V513" s="70"/>
      <c r="W513" s="70"/>
    </row>
    <row r="514">
      <c r="A514" s="70"/>
      <c r="B514" s="70"/>
      <c r="C514" s="70"/>
      <c r="D514" s="70"/>
      <c r="E514" s="66"/>
      <c r="F514" s="70"/>
      <c r="G514" s="70"/>
      <c r="H514" s="70"/>
      <c r="I514" s="70"/>
      <c r="J514" s="70"/>
      <c r="K514" s="70"/>
      <c r="L514" s="70"/>
      <c r="M514" s="70"/>
      <c r="N514" s="70"/>
      <c r="O514" s="70"/>
      <c r="P514" s="70"/>
      <c r="Q514" s="70"/>
      <c r="R514" s="70"/>
      <c r="S514" s="70"/>
      <c r="T514" s="70"/>
      <c r="U514" s="70"/>
      <c r="V514" s="70"/>
      <c r="W514" s="70"/>
    </row>
    <row r="515">
      <c r="A515" s="70"/>
      <c r="B515" s="70"/>
      <c r="C515" s="70"/>
      <c r="D515" s="70"/>
      <c r="E515" s="66"/>
      <c r="F515" s="70"/>
      <c r="G515" s="70"/>
      <c r="H515" s="70"/>
      <c r="I515" s="70"/>
      <c r="J515" s="70"/>
      <c r="K515" s="70"/>
      <c r="L515" s="70"/>
      <c r="M515" s="70"/>
      <c r="N515" s="70"/>
      <c r="O515" s="70"/>
      <c r="P515" s="70"/>
      <c r="Q515" s="70"/>
      <c r="R515" s="70"/>
      <c r="S515" s="70"/>
      <c r="T515" s="70"/>
      <c r="U515" s="70"/>
      <c r="V515" s="70"/>
      <c r="W515" s="70"/>
    </row>
    <row r="516">
      <c r="A516" s="70"/>
      <c r="B516" s="70"/>
      <c r="C516" s="70"/>
      <c r="D516" s="70"/>
      <c r="E516" s="66"/>
      <c r="F516" s="70"/>
      <c r="G516" s="70"/>
      <c r="H516" s="70"/>
      <c r="I516" s="70"/>
      <c r="J516" s="70"/>
      <c r="K516" s="70"/>
      <c r="L516" s="70"/>
      <c r="M516" s="70"/>
      <c r="N516" s="70"/>
      <c r="O516" s="70"/>
      <c r="P516" s="70"/>
      <c r="Q516" s="70"/>
      <c r="R516" s="70"/>
      <c r="S516" s="70"/>
      <c r="T516" s="70"/>
      <c r="U516" s="70"/>
      <c r="V516" s="70"/>
      <c r="W516" s="70"/>
    </row>
    <row r="517">
      <c r="A517" s="70"/>
      <c r="B517" s="70"/>
      <c r="C517" s="70"/>
      <c r="D517" s="70"/>
      <c r="E517" s="66"/>
      <c r="F517" s="70"/>
      <c r="G517" s="70"/>
      <c r="H517" s="70"/>
      <c r="I517" s="70"/>
      <c r="J517" s="70"/>
      <c r="K517" s="70"/>
      <c r="L517" s="70"/>
      <c r="M517" s="70"/>
      <c r="N517" s="70"/>
      <c r="O517" s="70"/>
      <c r="P517" s="70"/>
      <c r="Q517" s="70"/>
      <c r="R517" s="70"/>
      <c r="S517" s="70"/>
      <c r="T517" s="70"/>
      <c r="U517" s="70"/>
      <c r="V517" s="70"/>
      <c r="W517" s="70"/>
    </row>
    <row r="518">
      <c r="A518" s="70"/>
      <c r="B518" s="70"/>
      <c r="C518" s="70"/>
      <c r="D518" s="70"/>
      <c r="E518" s="66"/>
      <c r="F518" s="70"/>
      <c r="G518" s="70"/>
      <c r="H518" s="70"/>
      <c r="I518" s="70"/>
      <c r="J518" s="70"/>
      <c r="K518" s="70"/>
      <c r="L518" s="70"/>
      <c r="M518" s="70"/>
      <c r="N518" s="70"/>
      <c r="O518" s="70"/>
      <c r="P518" s="70"/>
      <c r="Q518" s="70"/>
      <c r="R518" s="70"/>
      <c r="S518" s="70"/>
      <c r="T518" s="70"/>
      <c r="U518" s="70"/>
      <c r="V518" s="70"/>
      <c r="W518" s="70"/>
    </row>
    <row r="519">
      <c r="A519" s="70"/>
      <c r="B519" s="70"/>
      <c r="C519" s="70"/>
      <c r="D519" s="70"/>
      <c r="E519" s="66"/>
      <c r="F519" s="70"/>
      <c r="G519" s="70"/>
      <c r="H519" s="70"/>
      <c r="I519" s="70"/>
      <c r="J519" s="70"/>
      <c r="K519" s="70"/>
      <c r="L519" s="70"/>
      <c r="M519" s="70"/>
      <c r="N519" s="70"/>
      <c r="O519" s="70"/>
      <c r="P519" s="70"/>
      <c r="Q519" s="70"/>
      <c r="R519" s="70"/>
      <c r="S519" s="70"/>
      <c r="T519" s="70"/>
      <c r="U519" s="70"/>
      <c r="V519" s="70"/>
      <c r="W519" s="70"/>
    </row>
    <row r="520">
      <c r="A520" s="70"/>
      <c r="B520" s="70"/>
      <c r="C520" s="70"/>
      <c r="D520" s="70"/>
      <c r="E520" s="66"/>
      <c r="F520" s="70"/>
      <c r="G520" s="70"/>
      <c r="H520" s="70"/>
      <c r="I520" s="70"/>
      <c r="J520" s="70"/>
      <c r="K520" s="70"/>
      <c r="L520" s="70"/>
      <c r="M520" s="70"/>
      <c r="N520" s="70"/>
      <c r="O520" s="70"/>
      <c r="P520" s="70"/>
      <c r="Q520" s="70"/>
      <c r="R520" s="70"/>
      <c r="S520" s="70"/>
      <c r="T520" s="70"/>
      <c r="U520" s="70"/>
      <c r="V520" s="70"/>
      <c r="W520" s="70"/>
    </row>
    <row r="521">
      <c r="A521" s="70"/>
      <c r="B521" s="70"/>
      <c r="C521" s="70"/>
      <c r="D521" s="70"/>
      <c r="E521" s="66"/>
      <c r="F521" s="70"/>
      <c r="G521" s="70"/>
      <c r="H521" s="70"/>
      <c r="I521" s="70"/>
      <c r="J521" s="70"/>
      <c r="K521" s="70"/>
      <c r="L521" s="70"/>
      <c r="M521" s="70"/>
      <c r="N521" s="70"/>
      <c r="O521" s="70"/>
      <c r="P521" s="70"/>
      <c r="Q521" s="70"/>
      <c r="R521" s="70"/>
      <c r="S521" s="70"/>
      <c r="T521" s="70"/>
      <c r="U521" s="70"/>
      <c r="V521" s="70"/>
      <c r="W521" s="70"/>
    </row>
    <row r="522">
      <c r="A522" s="70"/>
      <c r="B522" s="70"/>
      <c r="C522" s="70"/>
      <c r="D522" s="70"/>
      <c r="E522" s="66"/>
      <c r="F522" s="70"/>
      <c r="G522" s="70"/>
      <c r="H522" s="70"/>
      <c r="I522" s="70"/>
      <c r="J522" s="70"/>
      <c r="K522" s="70"/>
      <c r="L522" s="70"/>
      <c r="M522" s="70"/>
      <c r="N522" s="70"/>
      <c r="O522" s="70"/>
      <c r="P522" s="70"/>
      <c r="Q522" s="70"/>
      <c r="R522" s="70"/>
      <c r="S522" s="70"/>
      <c r="T522" s="70"/>
      <c r="U522" s="70"/>
      <c r="V522" s="70"/>
      <c r="W522" s="70"/>
    </row>
    <row r="523">
      <c r="A523" s="70"/>
      <c r="B523" s="70"/>
      <c r="C523" s="70"/>
      <c r="D523" s="70"/>
      <c r="E523" s="66"/>
      <c r="F523" s="70"/>
      <c r="G523" s="70"/>
      <c r="H523" s="70"/>
      <c r="I523" s="70"/>
      <c r="J523" s="70"/>
      <c r="K523" s="70"/>
      <c r="L523" s="70"/>
      <c r="M523" s="70"/>
      <c r="N523" s="70"/>
      <c r="O523" s="70"/>
      <c r="P523" s="70"/>
      <c r="Q523" s="70"/>
      <c r="R523" s="70"/>
      <c r="S523" s="70"/>
      <c r="T523" s="70"/>
      <c r="U523" s="70"/>
      <c r="V523" s="70"/>
      <c r="W523" s="70"/>
    </row>
    <row r="524">
      <c r="A524" s="70"/>
      <c r="B524" s="70"/>
      <c r="C524" s="70"/>
      <c r="D524" s="70"/>
      <c r="E524" s="66"/>
      <c r="F524" s="70"/>
      <c r="G524" s="70"/>
      <c r="H524" s="70"/>
      <c r="I524" s="70"/>
      <c r="J524" s="70"/>
      <c r="K524" s="70"/>
      <c r="L524" s="70"/>
      <c r="M524" s="70"/>
      <c r="N524" s="70"/>
      <c r="O524" s="70"/>
      <c r="P524" s="70"/>
      <c r="Q524" s="70"/>
      <c r="R524" s="70"/>
      <c r="S524" s="70"/>
      <c r="T524" s="70"/>
      <c r="U524" s="70"/>
      <c r="V524" s="70"/>
      <c r="W524" s="70"/>
    </row>
    <row r="525">
      <c r="A525" s="70"/>
      <c r="B525" s="70"/>
      <c r="C525" s="70"/>
      <c r="D525" s="70"/>
      <c r="E525" s="66"/>
      <c r="F525" s="70"/>
      <c r="G525" s="70"/>
      <c r="H525" s="70"/>
      <c r="I525" s="70"/>
      <c r="J525" s="70"/>
      <c r="K525" s="70"/>
      <c r="L525" s="70"/>
      <c r="M525" s="70"/>
      <c r="N525" s="70"/>
      <c r="O525" s="70"/>
      <c r="P525" s="70"/>
      <c r="Q525" s="70"/>
      <c r="R525" s="70"/>
      <c r="S525" s="70"/>
      <c r="T525" s="70"/>
      <c r="U525" s="70"/>
      <c r="V525" s="70"/>
      <c r="W525" s="70"/>
    </row>
    <row r="526">
      <c r="A526" s="70"/>
      <c r="B526" s="70"/>
      <c r="C526" s="70"/>
      <c r="D526" s="70"/>
      <c r="E526" s="66"/>
      <c r="F526" s="70"/>
      <c r="G526" s="70"/>
      <c r="H526" s="70"/>
      <c r="I526" s="70"/>
      <c r="J526" s="70"/>
      <c r="K526" s="70"/>
      <c r="L526" s="70"/>
      <c r="M526" s="70"/>
      <c r="N526" s="70"/>
      <c r="O526" s="70"/>
      <c r="P526" s="70"/>
      <c r="Q526" s="70"/>
      <c r="R526" s="70"/>
      <c r="S526" s="70"/>
      <c r="T526" s="70"/>
      <c r="U526" s="70"/>
      <c r="V526" s="70"/>
      <c r="W526" s="70"/>
    </row>
    <row r="527">
      <c r="A527" s="70"/>
      <c r="B527" s="70"/>
      <c r="C527" s="70"/>
      <c r="D527" s="70"/>
      <c r="E527" s="66"/>
      <c r="F527" s="70"/>
      <c r="G527" s="70"/>
      <c r="H527" s="70"/>
      <c r="I527" s="70"/>
      <c r="J527" s="70"/>
      <c r="K527" s="70"/>
      <c r="L527" s="70"/>
      <c r="M527" s="70"/>
      <c r="N527" s="70"/>
      <c r="O527" s="70"/>
      <c r="P527" s="70"/>
      <c r="Q527" s="70"/>
      <c r="R527" s="70"/>
      <c r="S527" s="70"/>
      <c r="T527" s="70"/>
      <c r="U527" s="70"/>
      <c r="V527" s="70"/>
      <c r="W527" s="70"/>
    </row>
    <row r="528">
      <c r="A528" s="70"/>
      <c r="B528" s="70"/>
      <c r="C528" s="70"/>
      <c r="D528" s="70"/>
      <c r="E528" s="66"/>
      <c r="F528" s="70"/>
      <c r="G528" s="70"/>
      <c r="H528" s="70"/>
      <c r="I528" s="70"/>
      <c r="J528" s="70"/>
      <c r="K528" s="70"/>
      <c r="L528" s="70"/>
      <c r="M528" s="70"/>
      <c r="N528" s="70"/>
      <c r="O528" s="70"/>
      <c r="P528" s="70"/>
      <c r="Q528" s="70"/>
      <c r="R528" s="70"/>
      <c r="S528" s="70"/>
      <c r="T528" s="70"/>
      <c r="U528" s="70"/>
      <c r="V528" s="70"/>
      <c r="W528" s="70"/>
    </row>
    <row r="529">
      <c r="A529" s="70"/>
      <c r="B529" s="70"/>
      <c r="C529" s="70"/>
      <c r="D529" s="70"/>
      <c r="E529" s="66"/>
      <c r="F529" s="70"/>
      <c r="G529" s="70"/>
      <c r="H529" s="70"/>
      <c r="I529" s="70"/>
      <c r="J529" s="70"/>
      <c r="K529" s="70"/>
      <c r="L529" s="70"/>
      <c r="M529" s="70"/>
      <c r="N529" s="70"/>
      <c r="O529" s="70"/>
      <c r="P529" s="70"/>
      <c r="Q529" s="70"/>
      <c r="R529" s="70"/>
      <c r="S529" s="70"/>
      <c r="T529" s="70"/>
      <c r="U529" s="70"/>
      <c r="V529" s="70"/>
      <c r="W529" s="70"/>
    </row>
    <row r="530">
      <c r="A530" s="70"/>
      <c r="B530" s="70"/>
      <c r="C530" s="70"/>
      <c r="D530" s="70"/>
      <c r="E530" s="66"/>
      <c r="F530" s="70"/>
      <c r="G530" s="70"/>
      <c r="H530" s="70"/>
      <c r="I530" s="70"/>
      <c r="J530" s="70"/>
      <c r="K530" s="70"/>
      <c r="L530" s="70"/>
      <c r="M530" s="70"/>
      <c r="N530" s="70"/>
      <c r="O530" s="70"/>
      <c r="P530" s="70"/>
      <c r="Q530" s="70"/>
      <c r="R530" s="70"/>
      <c r="S530" s="70"/>
      <c r="T530" s="70"/>
      <c r="U530" s="70"/>
      <c r="V530" s="70"/>
      <c r="W530" s="70"/>
    </row>
    <row r="531">
      <c r="A531" s="70"/>
      <c r="B531" s="70"/>
      <c r="C531" s="70"/>
      <c r="D531" s="70"/>
      <c r="E531" s="66"/>
      <c r="F531" s="70"/>
      <c r="G531" s="70"/>
      <c r="H531" s="70"/>
      <c r="I531" s="70"/>
      <c r="J531" s="70"/>
      <c r="K531" s="70"/>
      <c r="L531" s="70"/>
      <c r="M531" s="70"/>
      <c r="N531" s="70"/>
      <c r="O531" s="70"/>
      <c r="P531" s="70"/>
      <c r="Q531" s="70"/>
      <c r="R531" s="70"/>
      <c r="S531" s="70"/>
      <c r="T531" s="70"/>
      <c r="U531" s="70"/>
      <c r="V531" s="70"/>
      <c r="W531" s="70"/>
    </row>
    <row r="532">
      <c r="A532" s="70"/>
      <c r="B532" s="70"/>
      <c r="C532" s="70"/>
      <c r="D532" s="70"/>
      <c r="E532" s="66"/>
      <c r="F532" s="70"/>
      <c r="G532" s="70"/>
      <c r="H532" s="70"/>
      <c r="I532" s="70"/>
      <c r="J532" s="70"/>
      <c r="K532" s="70"/>
      <c r="L532" s="70"/>
      <c r="M532" s="70"/>
      <c r="N532" s="70"/>
      <c r="O532" s="70"/>
      <c r="P532" s="70"/>
      <c r="Q532" s="70"/>
      <c r="R532" s="70"/>
      <c r="S532" s="70"/>
      <c r="T532" s="70"/>
      <c r="U532" s="70"/>
      <c r="V532" s="70"/>
      <c r="W532" s="70"/>
    </row>
    <row r="533">
      <c r="A533" s="70"/>
      <c r="B533" s="70"/>
      <c r="C533" s="70"/>
      <c r="D533" s="70"/>
      <c r="E533" s="66"/>
      <c r="F533" s="70"/>
      <c r="G533" s="70"/>
      <c r="H533" s="70"/>
      <c r="I533" s="70"/>
      <c r="J533" s="70"/>
      <c r="K533" s="70"/>
      <c r="L533" s="70"/>
      <c r="M533" s="70"/>
      <c r="N533" s="70"/>
      <c r="O533" s="70"/>
      <c r="P533" s="70"/>
      <c r="Q533" s="70"/>
      <c r="R533" s="70"/>
      <c r="S533" s="70"/>
      <c r="T533" s="70"/>
      <c r="U533" s="70"/>
      <c r="V533" s="70"/>
      <c r="W533" s="70"/>
    </row>
    <row r="534">
      <c r="A534" s="70"/>
      <c r="B534" s="70"/>
      <c r="C534" s="70"/>
      <c r="D534" s="70"/>
      <c r="E534" s="66"/>
      <c r="F534" s="70"/>
      <c r="G534" s="70"/>
      <c r="H534" s="70"/>
      <c r="I534" s="70"/>
      <c r="J534" s="70"/>
      <c r="K534" s="70"/>
      <c r="L534" s="70"/>
      <c r="M534" s="70"/>
      <c r="N534" s="70"/>
      <c r="O534" s="70"/>
      <c r="P534" s="70"/>
      <c r="Q534" s="70"/>
      <c r="R534" s="70"/>
      <c r="S534" s="70"/>
      <c r="T534" s="70"/>
      <c r="U534" s="70"/>
      <c r="V534" s="70"/>
      <c r="W534" s="70"/>
    </row>
    <row r="535">
      <c r="A535" s="70"/>
      <c r="B535" s="70"/>
      <c r="C535" s="70"/>
      <c r="D535" s="70"/>
      <c r="E535" s="66"/>
      <c r="F535" s="70"/>
      <c r="G535" s="70"/>
      <c r="H535" s="70"/>
      <c r="I535" s="70"/>
      <c r="J535" s="70"/>
      <c r="K535" s="70"/>
      <c r="L535" s="70"/>
      <c r="M535" s="70"/>
      <c r="N535" s="70"/>
      <c r="O535" s="70"/>
      <c r="P535" s="70"/>
      <c r="Q535" s="70"/>
      <c r="R535" s="70"/>
      <c r="S535" s="70"/>
      <c r="T535" s="70"/>
      <c r="U535" s="70"/>
      <c r="V535" s="70"/>
      <c r="W535" s="70"/>
    </row>
    <row r="536">
      <c r="A536" s="70"/>
      <c r="B536" s="70"/>
      <c r="C536" s="70"/>
      <c r="D536" s="70"/>
      <c r="E536" s="66"/>
      <c r="F536" s="70"/>
      <c r="G536" s="70"/>
      <c r="H536" s="70"/>
      <c r="I536" s="70"/>
      <c r="J536" s="70"/>
      <c r="K536" s="70"/>
      <c r="L536" s="70"/>
      <c r="M536" s="70"/>
      <c r="N536" s="70"/>
      <c r="O536" s="70"/>
      <c r="P536" s="70"/>
      <c r="Q536" s="70"/>
      <c r="R536" s="70"/>
      <c r="S536" s="70"/>
      <c r="T536" s="70"/>
      <c r="U536" s="70"/>
      <c r="V536" s="70"/>
      <c r="W536" s="70"/>
    </row>
    <row r="537">
      <c r="A537" s="70"/>
      <c r="B537" s="70"/>
      <c r="C537" s="70"/>
      <c r="D537" s="70"/>
      <c r="E537" s="66"/>
      <c r="F537" s="70"/>
      <c r="G537" s="70"/>
      <c r="H537" s="70"/>
      <c r="I537" s="70"/>
      <c r="J537" s="70"/>
      <c r="K537" s="70"/>
      <c r="L537" s="70"/>
      <c r="M537" s="70"/>
      <c r="N537" s="70"/>
      <c r="O537" s="70"/>
      <c r="P537" s="70"/>
      <c r="Q537" s="70"/>
      <c r="R537" s="70"/>
      <c r="S537" s="70"/>
      <c r="T537" s="70"/>
      <c r="U537" s="70"/>
      <c r="V537" s="70"/>
      <c r="W537" s="70"/>
    </row>
    <row r="538">
      <c r="A538" s="70"/>
      <c r="B538" s="70"/>
      <c r="C538" s="70"/>
      <c r="D538" s="70"/>
      <c r="E538" s="66"/>
      <c r="F538" s="70"/>
      <c r="G538" s="70"/>
      <c r="H538" s="70"/>
      <c r="I538" s="70"/>
      <c r="J538" s="70"/>
      <c r="K538" s="70"/>
      <c r="L538" s="70"/>
      <c r="M538" s="70"/>
      <c r="N538" s="70"/>
      <c r="O538" s="70"/>
      <c r="P538" s="70"/>
      <c r="Q538" s="70"/>
      <c r="R538" s="70"/>
      <c r="S538" s="70"/>
      <c r="T538" s="70"/>
      <c r="U538" s="70"/>
      <c r="V538" s="70"/>
      <c r="W538" s="70"/>
    </row>
    <row r="539">
      <c r="A539" s="70"/>
      <c r="B539" s="70"/>
      <c r="C539" s="70"/>
      <c r="D539" s="70"/>
      <c r="E539" s="66"/>
      <c r="F539" s="70"/>
      <c r="G539" s="70"/>
      <c r="H539" s="70"/>
      <c r="I539" s="70"/>
      <c r="J539" s="70"/>
      <c r="K539" s="70"/>
      <c r="L539" s="70"/>
      <c r="M539" s="70"/>
      <c r="N539" s="70"/>
      <c r="O539" s="70"/>
      <c r="P539" s="70"/>
      <c r="Q539" s="70"/>
      <c r="R539" s="70"/>
      <c r="S539" s="70"/>
      <c r="T539" s="70"/>
      <c r="U539" s="70"/>
      <c r="V539" s="70"/>
      <c r="W539" s="70"/>
    </row>
    <row r="540">
      <c r="A540" s="70"/>
      <c r="B540" s="70"/>
      <c r="C540" s="70"/>
      <c r="D540" s="70"/>
      <c r="E540" s="66"/>
      <c r="F540" s="70"/>
      <c r="G540" s="70"/>
      <c r="H540" s="70"/>
      <c r="I540" s="70"/>
      <c r="J540" s="70"/>
      <c r="K540" s="70"/>
      <c r="L540" s="70"/>
      <c r="M540" s="70"/>
      <c r="N540" s="70"/>
      <c r="O540" s="70"/>
      <c r="P540" s="70"/>
      <c r="Q540" s="70"/>
      <c r="R540" s="70"/>
      <c r="S540" s="70"/>
      <c r="T540" s="70"/>
      <c r="U540" s="70"/>
      <c r="V540" s="70"/>
      <c r="W540" s="70"/>
    </row>
    <row r="541">
      <c r="A541" s="70"/>
      <c r="B541" s="70"/>
      <c r="C541" s="70"/>
      <c r="D541" s="70"/>
      <c r="E541" s="66"/>
      <c r="F541" s="70"/>
      <c r="G541" s="70"/>
      <c r="H541" s="70"/>
      <c r="I541" s="70"/>
      <c r="J541" s="70"/>
      <c r="K541" s="70"/>
      <c r="L541" s="70"/>
      <c r="M541" s="70"/>
      <c r="N541" s="70"/>
      <c r="O541" s="70"/>
      <c r="P541" s="70"/>
      <c r="Q541" s="70"/>
      <c r="R541" s="70"/>
      <c r="S541" s="70"/>
      <c r="T541" s="70"/>
      <c r="U541" s="70"/>
      <c r="V541" s="70"/>
      <c r="W541" s="70"/>
    </row>
    <row r="542">
      <c r="A542" s="70"/>
      <c r="B542" s="70"/>
      <c r="C542" s="70"/>
      <c r="D542" s="70"/>
      <c r="E542" s="66"/>
      <c r="F542" s="70"/>
      <c r="G542" s="70"/>
      <c r="H542" s="70"/>
      <c r="I542" s="70"/>
      <c r="J542" s="70"/>
      <c r="K542" s="70"/>
      <c r="L542" s="70"/>
      <c r="M542" s="70"/>
      <c r="N542" s="70"/>
      <c r="O542" s="70"/>
      <c r="P542" s="70"/>
      <c r="Q542" s="70"/>
      <c r="R542" s="70"/>
      <c r="S542" s="70"/>
      <c r="T542" s="70"/>
      <c r="U542" s="70"/>
      <c r="V542" s="70"/>
      <c r="W542" s="70"/>
    </row>
    <row r="543">
      <c r="A543" s="70"/>
      <c r="B543" s="70"/>
      <c r="C543" s="70"/>
      <c r="D543" s="70"/>
      <c r="E543" s="66"/>
      <c r="F543" s="70"/>
      <c r="G543" s="70"/>
      <c r="H543" s="70"/>
      <c r="I543" s="70"/>
      <c r="J543" s="70"/>
      <c r="K543" s="70"/>
      <c r="L543" s="70"/>
      <c r="M543" s="70"/>
      <c r="N543" s="70"/>
      <c r="O543" s="70"/>
      <c r="P543" s="70"/>
      <c r="Q543" s="70"/>
      <c r="R543" s="70"/>
      <c r="S543" s="70"/>
      <c r="T543" s="70"/>
      <c r="U543" s="70"/>
      <c r="V543" s="70"/>
      <c r="W543" s="70"/>
    </row>
    <row r="544">
      <c r="A544" s="70"/>
      <c r="B544" s="70"/>
      <c r="C544" s="70"/>
      <c r="D544" s="70"/>
      <c r="E544" s="66"/>
      <c r="F544" s="70"/>
      <c r="G544" s="70"/>
      <c r="H544" s="70"/>
      <c r="I544" s="70"/>
      <c r="J544" s="70"/>
      <c r="K544" s="70"/>
      <c r="L544" s="70"/>
      <c r="M544" s="70"/>
      <c r="N544" s="70"/>
      <c r="O544" s="70"/>
      <c r="P544" s="70"/>
      <c r="Q544" s="70"/>
      <c r="R544" s="70"/>
      <c r="S544" s="70"/>
      <c r="T544" s="70"/>
      <c r="U544" s="70"/>
      <c r="V544" s="70"/>
      <c r="W544" s="70"/>
    </row>
    <row r="545">
      <c r="A545" s="70"/>
      <c r="B545" s="70"/>
      <c r="C545" s="70"/>
      <c r="D545" s="70"/>
      <c r="E545" s="66"/>
      <c r="F545" s="70"/>
      <c r="G545" s="70"/>
      <c r="H545" s="70"/>
      <c r="I545" s="70"/>
      <c r="J545" s="70"/>
      <c r="K545" s="70"/>
      <c r="L545" s="70"/>
      <c r="M545" s="70"/>
      <c r="N545" s="70"/>
      <c r="O545" s="70"/>
      <c r="P545" s="70"/>
      <c r="Q545" s="70"/>
      <c r="R545" s="70"/>
      <c r="S545" s="70"/>
      <c r="T545" s="70"/>
      <c r="U545" s="70"/>
      <c r="V545" s="70"/>
      <c r="W545" s="70"/>
    </row>
    <row r="546">
      <c r="A546" s="70"/>
      <c r="B546" s="70"/>
      <c r="C546" s="70"/>
      <c r="D546" s="70"/>
      <c r="E546" s="66"/>
      <c r="F546" s="70"/>
      <c r="G546" s="70"/>
      <c r="H546" s="70"/>
      <c r="I546" s="70"/>
      <c r="J546" s="70"/>
      <c r="K546" s="70"/>
      <c r="L546" s="70"/>
      <c r="M546" s="70"/>
      <c r="N546" s="70"/>
      <c r="O546" s="70"/>
      <c r="P546" s="70"/>
      <c r="Q546" s="70"/>
      <c r="R546" s="70"/>
      <c r="S546" s="70"/>
      <c r="T546" s="70"/>
      <c r="U546" s="70"/>
      <c r="V546" s="70"/>
      <c r="W546" s="70"/>
    </row>
    <row r="547">
      <c r="A547" s="70"/>
      <c r="B547" s="70"/>
      <c r="C547" s="70"/>
      <c r="D547" s="70"/>
      <c r="E547" s="66"/>
      <c r="F547" s="70"/>
      <c r="G547" s="70"/>
      <c r="H547" s="70"/>
      <c r="I547" s="70"/>
      <c r="J547" s="70"/>
      <c r="K547" s="70"/>
      <c r="L547" s="70"/>
      <c r="M547" s="70"/>
      <c r="N547" s="70"/>
      <c r="O547" s="70"/>
      <c r="P547" s="70"/>
      <c r="Q547" s="70"/>
      <c r="R547" s="70"/>
      <c r="S547" s="70"/>
      <c r="T547" s="70"/>
      <c r="U547" s="70"/>
      <c r="V547" s="70"/>
      <c r="W547" s="70"/>
    </row>
    <row r="548">
      <c r="A548" s="70"/>
      <c r="B548" s="70"/>
      <c r="C548" s="70"/>
      <c r="D548" s="70"/>
      <c r="E548" s="66"/>
      <c r="F548" s="70"/>
      <c r="G548" s="70"/>
      <c r="H548" s="70"/>
      <c r="I548" s="70"/>
      <c r="J548" s="70"/>
      <c r="K548" s="70"/>
      <c r="L548" s="70"/>
      <c r="M548" s="70"/>
      <c r="N548" s="70"/>
      <c r="O548" s="70"/>
      <c r="P548" s="70"/>
      <c r="Q548" s="70"/>
      <c r="R548" s="70"/>
      <c r="S548" s="70"/>
      <c r="T548" s="70"/>
      <c r="U548" s="70"/>
      <c r="V548" s="70"/>
      <c r="W548" s="70"/>
    </row>
    <row r="549">
      <c r="A549" s="70"/>
      <c r="B549" s="70"/>
      <c r="C549" s="70"/>
      <c r="D549" s="70"/>
      <c r="E549" s="66"/>
      <c r="F549" s="70"/>
      <c r="G549" s="70"/>
      <c r="H549" s="70"/>
      <c r="I549" s="70"/>
      <c r="J549" s="70"/>
      <c r="K549" s="70"/>
      <c r="L549" s="70"/>
      <c r="M549" s="70"/>
      <c r="N549" s="70"/>
      <c r="O549" s="70"/>
      <c r="P549" s="70"/>
      <c r="Q549" s="70"/>
      <c r="R549" s="70"/>
      <c r="S549" s="70"/>
      <c r="T549" s="70"/>
      <c r="U549" s="70"/>
      <c r="V549" s="70"/>
      <c r="W549" s="70"/>
    </row>
    <row r="550">
      <c r="A550" s="70"/>
      <c r="B550" s="70"/>
      <c r="C550" s="70"/>
      <c r="D550" s="70"/>
      <c r="E550" s="66"/>
      <c r="F550" s="70"/>
      <c r="G550" s="70"/>
      <c r="H550" s="70"/>
      <c r="I550" s="70"/>
      <c r="J550" s="70"/>
      <c r="K550" s="70"/>
      <c r="L550" s="70"/>
      <c r="M550" s="70"/>
      <c r="N550" s="70"/>
      <c r="O550" s="70"/>
      <c r="P550" s="70"/>
      <c r="Q550" s="70"/>
      <c r="R550" s="70"/>
      <c r="S550" s="70"/>
      <c r="T550" s="70"/>
      <c r="U550" s="70"/>
      <c r="V550" s="70"/>
      <c r="W550" s="70"/>
    </row>
    <row r="551">
      <c r="A551" s="70"/>
      <c r="B551" s="70"/>
      <c r="C551" s="70"/>
      <c r="D551" s="70"/>
      <c r="E551" s="66"/>
      <c r="F551" s="70"/>
      <c r="G551" s="70"/>
      <c r="H551" s="70"/>
      <c r="I551" s="70"/>
      <c r="J551" s="70"/>
      <c r="K551" s="70"/>
      <c r="L551" s="70"/>
      <c r="M551" s="70"/>
      <c r="N551" s="70"/>
      <c r="O551" s="70"/>
      <c r="P551" s="70"/>
      <c r="Q551" s="70"/>
      <c r="R551" s="70"/>
      <c r="S551" s="70"/>
      <c r="T551" s="70"/>
      <c r="U551" s="70"/>
      <c r="V551" s="70"/>
      <c r="W551" s="70"/>
    </row>
    <row r="552">
      <c r="A552" s="70"/>
      <c r="B552" s="70"/>
      <c r="C552" s="70"/>
      <c r="D552" s="70"/>
      <c r="E552" s="66"/>
      <c r="F552" s="70"/>
      <c r="G552" s="70"/>
      <c r="H552" s="70"/>
      <c r="I552" s="70"/>
      <c r="J552" s="70"/>
      <c r="K552" s="70"/>
      <c r="L552" s="70"/>
      <c r="M552" s="70"/>
      <c r="N552" s="70"/>
      <c r="O552" s="70"/>
      <c r="P552" s="70"/>
      <c r="Q552" s="70"/>
      <c r="R552" s="70"/>
      <c r="S552" s="70"/>
      <c r="T552" s="70"/>
      <c r="U552" s="70"/>
      <c r="V552" s="70"/>
      <c r="W552" s="70"/>
    </row>
    <row r="553">
      <c r="A553" s="70"/>
      <c r="B553" s="70"/>
      <c r="C553" s="70"/>
      <c r="D553" s="70"/>
      <c r="E553" s="66"/>
      <c r="F553" s="70"/>
      <c r="G553" s="70"/>
      <c r="H553" s="70"/>
      <c r="I553" s="70"/>
      <c r="J553" s="70"/>
      <c r="K553" s="70"/>
      <c r="L553" s="70"/>
      <c r="M553" s="70"/>
      <c r="N553" s="70"/>
      <c r="O553" s="70"/>
      <c r="P553" s="70"/>
      <c r="Q553" s="70"/>
      <c r="R553" s="70"/>
      <c r="S553" s="70"/>
      <c r="T553" s="70"/>
      <c r="U553" s="70"/>
      <c r="V553" s="70"/>
      <c r="W553" s="70"/>
    </row>
    <row r="554">
      <c r="A554" s="70"/>
      <c r="B554" s="70"/>
      <c r="C554" s="70"/>
      <c r="D554" s="70"/>
      <c r="E554" s="66"/>
      <c r="F554" s="70"/>
      <c r="G554" s="70"/>
      <c r="H554" s="70"/>
      <c r="I554" s="70"/>
      <c r="J554" s="70"/>
      <c r="K554" s="70"/>
      <c r="L554" s="70"/>
      <c r="M554" s="70"/>
      <c r="N554" s="70"/>
      <c r="O554" s="70"/>
      <c r="P554" s="70"/>
      <c r="Q554" s="70"/>
      <c r="R554" s="70"/>
      <c r="S554" s="70"/>
      <c r="T554" s="70"/>
      <c r="U554" s="70"/>
      <c r="V554" s="70"/>
      <c r="W554" s="70"/>
    </row>
    <row r="555">
      <c r="A555" s="70"/>
      <c r="B555" s="70"/>
      <c r="C555" s="70"/>
      <c r="D555" s="70"/>
      <c r="E555" s="66"/>
      <c r="F555" s="70"/>
      <c r="G555" s="70"/>
      <c r="H555" s="70"/>
      <c r="I555" s="70"/>
      <c r="J555" s="70"/>
      <c r="K555" s="70"/>
      <c r="L555" s="70"/>
      <c r="M555" s="70"/>
      <c r="N555" s="70"/>
      <c r="O555" s="70"/>
      <c r="P555" s="70"/>
      <c r="Q555" s="70"/>
      <c r="R555" s="70"/>
      <c r="S555" s="70"/>
      <c r="T555" s="70"/>
      <c r="U555" s="70"/>
      <c r="V555" s="70"/>
      <c r="W555" s="70"/>
    </row>
    <row r="556">
      <c r="A556" s="70"/>
      <c r="B556" s="70"/>
      <c r="C556" s="70"/>
      <c r="D556" s="70"/>
      <c r="E556" s="66"/>
      <c r="F556" s="70"/>
      <c r="G556" s="70"/>
      <c r="H556" s="70"/>
      <c r="I556" s="70"/>
      <c r="J556" s="70"/>
      <c r="K556" s="70"/>
      <c r="L556" s="70"/>
      <c r="M556" s="70"/>
      <c r="N556" s="70"/>
      <c r="O556" s="70"/>
      <c r="P556" s="70"/>
      <c r="Q556" s="70"/>
      <c r="R556" s="70"/>
      <c r="S556" s="70"/>
      <c r="T556" s="70"/>
      <c r="U556" s="70"/>
      <c r="V556" s="70"/>
      <c r="W556" s="70"/>
    </row>
    <row r="557">
      <c r="A557" s="70"/>
      <c r="B557" s="70"/>
      <c r="C557" s="70"/>
      <c r="D557" s="70"/>
      <c r="E557" s="66"/>
      <c r="F557" s="70"/>
      <c r="G557" s="70"/>
      <c r="H557" s="70"/>
      <c r="I557" s="70"/>
      <c r="J557" s="70"/>
      <c r="K557" s="70"/>
      <c r="L557" s="70"/>
      <c r="M557" s="70"/>
      <c r="N557" s="70"/>
      <c r="O557" s="70"/>
      <c r="P557" s="70"/>
      <c r="Q557" s="70"/>
      <c r="R557" s="70"/>
      <c r="S557" s="70"/>
      <c r="T557" s="70"/>
      <c r="U557" s="70"/>
      <c r="V557" s="70"/>
      <c r="W557" s="70"/>
    </row>
    <row r="558">
      <c r="A558" s="70"/>
      <c r="B558" s="70"/>
      <c r="C558" s="70"/>
      <c r="D558" s="70"/>
      <c r="E558" s="66"/>
      <c r="F558" s="70"/>
      <c r="G558" s="70"/>
      <c r="H558" s="70"/>
      <c r="I558" s="70"/>
      <c r="J558" s="70"/>
      <c r="K558" s="70"/>
      <c r="L558" s="70"/>
      <c r="M558" s="70"/>
      <c r="N558" s="70"/>
      <c r="O558" s="70"/>
      <c r="P558" s="70"/>
      <c r="Q558" s="70"/>
      <c r="R558" s="70"/>
      <c r="S558" s="70"/>
      <c r="T558" s="70"/>
      <c r="U558" s="70"/>
      <c r="V558" s="70"/>
      <c r="W558" s="70"/>
    </row>
    <row r="559">
      <c r="A559" s="70"/>
      <c r="B559" s="70"/>
      <c r="C559" s="70"/>
      <c r="D559" s="70"/>
      <c r="E559" s="66"/>
      <c r="F559" s="70"/>
      <c r="G559" s="70"/>
      <c r="H559" s="70"/>
      <c r="I559" s="70"/>
      <c r="J559" s="70"/>
      <c r="K559" s="70"/>
      <c r="L559" s="70"/>
      <c r="M559" s="70"/>
      <c r="N559" s="70"/>
      <c r="O559" s="70"/>
      <c r="P559" s="70"/>
      <c r="Q559" s="70"/>
      <c r="R559" s="70"/>
      <c r="S559" s="70"/>
      <c r="T559" s="70"/>
      <c r="U559" s="70"/>
      <c r="V559" s="70"/>
      <c r="W559" s="70"/>
    </row>
    <row r="560">
      <c r="A560" s="70"/>
      <c r="B560" s="70"/>
      <c r="C560" s="70"/>
      <c r="D560" s="70"/>
      <c r="E560" s="66"/>
      <c r="F560" s="70"/>
      <c r="G560" s="70"/>
      <c r="H560" s="70"/>
      <c r="I560" s="70"/>
      <c r="J560" s="70"/>
      <c r="K560" s="70"/>
      <c r="L560" s="70"/>
      <c r="M560" s="70"/>
      <c r="N560" s="70"/>
      <c r="O560" s="70"/>
      <c r="P560" s="70"/>
      <c r="Q560" s="70"/>
      <c r="R560" s="70"/>
      <c r="S560" s="70"/>
      <c r="T560" s="70"/>
      <c r="U560" s="70"/>
      <c r="V560" s="70"/>
      <c r="W560" s="70"/>
    </row>
    <row r="561">
      <c r="A561" s="70"/>
      <c r="B561" s="70"/>
      <c r="C561" s="70"/>
      <c r="D561" s="70"/>
      <c r="E561" s="66"/>
      <c r="F561" s="70"/>
      <c r="G561" s="70"/>
      <c r="H561" s="70"/>
      <c r="I561" s="70"/>
      <c r="J561" s="70"/>
      <c r="K561" s="70"/>
      <c r="L561" s="70"/>
      <c r="M561" s="70"/>
      <c r="N561" s="70"/>
      <c r="O561" s="70"/>
      <c r="P561" s="70"/>
      <c r="Q561" s="70"/>
      <c r="R561" s="70"/>
      <c r="S561" s="70"/>
      <c r="T561" s="70"/>
      <c r="U561" s="70"/>
      <c r="V561" s="70"/>
      <c r="W561" s="70"/>
    </row>
    <row r="562">
      <c r="A562" s="70"/>
      <c r="B562" s="70"/>
      <c r="C562" s="70"/>
      <c r="D562" s="70"/>
      <c r="E562" s="66"/>
      <c r="F562" s="70"/>
      <c r="G562" s="70"/>
      <c r="H562" s="70"/>
      <c r="I562" s="70"/>
      <c r="J562" s="70"/>
      <c r="K562" s="70"/>
      <c r="L562" s="70"/>
      <c r="M562" s="70"/>
      <c r="N562" s="70"/>
      <c r="O562" s="70"/>
      <c r="P562" s="70"/>
      <c r="Q562" s="70"/>
      <c r="R562" s="70"/>
      <c r="S562" s="70"/>
      <c r="T562" s="70"/>
      <c r="U562" s="70"/>
      <c r="V562" s="70"/>
      <c r="W562" s="70"/>
    </row>
    <row r="563">
      <c r="A563" s="70"/>
      <c r="B563" s="70"/>
      <c r="C563" s="70"/>
      <c r="D563" s="70"/>
      <c r="E563" s="66"/>
      <c r="F563" s="70"/>
      <c r="G563" s="70"/>
      <c r="H563" s="70"/>
      <c r="I563" s="70"/>
      <c r="J563" s="70"/>
      <c r="K563" s="70"/>
      <c r="L563" s="70"/>
      <c r="M563" s="70"/>
      <c r="N563" s="70"/>
      <c r="O563" s="70"/>
      <c r="P563" s="70"/>
      <c r="Q563" s="70"/>
      <c r="R563" s="70"/>
      <c r="S563" s="70"/>
      <c r="T563" s="70"/>
      <c r="U563" s="70"/>
      <c r="V563" s="70"/>
      <c r="W563" s="70"/>
    </row>
    <row r="564">
      <c r="A564" s="70"/>
      <c r="B564" s="70"/>
      <c r="C564" s="70"/>
      <c r="D564" s="70"/>
      <c r="E564" s="66"/>
      <c r="F564" s="70"/>
      <c r="G564" s="70"/>
      <c r="H564" s="70"/>
      <c r="I564" s="70"/>
      <c r="J564" s="70"/>
      <c r="K564" s="70"/>
      <c r="L564" s="70"/>
      <c r="M564" s="70"/>
      <c r="N564" s="70"/>
      <c r="O564" s="70"/>
      <c r="P564" s="70"/>
      <c r="Q564" s="70"/>
      <c r="R564" s="70"/>
      <c r="S564" s="70"/>
      <c r="T564" s="70"/>
      <c r="U564" s="70"/>
      <c r="V564" s="70"/>
      <c r="W564" s="70"/>
    </row>
    <row r="565">
      <c r="A565" s="70"/>
      <c r="B565" s="70"/>
      <c r="C565" s="70"/>
      <c r="D565" s="70"/>
      <c r="E565" s="66"/>
      <c r="F565" s="70"/>
      <c r="G565" s="70"/>
      <c r="H565" s="70"/>
      <c r="I565" s="70"/>
      <c r="J565" s="70"/>
      <c r="K565" s="70"/>
      <c r="L565" s="70"/>
      <c r="M565" s="70"/>
      <c r="N565" s="70"/>
      <c r="O565" s="70"/>
      <c r="P565" s="70"/>
      <c r="Q565" s="70"/>
      <c r="R565" s="70"/>
      <c r="S565" s="70"/>
      <c r="T565" s="70"/>
      <c r="U565" s="70"/>
      <c r="V565" s="70"/>
      <c r="W565" s="70"/>
    </row>
    <row r="566">
      <c r="A566" s="70"/>
      <c r="B566" s="70"/>
      <c r="C566" s="70"/>
      <c r="D566" s="70"/>
      <c r="E566" s="66"/>
      <c r="F566" s="70"/>
      <c r="G566" s="70"/>
      <c r="H566" s="70"/>
      <c r="I566" s="70"/>
      <c r="J566" s="70"/>
      <c r="K566" s="70"/>
      <c r="L566" s="70"/>
      <c r="M566" s="70"/>
      <c r="N566" s="70"/>
      <c r="O566" s="70"/>
      <c r="P566" s="70"/>
      <c r="Q566" s="70"/>
      <c r="R566" s="70"/>
      <c r="S566" s="70"/>
      <c r="T566" s="70"/>
      <c r="U566" s="70"/>
      <c r="V566" s="70"/>
      <c r="W566" s="70"/>
    </row>
    <row r="567">
      <c r="A567" s="70"/>
      <c r="B567" s="70"/>
      <c r="C567" s="70"/>
      <c r="D567" s="70"/>
      <c r="E567" s="66"/>
      <c r="F567" s="70"/>
      <c r="G567" s="70"/>
      <c r="H567" s="70"/>
      <c r="I567" s="70"/>
      <c r="J567" s="70"/>
      <c r="K567" s="70"/>
      <c r="L567" s="70"/>
      <c r="M567" s="70"/>
      <c r="N567" s="70"/>
      <c r="O567" s="70"/>
      <c r="P567" s="70"/>
      <c r="Q567" s="70"/>
      <c r="R567" s="70"/>
      <c r="S567" s="70"/>
      <c r="T567" s="70"/>
      <c r="U567" s="70"/>
      <c r="V567" s="70"/>
      <c r="W567" s="70"/>
    </row>
    <row r="568">
      <c r="A568" s="70"/>
      <c r="B568" s="70"/>
      <c r="C568" s="70"/>
      <c r="D568" s="70"/>
      <c r="E568" s="66"/>
      <c r="F568" s="70"/>
      <c r="G568" s="70"/>
      <c r="H568" s="70"/>
      <c r="I568" s="70"/>
      <c r="J568" s="70"/>
      <c r="K568" s="70"/>
      <c r="L568" s="70"/>
      <c r="M568" s="70"/>
      <c r="N568" s="70"/>
      <c r="O568" s="70"/>
      <c r="P568" s="70"/>
      <c r="Q568" s="70"/>
      <c r="R568" s="70"/>
      <c r="S568" s="70"/>
      <c r="T568" s="70"/>
      <c r="U568" s="70"/>
      <c r="V568" s="70"/>
      <c r="W568" s="70"/>
    </row>
    <row r="569">
      <c r="A569" s="70"/>
      <c r="B569" s="70"/>
      <c r="C569" s="70"/>
      <c r="D569" s="70"/>
      <c r="E569" s="66"/>
      <c r="F569" s="70"/>
      <c r="G569" s="70"/>
      <c r="H569" s="70"/>
      <c r="I569" s="70"/>
      <c r="J569" s="70"/>
      <c r="K569" s="70"/>
      <c r="L569" s="70"/>
      <c r="M569" s="70"/>
      <c r="N569" s="70"/>
      <c r="O569" s="70"/>
      <c r="P569" s="70"/>
      <c r="Q569" s="70"/>
      <c r="R569" s="70"/>
      <c r="S569" s="70"/>
      <c r="T569" s="70"/>
      <c r="U569" s="70"/>
      <c r="V569" s="70"/>
      <c r="W569" s="70"/>
    </row>
    <row r="570">
      <c r="A570" s="70"/>
      <c r="B570" s="70"/>
      <c r="C570" s="70"/>
      <c r="D570" s="70"/>
      <c r="E570" s="66"/>
      <c r="F570" s="70"/>
      <c r="G570" s="70"/>
      <c r="H570" s="70"/>
      <c r="I570" s="70"/>
      <c r="J570" s="70"/>
      <c r="K570" s="70"/>
      <c r="L570" s="70"/>
      <c r="M570" s="70"/>
      <c r="N570" s="70"/>
      <c r="O570" s="70"/>
      <c r="P570" s="70"/>
      <c r="Q570" s="70"/>
      <c r="R570" s="70"/>
      <c r="S570" s="70"/>
      <c r="T570" s="70"/>
      <c r="U570" s="70"/>
      <c r="V570" s="70"/>
      <c r="W570" s="70"/>
    </row>
    <row r="571">
      <c r="A571" s="70"/>
      <c r="B571" s="70"/>
      <c r="C571" s="70"/>
      <c r="D571" s="70"/>
      <c r="E571" s="66"/>
      <c r="F571" s="70"/>
      <c r="G571" s="70"/>
      <c r="H571" s="70"/>
      <c r="I571" s="70"/>
      <c r="J571" s="70"/>
      <c r="K571" s="70"/>
      <c r="L571" s="70"/>
      <c r="M571" s="70"/>
      <c r="N571" s="70"/>
      <c r="O571" s="70"/>
      <c r="P571" s="70"/>
      <c r="Q571" s="70"/>
      <c r="R571" s="70"/>
      <c r="S571" s="70"/>
      <c r="T571" s="70"/>
      <c r="U571" s="70"/>
      <c r="V571" s="70"/>
      <c r="W571" s="70"/>
    </row>
    <row r="572">
      <c r="A572" s="70"/>
      <c r="B572" s="70"/>
      <c r="C572" s="70"/>
      <c r="D572" s="70"/>
      <c r="E572" s="66"/>
      <c r="F572" s="70"/>
      <c r="G572" s="70"/>
      <c r="H572" s="70"/>
      <c r="I572" s="70"/>
      <c r="J572" s="70"/>
      <c r="K572" s="70"/>
      <c r="L572" s="70"/>
      <c r="M572" s="70"/>
      <c r="N572" s="70"/>
      <c r="O572" s="70"/>
      <c r="P572" s="70"/>
      <c r="Q572" s="70"/>
      <c r="R572" s="70"/>
      <c r="S572" s="70"/>
      <c r="T572" s="70"/>
      <c r="U572" s="70"/>
      <c r="V572" s="70"/>
      <c r="W572" s="70"/>
    </row>
    <row r="573">
      <c r="A573" s="70"/>
      <c r="B573" s="70"/>
      <c r="C573" s="70"/>
      <c r="D573" s="70"/>
      <c r="E573" s="66"/>
      <c r="F573" s="70"/>
      <c r="G573" s="70"/>
      <c r="H573" s="70"/>
      <c r="I573" s="70"/>
      <c r="J573" s="70"/>
      <c r="K573" s="70"/>
      <c r="L573" s="70"/>
      <c r="M573" s="70"/>
      <c r="N573" s="70"/>
      <c r="O573" s="70"/>
      <c r="P573" s="70"/>
      <c r="Q573" s="70"/>
      <c r="R573" s="70"/>
      <c r="S573" s="70"/>
      <c r="T573" s="70"/>
      <c r="U573" s="70"/>
      <c r="V573" s="70"/>
      <c r="W573" s="70"/>
    </row>
    <row r="574">
      <c r="A574" s="70"/>
      <c r="B574" s="70"/>
      <c r="C574" s="70"/>
      <c r="D574" s="70"/>
      <c r="E574" s="66"/>
      <c r="F574" s="70"/>
      <c r="G574" s="70"/>
      <c r="H574" s="70"/>
      <c r="I574" s="70"/>
      <c r="J574" s="70"/>
      <c r="K574" s="70"/>
      <c r="L574" s="70"/>
      <c r="M574" s="70"/>
      <c r="N574" s="70"/>
      <c r="O574" s="70"/>
      <c r="P574" s="70"/>
      <c r="Q574" s="70"/>
      <c r="R574" s="70"/>
      <c r="S574" s="70"/>
      <c r="T574" s="70"/>
      <c r="U574" s="70"/>
      <c r="V574" s="70"/>
      <c r="W574" s="70"/>
    </row>
    <row r="575">
      <c r="A575" s="70"/>
      <c r="B575" s="70"/>
      <c r="C575" s="70"/>
      <c r="D575" s="70"/>
      <c r="E575" s="66"/>
      <c r="F575" s="70"/>
      <c r="G575" s="70"/>
      <c r="H575" s="70"/>
      <c r="I575" s="70"/>
      <c r="J575" s="70"/>
      <c r="K575" s="70"/>
      <c r="L575" s="70"/>
      <c r="M575" s="70"/>
      <c r="N575" s="70"/>
      <c r="O575" s="70"/>
      <c r="P575" s="70"/>
      <c r="Q575" s="70"/>
      <c r="R575" s="70"/>
      <c r="S575" s="70"/>
      <c r="T575" s="70"/>
      <c r="U575" s="70"/>
      <c r="V575" s="70"/>
      <c r="W575" s="70"/>
    </row>
    <row r="576">
      <c r="A576" s="70"/>
      <c r="B576" s="70"/>
      <c r="C576" s="70"/>
      <c r="D576" s="70"/>
      <c r="E576" s="66"/>
      <c r="F576" s="70"/>
      <c r="G576" s="70"/>
      <c r="H576" s="70"/>
      <c r="I576" s="70"/>
      <c r="J576" s="70"/>
      <c r="K576" s="70"/>
      <c r="L576" s="70"/>
      <c r="M576" s="70"/>
      <c r="N576" s="70"/>
      <c r="O576" s="70"/>
      <c r="P576" s="70"/>
      <c r="Q576" s="70"/>
      <c r="R576" s="70"/>
      <c r="S576" s="70"/>
      <c r="T576" s="70"/>
      <c r="U576" s="70"/>
      <c r="V576" s="70"/>
      <c r="W576" s="70"/>
    </row>
    <row r="577">
      <c r="A577" s="70"/>
      <c r="B577" s="70"/>
      <c r="C577" s="70"/>
      <c r="D577" s="70"/>
      <c r="E577" s="66"/>
      <c r="F577" s="70"/>
      <c r="G577" s="70"/>
      <c r="H577" s="70"/>
      <c r="I577" s="70"/>
      <c r="J577" s="70"/>
      <c r="K577" s="70"/>
      <c r="L577" s="70"/>
      <c r="M577" s="70"/>
      <c r="N577" s="70"/>
      <c r="O577" s="70"/>
      <c r="P577" s="70"/>
      <c r="Q577" s="70"/>
      <c r="R577" s="70"/>
      <c r="S577" s="70"/>
      <c r="T577" s="70"/>
      <c r="U577" s="70"/>
      <c r="V577" s="70"/>
      <c r="W577" s="70"/>
    </row>
    <row r="578">
      <c r="A578" s="70"/>
      <c r="B578" s="70"/>
      <c r="C578" s="70"/>
      <c r="D578" s="70"/>
      <c r="E578" s="66"/>
      <c r="F578" s="70"/>
      <c r="G578" s="70"/>
      <c r="H578" s="70"/>
      <c r="I578" s="70"/>
      <c r="J578" s="70"/>
      <c r="K578" s="70"/>
      <c r="L578" s="70"/>
      <c r="M578" s="70"/>
      <c r="N578" s="70"/>
      <c r="O578" s="70"/>
      <c r="P578" s="70"/>
      <c r="Q578" s="70"/>
      <c r="R578" s="70"/>
      <c r="S578" s="70"/>
      <c r="T578" s="70"/>
      <c r="U578" s="70"/>
      <c r="V578" s="70"/>
      <c r="W578" s="70"/>
    </row>
    <row r="579">
      <c r="A579" s="70"/>
      <c r="B579" s="70"/>
      <c r="C579" s="70"/>
      <c r="D579" s="70"/>
      <c r="E579" s="66"/>
      <c r="F579" s="70"/>
      <c r="G579" s="70"/>
      <c r="H579" s="70"/>
      <c r="I579" s="70"/>
      <c r="J579" s="70"/>
      <c r="K579" s="70"/>
      <c r="L579" s="70"/>
      <c r="M579" s="70"/>
      <c r="N579" s="70"/>
      <c r="O579" s="70"/>
      <c r="P579" s="70"/>
      <c r="Q579" s="70"/>
      <c r="R579" s="70"/>
      <c r="S579" s="70"/>
      <c r="T579" s="70"/>
      <c r="U579" s="70"/>
      <c r="V579" s="70"/>
      <c r="W579" s="70"/>
    </row>
    <row r="580">
      <c r="A580" s="70"/>
      <c r="B580" s="70"/>
      <c r="C580" s="70"/>
      <c r="D580" s="70"/>
      <c r="E580" s="66"/>
      <c r="F580" s="70"/>
      <c r="G580" s="70"/>
      <c r="H580" s="70"/>
      <c r="I580" s="70"/>
      <c r="J580" s="70"/>
      <c r="K580" s="70"/>
      <c r="L580" s="70"/>
      <c r="M580" s="70"/>
      <c r="N580" s="70"/>
      <c r="O580" s="70"/>
      <c r="P580" s="70"/>
      <c r="Q580" s="70"/>
      <c r="R580" s="70"/>
      <c r="S580" s="70"/>
      <c r="T580" s="70"/>
      <c r="U580" s="70"/>
      <c r="V580" s="70"/>
      <c r="W580" s="70"/>
    </row>
    <row r="581">
      <c r="A581" s="70"/>
      <c r="B581" s="70"/>
      <c r="C581" s="70"/>
      <c r="D581" s="70"/>
      <c r="E581" s="66"/>
      <c r="F581" s="70"/>
      <c r="G581" s="70"/>
      <c r="H581" s="70"/>
      <c r="I581" s="70"/>
      <c r="J581" s="70"/>
      <c r="K581" s="70"/>
      <c r="L581" s="70"/>
      <c r="M581" s="70"/>
      <c r="N581" s="70"/>
      <c r="O581" s="70"/>
      <c r="P581" s="70"/>
      <c r="Q581" s="70"/>
      <c r="R581" s="70"/>
      <c r="S581" s="70"/>
      <c r="T581" s="70"/>
      <c r="U581" s="70"/>
      <c r="V581" s="70"/>
      <c r="W581" s="70"/>
    </row>
    <row r="582">
      <c r="A582" s="70"/>
      <c r="B582" s="70"/>
      <c r="C582" s="70"/>
      <c r="D582" s="70"/>
      <c r="E582" s="66"/>
      <c r="F582" s="70"/>
      <c r="G582" s="70"/>
      <c r="H582" s="70"/>
      <c r="I582" s="70"/>
      <c r="J582" s="70"/>
      <c r="K582" s="70"/>
      <c r="L582" s="70"/>
      <c r="M582" s="70"/>
      <c r="N582" s="70"/>
      <c r="O582" s="70"/>
      <c r="P582" s="70"/>
      <c r="Q582" s="70"/>
      <c r="R582" s="70"/>
      <c r="S582" s="70"/>
      <c r="T582" s="70"/>
      <c r="U582" s="70"/>
      <c r="V582" s="70"/>
      <c r="W582" s="70"/>
    </row>
    <row r="583">
      <c r="A583" s="70"/>
      <c r="B583" s="70"/>
      <c r="C583" s="70"/>
      <c r="D583" s="70"/>
      <c r="E583" s="66"/>
      <c r="F583" s="70"/>
      <c r="G583" s="70"/>
      <c r="H583" s="70"/>
      <c r="I583" s="70"/>
      <c r="J583" s="70"/>
      <c r="K583" s="70"/>
      <c r="L583" s="70"/>
      <c r="M583" s="70"/>
      <c r="N583" s="70"/>
      <c r="O583" s="70"/>
      <c r="P583" s="70"/>
      <c r="Q583" s="70"/>
      <c r="R583" s="70"/>
      <c r="S583" s="70"/>
      <c r="T583" s="70"/>
      <c r="U583" s="70"/>
      <c r="V583" s="70"/>
      <c r="W583" s="70"/>
    </row>
    <row r="584">
      <c r="A584" s="70"/>
      <c r="B584" s="70"/>
      <c r="C584" s="70"/>
      <c r="D584" s="70"/>
      <c r="E584" s="66"/>
      <c r="F584" s="70"/>
      <c r="G584" s="70"/>
      <c r="H584" s="70"/>
      <c r="I584" s="70"/>
      <c r="J584" s="70"/>
      <c r="K584" s="70"/>
      <c r="L584" s="70"/>
      <c r="M584" s="70"/>
      <c r="N584" s="70"/>
      <c r="O584" s="70"/>
      <c r="P584" s="70"/>
      <c r="Q584" s="70"/>
      <c r="R584" s="70"/>
      <c r="S584" s="70"/>
      <c r="T584" s="70"/>
      <c r="U584" s="70"/>
      <c r="V584" s="70"/>
      <c r="W584" s="70"/>
    </row>
    <row r="585">
      <c r="A585" s="70"/>
      <c r="B585" s="70"/>
      <c r="C585" s="70"/>
      <c r="D585" s="70"/>
      <c r="E585" s="66"/>
      <c r="F585" s="70"/>
      <c r="G585" s="70"/>
      <c r="H585" s="70"/>
      <c r="I585" s="70"/>
      <c r="J585" s="70"/>
      <c r="K585" s="70"/>
      <c r="L585" s="70"/>
      <c r="M585" s="70"/>
      <c r="N585" s="70"/>
      <c r="O585" s="70"/>
      <c r="P585" s="70"/>
      <c r="Q585" s="70"/>
      <c r="R585" s="70"/>
      <c r="S585" s="70"/>
      <c r="T585" s="70"/>
      <c r="U585" s="70"/>
      <c r="V585" s="70"/>
      <c r="W585" s="70"/>
    </row>
    <row r="586">
      <c r="A586" s="70"/>
      <c r="B586" s="70"/>
      <c r="C586" s="70"/>
      <c r="D586" s="70"/>
      <c r="E586" s="66"/>
      <c r="F586" s="70"/>
      <c r="G586" s="70"/>
      <c r="H586" s="70"/>
      <c r="I586" s="70"/>
      <c r="J586" s="70"/>
      <c r="K586" s="70"/>
      <c r="L586" s="70"/>
      <c r="M586" s="70"/>
      <c r="N586" s="70"/>
      <c r="O586" s="70"/>
      <c r="P586" s="70"/>
      <c r="Q586" s="70"/>
      <c r="R586" s="70"/>
      <c r="S586" s="70"/>
      <c r="T586" s="70"/>
      <c r="U586" s="70"/>
      <c r="V586" s="70"/>
      <c r="W586" s="70"/>
    </row>
    <row r="587">
      <c r="A587" s="70"/>
      <c r="B587" s="70"/>
      <c r="C587" s="70"/>
      <c r="D587" s="70"/>
      <c r="E587" s="66"/>
      <c r="F587" s="70"/>
      <c r="G587" s="70"/>
      <c r="H587" s="70"/>
      <c r="I587" s="70"/>
      <c r="J587" s="70"/>
      <c r="K587" s="70"/>
      <c r="L587" s="70"/>
      <c r="M587" s="70"/>
      <c r="N587" s="70"/>
      <c r="O587" s="70"/>
      <c r="P587" s="70"/>
      <c r="Q587" s="70"/>
      <c r="R587" s="70"/>
      <c r="S587" s="70"/>
      <c r="T587" s="70"/>
      <c r="U587" s="70"/>
      <c r="V587" s="70"/>
      <c r="W587" s="70"/>
    </row>
    <row r="588">
      <c r="A588" s="70"/>
      <c r="B588" s="70"/>
      <c r="C588" s="70"/>
      <c r="D588" s="70"/>
      <c r="E588" s="66"/>
      <c r="F588" s="70"/>
      <c r="G588" s="70"/>
      <c r="H588" s="70"/>
      <c r="I588" s="70"/>
      <c r="J588" s="70"/>
      <c r="K588" s="70"/>
      <c r="L588" s="70"/>
      <c r="M588" s="70"/>
      <c r="N588" s="70"/>
      <c r="O588" s="70"/>
      <c r="P588" s="70"/>
      <c r="Q588" s="70"/>
      <c r="R588" s="70"/>
      <c r="S588" s="70"/>
      <c r="T588" s="70"/>
      <c r="U588" s="70"/>
      <c r="V588" s="70"/>
      <c r="W588" s="70"/>
    </row>
    <row r="589">
      <c r="A589" s="70"/>
      <c r="B589" s="70"/>
      <c r="C589" s="70"/>
      <c r="D589" s="70"/>
      <c r="E589" s="66"/>
      <c r="F589" s="70"/>
      <c r="G589" s="70"/>
      <c r="H589" s="70"/>
      <c r="I589" s="70"/>
      <c r="J589" s="70"/>
      <c r="K589" s="70"/>
      <c r="L589" s="70"/>
      <c r="M589" s="70"/>
      <c r="N589" s="70"/>
      <c r="O589" s="70"/>
      <c r="P589" s="70"/>
      <c r="Q589" s="70"/>
      <c r="R589" s="70"/>
      <c r="S589" s="70"/>
      <c r="T589" s="70"/>
      <c r="U589" s="70"/>
      <c r="V589" s="70"/>
      <c r="W589" s="70"/>
    </row>
    <row r="590">
      <c r="A590" s="70"/>
      <c r="B590" s="70"/>
      <c r="C590" s="70"/>
      <c r="D590" s="70"/>
      <c r="E590" s="66"/>
      <c r="F590" s="70"/>
      <c r="G590" s="70"/>
      <c r="H590" s="70"/>
      <c r="I590" s="70"/>
      <c r="J590" s="70"/>
      <c r="K590" s="70"/>
      <c r="L590" s="70"/>
      <c r="M590" s="70"/>
      <c r="N590" s="70"/>
      <c r="O590" s="70"/>
      <c r="P590" s="70"/>
      <c r="Q590" s="70"/>
      <c r="R590" s="70"/>
      <c r="S590" s="70"/>
      <c r="T590" s="70"/>
      <c r="U590" s="70"/>
      <c r="V590" s="70"/>
      <c r="W590" s="70"/>
    </row>
    <row r="591">
      <c r="A591" s="70"/>
      <c r="B591" s="70"/>
      <c r="C591" s="70"/>
      <c r="D591" s="70"/>
      <c r="E591" s="66"/>
      <c r="F591" s="70"/>
      <c r="G591" s="70"/>
      <c r="H591" s="70"/>
      <c r="I591" s="70"/>
      <c r="J591" s="70"/>
      <c r="K591" s="70"/>
      <c r="L591" s="70"/>
      <c r="M591" s="70"/>
      <c r="N591" s="70"/>
      <c r="O591" s="70"/>
      <c r="P591" s="70"/>
      <c r="Q591" s="70"/>
      <c r="R591" s="70"/>
      <c r="S591" s="70"/>
      <c r="T591" s="70"/>
      <c r="U591" s="70"/>
      <c r="V591" s="70"/>
      <c r="W591" s="70"/>
    </row>
    <row r="592">
      <c r="A592" s="70"/>
      <c r="B592" s="70"/>
      <c r="C592" s="70"/>
      <c r="D592" s="70"/>
      <c r="E592" s="66"/>
      <c r="F592" s="70"/>
      <c r="G592" s="70"/>
      <c r="H592" s="70"/>
      <c r="I592" s="70"/>
      <c r="J592" s="70"/>
      <c r="K592" s="70"/>
      <c r="L592" s="70"/>
      <c r="M592" s="70"/>
      <c r="N592" s="70"/>
      <c r="O592" s="70"/>
      <c r="P592" s="70"/>
      <c r="Q592" s="70"/>
      <c r="R592" s="70"/>
      <c r="S592" s="70"/>
      <c r="T592" s="70"/>
      <c r="U592" s="70"/>
      <c r="V592" s="70"/>
      <c r="W592" s="70"/>
    </row>
    <row r="593">
      <c r="A593" s="70"/>
      <c r="B593" s="70"/>
      <c r="C593" s="70"/>
      <c r="D593" s="70"/>
      <c r="E593" s="66"/>
      <c r="F593" s="70"/>
      <c r="G593" s="70"/>
      <c r="H593" s="70"/>
      <c r="I593" s="70"/>
      <c r="J593" s="70"/>
      <c r="K593" s="70"/>
      <c r="L593" s="70"/>
      <c r="M593" s="70"/>
      <c r="N593" s="70"/>
      <c r="O593" s="70"/>
      <c r="P593" s="70"/>
      <c r="Q593" s="70"/>
      <c r="R593" s="70"/>
      <c r="S593" s="70"/>
      <c r="T593" s="70"/>
      <c r="U593" s="70"/>
      <c r="V593" s="70"/>
      <c r="W593" s="70"/>
    </row>
    <row r="594">
      <c r="A594" s="70"/>
      <c r="B594" s="70"/>
      <c r="C594" s="70"/>
      <c r="D594" s="70"/>
      <c r="E594" s="66"/>
      <c r="F594" s="70"/>
      <c r="G594" s="70"/>
      <c r="H594" s="70"/>
      <c r="I594" s="70"/>
      <c r="J594" s="70"/>
      <c r="K594" s="70"/>
      <c r="L594" s="70"/>
      <c r="M594" s="70"/>
      <c r="N594" s="70"/>
      <c r="O594" s="70"/>
      <c r="P594" s="70"/>
      <c r="Q594" s="70"/>
      <c r="R594" s="70"/>
      <c r="S594" s="70"/>
      <c r="T594" s="70"/>
      <c r="U594" s="70"/>
      <c r="V594" s="70"/>
      <c r="W594" s="70"/>
    </row>
    <row r="595">
      <c r="A595" s="70"/>
      <c r="B595" s="70"/>
      <c r="C595" s="70"/>
      <c r="D595" s="70"/>
      <c r="E595" s="66"/>
      <c r="F595" s="70"/>
      <c r="G595" s="70"/>
      <c r="H595" s="70"/>
      <c r="I595" s="70"/>
      <c r="J595" s="70"/>
      <c r="K595" s="70"/>
      <c r="L595" s="70"/>
      <c r="M595" s="70"/>
      <c r="N595" s="70"/>
      <c r="O595" s="70"/>
      <c r="P595" s="70"/>
      <c r="Q595" s="70"/>
      <c r="R595" s="70"/>
      <c r="S595" s="70"/>
      <c r="T595" s="70"/>
      <c r="U595" s="70"/>
      <c r="V595" s="70"/>
      <c r="W595" s="70"/>
    </row>
    <row r="596">
      <c r="A596" s="70"/>
      <c r="B596" s="70"/>
      <c r="C596" s="70"/>
      <c r="D596" s="70"/>
      <c r="E596" s="66"/>
      <c r="F596" s="70"/>
      <c r="G596" s="70"/>
      <c r="H596" s="70"/>
      <c r="I596" s="70"/>
      <c r="J596" s="70"/>
      <c r="K596" s="70"/>
      <c r="L596" s="70"/>
      <c r="M596" s="70"/>
      <c r="N596" s="70"/>
      <c r="O596" s="70"/>
      <c r="P596" s="70"/>
      <c r="Q596" s="70"/>
      <c r="R596" s="70"/>
      <c r="S596" s="70"/>
      <c r="T596" s="70"/>
      <c r="U596" s="70"/>
      <c r="V596" s="70"/>
      <c r="W596" s="70"/>
    </row>
    <row r="597">
      <c r="A597" s="70"/>
      <c r="B597" s="70"/>
      <c r="C597" s="70"/>
      <c r="D597" s="70"/>
      <c r="E597" s="66"/>
      <c r="F597" s="70"/>
      <c r="G597" s="70"/>
      <c r="H597" s="70"/>
      <c r="I597" s="70"/>
      <c r="J597" s="70"/>
      <c r="K597" s="70"/>
      <c r="L597" s="70"/>
      <c r="M597" s="70"/>
      <c r="N597" s="70"/>
      <c r="O597" s="70"/>
      <c r="P597" s="70"/>
      <c r="Q597" s="70"/>
      <c r="R597" s="70"/>
      <c r="S597" s="70"/>
      <c r="T597" s="70"/>
      <c r="U597" s="70"/>
      <c r="V597" s="70"/>
      <c r="W597" s="70"/>
    </row>
    <row r="598">
      <c r="A598" s="70"/>
      <c r="B598" s="70"/>
      <c r="C598" s="70"/>
      <c r="D598" s="70"/>
      <c r="E598" s="66"/>
      <c r="F598" s="70"/>
      <c r="G598" s="70"/>
      <c r="H598" s="70"/>
      <c r="I598" s="70"/>
      <c r="J598" s="70"/>
      <c r="K598" s="70"/>
      <c r="L598" s="70"/>
      <c r="M598" s="70"/>
      <c r="N598" s="70"/>
      <c r="O598" s="70"/>
      <c r="P598" s="70"/>
      <c r="Q598" s="70"/>
      <c r="R598" s="70"/>
      <c r="S598" s="70"/>
      <c r="T598" s="70"/>
      <c r="U598" s="70"/>
      <c r="V598" s="70"/>
      <c r="W598" s="70"/>
    </row>
    <row r="599">
      <c r="A599" s="70"/>
      <c r="B599" s="70"/>
      <c r="C599" s="70"/>
      <c r="D599" s="70"/>
      <c r="E599" s="66"/>
      <c r="F599" s="70"/>
      <c r="G599" s="70"/>
      <c r="H599" s="70"/>
      <c r="I599" s="70"/>
      <c r="J599" s="70"/>
      <c r="K599" s="70"/>
      <c r="L599" s="70"/>
      <c r="M599" s="70"/>
      <c r="N599" s="70"/>
      <c r="O599" s="70"/>
      <c r="P599" s="70"/>
      <c r="Q599" s="70"/>
      <c r="R599" s="70"/>
      <c r="S599" s="70"/>
      <c r="T599" s="70"/>
      <c r="U599" s="70"/>
      <c r="V599" s="70"/>
      <c r="W599" s="70"/>
    </row>
    <row r="600">
      <c r="A600" s="70"/>
      <c r="B600" s="70"/>
      <c r="C600" s="70"/>
      <c r="D600" s="70"/>
      <c r="E600" s="66"/>
      <c r="F600" s="70"/>
      <c r="G600" s="70"/>
      <c r="H600" s="70"/>
      <c r="I600" s="70"/>
      <c r="J600" s="70"/>
      <c r="K600" s="70"/>
      <c r="L600" s="70"/>
      <c r="M600" s="70"/>
      <c r="N600" s="70"/>
      <c r="O600" s="70"/>
      <c r="P600" s="70"/>
      <c r="Q600" s="70"/>
      <c r="R600" s="70"/>
      <c r="S600" s="70"/>
      <c r="T600" s="70"/>
      <c r="U600" s="70"/>
      <c r="V600" s="70"/>
      <c r="W600" s="70"/>
    </row>
    <row r="601">
      <c r="A601" s="70"/>
      <c r="B601" s="70"/>
      <c r="C601" s="70"/>
      <c r="D601" s="70"/>
      <c r="E601" s="66"/>
      <c r="F601" s="70"/>
      <c r="G601" s="70"/>
      <c r="H601" s="70"/>
      <c r="I601" s="70"/>
      <c r="J601" s="70"/>
      <c r="K601" s="70"/>
      <c r="L601" s="70"/>
      <c r="M601" s="70"/>
      <c r="N601" s="70"/>
      <c r="O601" s="70"/>
      <c r="P601" s="70"/>
      <c r="Q601" s="70"/>
      <c r="R601" s="70"/>
      <c r="S601" s="70"/>
      <c r="T601" s="70"/>
      <c r="U601" s="70"/>
      <c r="V601" s="70"/>
      <c r="W601" s="70"/>
    </row>
    <row r="602">
      <c r="A602" s="70"/>
      <c r="B602" s="70"/>
      <c r="C602" s="70"/>
      <c r="D602" s="70"/>
      <c r="E602" s="66"/>
      <c r="F602" s="70"/>
      <c r="G602" s="70"/>
      <c r="H602" s="70"/>
      <c r="I602" s="70"/>
      <c r="J602" s="70"/>
      <c r="K602" s="70"/>
      <c r="L602" s="70"/>
      <c r="M602" s="70"/>
      <c r="N602" s="70"/>
      <c r="O602" s="70"/>
      <c r="P602" s="70"/>
      <c r="Q602" s="70"/>
      <c r="R602" s="70"/>
      <c r="S602" s="70"/>
      <c r="T602" s="70"/>
      <c r="U602" s="70"/>
      <c r="V602" s="70"/>
      <c r="W602" s="70"/>
    </row>
    <row r="603">
      <c r="A603" s="70"/>
      <c r="B603" s="70"/>
      <c r="C603" s="70"/>
      <c r="D603" s="70"/>
      <c r="E603" s="66"/>
      <c r="F603" s="70"/>
      <c r="G603" s="70"/>
      <c r="H603" s="70"/>
      <c r="I603" s="70"/>
      <c r="J603" s="70"/>
      <c r="K603" s="70"/>
      <c r="L603" s="70"/>
      <c r="M603" s="70"/>
      <c r="N603" s="70"/>
      <c r="O603" s="70"/>
      <c r="P603" s="70"/>
      <c r="Q603" s="70"/>
      <c r="R603" s="70"/>
      <c r="S603" s="70"/>
      <c r="T603" s="70"/>
      <c r="U603" s="70"/>
      <c r="V603" s="70"/>
      <c r="W603" s="70"/>
    </row>
    <row r="604">
      <c r="A604" s="70"/>
      <c r="B604" s="70"/>
      <c r="C604" s="70"/>
      <c r="D604" s="70"/>
      <c r="E604" s="66"/>
      <c r="F604" s="70"/>
      <c r="G604" s="70"/>
      <c r="H604" s="70"/>
      <c r="I604" s="70"/>
      <c r="J604" s="70"/>
      <c r="K604" s="70"/>
      <c r="L604" s="70"/>
      <c r="M604" s="70"/>
      <c r="N604" s="70"/>
      <c r="O604" s="70"/>
      <c r="P604" s="70"/>
      <c r="Q604" s="70"/>
      <c r="R604" s="70"/>
      <c r="S604" s="70"/>
      <c r="T604" s="70"/>
      <c r="U604" s="70"/>
      <c r="V604" s="70"/>
      <c r="W604" s="70"/>
    </row>
    <row r="605">
      <c r="A605" s="70"/>
      <c r="B605" s="70"/>
      <c r="C605" s="70"/>
      <c r="D605" s="70"/>
      <c r="E605" s="66"/>
      <c r="F605" s="70"/>
      <c r="G605" s="70"/>
      <c r="H605" s="70"/>
      <c r="I605" s="70"/>
      <c r="J605" s="70"/>
      <c r="K605" s="70"/>
      <c r="L605" s="70"/>
      <c r="M605" s="70"/>
      <c r="N605" s="70"/>
      <c r="O605" s="70"/>
      <c r="P605" s="70"/>
      <c r="Q605" s="70"/>
      <c r="R605" s="70"/>
      <c r="S605" s="70"/>
      <c r="T605" s="70"/>
      <c r="U605" s="70"/>
      <c r="V605" s="70"/>
      <c r="W605" s="70"/>
    </row>
    <row r="606">
      <c r="A606" s="70"/>
      <c r="B606" s="70"/>
      <c r="C606" s="70"/>
      <c r="D606" s="70"/>
      <c r="E606" s="66"/>
      <c r="F606" s="70"/>
      <c r="G606" s="70"/>
      <c r="H606" s="70"/>
      <c r="I606" s="70"/>
      <c r="J606" s="70"/>
      <c r="K606" s="70"/>
      <c r="L606" s="70"/>
      <c r="M606" s="70"/>
      <c r="N606" s="70"/>
      <c r="O606" s="70"/>
      <c r="P606" s="70"/>
      <c r="Q606" s="70"/>
      <c r="R606" s="70"/>
      <c r="S606" s="70"/>
      <c r="T606" s="70"/>
      <c r="U606" s="70"/>
      <c r="V606" s="70"/>
      <c r="W606" s="70"/>
    </row>
    <row r="607">
      <c r="A607" s="70"/>
      <c r="B607" s="70"/>
      <c r="C607" s="70"/>
      <c r="D607" s="70"/>
      <c r="E607" s="66"/>
      <c r="F607" s="70"/>
      <c r="G607" s="70"/>
      <c r="H607" s="70"/>
      <c r="I607" s="70"/>
      <c r="J607" s="70"/>
      <c r="K607" s="70"/>
      <c r="L607" s="70"/>
      <c r="M607" s="70"/>
      <c r="N607" s="70"/>
      <c r="O607" s="70"/>
      <c r="P607" s="70"/>
      <c r="Q607" s="70"/>
      <c r="R607" s="70"/>
      <c r="S607" s="70"/>
      <c r="T607" s="70"/>
      <c r="U607" s="70"/>
      <c r="V607" s="70"/>
      <c r="W607" s="70"/>
    </row>
    <row r="608">
      <c r="A608" s="70"/>
      <c r="B608" s="70"/>
      <c r="C608" s="70"/>
      <c r="D608" s="70"/>
      <c r="E608" s="66"/>
      <c r="F608" s="70"/>
      <c r="G608" s="70"/>
      <c r="H608" s="70"/>
      <c r="I608" s="70"/>
      <c r="J608" s="70"/>
      <c r="K608" s="70"/>
      <c r="L608" s="70"/>
      <c r="M608" s="70"/>
      <c r="N608" s="70"/>
      <c r="O608" s="70"/>
      <c r="P608" s="70"/>
      <c r="Q608" s="70"/>
      <c r="R608" s="70"/>
      <c r="S608" s="70"/>
      <c r="T608" s="70"/>
      <c r="U608" s="70"/>
      <c r="V608" s="70"/>
      <c r="W608" s="70"/>
    </row>
    <row r="609">
      <c r="A609" s="70"/>
      <c r="B609" s="70"/>
      <c r="C609" s="70"/>
      <c r="D609" s="70"/>
      <c r="E609" s="66"/>
      <c r="F609" s="70"/>
      <c r="G609" s="70"/>
      <c r="H609" s="70"/>
      <c r="I609" s="70"/>
      <c r="J609" s="70"/>
      <c r="K609" s="70"/>
      <c r="L609" s="70"/>
      <c r="M609" s="70"/>
      <c r="N609" s="70"/>
      <c r="O609" s="70"/>
      <c r="P609" s="70"/>
      <c r="Q609" s="70"/>
      <c r="R609" s="70"/>
      <c r="S609" s="70"/>
      <c r="T609" s="70"/>
      <c r="U609" s="70"/>
      <c r="V609" s="70"/>
      <c r="W609" s="70"/>
    </row>
    <row r="610">
      <c r="A610" s="70"/>
      <c r="B610" s="70"/>
      <c r="C610" s="70"/>
      <c r="D610" s="70"/>
      <c r="E610" s="66"/>
      <c r="F610" s="70"/>
      <c r="G610" s="70"/>
      <c r="H610" s="70"/>
      <c r="I610" s="70"/>
      <c r="J610" s="70"/>
      <c r="K610" s="70"/>
      <c r="L610" s="70"/>
      <c r="M610" s="70"/>
      <c r="N610" s="70"/>
      <c r="O610" s="70"/>
      <c r="P610" s="70"/>
      <c r="Q610" s="70"/>
      <c r="R610" s="70"/>
      <c r="S610" s="70"/>
      <c r="T610" s="70"/>
      <c r="U610" s="70"/>
      <c r="V610" s="70"/>
      <c r="W610" s="70"/>
    </row>
    <row r="611">
      <c r="A611" s="70"/>
      <c r="B611" s="70"/>
      <c r="C611" s="70"/>
      <c r="D611" s="70"/>
      <c r="E611" s="66"/>
      <c r="F611" s="70"/>
      <c r="G611" s="70"/>
      <c r="H611" s="70"/>
      <c r="I611" s="70"/>
      <c r="J611" s="70"/>
      <c r="K611" s="70"/>
      <c r="L611" s="70"/>
      <c r="M611" s="70"/>
      <c r="N611" s="70"/>
      <c r="O611" s="70"/>
      <c r="P611" s="70"/>
      <c r="Q611" s="70"/>
      <c r="R611" s="70"/>
      <c r="S611" s="70"/>
      <c r="T611" s="70"/>
      <c r="U611" s="70"/>
      <c r="V611" s="70"/>
      <c r="W611" s="70"/>
    </row>
    <row r="612">
      <c r="A612" s="70"/>
      <c r="B612" s="70"/>
      <c r="C612" s="70"/>
      <c r="D612" s="70"/>
      <c r="E612" s="66"/>
      <c r="F612" s="70"/>
      <c r="G612" s="70"/>
      <c r="H612" s="70"/>
      <c r="I612" s="70"/>
      <c r="J612" s="70"/>
      <c r="K612" s="70"/>
      <c r="L612" s="70"/>
      <c r="M612" s="70"/>
      <c r="N612" s="70"/>
      <c r="O612" s="70"/>
      <c r="P612" s="70"/>
      <c r="Q612" s="70"/>
      <c r="R612" s="70"/>
      <c r="S612" s="70"/>
      <c r="T612" s="70"/>
      <c r="U612" s="70"/>
      <c r="V612" s="70"/>
      <c r="W612" s="70"/>
    </row>
    <row r="613">
      <c r="A613" s="70"/>
      <c r="B613" s="70"/>
      <c r="C613" s="70"/>
      <c r="D613" s="70"/>
      <c r="E613" s="66"/>
      <c r="F613" s="70"/>
      <c r="G613" s="70"/>
      <c r="H613" s="70"/>
      <c r="I613" s="70"/>
      <c r="J613" s="70"/>
      <c r="K613" s="70"/>
      <c r="L613" s="70"/>
      <c r="M613" s="70"/>
      <c r="N613" s="70"/>
      <c r="O613" s="70"/>
      <c r="P613" s="70"/>
      <c r="Q613" s="70"/>
      <c r="R613" s="70"/>
      <c r="S613" s="70"/>
      <c r="T613" s="70"/>
      <c r="U613" s="70"/>
      <c r="V613" s="70"/>
      <c r="W613" s="70"/>
    </row>
    <row r="614">
      <c r="A614" s="70"/>
      <c r="B614" s="70"/>
      <c r="C614" s="70"/>
      <c r="D614" s="70"/>
      <c r="E614" s="66"/>
      <c r="F614" s="70"/>
      <c r="G614" s="70"/>
      <c r="H614" s="70"/>
      <c r="I614" s="70"/>
      <c r="J614" s="70"/>
      <c r="K614" s="70"/>
      <c r="L614" s="70"/>
      <c r="M614" s="70"/>
      <c r="N614" s="70"/>
      <c r="O614" s="70"/>
      <c r="P614" s="70"/>
      <c r="Q614" s="70"/>
      <c r="R614" s="70"/>
      <c r="S614" s="70"/>
      <c r="T614" s="70"/>
      <c r="U614" s="70"/>
      <c r="V614" s="70"/>
      <c r="W614" s="70"/>
    </row>
    <row r="615">
      <c r="A615" s="70"/>
      <c r="B615" s="70"/>
      <c r="C615" s="70"/>
      <c r="D615" s="70"/>
      <c r="E615" s="66"/>
      <c r="F615" s="70"/>
      <c r="G615" s="70"/>
      <c r="H615" s="70"/>
      <c r="I615" s="70"/>
      <c r="J615" s="70"/>
      <c r="K615" s="70"/>
      <c r="L615" s="70"/>
      <c r="M615" s="70"/>
      <c r="N615" s="70"/>
      <c r="O615" s="70"/>
      <c r="P615" s="70"/>
      <c r="Q615" s="70"/>
      <c r="R615" s="70"/>
      <c r="S615" s="70"/>
      <c r="T615" s="70"/>
      <c r="U615" s="70"/>
      <c r="V615" s="70"/>
      <c r="W615" s="70"/>
    </row>
    <row r="616">
      <c r="A616" s="70"/>
      <c r="B616" s="70"/>
      <c r="C616" s="70"/>
      <c r="D616" s="70"/>
      <c r="E616" s="66"/>
      <c r="F616" s="70"/>
      <c r="G616" s="70"/>
      <c r="H616" s="70"/>
      <c r="I616" s="70"/>
      <c r="J616" s="70"/>
      <c r="K616" s="70"/>
      <c r="L616" s="70"/>
      <c r="M616" s="70"/>
      <c r="N616" s="70"/>
      <c r="O616" s="70"/>
      <c r="P616" s="70"/>
      <c r="Q616" s="70"/>
      <c r="R616" s="70"/>
      <c r="S616" s="70"/>
      <c r="T616" s="70"/>
      <c r="U616" s="70"/>
      <c r="V616" s="70"/>
      <c r="W616" s="70"/>
    </row>
    <row r="617">
      <c r="A617" s="70"/>
      <c r="B617" s="70"/>
      <c r="C617" s="70"/>
      <c r="D617" s="70"/>
      <c r="E617" s="66"/>
      <c r="F617" s="70"/>
      <c r="G617" s="70"/>
      <c r="H617" s="70"/>
      <c r="I617" s="70"/>
      <c r="J617" s="70"/>
      <c r="K617" s="70"/>
      <c r="L617" s="70"/>
      <c r="M617" s="70"/>
      <c r="N617" s="70"/>
      <c r="O617" s="70"/>
      <c r="P617" s="70"/>
      <c r="Q617" s="70"/>
      <c r="R617" s="70"/>
      <c r="S617" s="70"/>
      <c r="T617" s="70"/>
      <c r="U617" s="70"/>
      <c r="V617" s="70"/>
      <c r="W617" s="70"/>
    </row>
    <row r="618">
      <c r="A618" s="70"/>
      <c r="B618" s="70"/>
      <c r="C618" s="70"/>
      <c r="D618" s="70"/>
      <c r="E618" s="66"/>
      <c r="F618" s="70"/>
      <c r="G618" s="70"/>
      <c r="H618" s="70"/>
      <c r="I618" s="70"/>
      <c r="J618" s="70"/>
      <c r="K618" s="70"/>
      <c r="L618" s="70"/>
      <c r="M618" s="70"/>
      <c r="N618" s="70"/>
      <c r="O618" s="70"/>
      <c r="P618" s="70"/>
      <c r="Q618" s="70"/>
      <c r="R618" s="70"/>
      <c r="S618" s="70"/>
      <c r="T618" s="70"/>
      <c r="U618" s="70"/>
      <c r="V618" s="70"/>
      <c r="W618" s="70"/>
    </row>
    <row r="619">
      <c r="A619" s="70"/>
      <c r="B619" s="70"/>
      <c r="C619" s="70"/>
      <c r="D619" s="70"/>
      <c r="E619" s="66"/>
      <c r="F619" s="70"/>
      <c r="G619" s="70"/>
      <c r="H619" s="70"/>
      <c r="I619" s="70"/>
      <c r="J619" s="70"/>
      <c r="K619" s="70"/>
      <c r="L619" s="70"/>
      <c r="M619" s="70"/>
      <c r="N619" s="70"/>
      <c r="O619" s="70"/>
      <c r="P619" s="70"/>
      <c r="Q619" s="70"/>
      <c r="R619" s="70"/>
      <c r="S619" s="70"/>
      <c r="T619" s="70"/>
      <c r="U619" s="70"/>
      <c r="V619" s="70"/>
      <c r="W619" s="70"/>
    </row>
    <row r="620">
      <c r="A620" s="70"/>
      <c r="B620" s="70"/>
      <c r="C620" s="70"/>
      <c r="D620" s="70"/>
      <c r="E620" s="66"/>
      <c r="F620" s="70"/>
      <c r="G620" s="70"/>
      <c r="H620" s="70"/>
      <c r="I620" s="70"/>
      <c r="J620" s="70"/>
      <c r="K620" s="70"/>
      <c r="L620" s="70"/>
      <c r="M620" s="70"/>
      <c r="N620" s="70"/>
      <c r="O620" s="70"/>
      <c r="P620" s="70"/>
      <c r="Q620" s="70"/>
      <c r="R620" s="70"/>
      <c r="S620" s="70"/>
      <c r="T620" s="70"/>
      <c r="U620" s="70"/>
      <c r="V620" s="70"/>
      <c r="W620" s="70"/>
    </row>
    <row r="621">
      <c r="A621" s="70"/>
      <c r="B621" s="70"/>
      <c r="C621" s="70"/>
      <c r="D621" s="70"/>
      <c r="E621" s="66"/>
      <c r="F621" s="70"/>
      <c r="G621" s="70"/>
      <c r="H621" s="70"/>
      <c r="I621" s="70"/>
      <c r="J621" s="70"/>
      <c r="K621" s="70"/>
      <c r="L621" s="70"/>
      <c r="M621" s="70"/>
      <c r="N621" s="70"/>
      <c r="O621" s="70"/>
      <c r="P621" s="70"/>
      <c r="Q621" s="70"/>
      <c r="R621" s="70"/>
      <c r="S621" s="70"/>
      <c r="T621" s="70"/>
      <c r="U621" s="70"/>
      <c r="V621" s="70"/>
      <c r="W621" s="70"/>
    </row>
    <row r="622">
      <c r="A622" s="70"/>
      <c r="B622" s="70"/>
      <c r="C622" s="70"/>
      <c r="D622" s="70"/>
      <c r="E622" s="66"/>
      <c r="F622" s="70"/>
      <c r="G622" s="70"/>
      <c r="H622" s="70"/>
      <c r="I622" s="70"/>
      <c r="J622" s="70"/>
      <c r="K622" s="70"/>
      <c r="L622" s="70"/>
      <c r="M622" s="70"/>
      <c r="N622" s="70"/>
      <c r="O622" s="70"/>
      <c r="P622" s="70"/>
      <c r="Q622" s="70"/>
      <c r="R622" s="70"/>
      <c r="S622" s="70"/>
      <c r="T622" s="70"/>
      <c r="U622" s="70"/>
      <c r="V622" s="70"/>
      <c r="W622" s="70"/>
    </row>
    <row r="623">
      <c r="A623" s="70"/>
      <c r="B623" s="70"/>
      <c r="C623" s="70"/>
      <c r="D623" s="70"/>
      <c r="E623" s="66"/>
      <c r="F623" s="70"/>
      <c r="G623" s="70"/>
      <c r="H623" s="70"/>
      <c r="I623" s="70"/>
      <c r="J623" s="70"/>
      <c r="K623" s="70"/>
      <c r="L623" s="70"/>
      <c r="M623" s="70"/>
      <c r="N623" s="70"/>
      <c r="O623" s="70"/>
      <c r="P623" s="70"/>
      <c r="Q623" s="70"/>
      <c r="R623" s="70"/>
      <c r="S623" s="70"/>
      <c r="T623" s="70"/>
      <c r="U623" s="70"/>
      <c r="V623" s="70"/>
      <c r="W623" s="70"/>
    </row>
    <row r="624">
      <c r="A624" s="70"/>
      <c r="B624" s="70"/>
      <c r="C624" s="70"/>
      <c r="D624" s="70"/>
      <c r="E624" s="66"/>
      <c r="F624" s="70"/>
      <c r="G624" s="70"/>
      <c r="H624" s="70"/>
      <c r="I624" s="70"/>
      <c r="J624" s="70"/>
      <c r="K624" s="70"/>
      <c r="L624" s="70"/>
      <c r="M624" s="70"/>
      <c r="N624" s="70"/>
      <c r="O624" s="70"/>
      <c r="P624" s="70"/>
      <c r="Q624" s="70"/>
      <c r="R624" s="70"/>
      <c r="S624" s="70"/>
      <c r="T624" s="70"/>
      <c r="U624" s="70"/>
      <c r="V624" s="70"/>
      <c r="W624" s="70"/>
    </row>
    <row r="625">
      <c r="A625" s="70"/>
      <c r="B625" s="70"/>
      <c r="C625" s="70"/>
      <c r="D625" s="70"/>
      <c r="E625" s="66"/>
      <c r="F625" s="70"/>
      <c r="G625" s="70"/>
      <c r="H625" s="70"/>
      <c r="I625" s="70"/>
      <c r="J625" s="70"/>
      <c r="K625" s="70"/>
      <c r="L625" s="70"/>
      <c r="M625" s="70"/>
      <c r="N625" s="70"/>
      <c r="O625" s="70"/>
      <c r="P625" s="70"/>
      <c r="Q625" s="70"/>
      <c r="R625" s="70"/>
      <c r="S625" s="70"/>
      <c r="T625" s="70"/>
      <c r="U625" s="70"/>
      <c r="V625" s="70"/>
      <c r="W625" s="70"/>
    </row>
    <row r="626">
      <c r="A626" s="70"/>
      <c r="B626" s="70"/>
      <c r="C626" s="70"/>
      <c r="D626" s="70"/>
      <c r="E626" s="66"/>
      <c r="F626" s="70"/>
      <c r="G626" s="70"/>
      <c r="H626" s="70"/>
      <c r="I626" s="70"/>
      <c r="J626" s="70"/>
      <c r="K626" s="70"/>
      <c r="L626" s="70"/>
      <c r="M626" s="70"/>
      <c r="N626" s="70"/>
      <c r="O626" s="70"/>
      <c r="P626" s="70"/>
      <c r="Q626" s="70"/>
      <c r="R626" s="70"/>
      <c r="S626" s="70"/>
      <c r="T626" s="70"/>
      <c r="U626" s="70"/>
      <c r="V626" s="70"/>
      <c r="W626" s="70"/>
    </row>
    <row r="627">
      <c r="A627" s="70"/>
      <c r="B627" s="70"/>
      <c r="C627" s="70"/>
      <c r="D627" s="70"/>
      <c r="E627" s="66"/>
      <c r="F627" s="70"/>
      <c r="G627" s="70"/>
      <c r="H627" s="70"/>
      <c r="I627" s="70"/>
      <c r="J627" s="70"/>
      <c r="K627" s="70"/>
      <c r="L627" s="70"/>
      <c r="M627" s="70"/>
      <c r="N627" s="70"/>
      <c r="O627" s="70"/>
      <c r="P627" s="70"/>
      <c r="Q627" s="70"/>
      <c r="R627" s="70"/>
      <c r="S627" s="70"/>
      <c r="T627" s="70"/>
      <c r="U627" s="70"/>
      <c r="V627" s="70"/>
      <c r="W627" s="70"/>
    </row>
    <row r="628">
      <c r="A628" s="70"/>
      <c r="B628" s="70"/>
      <c r="C628" s="70"/>
      <c r="D628" s="70"/>
      <c r="E628" s="66"/>
      <c r="F628" s="70"/>
      <c r="G628" s="70"/>
      <c r="H628" s="70"/>
      <c r="I628" s="70"/>
      <c r="J628" s="70"/>
      <c r="K628" s="70"/>
      <c r="L628" s="70"/>
      <c r="M628" s="70"/>
      <c r="N628" s="70"/>
      <c r="O628" s="70"/>
      <c r="P628" s="70"/>
      <c r="Q628" s="70"/>
      <c r="R628" s="70"/>
      <c r="S628" s="70"/>
      <c r="T628" s="70"/>
      <c r="U628" s="70"/>
      <c r="V628" s="70"/>
      <c r="W628" s="70"/>
    </row>
    <row r="629">
      <c r="A629" s="70"/>
      <c r="B629" s="70"/>
      <c r="C629" s="70"/>
      <c r="D629" s="70"/>
      <c r="E629" s="66"/>
      <c r="F629" s="70"/>
      <c r="G629" s="70"/>
      <c r="H629" s="70"/>
      <c r="I629" s="70"/>
      <c r="J629" s="70"/>
      <c r="K629" s="70"/>
      <c r="L629" s="70"/>
      <c r="M629" s="70"/>
      <c r="N629" s="70"/>
      <c r="O629" s="70"/>
      <c r="P629" s="70"/>
      <c r="Q629" s="70"/>
      <c r="R629" s="70"/>
      <c r="S629" s="70"/>
      <c r="T629" s="70"/>
      <c r="U629" s="70"/>
      <c r="V629" s="70"/>
      <c r="W629" s="70"/>
    </row>
    <row r="630">
      <c r="A630" s="70"/>
      <c r="B630" s="70"/>
      <c r="C630" s="70"/>
      <c r="D630" s="70"/>
      <c r="E630" s="66"/>
      <c r="F630" s="70"/>
      <c r="G630" s="70"/>
      <c r="H630" s="70"/>
      <c r="I630" s="70"/>
      <c r="J630" s="70"/>
      <c r="K630" s="70"/>
      <c r="L630" s="70"/>
      <c r="M630" s="70"/>
      <c r="N630" s="70"/>
      <c r="O630" s="70"/>
      <c r="P630" s="70"/>
      <c r="Q630" s="70"/>
      <c r="R630" s="70"/>
      <c r="S630" s="70"/>
      <c r="T630" s="70"/>
      <c r="U630" s="70"/>
      <c r="V630" s="70"/>
      <c r="W630" s="70"/>
    </row>
    <row r="631">
      <c r="A631" s="70"/>
      <c r="B631" s="70"/>
      <c r="C631" s="70"/>
      <c r="D631" s="70"/>
      <c r="E631" s="66"/>
      <c r="F631" s="70"/>
      <c r="G631" s="70"/>
      <c r="H631" s="70"/>
      <c r="I631" s="70"/>
      <c r="J631" s="70"/>
      <c r="K631" s="70"/>
      <c r="L631" s="70"/>
      <c r="M631" s="70"/>
      <c r="N631" s="70"/>
      <c r="O631" s="70"/>
      <c r="P631" s="70"/>
      <c r="Q631" s="70"/>
      <c r="R631" s="70"/>
      <c r="S631" s="70"/>
      <c r="T631" s="70"/>
      <c r="U631" s="70"/>
      <c r="V631" s="70"/>
      <c r="W631" s="70"/>
    </row>
    <row r="632">
      <c r="A632" s="70"/>
      <c r="B632" s="70"/>
      <c r="C632" s="70"/>
      <c r="D632" s="70"/>
      <c r="E632" s="66"/>
      <c r="F632" s="70"/>
      <c r="G632" s="70"/>
      <c r="H632" s="70"/>
      <c r="I632" s="70"/>
      <c r="J632" s="70"/>
      <c r="K632" s="70"/>
      <c r="L632" s="70"/>
      <c r="M632" s="70"/>
      <c r="N632" s="70"/>
      <c r="O632" s="70"/>
      <c r="P632" s="70"/>
      <c r="Q632" s="70"/>
      <c r="R632" s="70"/>
      <c r="S632" s="70"/>
      <c r="T632" s="70"/>
      <c r="U632" s="70"/>
      <c r="V632" s="70"/>
      <c r="W632" s="70"/>
    </row>
    <row r="633">
      <c r="A633" s="70"/>
      <c r="B633" s="70"/>
      <c r="C633" s="70"/>
      <c r="D633" s="70"/>
      <c r="E633" s="66"/>
      <c r="F633" s="70"/>
      <c r="G633" s="70"/>
      <c r="H633" s="70"/>
      <c r="I633" s="70"/>
      <c r="J633" s="70"/>
      <c r="K633" s="70"/>
      <c r="L633" s="70"/>
      <c r="M633" s="70"/>
      <c r="N633" s="70"/>
      <c r="O633" s="70"/>
      <c r="P633" s="70"/>
      <c r="Q633" s="70"/>
      <c r="R633" s="70"/>
      <c r="S633" s="70"/>
      <c r="T633" s="70"/>
      <c r="U633" s="70"/>
      <c r="V633" s="70"/>
      <c r="W633" s="70"/>
    </row>
    <row r="634">
      <c r="A634" s="70"/>
      <c r="B634" s="70"/>
      <c r="C634" s="70"/>
      <c r="D634" s="70"/>
      <c r="E634" s="66"/>
      <c r="F634" s="70"/>
      <c r="G634" s="70"/>
      <c r="H634" s="70"/>
      <c r="I634" s="70"/>
      <c r="J634" s="70"/>
      <c r="K634" s="70"/>
      <c r="L634" s="70"/>
      <c r="M634" s="70"/>
      <c r="N634" s="70"/>
      <c r="O634" s="70"/>
      <c r="P634" s="70"/>
      <c r="Q634" s="70"/>
      <c r="R634" s="70"/>
      <c r="S634" s="70"/>
      <c r="T634" s="70"/>
      <c r="U634" s="70"/>
      <c r="V634" s="70"/>
      <c r="W634" s="70"/>
    </row>
    <row r="635">
      <c r="A635" s="70"/>
      <c r="B635" s="70"/>
      <c r="C635" s="70"/>
      <c r="D635" s="70"/>
      <c r="E635" s="66"/>
      <c r="F635" s="70"/>
      <c r="G635" s="70"/>
      <c r="H635" s="70"/>
      <c r="I635" s="70"/>
      <c r="J635" s="70"/>
      <c r="K635" s="70"/>
      <c r="L635" s="70"/>
      <c r="M635" s="70"/>
      <c r="N635" s="70"/>
      <c r="O635" s="70"/>
      <c r="P635" s="70"/>
      <c r="Q635" s="70"/>
      <c r="R635" s="70"/>
      <c r="S635" s="70"/>
      <c r="T635" s="70"/>
      <c r="U635" s="70"/>
      <c r="V635" s="70"/>
      <c r="W635" s="70"/>
    </row>
    <row r="636">
      <c r="A636" s="70"/>
      <c r="B636" s="70"/>
      <c r="C636" s="70"/>
      <c r="D636" s="70"/>
      <c r="E636" s="66"/>
      <c r="F636" s="70"/>
      <c r="G636" s="70"/>
      <c r="H636" s="70"/>
      <c r="I636" s="70"/>
      <c r="J636" s="70"/>
      <c r="K636" s="70"/>
      <c r="L636" s="70"/>
      <c r="M636" s="70"/>
      <c r="N636" s="70"/>
      <c r="O636" s="70"/>
      <c r="P636" s="70"/>
      <c r="Q636" s="70"/>
      <c r="R636" s="70"/>
      <c r="S636" s="70"/>
      <c r="T636" s="70"/>
      <c r="U636" s="70"/>
      <c r="V636" s="70"/>
      <c r="W636" s="70"/>
    </row>
    <row r="637">
      <c r="A637" s="70"/>
      <c r="B637" s="70"/>
      <c r="C637" s="70"/>
      <c r="D637" s="70"/>
      <c r="E637" s="66"/>
      <c r="F637" s="70"/>
      <c r="G637" s="70"/>
      <c r="H637" s="70"/>
      <c r="I637" s="70"/>
      <c r="J637" s="70"/>
      <c r="K637" s="70"/>
      <c r="L637" s="70"/>
      <c r="M637" s="70"/>
      <c r="N637" s="70"/>
      <c r="O637" s="70"/>
      <c r="P637" s="70"/>
      <c r="Q637" s="70"/>
      <c r="R637" s="70"/>
      <c r="S637" s="70"/>
      <c r="T637" s="70"/>
      <c r="U637" s="70"/>
      <c r="V637" s="70"/>
      <c r="W637" s="70"/>
    </row>
    <row r="638">
      <c r="A638" s="70"/>
      <c r="B638" s="70"/>
      <c r="C638" s="70"/>
      <c r="D638" s="70"/>
      <c r="E638" s="66"/>
      <c r="F638" s="70"/>
      <c r="G638" s="70"/>
      <c r="H638" s="70"/>
      <c r="I638" s="70"/>
      <c r="J638" s="70"/>
      <c r="K638" s="70"/>
      <c r="L638" s="70"/>
      <c r="M638" s="70"/>
      <c r="N638" s="70"/>
      <c r="O638" s="70"/>
      <c r="P638" s="70"/>
      <c r="Q638" s="70"/>
      <c r="R638" s="70"/>
      <c r="S638" s="70"/>
      <c r="T638" s="70"/>
      <c r="U638" s="70"/>
      <c r="V638" s="70"/>
      <c r="W638" s="70"/>
    </row>
    <row r="639">
      <c r="A639" s="70"/>
      <c r="B639" s="70"/>
      <c r="C639" s="70"/>
      <c r="D639" s="70"/>
      <c r="E639" s="66"/>
      <c r="F639" s="70"/>
      <c r="G639" s="70"/>
      <c r="H639" s="70"/>
      <c r="I639" s="70"/>
      <c r="J639" s="70"/>
      <c r="K639" s="70"/>
      <c r="L639" s="70"/>
      <c r="M639" s="70"/>
      <c r="N639" s="70"/>
      <c r="O639" s="70"/>
      <c r="P639" s="70"/>
      <c r="Q639" s="70"/>
      <c r="R639" s="70"/>
      <c r="S639" s="70"/>
      <c r="T639" s="70"/>
      <c r="U639" s="70"/>
      <c r="V639" s="70"/>
      <c r="W639" s="70"/>
    </row>
    <row r="640">
      <c r="A640" s="70"/>
      <c r="B640" s="70"/>
      <c r="C640" s="70"/>
      <c r="D640" s="70"/>
      <c r="E640" s="66"/>
      <c r="F640" s="70"/>
      <c r="G640" s="70"/>
      <c r="H640" s="70"/>
      <c r="I640" s="70"/>
      <c r="J640" s="70"/>
      <c r="K640" s="70"/>
      <c r="L640" s="70"/>
      <c r="M640" s="70"/>
      <c r="N640" s="70"/>
      <c r="O640" s="70"/>
      <c r="P640" s="70"/>
      <c r="Q640" s="70"/>
      <c r="R640" s="70"/>
      <c r="S640" s="70"/>
      <c r="T640" s="70"/>
      <c r="U640" s="70"/>
      <c r="V640" s="70"/>
      <c r="W640" s="70"/>
    </row>
    <row r="641">
      <c r="A641" s="70"/>
      <c r="B641" s="70"/>
      <c r="C641" s="70"/>
      <c r="D641" s="70"/>
      <c r="E641" s="66"/>
      <c r="F641" s="70"/>
      <c r="G641" s="70"/>
      <c r="H641" s="70"/>
      <c r="I641" s="70"/>
      <c r="J641" s="70"/>
      <c r="K641" s="70"/>
      <c r="L641" s="70"/>
      <c r="M641" s="70"/>
      <c r="N641" s="70"/>
      <c r="O641" s="70"/>
      <c r="P641" s="70"/>
      <c r="Q641" s="70"/>
      <c r="R641" s="70"/>
      <c r="S641" s="70"/>
      <c r="T641" s="70"/>
      <c r="U641" s="70"/>
      <c r="V641" s="70"/>
      <c r="W641" s="70"/>
    </row>
    <row r="642">
      <c r="A642" s="70"/>
      <c r="B642" s="70"/>
      <c r="C642" s="70"/>
      <c r="D642" s="70"/>
      <c r="E642" s="66"/>
      <c r="F642" s="70"/>
      <c r="G642" s="70"/>
      <c r="H642" s="70"/>
      <c r="I642" s="70"/>
      <c r="J642" s="70"/>
      <c r="K642" s="70"/>
      <c r="L642" s="70"/>
      <c r="M642" s="70"/>
      <c r="N642" s="70"/>
      <c r="O642" s="70"/>
      <c r="P642" s="70"/>
      <c r="Q642" s="70"/>
      <c r="R642" s="70"/>
      <c r="S642" s="70"/>
      <c r="T642" s="70"/>
      <c r="U642" s="70"/>
      <c r="V642" s="70"/>
      <c r="W642" s="70"/>
    </row>
    <row r="643">
      <c r="A643" s="70"/>
      <c r="B643" s="70"/>
      <c r="C643" s="70"/>
      <c r="D643" s="70"/>
      <c r="E643" s="66"/>
      <c r="F643" s="70"/>
      <c r="G643" s="70"/>
      <c r="H643" s="70"/>
      <c r="I643" s="70"/>
      <c r="J643" s="70"/>
      <c r="K643" s="70"/>
      <c r="L643" s="70"/>
      <c r="M643" s="70"/>
      <c r="N643" s="70"/>
      <c r="O643" s="70"/>
      <c r="P643" s="70"/>
      <c r="Q643" s="70"/>
      <c r="R643" s="70"/>
      <c r="S643" s="70"/>
      <c r="T643" s="70"/>
      <c r="U643" s="70"/>
      <c r="V643" s="70"/>
      <c r="W643" s="70"/>
    </row>
    <row r="644">
      <c r="A644" s="70"/>
      <c r="B644" s="70"/>
      <c r="C644" s="70"/>
      <c r="D644" s="70"/>
      <c r="E644" s="66"/>
      <c r="F644" s="70"/>
      <c r="G644" s="70"/>
      <c r="H644" s="70"/>
      <c r="I644" s="70"/>
      <c r="J644" s="70"/>
      <c r="K644" s="70"/>
      <c r="L644" s="70"/>
      <c r="M644" s="70"/>
      <c r="N644" s="70"/>
      <c r="O644" s="70"/>
      <c r="P644" s="70"/>
      <c r="Q644" s="70"/>
      <c r="R644" s="70"/>
      <c r="S644" s="70"/>
      <c r="T644" s="70"/>
      <c r="U644" s="70"/>
      <c r="V644" s="70"/>
      <c r="W644" s="70"/>
    </row>
    <row r="645">
      <c r="A645" s="70"/>
      <c r="B645" s="70"/>
      <c r="C645" s="70"/>
      <c r="D645" s="70"/>
      <c r="E645" s="66"/>
      <c r="F645" s="70"/>
      <c r="G645" s="70"/>
      <c r="H645" s="70"/>
      <c r="I645" s="70"/>
      <c r="J645" s="70"/>
      <c r="K645" s="70"/>
      <c r="L645" s="70"/>
      <c r="M645" s="70"/>
      <c r="N645" s="70"/>
      <c r="O645" s="70"/>
      <c r="P645" s="70"/>
      <c r="Q645" s="70"/>
      <c r="R645" s="70"/>
      <c r="S645" s="70"/>
      <c r="T645" s="70"/>
      <c r="U645" s="70"/>
      <c r="V645" s="70"/>
      <c r="W645" s="70"/>
    </row>
    <row r="646">
      <c r="A646" s="70"/>
      <c r="B646" s="70"/>
      <c r="C646" s="70"/>
      <c r="D646" s="70"/>
      <c r="E646" s="66"/>
      <c r="F646" s="70"/>
      <c r="G646" s="70"/>
      <c r="H646" s="70"/>
      <c r="I646" s="70"/>
      <c r="J646" s="70"/>
      <c r="K646" s="70"/>
      <c r="L646" s="70"/>
      <c r="M646" s="70"/>
      <c r="N646" s="70"/>
      <c r="O646" s="70"/>
      <c r="P646" s="70"/>
      <c r="Q646" s="70"/>
      <c r="R646" s="70"/>
      <c r="S646" s="70"/>
      <c r="T646" s="70"/>
      <c r="U646" s="70"/>
      <c r="V646" s="70"/>
      <c r="W646" s="70"/>
    </row>
    <row r="647">
      <c r="A647" s="70"/>
      <c r="B647" s="70"/>
      <c r="C647" s="70"/>
      <c r="D647" s="70"/>
      <c r="E647" s="66"/>
      <c r="F647" s="70"/>
      <c r="G647" s="70"/>
      <c r="H647" s="70"/>
      <c r="I647" s="70"/>
      <c r="J647" s="70"/>
      <c r="K647" s="70"/>
      <c r="L647" s="70"/>
      <c r="M647" s="70"/>
      <c r="N647" s="70"/>
      <c r="O647" s="70"/>
      <c r="P647" s="70"/>
      <c r="Q647" s="70"/>
      <c r="R647" s="70"/>
      <c r="S647" s="70"/>
      <c r="T647" s="70"/>
      <c r="U647" s="70"/>
      <c r="V647" s="70"/>
      <c r="W647" s="70"/>
    </row>
    <row r="648">
      <c r="A648" s="70"/>
      <c r="B648" s="70"/>
      <c r="C648" s="70"/>
      <c r="D648" s="70"/>
      <c r="E648" s="66"/>
      <c r="F648" s="70"/>
      <c r="G648" s="70"/>
      <c r="H648" s="70"/>
      <c r="I648" s="70"/>
      <c r="J648" s="70"/>
      <c r="K648" s="70"/>
      <c r="L648" s="70"/>
      <c r="M648" s="70"/>
      <c r="N648" s="70"/>
      <c r="O648" s="70"/>
      <c r="P648" s="70"/>
      <c r="Q648" s="70"/>
      <c r="R648" s="70"/>
      <c r="S648" s="70"/>
      <c r="T648" s="70"/>
      <c r="U648" s="70"/>
      <c r="V648" s="70"/>
      <c r="W648" s="70"/>
    </row>
    <row r="649">
      <c r="A649" s="70"/>
      <c r="B649" s="70"/>
      <c r="C649" s="70"/>
      <c r="D649" s="70"/>
      <c r="E649" s="66"/>
      <c r="F649" s="70"/>
      <c r="G649" s="70"/>
      <c r="H649" s="70"/>
      <c r="I649" s="70"/>
      <c r="J649" s="70"/>
      <c r="K649" s="70"/>
      <c r="L649" s="70"/>
      <c r="M649" s="70"/>
      <c r="N649" s="70"/>
      <c r="O649" s="70"/>
      <c r="P649" s="70"/>
      <c r="Q649" s="70"/>
      <c r="R649" s="70"/>
      <c r="S649" s="70"/>
      <c r="T649" s="70"/>
      <c r="U649" s="70"/>
      <c r="V649" s="70"/>
      <c r="W649" s="70"/>
    </row>
    <row r="650">
      <c r="A650" s="70"/>
      <c r="B650" s="70"/>
      <c r="C650" s="70"/>
      <c r="D650" s="70"/>
      <c r="E650" s="66"/>
      <c r="F650" s="70"/>
      <c r="G650" s="70"/>
      <c r="H650" s="70"/>
      <c r="I650" s="70"/>
      <c r="J650" s="70"/>
      <c r="K650" s="70"/>
      <c r="L650" s="70"/>
      <c r="M650" s="70"/>
      <c r="N650" s="70"/>
      <c r="O650" s="70"/>
      <c r="P650" s="70"/>
      <c r="Q650" s="70"/>
      <c r="R650" s="70"/>
      <c r="S650" s="70"/>
      <c r="T650" s="70"/>
      <c r="U650" s="70"/>
      <c r="V650" s="70"/>
      <c r="W650" s="70"/>
    </row>
    <row r="651">
      <c r="A651" s="70"/>
      <c r="B651" s="70"/>
      <c r="C651" s="70"/>
      <c r="D651" s="70"/>
      <c r="E651" s="66"/>
      <c r="F651" s="70"/>
      <c r="G651" s="70"/>
      <c r="H651" s="70"/>
      <c r="I651" s="70"/>
      <c r="J651" s="70"/>
      <c r="K651" s="70"/>
      <c r="L651" s="70"/>
      <c r="M651" s="70"/>
      <c r="N651" s="70"/>
      <c r="O651" s="70"/>
      <c r="P651" s="70"/>
      <c r="Q651" s="70"/>
      <c r="R651" s="70"/>
      <c r="S651" s="70"/>
      <c r="T651" s="70"/>
      <c r="U651" s="70"/>
      <c r="V651" s="70"/>
      <c r="W651" s="70"/>
    </row>
    <row r="652">
      <c r="A652" s="70"/>
      <c r="B652" s="70"/>
      <c r="C652" s="70"/>
      <c r="D652" s="70"/>
      <c r="E652" s="66"/>
      <c r="F652" s="70"/>
      <c r="G652" s="70"/>
      <c r="H652" s="70"/>
      <c r="I652" s="70"/>
      <c r="J652" s="70"/>
      <c r="K652" s="70"/>
      <c r="L652" s="70"/>
      <c r="M652" s="70"/>
      <c r="N652" s="70"/>
      <c r="O652" s="70"/>
      <c r="P652" s="70"/>
      <c r="Q652" s="70"/>
      <c r="R652" s="70"/>
      <c r="S652" s="70"/>
      <c r="T652" s="70"/>
      <c r="U652" s="70"/>
      <c r="V652" s="70"/>
      <c r="W652" s="70"/>
    </row>
    <row r="653">
      <c r="A653" s="70"/>
      <c r="B653" s="70"/>
      <c r="C653" s="70"/>
      <c r="D653" s="70"/>
      <c r="E653" s="66"/>
      <c r="F653" s="70"/>
      <c r="G653" s="70"/>
      <c r="H653" s="70"/>
      <c r="I653" s="70"/>
      <c r="J653" s="70"/>
      <c r="K653" s="70"/>
      <c r="L653" s="70"/>
      <c r="M653" s="70"/>
      <c r="N653" s="70"/>
      <c r="O653" s="70"/>
      <c r="P653" s="70"/>
      <c r="Q653" s="70"/>
      <c r="R653" s="70"/>
      <c r="S653" s="70"/>
      <c r="T653" s="70"/>
      <c r="U653" s="70"/>
      <c r="V653" s="70"/>
      <c r="W653" s="70"/>
    </row>
    <row r="654">
      <c r="A654" s="70"/>
      <c r="B654" s="70"/>
      <c r="C654" s="70"/>
      <c r="D654" s="70"/>
      <c r="E654" s="66"/>
      <c r="F654" s="70"/>
      <c r="G654" s="70"/>
      <c r="H654" s="70"/>
      <c r="I654" s="70"/>
      <c r="J654" s="70"/>
      <c r="K654" s="70"/>
      <c r="L654" s="70"/>
      <c r="M654" s="70"/>
      <c r="N654" s="70"/>
      <c r="O654" s="70"/>
      <c r="P654" s="70"/>
      <c r="Q654" s="70"/>
      <c r="R654" s="70"/>
      <c r="S654" s="70"/>
      <c r="T654" s="70"/>
      <c r="U654" s="70"/>
      <c r="V654" s="70"/>
      <c r="W654" s="70"/>
    </row>
    <row r="655">
      <c r="A655" s="70"/>
      <c r="B655" s="70"/>
      <c r="C655" s="70"/>
      <c r="D655" s="70"/>
      <c r="E655" s="66"/>
      <c r="F655" s="70"/>
      <c r="G655" s="70"/>
      <c r="H655" s="70"/>
      <c r="I655" s="70"/>
      <c r="J655" s="70"/>
      <c r="K655" s="70"/>
      <c r="L655" s="70"/>
      <c r="M655" s="70"/>
      <c r="N655" s="70"/>
      <c r="O655" s="70"/>
      <c r="P655" s="70"/>
      <c r="Q655" s="70"/>
      <c r="R655" s="70"/>
      <c r="S655" s="70"/>
      <c r="T655" s="70"/>
      <c r="U655" s="70"/>
      <c r="V655" s="70"/>
      <c r="W655" s="70"/>
    </row>
    <row r="656">
      <c r="A656" s="70"/>
      <c r="B656" s="70"/>
      <c r="C656" s="70"/>
      <c r="D656" s="70"/>
      <c r="E656" s="66"/>
      <c r="F656" s="70"/>
      <c r="G656" s="70"/>
      <c r="H656" s="70"/>
      <c r="I656" s="70"/>
      <c r="J656" s="70"/>
      <c r="K656" s="70"/>
      <c r="L656" s="70"/>
      <c r="M656" s="70"/>
      <c r="N656" s="70"/>
      <c r="O656" s="70"/>
      <c r="P656" s="70"/>
      <c r="Q656" s="70"/>
      <c r="R656" s="70"/>
      <c r="S656" s="70"/>
      <c r="T656" s="70"/>
      <c r="U656" s="70"/>
      <c r="V656" s="70"/>
      <c r="W656" s="70"/>
    </row>
    <row r="657">
      <c r="A657" s="70"/>
      <c r="B657" s="70"/>
      <c r="C657" s="70"/>
      <c r="D657" s="70"/>
      <c r="E657" s="66"/>
      <c r="F657" s="70"/>
      <c r="G657" s="70"/>
      <c r="H657" s="70"/>
      <c r="I657" s="70"/>
      <c r="J657" s="70"/>
      <c r="K657" s="70"/>
      <c r="L657" s="70"/>
      <c r="M657" s="70"/>
      <c r="N657" s="70"/>
      <c r="O657" s="70"/>
      <c r="P657" s="70"/>
      <c r="Q657" s="70"/>
      <c r="R657" s="70"/>
      <c r="S657" s="70"/>
      <c r="T657" s="70"/>
      <c r="U657" s="70"/>
      <c r="V657" s="70"/>
      <c r="W657" s="70"/>
    </row>
    <row r="658">
      <c r="A658" s="70"/>
      <c r="B658" s="70"/>
      <c r="C658" s="70"/>
      <c r="D658" s="70"/>
      <c r="E658" s="66"/>
      <c r="F658" s="70"/>
      <c r="G658" s="70"/>
      <c r="H658" s="70"/>
      <c r="I658" s="70"/>
      <c r="J658" s="70"/>
      <c r="K658" s="70"/>
      <c r="L658" s="70"/>
      <c r="M658" s="70"/>
      <c r="N658" s="70"/>
      <c r="O658" s="70"/>
      <c r="P658" s="70"/>
      <c r="Q658" s="70"/>
      <c r="R658" s="70"/>
      <c r="S658" s="70"/>
      <c r="T658" s="70"/>
      <c r="U658" s="70"/>
      <c r="V658" s="70"/>
      <c r="W658" s="70"/>
    </row>
    <row r="659">
      <c r="A659" s="70"/>
      <c r="B659" s="70"/>
      <c r="C659" s="70"/>
      <c r="D659" s="70"/>
      <c r="E659" s="66"/>
      <c r="F659" s="70"/>
      <c r="G659" s="70"/>
      <c r="H659" s="70"/>
      <c r="I659" s="70"/>
      <c r="J659" s="70"/>
      <c r="K659" s="70"/>
      <c r="L659" s="70"/>
      <c r="M659" s="70"/>
      <c r="N659" s="70"/>
      <c r="O659" s="70"/>
      <c r="P659" s="70"/>
      <c r="Q659" s="70"/>
      <c r="R659" s="70"/>
      <c r="S659" s="70"/>
      <c r="T659" s="70"/>
      <c r="U659" s="70"/>
      <c r="V659" s="70"/>
      <c r="W659" s="70"/>
    </row>
    <row r="660">
      <c r="A660" s="70"/>
      <c r="B660" s="70"/>
      <c r="C660" s="70"/>
      <c r="D660" s="70"/>
      <c r="E660" s="66"/>
      <c r="F660" s="70"/>
      <c r="G660" s="70"/>
      <c r="H660" s="70"/>
      <c r="I660" s="70"/>
      <c r="J660" s="70"/>
      <c r="K660" s="70"/>
      <c r="L660" s="70"/>
      <c r="M660" s="70"/>
      <c r="N660" s="70"/>
      <c r="O660" s="70"/>
      <c r="P660" s="70"/>
      <c r="Q660" s="70"/>
      <c r="R660" s="70"/>
      <c r="S660" s="70"/>
      <c r="T660" s="70"/>
      <c r="U660" s="70"/>
      <c r="V660" s="70"/>
      <c r="W660" s="70"/>
    </row>
    <row r="661">
      <c r="A661" s="70"/>
      <c r="B661" s="70"/>
      <c r="C661" s="70"/>
      <c r="D661" s="70"/>
      <c r="E661" s="66"/>
      <c r="F661" s="70"/>
      <c r="G661" s="70"/>
      <c r="H661" s="70"/>
      <c r="I661" s="70"/>
      <c r="J661" s="70"/>
      <c r="K661" s="70"/>
      <c r="L661" s="70"/>
      <c r="M661" s="70"/>
      <c r="N661" s="70"/>
      <c r="O661" s="70"/>
      <c r="P661" s="70"/>
      <c r="Q661" s="70"/>
      <c r="R661" s="70"/>
      <c r="S661" s="70"/>
      <c r="T661" s="70"/>
      <c r="U661" s="70"/>
      <c r="V661" s="70"/>
      <c r="W661" s="70"/>
    </row>
    <row r="662">
      <c r="A662" s="70"/>
      <c r="B662" s="70"/>
      <c r="C662" s="70"/>
      <c r="D662" s="70"/>
      <c r="E662" s="66"/>
      <c r="F662" s="70"/>
      <c r="G662" s="70"/>
      <c r="H662" s="70"/>
      <c r="I662" s="70"/>
      <c r="J662" s="70"/>
      <c r="K662" s="70"/>
      <c r="L662" s="70"/>
      <c r="M662" s="70"/>
      <c r="N662" s="70"/>
      <c r="O662" s="70"/>
      <c r="P662" s="70"/>
      <c r="Q662" s="70"/>
      <c r="R662" s="70"/>
      <c r="S662" s="70"/>
      <c r="T662" s="70"/>
      <c r="U662" s="70"/>
      <c r="V662" s="70"/>
      <c r="W662" s="70"/>
    </row>
    <row r="663">
      <c r="A663" s="70"/>
      <c r="B663" s="70"/>
      <c r="C663" s="70"/>
      <c r="D663" s="70"/>
      <c r="E663" s="66"/>
      <c r="F663" s="70"/>
      <c r="G663" s="70"/>
      <c r="H663" s="70"/>
      <c r="I663" s="70"/>
      <c r="J663" s="70"/>
      <c r="K663" s="70"/>
      <c r="L663" s="70"/>
      <c r="M663" s="70"/>
      <c r="N663" s="70"/>
      <c r="O663" s="70"/>
      <c r="P663" s="70"/>
      <c r="Q663" s="70"/>
      <c r="R663" s="70"/>
      <c r="S663" s="70"/>
      <c r="T663" s="70"/>
      <c r="U663" s="70"/>
      <c r="V663" s="70"/>
      <c r="W663" s="70"/>
    </row>
    <row r="664">
      <c r="A664" s="70"/>
      <c r="B664" s="70"/>
      <c r="C664" s="70"/>
      <c r="D664" s="70"/>
      <c r="E664" s="66"/>
      <c r="F664" s="70"/>
      <c r="G664" s="70"/>
      <c r="H664" s="70"/>
      <c r="I664" s="70"/>
      <c r="J664" s="70"/>
      <c r="K664" s="70"/>
      <c r="L664" s="70"/>
      <c r="M664" s="70"/>
      <c r="N664" s="70"/>
      <c r="O664" s="70"/>
      <c r="P664" s="70"/>
      <c r="Q664" s="70"/>
      <c r="R664" s="70"/>
      <c r="S664" s="70"/>
      <c r="T664" s="70"/>
      <c r="U664" s="70"/>
      <c r="V664" s="70"/>
      <c r="W664" s="70"/>
    </row>
    <row r="665">
      <c r="A665" s="70"/>
      <c r="B665" s="70"/>
      <c r="C665" s="70"/>
      <c r="D665" s="70"/>
      <c r="E665" s="66"/>
      <c r="F665" s="70"/>
      <c r="G665" s="70"/>
      <c r="H665" s="70"/>
      <c r="I665" s="70"/>
      <c r="J665" s="70"/>
      <c r="K665" s="70"/>
      <c r="L665" s="70"/>
      <c r="M665" s="70"/>
      <c r="N665" s="70"/>
      <c r="O665" s="70"/>
      <c r="P665" s="70"/>
      <c r="Q665" s="70"/>
      <c r="R665" s="70"/>
      <c r="S665" s="70"/>
      <c r="T665" s="70"/>
      <c r="U665" s="70"/>
      <c r="V665" s="70"/>
      <c r="W665" s="70"/>
    </row>
    <row r="666">
      <c r="A666" s="70"/>
      <c r="B666" s="70"/>
      <c r="C666" s="70"/>
      <c r="D666" s="70"/>
      <c r="E666" s="66"/>
      <c r="F666" s="70"/>
      <c r="G666" s="70"/>
      <c r="H666" s="70"/>
      <c r="I666" s="70"/>
      <c r="J666" s="70"/>
      <c r="K666" s="70"/>
      <c r="L666" s="70"/>
      <c r="M666" s="70"/>
      <c r="N666" s="70"/>
      <c r="O666" s="70"/>
      <c r="P666" s="70"/>
      <c r="Q666" s="70"/>
      <c r="R666" s="70"/>
      <c r="S666" s="70"/>
      <c r="T666" s="70"/>
      <c r="U666" s="70"/>
      <c r="V666" s="70"/>
      <c r="W666" s="70"/>
    </row>
    <row r="667">
      <c r="A667" s="70"/>
      <c r="B667" s="70"/>
      <c r="C667" s="70"/>
      <c r="D667" s="70"/>
      <c r="E667" s="66"/>
      <c r="F667" s="70"/>
      <c r="G667" s="70"/>
      <c r="H667" s="70"/>
      <c r="I667" s="70"/>
      <c r="J667" s="70"/>
      <c r="K667" s="70"/>
      <c r="L667" s="70"/>
      <c r="M667" s="70"/>
      <c r="N667" s="70"/>
      <c r="O667" s="70"/>
      <c r="P667" s="70"/>
      <c r="Q667" s="70"/>
      <c r="R667" s="70"/>
      <c r="S667" s="70"/>
      <c r="T667" s="70"/>
      <c r="U667" s="70"/>
      <c r="V667" s="70"/>
      <c r="W667" s="70"/>
    </row>
    <row r="668">
      <c r="A668" s="70"/>
      <c r="B668" s="70"/>
      <c r="C668" s="70"/>
      <c r="D668" s="70"/>
      <c r="E668" s="66"/>
      <c r="F668" s="70"/>
      <c r="G668" s="70"/>
      <c r="H668" s="70"/>
      <c r="I668" s="70"/>
      <c r="J668" s="70"/>
      <c r="K668" s="70"/>
      <c r="L668" s="70"/>
      <c r="M668" s="70"/>
      <c r="N668" s="70"/>
      <c r="O668" s="70"/>
      <c r="P668" s="70"/>
      <c r="Q668" s="70"/>
      <c r="R668" s="70"/>
      <c r="S668" s="70"/>
      <c r="T668" s="70"/>
      <c r="U668" s="70"/>
      <c r="V668" s="70"/>
      <c r="W668" s="70"/>
    </row>
    <row r="669">
      <c r="A669" s="70"/>
      <c r="B669" s="70"/>
      <c r="C669" s="70"/>
      <c r="D669" s="70"/>
      <c r="E669" s="66"/>
      <c r="F669" s="70"/>
      <c r="G669" s="70"/>
      <c r="H669" s="70"/>
      <c r="I669" s="70"/>
      <c r="J669" s="70"/>
      <c r="K669" s="70"/>
      <c r="L669" s="70"/>
      <c r="M669" s="70"/>
      <c r="N669" s="70"/>
      <c r="O669" s="70"/>
      <c r="P669" s="70"/>
      <c r="Q669" s="70"/>
      <c r="R669" s="70"/>
      <c r="S669" s="70"/>
      <c r="T669" s="70"/>
      <c r="U669" s="70"/>
      <c r="V669" s="70"/>
      <c r="W669" s="70"/>
    </row>
    <row r="670">
      <c r="A670" s="70"/>
      <c r="B670" s="70"/>
      <c r="C670" s="70"/>
      <c r="D670" s="70"/>
      <c r="E670" s="66"/>
      <c r="F670" s="70"/>
      <c r="G670" s="70"/>
      <c r="H670" s="70"/>
      <c r="I670" s="70"/>
      <c r="J670" s="70"/>
      <c r="K670" s="70"/>
      <c r="L670" s="70"/>
      <c r="M670" s="70"/>
      <c r="N670" s="70"/>
      <c r="O670" s="70"/>
      <c r="P670" s="70"/>
      <c r="Q670" s="70"/>
      <c r="R670" s="70"/>
      <c r="S670" s="70"/>
      <c r="T670" s="70"/>
      <c r="U670" s="70"/>
      <c r="V670" s="70"/>
      <c r="W670" s="70"/>
    </row>
    <row r="671">
      <c r="A671" s="70"/>
      <c r="B671" s="70"/>
      <c r="C671" s="70"/>
      <c r="D671" s="70"/>
      <c r="E671" s="66"/>
      <c r="F671" s="70"/>
      <c r="G671" s="70"/>
      <c r="H671" s="70"/>
      <c r="I671" s="70"/>
      <c r="J671" s="70"/>
      <c r="K671" s="70"/>
      <c r="L671" s="70"/>
      <c r="M671" s="70"/>
      <c r="N671" s="70"/>
      <c r="O671" s="70"/>
      <c r="P671" s="70"/>
      <c r="Q671" s="70"/>
      <c r="R671" s="70"/>
      <c r="S671" s="70"/>
      <c r="T671" s="70"/>
      <c r="U671" s="70"/>
      <c r="V671" s="70"/>
      <c r="W671" s="70"/>
    </row>
    <row r="672">
      <c r="A672" s="70"/>
      <c r="B672" s="70"/>
      <c r="C672" s="70"/>
      <c r="D672" s="70"/>
      <c r="E672" s="66"/>
      <c r="F672" s="70"/>
      <c r="G672" s="70"/>
      <c r="H672" s="70"/>
      <c r="I672" s="70"/>
      <c r="J672" s="70"/>
      <c r="K672" s="70"/>
      <c r="L672" s="70"/>
      <c r="M672" s="70"/>
      <c r="N672" s="70"/>
      <c r="O672" s="70"/>
      <c r="P672" s="70"/>
      <c r="Q672" s="70"/>
      <c r="R672" s="70"/>
      <c r="S672" s="70"/>
      <c r="T672" s="70"/>
      <c r="U672" s="70"/>
      <c r="V672" s="70"/>
      <c r="W672" s="70"/>
    </row>
    <row r="673">
      <c r="A673" s="70"/>
      <c r="B673" s="70"/>
      <c r="C673" s="70"/>
      <c r="D673" s="70"/>
      <c r="E673" s="66"/>
      <c r="F673" s="70"/>
      <c r="G673" s="70"/>
      <c r="H673" s="70"/>
      <c r="I673" s="70"/>
      <c r="J673" s="70"/>
      <c r="K673" s="70"/>
      <c r="L673" s="70"/>
      <c r="M673" s="70"/>
      <c r="N673" s="70"/>
      <c r="O673" s="70"/>
      <c r="P673" s="70"/>
      <c r="Q673" s="70"/>
      <c r="R673" s="70"/>
      <c r="S673" s="70"/>
      <c r="T673" s="70"/>
      <c r="U673" s="70"/>
      <c r="V673" s="70"/>
      <c r="W673" s="70"/>
    </row>
    <row r="674">
      <c r="A674" s="70"/>
      <c r="B674" s="70"/>
      <c r="C674" s="70"/>
      <c r="D674" s="70"/>
      <c r="E674" s="66"/>
      <c r="F674" s="70"/>
      <c r="G674" s="70"/>
      <c r="H674" s="70"/>
      <c r="I674" s="70"/>
      <c r="J674" s="70"/>
      <c r="K674" s="70"/>
      <c r="L674" s="70"/>
      <c r="M674" s="70"/>
      <c r="N674" s="70"/>
      <c r="O674" s="70"/>
      <c r="P674" s="70"/>
      <c r="Q674" s="70"/>
      <c r="R674" s="70"/>
      <c r="S674" s="70"/>
      <c r="T674" s="70"/>
      <c r="U674" s="70"/>
      <c r="V674" s="70"/>
      <c r="W674" s="70"/>
    </row>
    <row r="675">
      <c r="A675" s="70"/>
      <c r="B675" s="70"/>
      <c r="C675" s="70"/>
      <c r="D675" s="70"/>
      <c r="E675" s="66"/>
      <c r="F675" s="70"/>
      <c r="G675" s="70"/>
      <c r="H675" s="70"/>
      <c r="I675" s="70"/>
      <c r="J675" s="70"/>
      <c r="K675" s="70"/>
      <c r="L675" s="70"/>
      <c r="M675" s="70"/>
      <c r="N675" s="70"/>
      <c r="O675" s="70"/>
      <c r="P675" s="70"/>
      <c r="Q675" s="70"/>
      <c r="R675" s="70"/>
      <c r="S675" s="70"/>
      <c r="T675" s="70"/>
      <c r="U675" s="70"/>
      <c r="V675" s="70"/>
      <c r="W675" s="70"/>
    </row>
    <row r="676">
      <c r="A676" s="70"/>
      <c r="B676" s="70"/>
      <c r="C676" s="70"/>
      <c r="D676" s="70"/>
      <c r="E676" s="66"/>
      <c r="F676" s="70"/>
      <c r="G676" s="70"/>
      <c r="H676" s="70"/>
      <c r="I676" s="70"/>
      <c r="J676" s="70"/>
      <c r="K676" s="70"/>
      <c r="L676" s="70"/>
      <c r="M676" s="70"/>
      <c r="N676" s="70"/>
      <c r="O676" s="70"/>
      <c r="P676" s="70"/>
      <c r="Q676" s="70"/>
      <c r="R676" s="70"/>
      <c r="S676" s="70"/>
      <c r="T676" s="70"/>
      <c r="U676" s="70"/>
      <c r="V676" s="70"/>
      <c r="W676" s="70"/>
    </row>
    <row r="677">
      <c r="A677" s="70"/>
      <c r="B677" s="70"/>
      <c r="C677" s="70"/>
      <c r="D677" s="70"/>
      <c r="E677" s="66"/>
      <c r="F677" s="70"/>
      <c r="G677" s="70"/>
      <c r="H677" s="70"/>
      <c r="I677" s="70"/>
      <c r="J677" s="70"/>
      <c r="K677" s="70"/>
      <c r="L677" s="70"/>
      <c r="M677" s="70"/>
      <c r="N677" s="70"/>
      <c r="O677" s="70"/>
      <c r="P677" s="70"/>
      <c r="Q677" s="70"/>
      <c r="R677" s="70"/>
      <c r="S677" s="70"/>
      <c r="T677" s="70"/>
      <c r="U677" s="70"/>
      <c r="V677" s="70"/>
      <c r="W677" s="70"/>
    </row>
    <row r="678">
      <c r="A678" s="70"/>
      <c r="B678" s="70"/>
      <c r="C678" s="70"/>
      <c r="D678" s="70"/>
      <c r="E678" s="66"/>
      <c r="F678" s="70"/>
      <c r="G678" s="70"/>
      <c r="H678" s="70"/>
      <c r="I678" s="70"/>
      <c r="J678" s="70"/>
      <c r="K678" s="70"/>
      <c r="L678" s="70"/>
      <c r="M678" s="70"/>
      <c r="N678" s="70"/>
      <c r="O678" s="70"/>
      <c r="P678" s="70"/>
      <c r="Q678" s="70"/>
      <c r="R678" s="70"/>
      <c r="S678" s="70"/>
      <c r="T678" s="70"/>
      <c r="U678" s="70"/>
      <c r="V678" s="70"/>
      <c r="W678" s="70"/>
    </row>
    <row r="679">
      <c r="A679" s="70"/>
      <c r="B679" s="70"/>
      <c r="C679" s="70"/>
      <c r="D679" s="70"/>
      <c r="E679" s="66"/>
      <c r="F679" s="70"/>
      <c r="G679" s="70"/>
      <c r="H679" s="70"/>
      <c r="I679" s="70"/>
      <c r="J679" s="70"/>
      <c r="K679" s="70"/>
      <c r="L679" s="70"/>
      <c r="M679" s="70"/>
      <c r="N679" s="70"/>
      <c r="O679" s="70"/>
      <c r="P679" s="70"/>
      <c r="Q679" s="70"/>
      <c r="R679" s="70"/>
      <c r="S679" s="70"/>
      <c r="T679" s="70"/>
      <c r="U679" s="70"/>
      <c r="V679" s="70"/>
      <c r="W679" s="70"/>
    </row>
    <row r="680">
      <c r="A680" s="70"/>
      <c r="B680" s="70"/>
      <c r="C680" s="70"/>
      <c r="D680" s="70"/>
      <c r="E680" s="66"/>
      <c r="F680" s="70"/>
      <c r="G680" s="70"/>
      <c r="H680" s="70"/>
      <c r="I680" s="70"/>
      <c r="J680" s="70"/>
      <c r="K680" s="70"/>
      <c r="L680" s="70"/>
      <c r="M680" s="70"/>
      <c r="N680" s="70"/>
      <c r="O680" s="70"/>
      <c r="P680" s="70"/>
      <c r="Q680" s="70"/>
      <c r="R680" s="70"/>
      <c r="S680" s="70"/>
      <c r="T680" s="70"/>
      <c r="U680" s="70"/>
      <c r="V680" s="70"/>
      <c r="W680" s="70"/>
    </row>
    <row r="681">
      <c r="A681" s="70"/>
      <c r="B681" s="70"/>
      <c r="C681" s="70"/>
      <c r="D681" s="70"/>
      <c r="E681" s="66"/>
      <c r="F681" s="70"/>
      <c r="G681" s="70"/>
      <c r="H681" s="70"/>
      <c r="I681" s="70"/>
      <c r="J681" s="70"/>
      <c r="K681" s="70"/>
      <c r="L681" s="70"/>
      <c r="M681" s="70"/>
      <c r="N681" s="70"/>
      <c r="O681" s="70"/>
      <c r="P681" s="70"/>
      <c r="Q681" s="70"/>
      <c r="R681" s="70"/>
      <c r="S681" s="70"/>
      <c r="T681" s="70"/>
      <c r="U681" s="70"/>
      <c r="V681" s="70"/>
      <c r="W681" s="70"/>
    </row>
    <row r="682">
      <c r="A682" s="70"/>
      <c r="B682" s="70"/>
      <c r="C682" s="70"/>
      <c r="D682" s="70"/>
      <c r="E682" s="66"/>
      <c r="F682" s="70"/>
      <c r="G682" s="70"/>
      <c r="H682" s="70"/>
      <c r="I682" s="70"/>
      <c r="J682" s="70"/>
      <c r="K682" s="70"/>
      <c r="L682" s="70"/>
      <c r="M682" s="70"/>
      <c r="N682" s="70"/>
      <c r="O682" s="70"/>
      <c r="P682" s="70"/>
      <c r="Q682" s="70"/>
      <c r="R682" s="70"/>
      <c r="S682" s="70"/>
      <c r="T682" s="70"/>
      <c r="U682" s="70"/>
      <c r="V682" s="70"/>
      <c r="W682" s="70"/>
    </row>
    <row r="683">
      <c r="A683" s="70"/>
      <c r="B683" s="70"/>
      <c r="C683" s="70"/>
      <c r="D683" s="70"/>
      <c r="E683" s="66"/>
      <c r="F683" s="70"/>
      <c r="G683" s="70"/>
      <c r="H683" s="70"/>
      <c r="I683" s="70"/>
      <c r="J683" s="70"/>
      <c r="K683" s="70"/>
      <c r="L683" s="70"/>
      <c r="M683" s="70"/>
      <c r="N683" s="70"/>
      <c r="O683" s="70"/>
      <c r="P683" s="70"/>
      <c r="Q683" s="70"/>
      <c r="R683" s="70"/>
      <c r="S683" s="70"/>
      <c r="T683" s="70"/>
      <c r="U683" s="70"/>
      <c r="V683" s="70"/>
      <c r="W683" s="70"/>
    </row>
    <row r="684">
      <c r="A684" s="70"/>
      <c r="B684" s="70"/>
      <c r="C684" s="70"/>
      <c r="D684" s="70"/>
      <c r="E684" s="66"/>
      <c r="F684" s="70"/>
      <c r="G684" s="70"/>
      <c r="H684" s="70"/>
      <c r="I684" s="70"/>
      <c r="J684" s="70"/>
      <c r="K684" s="70"/>
      <c r="L684" s="70"/>
      <c r="M684" s="70"/>
      <c r="N684" s="70"/>
      <c r="O684" s="70"/>
      <c r="P684" s="70"/>
      <c r="Q684" s="70"/>
      <c r="R684" s="70"/>
      <c r="S684" s="70"/>
      <c r="T684" s="70"/>
      <c r="U684" s="70"/>
      <c r="V684" s="70"/>
      <c r="W684" s="70"/>
    </row>
    <row r="685">
      <c r="A685" s="70"/>
      <c r="B685" s="70"/>
      <c r="C685" s="70"/>
      <c r="D685" s="70"/>
      <c r="E685" s="66"/>
      <c r="F685" s="70"/>
      <c r="G685" s="70"/>
      <c r="H685" s="70"/>
      <c r="I685" s="70"/>
      <c r="J685" s="70"/>
      <c r="K685" s="70"/>
      <c r="L685" s="70"/>
      <c r="M685" s="70"/>
      <c r="N685" s="70"/>
      <c r="O685" s="70"/>
      <c r="P685" s="70"/>
      <c r="Q685" s="70"/>
      <c r="R685" s="70"/>
      <c r="S685" s="70"/>
      <c r="T685" s="70"/>
      <c r="U685" s="70"/>
      <c r="V685" s="70"/>
      <c r="W685" s="70"/>
    </row>
    <row r="686">
      <c r="A686" s="70"/>
      <c r="B686" s="70"/>
      <c r="C686" s="70"/>
      <c r="D686" s="70"/>
      <c r="E686" s="66"/>
      <c r="F686" s="70"/>
      <c r="G686" s="70"/>
      <c r="H686" s="70"/>
      <c r="I686" s="70"/>
      <c r="J686" s="70"/>
      <c r="K686" s="70"/>
      <c r="L686" s="70"/>
      <c r="M686" s="70"/>
      <c r="N686" s="70"/>
      <c r="O686" s="70"/>
      <c r="P686" s="70"/>
      <c r="Q686" s="70"/>
      <c r="R686" s="70"/>
      <c r="S686" s="70"/>
      <c r="T686" s="70"/>
      <c r="U686" s="70"/>
      <c r="V686" s="70"/>
      <c r="W686" s="70"/>
    </row>
    <row r="687">
      <c r="A687" s="70"/>
      <c r="B687" s="70"/>
      <c r="C687" s="70"/>
      <c r="D687" s="70"/>
      <c r="E687" s="66"/>
      <c r="F687" s="70"/>
      <c r="G687" s="70"/>
      <c r="H687" s="70"/>
      <c r="I687" s="70"/>
      <c r="J687" s="70"/>
      <c r="K687" s="70"/>
      <c r="L687" s="70"/>
      <c r="M687" s="70"/>
      <c r="N687" s="70"/>
      <c r="O687" s="70"/>
      <c r="P687" s="70"/>
      <c r="Q687" s="70"/>
      <c r="R687" s="70"/>
      <c r="S687" s="70"/>
      <c r="T687" s="70"/>
      <c r="U687" s="70"/>
      <c r="V687" s="70"/>
      <c r="W687" s="70"/>
    </row>
    <row r="688">
      <c r="A688" s="70"/>
      <c r="B688" s="70"/>
      <c r="C688" s="70"/>
      <c r="D688" s="70"/>
      <c r="E688" s="66"/>
      <c r="F688" s="70"/>
      <c r="G688" s="70"/>
      <c r="H688" s="70"/>
      <c r="I688" s="70"/>
      <c r="J688" s="70"/>
      <c r="K688" s="70"/>
      <c r="L688" s="70"/>
      <c r="M688" s="70"/>
      <c r="N688" s="70"/>
      <c r="O688" s="70"/>
      <c r="P688" s="70"/>
      <c r="Q688" s="70"/>
      <c r="R688" s="70"/>
      <c r="S688" s="70"/>
      <c r="T688" s="70"/>
      <c r="U688" s="70"/>
      <c r="V688" s="70"/>
      <c r="W688" s="70"/>
    </row>
    <row r="689">
      <c r="A689" s="70"/>
      <c r="B689" s="70"/>
      <c r="C689" s="70"/>
      <c r="D689" s="70"/>
      <c r="E689" s="66"/>
      <c r="F689" s="70"/>
      <c r="G689" s="70"/>
      <c r="H689" s="70"/>
      <c r="I689" s="70"/>
      <c r="J689" s="70"/>
      <c r="K689" s="70"/>
      <c r="L689" s="70"/>
      <c r="M689" s="70"/>
      <c r="N689" s="70"/>
      <c r="O689" s="70"/>
      <c r="P689" s="70"/>
      <c r="Q689" s="70"/>
      <c r="R689" s="70"/>
      <c r="S689" s="70"/>
      <c r="T689" s="70"/>
      <c r="U689" s="70"/>
      <c r="V689" s="70"/>
      <c r="W689" s="70"/>
    </row>
    <row r="690">
      <c r="A690" s="70"/>
      <c r="B690" s="70"/>
      <c r="C690" s="70"/>
      <c r="D690" s="70"/>
      <c r="E690" s="66"/>
      <c r="F690" s="70"/>
      <c r="G690" s="70"/>
      <c r="H690" s="70"/>
      <c r="I690" s="70"/>
      <c r="J690" s="70"/>
      <c r="K690" s="70"/>
      <c r="L690" s="70"/>
      <c r="M690" s="70"/>
      <c r="N690" s="70"/>
      <c r="O690" s="70"/>
      <c r="P690" s="70"/>
      <c r="Q690" s="70"/>
      <c r="R690" s="70"/>
      <c r="S690" s="70"/>
      <c r="T690" s="70"/>
      <c r="U690" s="70"/>
      <c r="V690" s="70"/>
      <c r="W690" s="70"/>
    </row>
    <row r="691">
      <c r="A691" s="70"/>
      <c r="B691" s="70"/>
      <c r="C691" s="70"/>
      <c r="D691" s="70"/>
      <c r="E691" s="66"/>
      <c r="F691" s="70"/>
      <c r="G691" s="70"/>
      <c r="H691" s="70"/>
      <c r="I691" s="70"/>
      <c r="J691" s="70"/>
      <c r="K691" s="70"/>
      <c r="L691" s="70"/>
      <c r="M691" s="70"/>
      <c r="N691" s="70"/>
      <c r="O691" s="70"/>
      <c r="P691" s="70"/>
      <c r="Q691" s="70"/>
      <c r="R691" s="70"/>
      <c r="S691" s="70"/>
      <c r="T691" s="70"/>
      <c r="U691" s="70"/>
      <c r="V691" s="70"/>
      <c r="W691" s="70"/>
    </row>
    <row r="692">
      <c r="A692" s="70"/>
      <c r="B692" s="70"/>
      <c r="C692" s="70"/>
      <c r="D692" s="70"/>
      <c r="E692" s="66"/>
      <c r="F692" s="70"/>
      <c r="G692" s="70"/>
      <c r="H692" s="70"/>
      <c r="I692" s="70"/>
      <c r="J692" s="70"/>
      <c r="K692" s="70"/>
      <c r="L692" s="70"/>
      <c r="M692" s="70"/>
      <c r="N692" s="70"/>
      <c r="O692" s="70"/>
      <c r="P692" s="70"/>
      <c r="Q692" s="70"/>
      <c r="R692" s="70"/>
      <c r="S692" s="70"/>
      <c r="T692" s="70"/>
      <c r="U692" s="70"/>
      <c r="V692" s="70"/>
      <c r="W692" s="70"/>
    </row>
    <row r="693">
      <c r="A693" s="70"/>
      <c r="B693" s="70"/>
      <c r="C693" s="70"/>
      <c r="D693" s="70"/>
      <c r="E693" s="66"/>
      <c r="F693" s="70"/>
      <c r="G693" s="70"/>
      <c r="H693" s="70"/>
      <c r="I693" s="70"/>
      <c r="J693" s="70"/>
      <c r="K693" s="70"/>
      <c r="L693" s="70"/>
      <c r="M693" s="70"/>
      <c r="N693" s="70"/>
      <c r="O693" s="70"/>
      <c r="P693" s="70"/>
      <c r="Q693" s="70"/>
      <c r="R693" s="70"/>
      <c r="S693" s="70"/>
      <c r="T693" s="70"/>
      <c r="U693" s="70"/>
      <c r="V693" s="70"/>
      <c r="W693" s="70"/>
    </row>
    <row r="694">
      <c r="A694" s="70"/>
      <c r="B694" s="70"/>
      <c r="C694" s="70"/>
      <c r="D694" s="70"/>
      <c r="E694" s="66"/>
      <c r="F694" s="70"/>
      <c r="G694" s="70"/>
      <c r="H694" s="70"/>
      <c r="I694" s="70"/>
      <c r="J694" s="70"/>
      <c r="K694" s="70"/>
      <c r="L694" s="70"/>
      <c r="M694" s="70"/>
      <c r="N694" s="70"/>
      <c r="O694" s="70"/>
      <c r="P694" s="70"/>
      <c r="Q694" s="70"/>
      <c r="R694" s="70"/>
      <c r="S694" s="70"/>
      <c r="T694" s="70"/>
      <c r="U694" s="70"/>
      <c r="V694" s="70"/>
      <c r="W694" s="70"/>
    </row>
    <row r="695">
      <c r="A695" s="70"/>
      <c r="B695" s="70"/>
      <c r="C695" s="70"/>
      <c r="D695" s="70"/>
      <c r="E695" s="66"/>
      <c r="F695" s="70"/>
      <c r="G695" s="70"/>
      <c r="H695" s="70"/>
      <c r="I695" s="70"/>
      <c r="J695" s="70"/>
      <c r="K695" s="70"/>
      <c r="L695" s="70"/>
      <c r="M695" s="70"/>
      <c r="N695" s="70"/>
      <c r="O695" s="70"/>
      <c r="P695" s="70"/>
      <c r="Q695" s="70"/>
      <c r="R695" s="70"/>
      <c r="S695" s="70"/>
      <c r="T695" s="70"/>
      <c r="U695" s="70"/>
      <c r="V695" s="70"/>
      <c r="W695" s="70"/>
    </row>
    <row r="696">
      <c r="A696" s="70"/>
      <c r="B696" s="70"/>
      <c r="C696" s="70"/>
      <c r="D696" s="70"/>
      <c r="E696" s="66"/>
      <c r="F696" s="70"/>
      <c r="G696" s="70"/>
      <c r="H696" s="70"/>
      <c r="I696" s="70"/>
      <c r="J696" s="70"/>
      <c r="K696" s="70"/>
      <c r="L696" s="70"/>
      <c r="M696" s="70"/>
      <c r="N696" s="70"/>
      <c r="O696" s="70"/>
      <c r="P696" s="70"/>
      <c r="Q696" s="70"/>
      <c r="R696" s="70"/>
      <c r="S696" s="70"/>
      <c r="T696" s="70"/>
      <c r="U696" s="70"/>
      <c r="V696" s="70"/>
      <c r="W696" s="70"/>
    </row>
    <row r="697">
      <c r="A697" s="70"/>
      <c r="B697" s="70"/>
      <c r="C697" s="70"/>
      <c r="D697" s="70"/>
      <c r="E697" s="66"/>
      <c r="F697" s="70"/>
      <c r="G697" s="70"/>
      <c r="H697" s="70"/>
      <c r="I697" s="70"/>
      <c r="J697" s="70"/>
      <c r="K697" s="70"/>
      <c r="L697" s="70"/>
      <c r="M697" s="70"/>
      <c r="N697" s="70"/>
      <c r="O697" s="70"/>
      <c r="P697" s="70"/>
      <c r="Q697" s="70"/>
      <c r="R697" s="70"/>
      <c r="S697" s="70"/>
      <c r="T697" s="70"/>
      <c r="U697" s="70"/>
      <c r="V697" s="70"/>
      <c r="W697" s="70"/>
    </row>
    <row r="698">
      <c r="A698" s="70"/>
      <c r="B698" s="70"/>
      <c r="C698" s="70"/>
      <c r="D698" s="70"/>
      <c r="E698" s="66"/>
      <c r="F698" s="70"/>
      <c r="G698" s="70"/>
      <c r="H698" s="70"/>
      <c r="I698" s="70"/>
      <c r="J698" s="70"/>
      <c r="K698" s="70"/>
      <c r="L698" s="70"/>
      <c r="M698" s="70"/>
      <c r="N698" s="70"/>
      <c r="O698" s="70"/>
      <c r="P698" s="70"/>
      <c r="Q698" s="70"/>
      <c r="R698" s="70"/>
      <c r="S698" s="70"/>
      <c r="T698" s="70"/>
      <c r="U698" s="70"/>
      <c r="V698" s="70"/>
      <c r="W698" s="70"/>
    </row>
    <row r="699">
      <c r="A699" s="70"/>
      <c r="B699" s="70"/>
      <c r="C699" s="70"/>
      <c r="D699" s="70"/>
      <c r="E699" s="66"/>
      <c r="F699" s="70"/>
      <c r="G699" s="70"/>
      <c r="H699" s="70"/>
      <c r="I699" s="70"/>
      <c r="J699" s="70"/>
      <c r="K699" s="70"/>
      <c r="L699" s="70"/>
      <c r="M699" s="70"/>
      <c r="N699" s="70"/>
      <c r="O699" s="70"/>
      <c r="P699" s="70"/>
      <c r="Q699" s="70"/>
      <c r="R699" s="70"/>
      <c r="S699" s="70"/>
      <c r="T699" s="70"/>
      <c r="U699" s="70"/>
      <c r="V699" s="70"/>
      <c r="W699" s="70"/>
    </row>
    <row r="700">
      <c r="A700" s="70"/>
      <c r="B700" s="70"/>
      <c r="C700" s="70"/>
      <c r="D700" s="70"/>
      <c r="E700" s="66"/>
      <c r="F700" s="70"/>
      <c r="G700" s="70"/>
      <c r="H700" s="70"/>
      <c r="I700" s="70"/>
      <c r="J700" s="70"/>
      <c r="K700" s="70"/>
      <c r="L700" s="70"/>
      <c r="M700" s="70"/>
      <c r="N700" s="70"/>
      <c r="O700" s="70"/>
      <c r="P700" s="70"/>
      <c r="Q700" s="70"/>
      <c r="R700" s="70"/>
      <c r="S700" s="70"/>
      <c r="T700" s="70"/>
      <c r="U700" s="70"/>
      <c r="V700" s="70"/>
      <c r="W700" s="70"/>
    </row>
    <row r="701">
      <c r="A701" s="70"/>
      <c r="B701" s="70"/>
      <c r="C701" s="70"/>
      <c r="D701" s="70"/>
      <c r="E701" s="66"/>
      <c r="F701" s="70"/>
      <c r="G701" s="70"/>
      <c r="H701" s="70"/>
      <c r="I701" s="70"/>
      <c r="J701" s="70"/>
      <c r="K701" s="70"/>
      <c r="L701" s="70"/>
      <c r="M701" s="70"/>
      <c r="N701" s="70"/>
      <c r="O701" s="70"/>
      <c r="P701" s="70"/>
      <c r="Q701" s="70"/>
      <c r="R701" s="70"/>
      <c r="S701" s="70"/>
      <c r="T701" s="70"/>
      <c r="U701" s="70"/>
      <c r="V701" s="70"/>
      <c r="W701" s="70"/>
    </row>
    <row r="702">
      <c r="A702" s="70"/>
      <c r="B702" s="70"/>
      <c r="C702" s="70"/>
      <c r="D702" s="70"/>
      <c r="E702" s="66"/>
      <c r="F702" s="70"/>
      <c r="G702" s="70"/>
      <c r="H702" s="70"/>
      <c r="I702" s="70"/>
      <c r="J702" s="70"/>
      <c r="K702" s="70"/>
      <c r="L702" s="70"/>
      <c r="M702" s="70"/>
      <c r="N702" s="70"/>
      <c r="O702" s="70"/>
      <c r="P702" s="70"/>
      <c r="Q702" s="70"/>
      <c r="R702" s="70"/>
      <c r="S702" s="70"/>
      <c r="T702" s="70"/>
      <c r="U702" s="70"/>
      <c r="V702" s="70"/>
      <c r="W702" s="70"/>
    </row>
    <row r="703">
      <c r="A703" s="70"/>
      <c r="B703" s="70"/>
      <c r="C703" s="70"/>
      <c r="D703" s="70"/>
      <c r="E703" s="66"/>
      <c r="F703" s="70"/>
      <c r="G703" s="70"/>
      <c r="H703" s="70"/>
      <c r="I703" s="70"/>
      <c r="J703" s="70"/>
      <c r="K703" s="70"/>
      <c r="L703" s="70"/>
      <c r="M703" s="70"/>
      <c r="N703" s="70"/>
      <c r="O703" s="70"/>
      <c r="P703" s="70"/>
      <c r="Q703" s="70"/>
      <c r="R703" s="70"/>
      <c r="S703" s="70"/>
      <c r="T703" s="70"/>
      <c r="U703" s="70"/>
      <c r="V703" s="70"/>
      <c r="W703" s="70"/>
    </row>
    <row r="704">
      <c r="A704" s="70"/>
      <c r="B704" s="70"/>
      <c r="C704" s="70"/>
      <c r="D704" s="70"/>
      <c r="E704" s="66"/>
      <c r="F704" s="70"/>
      <c r="G704" s="70"/>
      <c r="H704" s="70"/>
      <c r="I704" s="70"/>
      <c r="J704" s="70"/>
      <c r="K704" s="70"/>
      <c r="L704" s="70"/>
      <c r="M704" s="70"/>
      <c r="N704" s="70"/>
      <c r="O704" s="70"/>
      <c r="P704" s="70"/>
      <c r="Q704" s="70"/>
      <c r="R704" s="70"/>
      <c r="S704" s="70"/>
      <c r="T704" s="70"/>
      <c r="U704" s="70"/>
      <c r="V704" s="70"/>
      <c r="W704" s="70"/>
    </row>
    <row r="705">
      <c r="A705" s="70"/>
      <c r="B705" s="70"/>
      <c r="C705" s="70"/>
      <c r="D705" s="70"/>
      <c r="E705" s="66"/>
      <c r="F705" s="70"/>
      <c r="G705" s="70"/>
      <c r="H705" s="70"/>
      <c r="I705" s="70"/>
      <c r="J705" s="70"/>
      <c r="K705" s="70"/>
      <c r="L705" s="70"/>
      <c r="M705" s="70"/>
      <c r="N705" s="70"/>
      <c r="O705" s="70"/>
      <c r="P705" s="70"/>
      <c r="Q705" s="70"/>
      <c r="R705" s="70"/>
      <c r="S705" s="70"/>
      <c r="T705" s="70"/>
      <c r="U705" s="70"/>
      <c r="V705" s="70"/>
      <c r="W705" s="70"/>
    </row>
    <row r="706">
      <c r="A706" s="70"/>
      <c r="B706" s="70"/>
      <c r="C706" s="70"/>
      <c r="D706" s="70"/>
      <c r="E706" s="66"/>
      <c r="F706" s="70"/>
      <c r="G706" s="70"/>
      <c r="H706" s="70"/>
      <c r="I706" s="70"/>
      <c r="J706" s="70"/>
      <c r="K706" s="70"/>
      <c r="L706" s="70"/>
      <c r="M706" s="70"/>
      <c r="N706" s="70"/>
      <c r="O706" s="70"/>
      <c r="P706" s="70"/>
      <c r="Q706" s="70"/>
      <c r="R706" s="70"/>
      <c r="S706" s="70"/>
      <c r="T706" s="70"/>
      <c r="U706" s="70"/>
      <c r="V706" s="70"/>
      <c r="W706" s="70"/>
    </row>
    <row r="707">
      <c r="A707" s="70"/>
      <c r="B707" s="70"/>
      <c r="C707" s="70"/>
      <c r="D707" s="70"/>
      <c r="E707" s="66"/>
      <c r="F707" s="70"/>
      <c r="G707" s="70"/>
      <c r="H707" s="70"/>
      <c r="I707" s="70"/>
      <c r="J707" s="70"/>
      <c r="K707" s="70"/>
      <c r="L707" s="70"/>
      <c r="M707" s="70"/>
      <c r="N707" s="70"/>
      <c r="O707" s="70"/>
      <c r="P707" s="70"/>
      <c r="Q707" s="70"/>
      <c r="R707" s="70"/>
      <c r="S707" s="70"/>
      <c r="T707" s="70"/>
      <c r="U707" s="70"/>
      <c r="V707" s="70"/>
      <c r="W707" s="70"/>
    </row>
    <row r="708">
      <c r="A708" s="70"/>
      <c r="B708" s="70"/>
      <c r="C708" s="70"/>
      <c r="D708" s="70"/>
      <c r="E708" s="66"/>
      <c r="F708" s="70"/>
      <c r="G708" s="70"/>
      <c r="H708" s="70"/>
      <c r="I708" s="70"/>
      <c r="J708" s="70"/>
      <c r="K708" s="70"/>
      <c r="L708" s="70"/>
      <c r="M708" s="70"/>
      <c r="N708" s="70"/>
      <c r="O708" s="70"/>
      <c r="P708" s="70"/>
      <c r="Q708" s="70"/>
      <c r="R708" s="70"/>
      <c r="S708" s="70"/>
      <c r="T708" s="70"/>
      <c r="U708" s="70"/>
      <c r="V708" s="70"/>
      <c r="W708" s="70"/>
    </row>
    <row r="709">
      <c r="A709" s="70"/>
      <c r="B709" s="70"/>
      <c r="C709" s="70"/>
      <c r="D709" s="70"/>
      <c r="E709" s="66"/>
      <c r="F709" s="70"/>
      <c r="G709" s="70"/>
      <c r="H709" s="70"/>
      <c r="I709" s="70"/>
      <c r="J709" s="70"/>
      <c r="K709" s="70"/>
      <c r="L709" s="70"/>
      <c r="M709" s="70"/>
      <c r="N709" s="70"/>
      <c r="O709" s="70"/>
      <c r="P709" s="70"/>
      <c r="Q709" s="70"/>
      <c r="R709" s="70"/>
      <c r="S709" s="70"/>
      <c r="T709" s="70"/>
      <c r="U709" s="70"/>
      <c r="V709" s="70"/>
      <c r="W709" s="70"/>
    </row>
    <row r="710">
      <c r="A710" s="70"/>
      <c r="B710" s="70"/>
      <c r="C710" s="70"/>
      <c r="D710" s="70"/>
      <c r="E710" s="66"/>
      <c r="F710" s="70"/>
      <c r="G710" s="70"/>
      <c r="H710" s="70"/>
      <c r="I710" s="70"/>
      <c r="J710" s="70"/>
      <c r="K710" s="70"/>
      <c r="L710" s="70"/>
      <c r="M710" s="70"/>
      <c r="N710" s="70"/>
      <c r="O710" s="70"/>
      <c r="P710" s="70"/>
      <c r="Q710" s="70"/>
      <c r="R710" s="70"/>
      <c r="S710" s="70"/>
      <c r="T710" s="70"/>
      <c r="U710" s="70"/>
      <c r="V710" s="70"/>
      <c r="W710" s="70"/>
    </row>
    <row r="711">
      <c r="A711" s="70"/>
      <c r="B711" s="70"/>
      <c r="C711" s="70"/>
      <c r="D711" s="70"/>
      <c r="E711" s="66"/>
      <c r="F711" s="70"/>
      <c r="G711" s="70"/>
      <c r="H711" s="70"/>
      <c r="I711" s="70"/>
      <c r="J711" s="70"/>
      <c r="K711" s="70"/>
      <c r="L711" s="70"/>
      <c r="M711" s="70"/>
      <c r="N711" s="70"/>
      <c r="O711" s="70"/>
      <c r="P711" s="70"/>
      <c r="Q711" s="70"/>
      <c r="R711" s="70"/>
      <c r="S711" s="70"/>
      <c r="T711" s="70"/>
      <c r="U711" s="70"/>
      <c r="V711" s="70"/>
      <c r="W711" s="70"/>
    </row>
    <row r="712">
      <c r="A712" s="70"/>
      <c r="B712" s="70"/>
      <c r="C712" s="70"/>
      <c r="D712" s="70"/>
      <c r="E712" s="66"/>
      <c r="F712" s="70"/>
      <c r="G712" s="70"/>
      <c r="H712" s="70"/>
      <c r="I712" s="70"/>
      <c r="J712" s="70"/>
      <c r="K712" s="70"/>
      <c r="L712" s="70"/>
      <c r="M712" s="70"/>
      <c r="N712" s="70"/>
      <c r="O712" s="70"/>
      <c r="P712" s="70"/>
      <c r="Q712" s="70"/>
      <c r="R712" s="70"/>
      <c r="S712" s="70"/>
      <c r="T712" s="70"/>
      <c r="U712" s="70"/>
      <c r="V712" s="70"/>
      <c r="W712" s="70"/>
    </row>
    <row r="713">
      <c r="A713" s="70"/>
      <c r="B713" s="70"/>
      <c r="C713" s="70"/>
      <c r="D713" s="70"/>
      <c r="E713" s="66"/>
      <c r="F713" s="70"/>
      <c r="G713" s="70"/>
      <c r="H713" s="70"/>
      <c r="I713" s="70"/>
      <c r="J713" s="70"/>
      <c r="K713" s="70"/>
      <c r="L713" s="70"/>
      <c r="M713" s="70"/>
      <c r="N713" s="70"/>
      <c r="O713" s="70"/>
      <c r="P713" s="70"/>
      <c r="Q713" s="70"/>
      <c r="R713" s="70"/>
      <c r="S713" s="70"/>
      <c r="T713" s="70"/>
      <c r="U713" s="70"/>
      <c r="V713" s="70"/>
      <c r="W713" s="70"/>
    </row>
    <row r="714">
      <c r="A714" s="70"/>
      <c r="B714" s="70"/>
      <c r="C714" s="70"/>
      <c r="D714" s="70"/>
      <c r="E714" s="66"/>
      <c r="F714" s="70"/>
      <c r="G714" s="70"/>
      <c r="H714" s="70"/>
      <c r="I714" s="70"/>
      <c r="J714" s="70"/>
      <c r="K714" s="70"/>
      <c r="L714" s="70"/>
      <c r="M714" s="70"/>
      <c r="N714" s="70"/>
      <c r="O714" s="70"/>
      <c r="P714" s="70"/>
      <c r="Q714" s="70"/>
      <c r="R714" s="70"/>
      <c r="S714" s="70"/>
      <c r="T714" s="70"/>
      <c r="U714" s="70"/>
      <c r="V714" s="70"/>
      <c r="W714" s="70"/>
    </row>
    <row r="715">
      <c r="A715" s="70"/>
      <c r="B715" s="70"/>
      <c r="C715" s="70"/>
      <c r="D715" s="70"/>
      <c r="E715" s="66"/>
      <c r="F715" s="70"/>
      <c r="G715" s="70"/>
      <c r="H715" s="70"/>
      <c r="I715" s="70"/>
      <c r="J715" s="70"/>
      <c r="K715" s="70"/>
      <c r="L715" s="70"/>
      <c r="M715" s="70"/>
      <c r="N715" s="70"/>
      <c r="O715" s="70"/>
      <c r="P715" s="70"/>
      <c r="Q715" s="70"/>
      <c r="R715" s="70"/>
      <c r="S715" s="70"/>
      <c r="T715" s="70"/>
      <c r="U715" s="70"/>
      <c r="V715" s="70"/>
      <c r="W715" s="70"/>
    </row>
    <row r="716">
      <c r="A716" s="70"/>
      <c r="B716" s="70"/>
      <c r="C716" s="70"/>
      <c r="D716" s="70"/>
      <c r="E716" s="66"/>
      <c r="F716" s="70"/>
      <c r="G716" s="70"/>
      <c r="H716" s="70"/>
      <c r="I716" s="70"/>
      <c r="J716" s="70"/>
      <c r="K716" s="70"/>
      <c r="L716" s="70"/>
      <c r="M716" s="70"/>
      <c r="N716" s="70"/>
      <c r="O716" s="70"/>
      <c r="P716" s="70"/>
      <c r="Q716" s="70"/>
      <c r="R716" s="70"/>
      <c r="S716" s="70"/>
      <c r="T716" s="70"/>
      <c r="U716" s="70"/>
      <c r="V716" s="70"/>
      <c r="W716" s="70"/>
    </row>
    <row r="717">
      <c r="A717" s="70"/>
      <c r="B717" s="70"/>
      <c r="C717" s="70"/>
      <c r="D717" s="70"/>
      <c r="E717" s="66"/>
      <c r="F717" s="70"/>
      <c r="G717" s="70"/>
      <c r="H717" s="70"/>
      <c r="I717" s="70"/>
      <c r="J717" s="70"/>
      <c r="K717" s="70"/>
      <c r="L717" s="70"/>
      <c r="M717" s="70"/>
      <c r="N717" s="70"/>
      <c r="O717" s="70"/>
      <c r="P717" s="70"/>
      <c r="Q717" s="70"/>
      <c r="R717" s="70"/>
      <c r="S717" s="70"/>
      <c r="T717" s="70"/>
      <c r="U717" s="70"/>
      <c r="V717" s="70"/>
      <c r="W717" s="70"/>
    </row>
    <row r="718">
      <c r="A718" s="70"/>
      <c r="B718" s="70"/>
      <c r="C718" s="70"/>
      <c r="D718" s="70"/>
      <c r="E718" s="66"/>
      <c r="F718" s="70"/>
      <c r="G718" s="70"/>
      <c r="H718" s="70"/>
      <c r="I718" s="70"/>
      <c r="J718" s="70"/>
      <c r="K718" s="70"/>
      <c r="L718" s="70"/>
      <c r="M718" s="70"/>
      <c r="N718" s="70"/>
      <c r="O718" s="70"/>
      <c r="P718" s="70"/>
      <c r="Q718" s="70"/>
      <c r="R718" s="70"/>
      <c r="S718" s="70"/>
      <c r="T718" s="70"/>
      <c r="U718" s="70"/>
      <c r="V718" s="70"/>
      <c r="W718" s="70"/>
    </row>
    <row r="719">
      <c r="A719" s="70"/>
      <c r="B719" s="70"/>
      <c r="C719" s="70"/>
      <c r="D719" s="70"/>
      <c r="E719" s="66"/>
      <c r="F719" s="70"/>
      <c r="G719" s="70"/>
      <c r="H719" s="70"/>
      <c r="I719" s="70"/>
      <c r="J719" s="70"/>
      <c r="K719" s="70"/>
      <c r="L719" s="70"/>
      <c r="M719" s="70"/>
      <c r="N719" s="70"/>
      <c r="O719" s="70"/>
      <c r="P719" s="70"/>
      <c r="Q719" s="70"/>
      <c r="R719" s="70"/>
      <c r="S719" s="70"/>
      <c r="T719" s="70"/>
      <c r="U719" s="70"/>
      <c r="V719" s="70"/>
      <c r="W719" s="70"/>
    </row>
    <row r="720">
      <c r="A720" s="70"/>
      <c r="B720" s="70"/>
      <c r="C720" s="70"/>
      <c r="D720" s="70"/>
      <c r="E720" s="66"/>
      <c r="F720" s="70"/>
      <c r="G720" s="70"/>
      <c r="H720" s="70"/>
      <c r="I720" s="70"/>
      <c r="J720" s="70"/>
      <c r="K720" s="70"/>
      <c r="L720" s="70"/>
      <c r="M720" s="70"/>
      <c r="N720" s="70"/>
      <c r="O720" s="70"/>
      <c r="P720" s="70"/>
      <c r="Q720" s="70"/>
      <c r="R720" s="70"/>
      <c r="S720" s="70"/>
      <c r="T720" s="70"/>
      <c r="U720" s="70"/>
      <c r="V720" s="70"/>
      <c r="W720" s="70"/>
    </row>
    <row r="721">
      <c r="A721" s="70"/>
      <c r="B721" s="70"/>
      <c r="C721" s="70"/>
      <c r="D721" s="70"/>
      <c r="E721" s="66"/>
      <c r="F721" s="70"/>
      <c r="G721" s="70"/>
      <c r="H721" s="70"/>
      <c r="I721" s="70"/>
      <c r="J721" s="70"/>
      <c r="K721" s="70"/>
      <c r="L721" s="70"/>
      <c r="M721" s="70"/>
      <c r="N721" s="70"/>
      <c r="O721" s="70"/>
      <c r="P721" s="70"/>
      <c r="Q721" s="70"/>
      <c r="R721" s="70"/>
      <c r="S721" s="70"/>
      <c r="T721" s="70"/>
      <c r="U721" s="70"/>
      <c r="V721" s="70"/>
      <c r="W721" s="70"/>
    </row>
    <row r="722">
      <c r="A722" s="70"/>
      <c r="B722" s="70"/>
      <c r="C722" s="70"/>
      <c r="D722" s="70"/>
      <c r="E722" s="66"/>
      <c r="F722" s="70"/>
      <c r="G722" s="70"/>
      <c r="H722" s="70"/>
      <c r="I722" s="70"/>
      <c r="J722" s="70"/>
      <c r="K722" s="70"/>
      <c r="L722" s="70"/>
      <c r="M722" s="70"/>
      <c r="N722" s="70"/>
      <c r="O722" s="70"/>
      <c r="P722" s="70"/>
      <c r="Q722" s="70"/>
      <c r="R722" s="70"/>
      <c r="S722" s="70"/>
      <c r="T722" s="70"/>
      <c r="U722" s="70"/>
      <c r="V722" s="70"/>
      <c r="W722" s="70"/>
    </row>
    <row r="723">
      <c r="A723" s="70"/>
      <c r="B723" s="70"/>
      <c r="C723" s="70"/>
      <c r="D723" s="70"/>
      <c r="E723" s="66"/>
      <c r="F723" s="70"/>
      <c r="G723" s="70"/>
      <c r="H723" s="70"/>
      <c r="I723" s="70"/>
      <c r="J723" s="70"/>
      <c r="K723" s="70"/>
      <c r="L723" s="70"/>
      <c r="M723" s="70"/>
      <c r="N723" s="70"/>
      <c r="O723" s="70"/>
      <c r="P723" s="70"/>
      <c r="Q723" s="70"/>
      <c r="R723" s="70"/>
      <c r="S723" s="70"/>
      <c r="T723" s="70"/>
      <c r="U723" s="70"/>
      <c r="V723" s="70"/>
      <c r="W723" s="70"/>
    </row>
    <row r="724">
      <c r="A724" s="70"/>
      <c r="B724" s="70"/>
      <c r="C724" s="70"/>
      <c r="D724" s="70"/>
      <c r="E724" s="66"/>
      <c r="F724" s="70"/>
      <c r="G724" s="70"/>
      <c r="H724" s="70"/>
      <c r="I724" s="70"/>
      <c r="J724" s="70"/>
      <c r="K724" s="70"/>
      <c r="L724" s="70"/>
      <c r="M724" s="70"/>
      <c r="N724" s="70"/>
      <c r="O724" s="70"/>
      <c r="P724" s="70"/>
      <c r="Q724" s="70"/>
      <c r="R724" s="70"/>
      <c r="S724" s="70"/>
      <c r="T724" s="70"/>
      <c r="U724" s="70"/>
      <c r="V724" s="70"/>
      <c r="W724" s="70"/>
    </row>
    <row r="725">
      <c r="A725" s="70"/>
      <c r="B725" s="70"/>
      <c r="C725" s="70"/>
      <c r="D725" s="70"/>
      <c r="E725" s="66"/>
      <c r="F725" s="70"/>
      <c r="G725" s="70"/>
      <c r="H725" s="70"/>
      <c r="I725" s="70"/>
      <c r="J725" s="70"/>
      <c r="K725" s="70"/>
      <c r="L725" s="70"/>
      <c r="M725" s="70"/>
      <c r="N725" s="70"/>
      <c r="O725" s="70"/>
      <c r="P725" s="70"/>
      <c r="Q725" s="70"/>
      <c r="R725" s="70"/>
      <c r="S725" s="70"/>
      <c r="T725" s="70"/>
      <c r="U725" s="70"/>
      <c r="V725" s="70"/>
      <c r="W725" s="70"/>
    </row>
    <row r="726">
      <c r="A726" s="70"/>
      <c r="B726" s="70"/>
      <c r="C726" s="70"/>
      <c r="D726" s="70"/>
      <c r="E726" s="66"/>
      <c r="F726" s="70"/>
      <c r="G726" s="70"/>
      <c r="H726" s="70"/>
      <c r="I726" s="70"/>
      <c r="J726" s="70"/>
      <c r="K726" s="70"/>
      <c r="L726" s="70"/>
      <c r="M726" s="70"/>
      <c r="N726" s="70"/>
      <c r="O726" s="70"/>
      <c r="P726" s="70"/>
      <c r="Q726" s="70"/>
      <c r="R726" s="70"/>
      <c r="S726" s="70"/>
      <c r="T726" s="70"/>
      <c r="U726" s="70"/>
      <c r="V726" s="70"/>
      <c r="W726" s="70"/>
    </row>
    <row r="727">
      <c r="A727" s="70"/>
      <c r="B727" s="70"/>
      <c r="C727" s="70"/>
      <c r="D727" s="70"/>
      <c r="E727" s="66"/>
      <c r="F727" s="70"/>
      <c r="G727" s="70"/>
      <c r="H727" s="70"/>
      <c r="I727" s="70"/>
      <c r="J727" s="70"/>
      <c r="K727" s="70"/>
      <c r="L727" s="70"/>
      <c r="M727" s="70"/>
      <c r="N727" s="70"/>
      <c r="O727" s="70"/>
      <c r="P727" s="70"/>
      <c r="Q727" s="70"/>
      <c r="R727" s="70"/>
      <c r="S727" s="70"/>
      <c r="T727" s="70"/>
      <c r="U727" s="70"/>
      <c r="V727" s="70"/>
      <c r="W727" s="70"/>
    </row>
    <row r="728">
      <c r="A728" s="70"/>
      <c r="B728" s="70"/>
      <c r="C728" s="70"/>
      <c r="D728" s="70"/>
      <c r="E728" s="66"/>
      <c r="F728" s="70"/>
      <c r="G728" s="70"/>
      <c r="H728" s="70"/>
      <c r="I728" s="70"/>
      <c r="J728" s="70"/>
      <c r="K728" s="70"/>
      <c r="L728" s="70"/>
      <c r="M728" s="70"/>
      <c r="N728" s="70"/>
      <c r="O728" s="70"/>
      <c r="P728" s="70"/>
      <c r="Q728" s="70"/>
      <c r="R728" s="70"/>
      <c r="S728" s="70"/>
      <c r="T728" s="70"/>
      <c r="U728" s="70"/>
      <c r="V728" s="70"/>
      <c r="W728" s="70"/>
    </row>
    <row r="729">
      <c r="A729" s="70"/>
      <c r="B729" s="70"/>
      <c r="C729" s="70"/>
      <c r="D729" s="70"/>
      <c r="E729" s="66"/>
      <c r="F729" s="70"/>
      <c r="G729" s="70"/>
      <c r="H729" s="70"/>
      <c r="I729" s="70"/>
      <c r="J729" s="70"/>
      <c r="K729" s="70"/>
      <c r="L729" s="70"/>
      <c r="M729" s="70"/>
      <c r="N729" s="70"/>
      <c r="O729" s="70"/>
      <c r="P729" s="70"/>
      <c r="Q729" s="70"/>
      <c r="R729" s="70"/>
      <c r="S729" s="70"/>
      <c r="T729" s="70"/>
      <c r="U729" s="70"/>
      <c r="V729" s="70"/>
      <c r="W729" s="70"/>
    </row>
    <row r="730">
      <c r="A730" s="70"/>
      <c r="B730" s="70"/>
      <c r="C730" s="70"/>
      <c r="D730" s="70"/>
      <c r="E730" s="66"/>
      <c r="F730" s="70"/>
      <c r="G730" s="70"/>
      <c r="H730" s="70"/>
      <c r="I730" s="70"/>
      <c r="J730" s="70"/>
      <c r="K730" s="70"/>
      <c r="L730" s="70"/>
      <c r="M730" s="70"/>
      <c r="N730" s="70"/>
      <c r="O730" s="70"/>
      <c r="P730" s="70"/>
      <c r="Q730" s="70"/>
      <c r="R730" s="70"/>
      <c r="S730" s="70"/>
      <c r="T730" s="70"/>
      <c r="U730" s="70"/>
      <c r="V730" s="70"/>
      <c r="W730" s="70"/>
    </row>
    <row r="731">
      <c r="A731" s="70"/>
      <c r="B731" s="70"/>
      <c r="C731" s="70"/>
      <c r="D731" s="70"/>
      <c r="E731" s="66"/>
      <c r="F731" s="70"/>
      <c r="G731" s="70"/>
      <c r="H731" s="70"/>
      <c r="I731" s="70"/>
      <c r="J731" s="70"/>
      <c r="K731" s="70"/>
      <c r="L731" s="70"/>
      <c r="M731" s="70"/>
      <c r="N731" s="70"/>
      <c r="O731" s="70"/>
      <c r="P731" s="70"/>
      <c r="Q731" s="70"/>
      <c r="R731" s="70"/>
      <c r="S731" s="70"/>
      <c r="T731" s="70"/>
      <c r="U731" s="70"/>
      <c r="V731" s="70"/>
      <c r="W731" s="70"/>
    </row>
    <row r="732">
      <c r="A732" s="70"/>
      <c r="B732" s="70"/>
      <c r="C732" s="70"/>
      <c r="D732" s="70"/>
      <c r="E732" s="66"/>
      <c r="F732" s="70"/>
      <c r="G732" s="70"/>
      <c r="H732" s="70"/>
      <c r="I732" s="70"/>
      <c r="J732" s="70"/>
      <c r="K732" s="70"/>
      <c r="L732" s="70"/>
      <c r="M732" s="70"/>
      <c r="N732" s="70"/>
      <c r="O732" s="70"/>
      <c r="P732" s="70"/>
      <c r="Q732" s="70"/>
      <c r="R732" s="70"/>
      <c r="S732" s="70"/>
      <c r="T732" s="70"/>
      <c r="U732" s="70"/>
      <c r="V732" s="70"/>
      <c r="W732" s="70"/>
    </row>
    <row r="733">
      <c r="A733" s="70"/>
      <c r="B733" s="70"/>
      <c r="C733" s="70"/>
      <c r="D733" s="70"/>
      <c r="E733" s="66"/>
      <c r="F733" s="70"/>
      <c r="G733" s="70"/>
      <c r="H733" s="70"/>
      <c r="I733" s="70"/>
      <c r="J733" s="70"/>
      <c r="K733" s="70"/>
      <c r="L733" s="70"/>
      <c r="M733" s="70"/>
      <c r="N733" s="70"/>
      <c r="O733" s="70"/>
      <c r="P733" s="70"/>
      <c r="Q733" s="70"/>
      <c r="R733" s="70"/>
      <c r="S733" s="70"/>
      <c r="T733" s="70"/>
      <c r="U733" s="70"/>
      <c r="V733" s="70"/>
      <c r="W733" s="70"/>
    </row>
    <row r="734">
      <c r="A734" s="70"/>
      <c r="B734" s="70"/>
      <c r="C734" s="70"/>
      <c r="D734" s="70"/>
      <c r="E734" s="66"/>
      <c r="F734" s="70"/>
      <c r="G734" s="70"/>
      <c r="H734" s="70"/>
      <c r="I734" s="70"/>
      <c r="J734" s="70"/>
      <c r="K734" s="70"/>
      <c r="L734" s="70"/>
      <c r="M734" s="70"/>
      <c r="N734" s="70"/>
      <c r="O734" s="70"/>
      <c r="P734" s="70"/>
      <c r="Q734" s="70"/>
      <c r="R734" s="70"/>
      <c r="S734" s="70"/>
      <c r="T734" s="70"/>
      <c r="U734" s="70"/>
      <c r="V734" s="70"/>
      <c r="W734" s="70"/>
    </row>
    <row r="735">
      <c r="A735" s="70"/>
      <c r="B735" s="70"/>
      <c r="C735" s="70"/>
      <c r="D735" s="70"/>
      <c r="E735" s="66"/>
      <c r="F735" s="70"/>
      <c r="G735" s="70"/>
      <c r="H735" s="70"/>
      <c r="I735" s="70"/>
      <c r="J735" s="70"/>
      <c r="K735" s="70"/>
      <c r="L735" s="70"/>
      <c r="M735" s="70"/>
      <c r="N735" s="70"/>
      <c r="O735" s="70"/>
      <c r="P735" s="70"/>
      <c r="Q735" s="70"/>
      <c r="R735" s="70"/>
      <c r="S735" s="70"/>
      <c r="T735" s="70"/>
      <c r="U735" s="70"/>
      <c r="V735" s="70"/>
      <c r="W735" s="70"/>
    </row>
    <row r="736">
      <c r="A736" s="70"/>
      <c r="B736" s="70"/>
      <c r="C736" s="70"/>
      <c r="D736" s="70"/>
      <c r="E736" s="66"/>
      <c r="F736" s="70"/>
      <c r="G736" s="70"/>
      <c r="H736" s="70"/>
      <c r="I736" s="70"/>
      <c r="J736" s="70"/>
      <c r="K736" s="70"/>
      <c r="L736" s="70"/>
      <c r="M736" s="70"/>
      <c r="N736" s="70"/>
      <c r="O736" s="70"/>
      <c r="P736" s="70"/>
      <c r="Q736" s="70"/>
      <c r="R736" s="70"/>
      <c r="S736" s="70"/>
      <c r="T736" s="70"/>
      <c r="U736" s="70"/>
      <c r="V736" s="70"/>
      <c r="W736" s="70"/>
    </row>
    <row r="737">
      <c r="A737" s="70"/>
      <c r="B737" s="70"/>
      <c r="C737" s="70"/>
      <c r="D737" s="70"/>
      <c r="E737" s="66"/>
      <c r="F737" s="70"/>
      <c r="G737" s="70"/>
      <c r="H737" s="70"/>
      <c r="I737" s="70"/>
      <c r="J737" s="70"/>
      <c r="K737" s="70"/>
      <c r="L737" s="70"/>
      <c r="M737" s="70"/>
      <c r="N737" s="70"/>
      <c r="O737" s="70"/>
      <c r="P737" s="70"/>
      <c r="Q737" s="70"/>
      <c r="R737" s="70"/>
      <c r="S737" s="70"/>
      <c r="T737" s="70"/>
      <c r="U737" s="70"/>
      <c r="V737" s="70"/>
      <c r="W737" s="70"/>
    </row>
    <row r="738">
      <c r="A738" s="70"/>
      <c r="B738" s="70"/>
      <c r="C738" s="70"/>
      <c r="D738" s="70"/>
      <c r="E738" s="66"/>
      <c r="F738" s="70"/>
      <c r="G738" s="70"/>
      <c r="H738" s="70"/>
      <c r="I738" s="70"/>
      <c r="J738" s="70"/>
      <c r="K738" s="70"/>
      <c r="L738" s="70"/>
      <c r="M738" s="70"/>
      <c r="N738" s="70"/>
      <c r="O738" s="70"/>
      <c r="P738" s="70"/>
      <c r="Q738" s="70"/>
      <c r="R738" s="70"/>
      <c r="S738" s="70"/>
      <c r="T738" s="70"/>
      <c r="U738" s="70"/>
      <c r="V738" s="70"/>
      <c r="W738" s="70"/>
    </row>
    <row r="739">
      <c r="A739" s="70"/>
      <c r="B739" s="70"/>
      <c r="C739" s="70"/>
      <c r="D739" s="70"/>
      <c r="E739" s="66"/>
      <c r="F739" s="70"/>
      <c r="G739" s="70"/>
      <c r="H739" s="70"/>
      <c r="I739" s="70"/>
      <c r="J739" s="70"/>
      <c r="K739" s="70"/>
      <c r="L739" s="70"/>
      <c r="M739" s="70"/>
      <c r="N739" s="70"/>
      <c r="O739" s="70"/>
      <c r="P739" s="70"/>
      <c r="Q739" s="70"/>
      <c r="R739" s="70"/>
      <c r="S739" s="70"/>
      <c r="T739" s="70"/>
      <c r="U739" s="70"/>
      <c r="V739" s="70"/>
      <c r="W739" s="70"/>
    </row>
    <row r="740">
      <c r="A740" s="70"/>
      <c r="B740" s="70"/>
      <c r="C740" s="70"/>
      <c r="D740" s="70"/>
      <c r="E740" s="66"/>
      <c r="F740" s="70"/>
      <c r="G740" s="70"/>
      <c r="H740" s="70"/>
      <c r="I740" s="70"/>
      <c r="J740" s="70"/>
      <c r="K740" s="70"/>
      <c r="L740" s="70"/>
      <c r="M740" s="70"/>
      <c r="N740" s="70"/>
      <c r="O740" s="70"/>
      <c r="P740" s="70"/>
      <c r="Q740" s="70"/>
      <c r="R740" s="70"/>
      <c r="S740" s="70"/>
      <c r="T740" s="70"/>
      <c r="U740" s="70"/>
      <c r="V740" s="70"/>
      <c r="W740" s="70"/>
    </row>
    <row r="741">
      <c r="A741" s="70"/>
      <c r="B741" s="70"/>
      <c r="C741" s="70"/>
      <c r="D741" s="70"/>
      <c r="E741" s="66"/>
      <c r="F741" s="70"/>
      <c r="G741" s="70"/>
      <c r="H741" s="70"/>
      <c r="I741" s="70"/>
      <c r="J741" s="70"/>
      <c r="K741" s="70"/>
      <c r="L741" s="70"/>
      <c r="M741" s="70"/>
      <c r="N741" s="70"/>
      <c r="O741" s="70"/>
      <c r="P741" s="70"/>
      <c r="Q741" s="70"/>
      <c r="R741" s="70"/>
      <c r="S741" s="70"/>
      <c r="T741" s="70"/>
      <c r="U741" s="70"/>
      <c r="V741" s="70"/>
      <c r="W741" s="70"/>
    </row>
    <row r="742">
      <c r="A742" s="70"/>
      <c r="B742" s="70"/>
      <c r="C742" s="70"/>
      <c r="D742" s="70"/>
      <c r="E742" s="66"/>
      <c r="F742" s="70"/>
      <c r="G742" s="70"/>
      <c r="H742" s="70"/>
      <c r="I742" s="70"/>
      <c r="J742" s="70"/>
      <c r="K742" s="70"/>
      <c r="L742" s="70"/>
      <c r="M742" s="70"/>
      <c r="N742" s="70"/>
      <c r="O742" s="70"/>
      <c r="P742" s="70"/>
      <c r="Q742" s="70"/>
      <c r="R742" s="70"/>
      <c r="S742" s="70"/>
      <c r="T742" s="70"/>
      <c r="U742" s="70"/>
      <c r="V742" s="70"/>
      <c r="W742" s="70"/>
    </row>
    <row r="743">
      <c r="A743" s="70"/>
      <c r="B743" s="70"/>
      <c r="C743" s="70"/>
      <c r="D743" s="70"/>
      <c r="E743" s="66"/>
      <c r="F743" s="70"/>
      <c r="G743" s="70"/>
      <c r="H743" s="70"/>
      <c r="I743" s="70"/>
      <c r="J743" s="70"/>
      <c r="K743" s="70"/>
      <c r="L743" s="70"/>
      <c r="M743" s="70"/>
      <c r="N743" s="70"/>
      <c r="O743" s="70"/>
      <c r="P743" s="70"/>
      <c r="Q743" s="70"/>
      <c r="R743" s="70"/>
      <c r="S743" s="70"/>
      <c r="T743" s="70"/>
      <c r="U743" s="70"/>
      <c r="V743" s="70"/>
      <c r="W743" s="70"/>
    </row>
    <row r="744">
      <c r="A744" s="70"/>
      <c r="B744" s="70"/>
      <c r="C744" s="70"/>
      <c r="D744" s="70"/>
      <c r="E744" s="66"/>
      <c r="F744" s="70"/>
      <c r="G744" s="70"/>
      <c r="H744" s="70"/>
      <c r="I744" s="70"/>
      <c r="J744" s="70"/>
      <c r="K744" s="70"/>
      <c r="L744" s="70"/>
      <c r="M744" s="70"/>
      <c r="N744" s="70"/>
      <c r="O744" s="70"/>
      <c r="P744" s="70"/>
      <c r="Q744" s="70"/>
      <c r="R744" s="70"/>
      <c r="S744" s="70"/>
      <c r="T744" s="70"/>
      <c r="U744" s="70"/>
      <c r="V744" s="70"/>
      <c r="W744" s="70"/>
    </row>
    <row r="745">
      <c r="A745" s="70"/>
      <c r="B745" s="70"/>
      <c r="C745" s="70"/>
      <c r="D745" s="70"/>
      <c r="E745" s="66"/>
      <c r="F745" s="70"/>
      <c r="G745" s="70"/>
      <c r="H745" s="70"/>
      <c r="I745" s="70"/>
      <c r="J745" s="70"/>
      <c r="K745" s="70"/>
      <c r="L745" s="70"/>
      <c r="M745" s="70"/>
      <c r="N745" s="70"/>
      <c r="O745" s="70"/>
      <c r="P745" s="70"/>
      <c r="Q745" s="70"/>
      <c r="R745" s="70"/>
      <c r="S745" s="70"/>
      <c r="T745" s="70"/>
      <c r="U745" s="70"/>
      <c r="V745" s="70"/>
      <c r="W745" s="70"/>
    </row>
    <row r="746">
      <c r="A746" s="70"/>
      <c r="B746" s="70"/>
      <c r="C746" s="70"/>
      <c r="D746" s="70"/>
      <c r="E746" s="66"/>
      <c r="F746" s="70"/>
      <c r="G746" s="70"/>
      <c r="H746" s="70"/>
      <c r="I746" s="70"/>
      <c r="J746" s="70"/>
      <c r="K746" s="70"/>
      <c r="L746" s="70"/>
      <c r="M746" s="70"/>
      <c r="N746" s="70"/>
      <c r="O746" s="70"/>
      <c r="P746" s="70"/>
      <c r="Q746" s="70"/>
      <c r="R746" s="70"/>
      <c r="S746" s="70"/>
      <c r="T746" s="70"/>
      <c r="U746" s="70"/>
      <c r="V746" s="70"/>
      <c r="W746" s="70"/>
    </row>
    <row r="747">
      <c r="A747" s="70"/>
      <c r="B747" s="70"/>
      <c r="C747" s="70"/>
      <c r="D747" s="70"/>
      <c r="E747" s="66"/>
      <c r="F747" s="70"/>
      <c r="G747" s="70"/>
      <c r="H747" s="70"/>
      <c r="I747" s="70"/>
      <c r="J747" s="70"/>
      <c r="K747" s="70"/>
      <c r="L747" s="70"/>
      <c r="M747" s="70"/>
      <c r="N747" s="70"/>
      <c r="O747" s="70"/>
      <c r="P747" s="70"/>
      <c r="Q747" s="70"/>
      <c r="R747" s="70"/>
      <c r="S747" s="70"/>
      <c r="T747" s="70"/>
      <c r="U747" s="70"/>
      <c r="V747" s="70"/>
      <c r="W747" s="70"/>
    </row>
    <row r="748">
      <c r="A748" s="70"/>
      <c r="B748" s="70"/>
      <c r="C748" s="70"/>
      <c r="D748" s="70"/>
      <c r="E748" s="66"/>
      <c r="F748" s="70"/>
      <c r="G748" s="70"/>
      <c r="H748" s="70"/>
      <c r="I748" s="70"/>
      <c r="J748" s="70"/>
      <c r="K748" s="70"/>
      <c r="L748" s="70"/>
      <c r="M748" s="70"/>
      <c r="N748" s="70"/>
      <c r="O748" s="70"/>
      <c r="P748" s="70"/>
      <c r="Q748" s="70"/>
      <c r="R748" s="70"/>
      <c r="S748" s="70"/>
      <c r="T748" s="70"/>
      <c r="U748" s="70"/>
      <c r="V748" s="70"/>
      <c r="W748" s="70"/>
    </row>
    <row r="749">
      <c r="A749" s="70"/>
      <c r="B749" s="70"/>
      <c r="C749" s="70"/>
      <c r="D749" s="70"/>
      <c r="E749" s="66"/>
      <c r="F749" s="70"/>
      <c r="G749" s="70"/>
      <c r="H749" s="70"/>
      <c r="I749" s="70"/>
      <c r="J749" s="70"/>
      <c r="K749" s="70"/>
      <c r="L749" s="70"/>
      <c r="M749" s="70"/>
      <c r="N749" s="70"/>
      <c r="O749" s="70"/>
      <c r="P749" s="70"/>
      <c r="Q749" s="70"/>
      <c r="R749" s="70"/>
      <c r="S749" s="70"/>
      <c r="T749" s="70"/>
      <c r="U749" s="70"/>
      <c r="V749" s="70"/>
      <c r="W749" s="70"/>
    </row>
    <row r="750">
      <c r="A750" s="70"/>
      <c r="B750" s="70"/>
      <c r="C750" s="70"/>
      <c r="D750" s="70"/>
      <c r="E750" s="66"/>
      <c r="F750" s="70"/>
      <c r="G750" s="70"/>
      <c r="H750" s="70"/>
      <c r="I750" s="70"/>
      <c r="J750" s="70"/>
      <c r="K750" s="70"/>
      <c r="L750" s="70"/>
      <c r="M750" s="70"/>
      <c r="N750" s="70"/>
      <c r="O750" s="70"/>
      <c r="P750" s="70"/>
      <c r="Q750" s="70"/>
      <c r="R750" s="70"/>
      <c r="S750" s="70"/>
      <c r="T750" s="70"/>
      <c r="U750" s="70"/>
      <c r="V750" s="70"/>
      <c r="W750" s="70"/>
    </row>
    <row r="751">
      <c r="A751" s="70"/>
      <c r="B751" s="70"/>
      <c r="C751" s="70"/>
      <c r="D751" s="70"/>
      <c r="E751" s="66"/>
      <c r="F751" s="70"/>
      <c r="G751" s="70"/>
      <c r="H751" s="70"/>
      <c r="I751" s="70"/>
      <c r="J751" s="70"/>
      <c r="K751" s="70"/>
      <c r="L751" s="70"/>
      <c r="M751" s="70"/>
      <c r="N751" s="70"/>
      <c r="O751" s="70"/>
      <c r="P751" s="70"/>
      <c r="Q751" s="70"/>
      <c r="R751" s="70"/>
      <c r="S751" s="70"/>
      <c r="T751" s="70"/>
      <c r="U751" s="70"/>
      <c r="V751" s="70"/>
      <c r="W751" s="70"/>
    </row>
    <row r="752">
      <c r="A752" s="70"/>
      <c r="B752" s="70"/>
      <c r="C752" s="70"/>
      <c r="D752" s="70"/>
      <c r="E752" s="66"/>
      <c r="F752" s="70"/>
      <c r="G752" s="70"/>
      <c r="H752" s="70"/>
      <c r="I752" s="70"/>
      <c r="J752" s="70"/>
      <c r="K752" s="70"/>
      <c r="L752" s="70"/>
      <c r="M752" s="70"/>
      <c r="N752" s="70"/>
      <c r="O752" s="70"/>
      <c r="P752" s="70"/>
      <c r="Q752" s="70"/>
      <c r="R752" s="70"/>
      <c r="S752" s="70"/>
      <c r="T752" s="70"/>
      <c r="U752" s="70"/>
      <c r="V752" s="70"/>
      <c r="W752" s="70"/>
    </row>
    <row r="753">
      <c r="A753" s="70"/>
      <c r="B753" s="70"/>
      <c r="C753" s="70"/>
      <c r="D753" s="70"/>
      <c r="E753" s="66"/>
      <c r="F753" s="70"/>
      <c r="G753" s="70"/>
      <c r="H753" s="70"/>
      <c r="I753" s="70"/>
      <c r="J753" s="70"/>
      <c r="K753" s="70"/>
      <c r="L753" s="70"/>
      <c r="M753" s="70"/>
      <c r="N753" s="70"/>
      <c r="O753" s="70"/>
      <c r="P753" s="70"/>
      <c r="Q753" s="70"/>
      <c r="R753" s="70"/>
      <c r="S753" s="70"/>
      <c r="T753" s="70"/>
      <c r="U753" s="70"/>
      <c r="V753" s="70"/>
      <c r="W753" s="70"/>
    </row>
    <row r="754">
      <c r="A754" s="70"/>
      <c r="B754" s="70"/>
      <c r="C754" s="70"/>
      <c r="D754" s="70"/>
      <c r="E754" s="66"/>
      <c r="F754" s="70"/>
      <c r="G754" s="70"/>
      <c r="H754" s="70"/>
      <c r="I754" s="70"/>
      <c r="J754" s="70"/>
      <c r="K754" s="70"/>
      <c r="L754" s="70"/>
      <c r="M754" s="70"/>
      <c r="N754" s="70"/>
      <c r="O754" s="70"/>
      <c r="P754" s="70"/>
      <c r="Q754" s="70"/>
      <c r="R754" s="70"/>
      <c r="S754" s="70"/>
      <c r="T754" s="70"/>
      <c r="U754" s="70"/>
      <c r="V754" s="70"/>
      <c r="W754" s="70"/>
    </row>
    <row r="755">
      <c r="A755" s="70"/>
      <c r="B755" s="70"/>
      <c r="C755" s="70"/>
      <c r="D755" s="70"/>
      <c r="E755" s="66"/>
      <c r="F755" s="70"/>
      <c r="G755" s="70"/>
      <c r="H755" s="70"/>
      <c r="I755" s="70"/>
      <c r="J755" s="70"/>
      <c r="K755" s="70"/>
      <c r="L755" s="70"/>
      <c r="M755" s="70"/>
      <c r="N755" s="70"/>
      <c r="O755" s="70"/>
      <c r="P755" s="70"/>
      <c r="Q755" s="70"/>
      <c r="R755" s="70"/>
      <c r="S755" s="70"/>
      <c r="T755" s="70"/>
      <c r="U755" s="70"/>
      <c r="V755" s="70"/>
      <c r="W755" s="70"/>
    </row>
    <row r="756">
      <c r="A756" s="70"/>
      <c r="B756" s="70"/>
      <c r="C756" s="70"/>
      <c r="D756" s="70"/>
      <c r="E756" s="66"/>
      <c r="F756" s="70"/>
      <c r="G756" s="70"/>
      <c r="H756" s="70"/>
      <c r="I756" s="70"/>
      <c r="J756" s="70"/>
      <c r="K756" s="70"/>
      <c r="L756" s="70"/>
      <c r="M756" s="70"/>
      <c r="N756" s="70"/>
      <c r="O756" s="70"/>
      <c r="P756" s="70"/>
      <c r="Q756" s="70"/>
      <c r="R756" s="70"/>
      <c r="S756" s="70"/>
      <c r="T756" s="70"/>
      <c r="U756" s="70"/>
      <c r="V756" s="70"/>
      <c r="W756" s="70"/>
    </row>
    <row r="757">
      <c r="A757" s="70"/>
      <c r="B757" s="70"/>
      <c r="C757" s="70"/>
      <c r="D757" s="70"/>
      <c r="E757" s="66"/>
      <c r="F757" s="70"/>
      <c r="G757" s="70"/>
      <c r="H757" s="70"/>
      <c r="I757" s="70"/>
      <c r="J757" s="70"/>
      <c r="K757" s="70"/>
      <c r="L757" s="70"/>
      <c r="M757" s="70"/>
      <c r="N757" s="70"/>
      <c r="O757" s="70"/>
      <c r="P757" s="70"/>
      <c r="Q757" s="70"/>
      <c r="R757" s="70"/>
      <c r="S757" s="70"/>
      <c r="T757" s="70"/>
      <c r="U757" s="70"/>
      <c r="V757" s="70"/>
      <c r="W757" s="70"/>
    </row>
    <row r="758">
      <c r="A758" s="70"/>
      <c r="B758" s="70"/>
      <c r="C758" s="70"/>
      <c r="D758" s="70"/>
      <c r="E758" s="66"/>
      <c r="F758" s="70"/>
      <c r="G758" s="70"/>
      <c r="H758" s="70"/>
      <c r="I758" s="70"/>
      <c r="J758" s="70"/>
      <c r="K758" s="70"/>
      <c r="L758" s="70"/>
      <c r="M758" s="70"/>
      <c r="N758" s="70"/>
      <c r="O758" s="70"/>
      <c r="P758" s="70"/>
      <c r="Q758" s="70"/>
      <c r="R758" s="70"/>
      <c r="S758" s="70"/>
      <c r="T758" s="70"/>
      <c r="U758" s="70"/>
      <c r="V758" s="70"/>
      <c r="W758" s="70"/>
    </row>
    <row r="759">
      <c r="A759" s="70"/>
      <c r="B759" s="70"/>
      <c r="C759" s="70"/>
      <c r="D759" s="70"/>
      <c r="E759" s="66"/>
      <c r="F759" s="70"/>
      <c r="G759" s="70"/>
      <c r="H759" s="70"/>
      <c r="I759" s="70"/>
      <c r="J759" s="70"/>
      <c r="K759" s="70"/>
      <c r="L759" s="70"/>
      <c r="M759" s="70"/>
      <c r="N759" s="70"/>
      <c r="O759" s="70"/>
      <c r="P759" s="70"/>
      <c r="Q759" s="70"/>
      <c r="R759" s="70"/>
      <c r="S759" s="70"/>
      <c r="T759" s="70"/>
      <c r="U759" s="70"/>
      <c r="V759" s="70"/>
      <c r="W759" s="70"/>
    </row>
    <row r="760">
      <c r="A760" s="70"/>
      <c r="B760" s="70"/>
      <c r="C760" s="70"/>
      <c r="D760" s="70"/>
      <c r="E760" s="66"/>
      <c r="F760" s="70"/>
      <c r="G760" s="70"/>
      <c r="H760" s="70"/>
      <c r="I760" s="70"/>
      <c r="J760" s="70"/>
      <c r="K760" s="70"/>
      <c r="L760" s="70"/>
      <c r="M760" s="70"/>
      <c r="N760" s="70"/>
      <c r="O760" s="70"/>
      <c r="P760" s="70"/>
      <c r="Q760" s="70"/>
      <c r="R760" s="70"/>
      <c r="S760" s="70"/>
      <c r="T760" s="70"/>
      <c r="U760" s="70"/>
      <c r="V760" s="70"/>
      <c r="W760" s="70"/>
    </row>
    <row r="761">
      <c r="A761" s="70"/>
      <c r="B761" s="70"/>
      <c r="C761" s="70"/>
      <c r="D761" s="70"/>
      <c r="E761" s="66"/>
      <c r="F761" s="70"/>
      <c r="G761" s="70"/>
      <c r="H761" s="70"/>
      <c r="I761" s="70"/>
      <c r="J761" s="70"/>
      <c r="K761" s="70"/>
      <c r="L761" s="70"/>
      <c r="M761" s="70"/>
      <c r="N761" s="70"/>
      <c r="O761" s="70"/>
      <c r="P761" s="70"/>
      <c r="Q761" s="70"/>
      <c r="R761" s="70"/>
      <c r="S761" s="70"/>
      <c r="T761" s="70"/>
      <c r="U761" s="70"/>
      <c r="V761" s="70"/>
      <c r="W761" s="70"/>
    </row>
    <row r="762">
      <c r="A762" s="70"/>
      <c r="B762" s="70"/>
      <c r="C762" s="70"/>
      <c r="D762" s="70"/>
      <c r="E762" s="66"/>
      <c r="F762" s="70"/>
      <c r="G762" s="70"/>
      <c r="H762" s="70"/>
      <c r="I762" s="70"/>
      <c r="J762" s="70"/>
      <c r="K762" s="70"/>
      <c r="L762" s="70"/>
      <c r="M762" s="70"/>
      <c r="N762" s="70"/>
      <c r="O762" s="70"/>
      <c r="P762" s="70"/>
      <c r="Q762" s="70"/>
      <c r="R762" s="70"/>
      <c r="S762" s="70"/>
      <c r="T762" s="70"/>
      <c r="U762" s="70"/>
      <c r="V762" s="70"/>
      <c r="W762" s="70"/>
    </row>
    <row r="763">
      <c r="A763" s="70"/>
      <c r="B763" s="70"/>
      <c r="C763" s="70"/>
      <c r="D763" s="70"/>
      <c r="E763" s="66"/>
      <c r="F763" s="70"/>
      <c r="G763" s="70"/>
      <c r="H763" s="70"/>
      <c r="I763" s="70"/>
      <c r="J763" s="70"/>
      <c r="K763" s="70"/>
      <c r="L763" s="70"/>
      <c r="M763" s="70"/>
      <c r="N763" s="70"/>
      <c r="O763" s="70"/>
      <c r="P763" s="70"/>
      <c r="Q763" s="70"/>
      <c r="R763" s="70"/>
      <c r="S763" s="70"/>
      <c r="T763" s="70"/>
      <c r="U763" s="70"/>
      <c r="V763" s="70"/>
      <c r="W763" s="70"/>
    </row>
    <row r="764">
      <c r="A764" s="70"/>
      <c r="B764" s="70"/>
      <c r="C764" s="70"/>
      <c r="D764" s="70"/>
      <c r="E764" s="66"/>
      <c r="F764" s="70"/>
      <c r="G764" s="70"/>
      <c r="H764" s="70"/>
      <c r="I764" s="70"/>
      <c r="J764" s="70"/>
      <c r="K764" s="70"/>
      <c r="L764" s="70"/>
      <c r="M764" s="70"/>
      <c r="N764" s="70"/>
      <c r="O764" s="70"/>
      <c r="P764" s="70"/>
      <c r="Q764" s="70"/>
      <c r="R764" s="70"/>
      <c r="S764" s="70"/>
      <c r="T764" s="70"/>
      <c r="U764" s="70"/>
      <c r="V764" s="70"/>
      <c r="W764" s="70"/>
    </row>
    <row r="765">
      <c r="A765" s="70"/>
      <c r="B765" s="70"/>
      <c r="C765" s="70"/>
      <c r="D765" s="70"/>
      <c r="E765" s="66"/>
      <c r="F765" s="70"/>
      <c r="G765" s="70"/>
      <c r="H765" s="70"/>
      <c r="I765" s="70"/>
      <c r="J765" s="70"/>
      <c r="K765" s="70"/>
      <c r="L765" s="70"/>
      <c r="M765" s="70"/>
      <c r="N765" s="70"/>
      <c r="O765" s="70"/>
      <c r="P765" s="70"/>
      <c r="Q765" s="70"/>
      <c r="R765" s="70"/>
      <c r="S765" s="70"/>
      <c r="T765" s="70"/>
      <c r="U765" s="70"/>
      <c r="V765" s="70"/>
      <c r="W765" s="70"/>
    </row>
    <row r="766">
      <c r="A766" s="70"/>
      <c r="B766" s="70"/>
      <c r="C766" s="70"/>
      <c r="D766" s="70"/>
      <c r="E766" s="66"/>
      <c r="F766" s="70"/>
      <c r="G766" s="70"/>
      <c r="H766" s="70"/>
      <c r="I766" s="70"/>
      <c r="J766" s="70"/>
      <c r="K766" s="70"/>
      <c r="L766" s="70"/>
      <c r="M766" s="70"/>
      <c r="N766" s="70"/>
      <c r="O766" s="70"/>
      <c r="P766" s="70"/>
      <c r="Q766" s="70"/>
      <c r="R766" s="70"/>
      <c r="S766" s="70"/>
      <c r="T766" s="70"/>
      <c r="U766" s="70"/>
      <c r="V766" s="70"/>
      <c r="W766" s="70"/>
    </row>
    <row r="767">
      <c r="A767" s="70"/>
      <c r="B767" s="70"/>
      <c r="C767" s="70"/>
      <c r="D767" s="70"/>
      <c r="E767" s="66"/>
      <c r="F767" s="70"/>
      <c r="G767" s="70"/>
      <c r="H767" s="70"/>
      <c r="I767" s="70"/>
      <c r="J767" s="70"/>
      <c r="K767" s="70"/>
      <c r="L767" s="70"/>
      <c r="M767" s="70"/>
      <c r="N767" s="70"/>
      <c r="O767" s="70"/>
      <c r="P767" s="70"/>
      <c r="Q767" s="70"/>
      <c r="R767" s="70"/>
      <c r="S767" s="70"/>
      <c r="T767" s="70"/>
      <c r="U767" s="70"/>
      <c r="V767" s="70"/>
      <c r="W767" s="70"/>
    </row>
    <row r="768">
      <c r="A768" s="70"/>
      <c r="B768" s="70"/>
      <c r="C768" s="70"/>
      <c r="D768" s="70"/>
      <c r="E768" s="66"/>
      <c r="F768" s="70"/>
      <c r="G768" s="70"/>
      <c r="H768" s="70"/>
      <c r="I768" s="70"/>
      <c r="J768" s="70"/>
      <c r="K768" s="70"/>
      <c r="L768" s="70"/>
      <c r="M768" s="70"/>
      <c r="N768" s="70"/>
      <c r="O768" s="70"/>
      <c r="P768" s="70"/>
      <c r="Q768" s="70"/>
      <c r="R768" s="70"/>
      <c r="S768" s="70"/>
      <c r="T768" s="70"/>
      <c r="U768" s="70"/>
      <c r="V768" s="70"/>
      <c r="W768" s="70"/>
    </row>
    <row r="769">
      <c r="A769" s="70"/>
      <c r="B769" s="70"/>
      <c r="C769" s="70"/>
      <c r="D769" s="70"/>
      <c r="E769" s="66"/>
      <c r="F769" s="70"/>
      <c r="G769" s="70"/>
      <c r="H769" s="70"/>
      <c r="I769" s="70"/>
      <c r="J769" s="70"/>
      <c r="K769" s="70"/>
      <c r="L769" s="70"/>
      <c r="M769" s="70"/>
      <c r="N769" s="70"/>
      <c r="O769" s="70"/>
      <c r="P769" s="70"/>
      <c r="Q769" s="70"/>
      <c r="R769" s="70"/>
      <c r="S769" s="70"/>
      <c r="T769" s="70"/>
      <c r="U769" s="70"/>
      <c r="V769" s="70"/>
      <c r="W769" s="70"/>
    </row>
    <row r="770">
      <c r="A770" s="70"/>
      <c r="B770" s="70"/>
      <c r="C770" s="70"/>
      <c r="D770" s="70"/>
      <c r="E770" s="66"/>
      <c r="F770" s="70"/>
      <c r="G770" s="70"/>
      <c r="H770" s="70"/>
      <c r="I770" s="70"/>
      <c r="J770" s="70"/>
      <c r="K770" s="70"/>
      <c r="L770" s="70"/>
      <c r="M770" s="70"/>
      <c r="N770" s="70"/>
      <c r="O770" s="70"/>
      <c r="P770" s="70"/>
      <c r="Q770" s="70"/>
      <c r="R770" s="70"/>
      <c r="S770" s="70"/>
      <c r="T770" s="70"/>
      <c r="U770" s="70"/>
      <c r="V770" s="70"/>
      <c r="W770" s="70"/>
    </row>
    <row r="771">
      <c r="A771" s="70"/>
      <c r="B771" s="70"/>
      <c r="C771" s="70"/>
      <c r="D771" s="70"/>
      <c r="E771" s="66"/>
      <c r="F771" s="70"/>
      <c r="G771" s="70"/>
      <c r="H771" s="70"/>
      <c r="I771" s="70"/>
      <c r="J771" s="70"/>
      <c r="K771" s="70"/>
      <c r="L771" s="70"/>
      <c r="M771" s="70"/>
      <c r="N771" s="70"/>
      <c r="O771" s="70"/>
      <c r="P771" s="70"/>
      <c r="Q771" s="70"/>
      <c r="R771" s="70"/>
      <c r="S771" s="70"/>
      <c r="T771" s="70"/>
      <c r="U771" s="70"/>
      <c r="V771" s="70"/>
      <c r="W771" s="70"/>
    </row>
    <row r="772">
      <c r="A772" s="70"/>
      <c r="B772" s="70"/>
      <c r="C772" s="70"/>
      <c r="D772" s="70"/>
      <c r="E772" s="66"/>
      <c r="F772" s="70"/>
      <c r="G772" s="70"/>
      <c r="H772" s="70"/>
      <c r="I772" s="70"/>
      <c r="J772" s="70"/>
      <c r="K772" s="70"/>
      <c r="L772" s="70"/>
      <c r="M772" s="70"/>
      <c r="N772" s="70"/>
      <c r="O772" s="70"/>
      <c r="P772" s="70"/>
      <c r="Q772" s="70"/>
      <c r="R772" s="70"/>
      <c r="S772" s="70"/>
      <c r="T772" s="70"/>
      <c r="U772" s="70"/>
      <c r="V772" s="70"/>
      <c r="W772" s="70"/>
    </row>
    <row r="773">
      <c r="A773" s="70"/>
      <c r="B773" s="70"/>
      <c r="C773" s="70"/>
      <c r="D773" s="70"/>
      <c r="E773" s="66"/>
      <c r="F773" s="70"/>
      <c r="G773" s="70"/>
      <c r="H773" s="70"/>
      <c r="I773" s="70"/>
      <c r="J773" s="70"/>
      <c r="K773" s="70"/>
      <c r="L773" s="70"/>
      <c r="M773" s="70"/>
      <c r="N773" s="70"/>
      <c r="O773" s="70"/>
      <c r="P773" s="70"/>
      <c r="Q773" s="70"/>
      <c r="R773" s="70"/>
      <c r="S773" s="70"/>
      <c r="T773" s="70"/>
      <c r="U773" s="70"/>
      <c r="V773" s="70"/>
      <c r="W773" s="70"/>
    </row>
    <row r="774">
      <c r="A774" s="70"/>
      <c r="B774" s="70"/>
      <c r="C774" s="70"/>
      <c r="D774" s="70"/>
      <c r="E774" s="66"/>
      <c r="F774" s="70"/>
      <c r="G774" s="70"/>
      <c r="H774" s="70"/>
      <c r="I774" s="70"/>
      <c r="J774" s="70"/>
      <c r="K774" s="70"/>
      <c r="L774" s="70"/>
      <c r="M774" s="70"/>
      <c r="N774" s="70"/>
      <c r="O774" s="70"/>
      <c r="P774" s="70"/>
      <c r="Q774" s="70"/>
      <c r="R774" s="70"/>
      <c r="S774" s="70"/>
      <c r="T774" s="70"/>
      <c r="U774" s="70"/>
      <c r="V774" s="70"/>
      <c r="W774" s="70"/>
    </row>
    <row r="775">
      <c r="A775" s="70"/>
      <c r="B775" s="70"/>
      <c r="C775" s="70"/>
      <c r="D775" s="70"/>
      <c r="E775" s="66"/>
      <c r="F775" s="70"/>
      <c r="G775" s="70"/>
      <c r="H775" s="70"/>
      <c r="I775" s="70"/>
      <c r="J775" s="70"/>
      <c r="K775" s="70"/>
      <c r="L775" s="70"/>
      <c r="M775" s="70"/>
      <c r="N775" s="70"/>
      <c r="O775" s="70"/>
      <c r="P775" s="70"/>
      <c r="Q775" s="70"/>
      <c r="R775" s="70"/>
      <c r="S775" s="70"/>
      <c r="T775" s="70"/>
      <c r="U775" s="70"/>
      <c r="V775" s="70"/>
      <c r="W775" s="70"/>
    </row>
    <row r="776">
      <c r="A776" s="70"/>
      <c r="B776" s="70"/>
      <c r="C776" s="70"/>
      <c r="D776" s="70"/>
      <c r="E776" s="66"/>
      <c r="F776" s="70"/>
      <c r="G776" s="70"/>
      <c r="H776" s="70"/>
      <c r="I776" s="70"/>
      <c r="J776" s="70"/>
      <c r="K776" s="70"/>
      <c r="L776" s="70"/>
      <c r="M776" s="70"/>
      <c r="N776" s="70"/>
      <c r="O776" s="70"/>
      <c r="P776" s="70"/>
      <c r="Q776" s="70"/>
      <c r="R776" s="70"/>
      <c r="S776" s="70"/>
      <c r="T776" s="70"/>
      <c r="U776" s="70"/>
      <c r="V776" s="70"/>
      <c r="W776" s="70"/>
    </row>
    <row r="777">
      <c r="A777" s="70"/>
      <c r="B777" s="70"/>
      <c r="C777" s="70"/>
      <c r="D777" s="70"/>
      <c r="E777" s="66"/>
      <c r="F777" s="70"/>
      <c r="G777" s="70"/>
      <c r="H777" s="70"/>
      <c r="I777" s="70"/>
      <c r="J777" s="70"/>
      <c r="K777" s="70"/>
      <c r="L777" s="70"/>
      <c r="M777" s="70"/>
      <c r="N777" s="70"/>
      <c r="O777" s="70"/>
      <c r="P777" s="70"/>
      <c r="Q777" s="70"/>
      <c r="R777" s="70"/>
      <c r="S777" s="70"/>
      <c r="T777" s="70"/>
      <c r="U777" s="70"/>
      <c r="V777" s="70"/>
      <c r="W777" s="70"/>
    </row>
    <row r="778">
      <c r="A778" s="70"/>
      <c r="B778" s="70"/>
      <c r="C778" s="70"/>
      <c r="D778" s="70"/>
      <c r="E778" s="66"/>
      <c r="F778" s="70"/>
      <c r="G778" s="70"/>
      <c r="H778" s="70"/>
      <c r="I778" s="70"/>
      <c r="J778" s="70"/>
      <c r="K778" s="70"/>
      <c r="L778" s="70"/>
      <c r="M778" s="70"/>
      <c r="N778" s="70"/>
      <c r="O778" s="70"/>
      <c r="P778" s="70"/>
      <c r="Q778" s="70"/>
      <c r="R778" s="70"/>
      <c r="S778" s="70"/>
      <c r="T778" s="70"/>
      <c r="U778" s="70"/>
      <c r="V778" s="70"/>
      <c r="W778" s="70"/>
    </row>
    <row r="779">
      <c r="A779" s="70"/>
      <c r="B779" s="70"/>
      <c r="C779" s="70"/>
      <c r="D779" s="70"/>
      <c r="E779" s="66"/>
      <c r="F779" s="70"/>
      <c r="G779" s="70"/>
      <c r="H779" s="70"/>
      <c r="I779" s="70"/>
      <c r="J779" s="70"/>
      <c r="K779" s="70"/>
      <c r="L779" s="70"/>
      <c r="M779" s="70"/>
      <c r="N779" s="70"/>
      <c r="O779" s="70"/>
      <c r="P779" s="70"/>
      <c r="Q779" s="70"/>
      <c r="R779" s="70"/>
      <c r="S779" s="70"/>
      <c r="T779" s="70"/>
      <c r="U779" s="70"/>
      <c r="V779" s="70"/>
      <c r="W779" s="70"/>
    </row>
    <row r="780">
      <c r="A780" s="70"/>
      <c r="B780" s="70"/>
      <c r="C780" s="70"/>
      <c r="D780" s="70"/>
      <c r="E780" s="66"/>
      <c r="F780" s="70"/>
      <c r="G780" s="70"/>
      <c r="H780" s="70"/>
      <c r="I780" s="70"/>
      <c r="J780" s="70"/>
      <c r="K780" s="70"/>
      <c r="L780" s="70"/>
      <c r="M780" s="70"/>
      <c r="N780" s="70"/>
      <c r="O780" s="70"/>
      <c r="P780" s="70"/>
      <c r="Q780" s="70"/>
      <c r="R780" s="70"/>
      <c r="S780" s="70"/>
      <c r="T780" s="70"/>
      <c r="U780" s="70"/>
      <c r="V780" s="70"/>
      <c r="W780" s="70"/>
    </row>
    <row r="781">
      <c r="A781" s="70"/>
      <c r="B781" s="70"/>
      <c r="C781" s="70"/>
      <c r="D781" s="70"/>
      <c r="E781" s="66"/>
      <c r="F781" s="70"/>
      <c r="G781" s="70"/>
      <c r="H781" s="70"/>
      <c r="I781" s="70"/>
      <c r="J781" s="70"/>
      <c r="K781" s="70"/>
      <c r="L781" s="70"/>
      <c r="M781" s="70"/>
      <c r="N781" s="70"/>
      <c r="O781" s="70"/>
      <c r="P781" s="70"/>
      <c r="Q781" s="70"/>
      <c r="R781" s="70"/>
      <c r="S781" s="70"/>
      <c r="T781" s="70"/>
      <c r="U781" s="70"/>
      <c r="V781" s="70"/>
      <c r="W781" s="70"/>
    </row>
    <row r="782">
      <c r="A782" s="70"/>
      <c r="B782" s="70"/>
      <c r="C782" s="70"/>
      <c r="D782" s="70"/>
      <c r="E782" s="66"/>
      <c r="F782" s="70"/>
      <c r="G782" s="70"/>
      <c r="H782" s="70"/>
      <c r="I782" s="70"/>
      <c r="J782" s="70"/>
      <c r="K782" s="70"/>
      <c r="L782" s="70"/>
      <c r="M782" s="70"/>
      <c r="N782" s="70"/>
      <c r="O782" s="70"/>
      <c r="P782" s="70"/>
      <c r="Q782" s="70"/>
      <c r="R782" s="70"/>
      <c r="S782" s="70"/>
      <c r="T782" s="70"/>
      <c r="U782" s="70"/>
      <c r="V782" s="70"/>
      <c r="W782" s="70"/>
    </row>
    <row r="783">
      <c r="A783" s="70"/>
      <c r="B783" s="70"/>
      <c r="C783" s="70"/>
      <c r="D783" s="70"/>
      <c r="E783" s="66"/>
      <c r="F783" s="70"/>
      <c r="G783" s="70"/>
      <c r="H783" s="70"/>
      <c r="I783" s="70"/>
      <c r="J783" s="70"/>
      <c r="K783" s="70"/>
      <c r="L783" s="70"/>
      <c r="M783" s="70"/>
      <c r="N783" s="70"/>
      <c r="O783" s="70"/>
      <c r="P783" s="70"/>
      <c r="Q783" s="70"/>
      <c r="R783" s="70"/>
      <c r="S783" s="70"/>
      <c r="T783" s="70"/>
      <c r="U783" s="70"/>
      <c r="V783" s="70"/>
      <c r="W783" s="70"/>
    </row>
    <row r="784">
      <c r="A784" s="70"/>
      <c r="B784" s="70"/>
      <c r="C784" s="70"/>
      <c r="D784" s="70"/>
      <c r="E784" s="66"/>
      <c r="F784" s="70"/>
      <c r="G784" s="70"/>
      <c r="H784" s="70"/>
      <c r="I784" s="70"/>
      <c r="J784" s="70"/>
      <c r="K784" s="70"/>
      <c r="L784" s="70"/>
      <c r="M784" s="70"/>
      <c r="N784" s="70"/>
      <c r="O784" s="70"/>
      <c r="P784" s="70"/>
      <c r="Q784" s="70"/>
      <c r="R784" s="70"/>
      <c r="S784" s="70"/>
      <c r="T784" s="70"/>
      <c r="U784" s="70"/>
      <c r="V784" s="70"/>
      <c r="W784" s="70"/>
    </row>
    <row r="785">
      <c r="A785" s="70"/>
      <c r="B785" s="70"/>
      <c r="C785" s="70"/>
      <c r="D785" s="70"/>
      <c r="E785" s="66"/>
      <c r="F785" s="70"/>
      <c r="G785" s="70"/>
      <c r="H785" s="70"/>
      <c r="I785" s="70"/>
      <c r="J785" s="70"/>
      <c r="K785" s="70"/>
      <c r="L785" s="70"/>
      <c r="M785" s="70"/>
      <c r="N785" s="70"/>
      <c r="O785" s="70"/>
      <c r="P785" s="70"/>
      <c r="Q785" s="70"/>
      <c r="R785" s="70"/>
      <c r="S785" s="70"/>
      <c r="T785" s="70"/>
      <c r="U785" s="70"/>
      <c r="V785" s="70"/>
      <c r="W785" s="70"/>
    </row>
    <row r="786">
      <c r="A786" s="70"/>
      <c r="B786" s="70"/>
      <c r="C786" s="70"/>
      <c r="D786" s="70"/>
      <c r="E786" s="66"/>
      <c r="F786" s="70"/>
      <c r="G786" s="70"/>
      <c r="H786" s="70"/>
      <c r="I786" s="70"/>
      <c r="J786" s="70"/>
      <c r="K786" s="70"/>
      <c r="L786" s="70"/>
      <c r="M786" s="70"/>
      <c r="N786" s="70"/>
      <c r="O786" s="70"/>
      <c r="P786" s="70"/>
      <c r="Q786" s="70"/>
      <c r="R786" s="70"/>
      <c r="S786" s="70"/>
      <c r="T786" s="70"/>
      <c r="U786" s="70"/>
      <c r="V786" s="70"/>
      <c r="W786" s="70"/>
    </row>
    <row r="787">
      <c r="A787" s="70"/>
      <c r="B787" s="70"/>
      <c r="C787" s="70"/>
      <c r="D787" s="70"/>
      <c r="E787" s="66"/>
      <c r="F787" s="70"/>
      <c r="G787" s="70"/>
      <c r="H787" s="70"/>
      <c r="I787" s="70"/>
      <c r="J787" s="70"/>
      <c r="K787" s="70"/>
      <c r="L787" s="70"/>
      <c r="M787" s="70"/>
      <c r="N787" s="70"/>
      <c r="O787" s="70"/>
      <c r="P787" s="70"/>
      <c r="Q787" s="70"/>
      <c r="R787" s="70"/>
      <c r="S787" s="70"/>
      <c r="T787" s="70"/>
      <c r="U787" s="70"/>
      <c r="V787" s="70"/>
      <c r="W787" s="70"/>
    </row>
    <row r="788">
      <c r="A788" s="70"/>
      <c r="B788" s="70"/>
      <c r="C788" s="70"/>
      <c r="D788" s="70"/>
      <c r="E788" s="66"/>
      <c r="F788" s="70"/>
      <c r="G788" s="70"/>
      <c r="H788" s="70"/>
      <c r="I788" s="70"/>
      <c r="J788" s="70"/>
      <c r="K788" s="70"/>
      <c r="L788" s="70"/>
      <c r="M788" s="70"/>
      <c r="N788" s="70"/>
      <c r="O788" s="70"/>
      <c r="P788" s="70"/>
      <c r="Q788" s="70"/>
      <c r="R788" s="70"/>
      <c r="S788" s="70"/>
      <c r="T788" s="70"/>
      <c r="U788" s="70"/>
      <c r="V788" s="70"/>
      <c r="W788" s="70"/>
    </row>
    <row r="789">
      <c r="A789" s="70"/>
      <c r="B789" s="70"/>
      <c r="C789" s="70"/>
      <c r="D789" s="70"/>
      <c r="E789" s="66"/>
      <c r="F789" s="70"/>
      <c r="G789" s="70"/>
      <c r="H789" s="70"/>
      <c r="I789" s="70"/>
      <c r="J789" s="70"/>
      <c r="K789" s="70"/>
      <c r="L789" s="70"/>
      <c r="M789" s="70"/>
      <c r="N789" s="70"/>
      <c r="O789" s="70"/>
      <c r="P789" s="70"/>
      <c r="Q789" s="70"/>
      <c r="R789" s="70"/>
      <c r="S789" s="70"/>
      <c r="T789" s="70"/>
      <c r="U789" s="70"/>
      <c r="V789" s="70"/>
      <c r="W789" s="70"/>
    </row>
    <row r="790">
      <c r="A790" s="70"/>
      <c r="B790" s="70"/>
      <c r="C790" s="70"/>
      <c r="D790" s="70"/>
      <c r="E790" s="66"/>
      <c r="F790" s="70"/>
      <c r="G790" s="70"/>
      <c r="H790" s="70"/>
      <c r="I790" s="70"/>
      <c r="J790" s="70"/>
      <c r="K790" s="70"/>
      <c r="L790" s="70"/>
      <c r="M790" s="70"/>
      <c r="N790" s="70"/>
      <c r="O790" s="70"/>
      <c r="P790" s="70"/>
      <c r="Q790" s="70"/>
      <c r="R790" s="70"/>
      <c r="S790" s="70"/>
      <c r="T790" s="70"/>
      <c r="U790" s="70"/>
      <c r="V790" s="70"/>
      <c r="W790" s="70"/>
    </row>
    <row r="791">
      <c r="A791" s="70"/>
      <c r="B791" s="70"/>
      <c r="C791" s="70"/>
      <c r="D791" s="70"/>
      <c r="E791" s="66"/>
      <c r="F791" s="70"/>
      <c r="G791" s="70"/>
      <c r="H791" s="70"/>
      <c r="I791" s="70"/>
      <c r="J791" s="70"/>
      <c r="K791" s="70"/>
      <c r="L791" s="70"/>
      <c r="M791" s="70"/>
      <c r="N791" s="70"/>
      <c r="O791" s="70"/>
      <c r="P791" s="70"/>
      <c r="Q791" s="70"/>
      <c r="R791" s="70"/>
      <c r="S791" s="70"/>
      <c r="T791" s="70"/>
      <c r="U791" s="70"/>
      <c r="V791" s="70"/>
      <c r="W791" s="70"/>
    </row>
    <row r="792">
      <c r="A792" s="70"/>
      <c r="B792" s="70"/>
      <c r="C792" s="70"/>
      <c r="D792" s="70"/>
      <c r="E792" s="66"/>
      <c r="F792" s="70"/>
      <c r="G792" s="70"/>
      <c r="H792" s="70"/>
      <c r="I792" s="70"/>
      <c r="J792" s="70"/>
      <c r="K792" s="70"/>
      <c r="L792" s="70"/>
      <c r="M792" s="70"/>
      <c r="N792" s="70"/>
      <c r="O792" s="70"/>
      <c r="P792" s="70"/>
      <c r="Q792" s="70"/>
      <c r="R792" s="70"/>
      <c r="S792" s="70"/>
      <c r="T792" s="70"/>
      <c r="U792" s="70"/>
      <c r="V792" s="70"/>
      <c r="W792" s="70"/>
    </row>
    <row r="793">
      <c r="A793" s="70"/>
      <c r="B793" s="70"/>
      <c r="C793" s="70"/>
      <c r="D793" s="70"/>
      <c r="E793" s="66"/>
      <c r="F793" s="70"/>
      <c r="G793" s="70"/>
      <c r="H793" s="70"/>
      <c r="I793" s="70"/>
      <c r="J793" s="70"/>
      <c r="K793" s="70"/>
      <c r="L793" s="70"/>
      <c r="M793" s="70"/>
      <c r="N793" s="70"/>
      <c r="O793" s="70"/>
      <c r="P793" s="70"/>
      <c r="Q793" s="70"/>
      <c r="R793" s="70"/>
      <c r="S793" s="70"/>
      <c r="T793" s="70"/>
      <c r="U793" s="70"/>
      <c r="V793" s="70"/>
      <c r="W793" s="70"/>
    </row>
    <row r="794">
      <c r="A794" s="70"/>
      <c r="B794" s="70"/>
      <c r="C794" s="70"/>
      <c r="D794" s="70"/>
      <c r="E794" s="66"/>
      <c r="F794" s="70"/>
      <c r="G794" s="70"/>
      <c r="H794" s="70"/>
      <c r="I794" s="70"/>
      <c r="J794" s="70"/>
      <c r="K794" s="70"/>
      <c r="L794" s="70"/>
      <c r="M794" s="70"/>
      <c r="N794" s="70"/>
      <c r="O794" s="70"/>
      <c r="P794" s="70"/>
      <c r="Q794" s="70"/>
      <c r="R794" s="70"/>
      <c r="S794" s="70"/>
      <c r="T794" s="70"/>
      <c r="U794" s="70"/>
      <c r="V794" s="70"/>
      <c r="W794" s="70"/>
    </row>
    <row r="795">
      <c r="A795" s="70"/>
      <c r="B795" s="70"/>
      <c r="C795" s="70"/>
      <c r="D795" s="70"/>
      <c r="E795" s="66"/>
      <c r="F795" s="70"/>
      <c r="G795" s="70"/>
      <c r="H795" s="70"/>
      <c r="I795" s="70"/>
      <c r="J795" s="70"/>
      <c r="K795" s="70"/>
      <c r="L795" s="70"/>
      <c r="M795" s="70"/>
      <c r="N795" s="70"/>
      <c r="O795" s="70"/>
      <c r="P795" s="70"/>
      <c r="Q795" s="70"/>
      <c r="R795" s="70"/>
      <c r="S795" s="70"/>
      <c r="T795" s="70"/>
      <c r="U795" s="70"/>
      <c r="V795" s="70"/>
      <c r="W795" s="70"/>
    </row>
    <row r="796">
      <c r="A796" s="70"/>
      <c r="B796" s="70"/>
      <c r="C796" s="70"/>
      <c r="D796" s="70"/>
      <c r="E796" s="66"/>
      <c r="F796" s="70"/>
      <c r="G796" s="70"/>
      <c r="H796" s="70"/>
      <c r="I796" s="70"/>
      <c r="J796" s="70"/>
      <c r="K796" s="70"/>
      <c r="L796" s="70"/>
      <c r="M796" s="70"/>
      <c r="N796" s="70"/>
      <c r="O796" s="70"/>
      <c r="P796" s="70"/>
      <c r="Q796" s="70"/>
      <c r="R796" s="70"/>
      <c r="S796" s="70"/>
      <c r="T796" s="70"/>
      <c r="U796" s="70"/>
      <c r="V796" s="70"/>
      <c r="W796" s="70"/>
    </row>
    <row r="797">
      <c r="A797" s="70"/>
      <c r="B797" s="70"/>
      <c r="C797" s="70"/>
      <c r="D797" s="70"/>
      <c r="E797" s="66"/>
      <c r="F797" s="70"/>
      <c r="G797" s="70"/>
      <c r="H797" s="70"/>
      <c r="I797" s="70"/>
      <c r="J797" s="70"/>
      <c r="K797" s="70"/>
      <c r="L797" s="70"/>
      <c r="M797" s="70"/>
      <c r="N797" s="70"/>
      <c r="O797" s="70"/>
      <c r="P797" s="70"/>
      <c r="Q797" s="70"/>
      <c r="R797" s="70"/>
      <c r="S797" s="70"/>
      <c r="T797" s="70"/>
      <c r="U797" s="70"/>
      <c r="V797" s="70"/>
      <c r="W797" s="70"/>
    </row>
    <row r="798">
      <c r="A798" s="70"/>
      <c r="B798" s="70"/>
      <c r="C798" s="70"/>
      <c r="D798" s="70"/>
      <c r="E798" s="66"/>
      <c r="F798" s="70"/>
      <c r="G798" s="70"/>
      <c r="H798" s="70"/>
      <c r="I798" s="70"/>
      <c r="J798" s="70"/>
      <c r="K798" s="70"/>
      <c r="L798" s="70"/>
      <c r="M798" s="70"/>
      <c r="N798" s="70"/>
      <c r="O798" s="70"/>
      <c r="P798" s="70"/>
      <c r="Q798" s="70"/>
      <c r="R798" s="70"/>
      <c r="S798" s="70"/>
      <c r="T798" s="70"/>
      <c r="U798" s="70"/>
      <c r="V798" s="70"/>
      <c r="W798" s="70"/>
    </row>
    <row r="799">
      <c r="A799" s="70"/>
      <c r="B799" s="70"/>
      <c r="C799" s="70"/>
      <c r="D799" s="70"/>
      <c r="E799" s="66"/>
      <c r="F799" s="70"/>
      <c r="G799" s="70"/>
      <c r="H799" s="70"/>
      <c r="I799" s="70"/>
      <c r="J799" s="70"/>
      <c r="K799" s="70"/>
      <c r="L799" s="70"/>
      <c r="M799" s="70"/>
      <c r="N799" s="70"/>
      <c r="O799" s="70"/>
      <c r="P799" s="70"/>
      <c r="Q799" s="70"/>
      <c r="R799" s="70"/>
      <c r="S799" s="70"/>
      <c r="T799" s="70"/>
      <c r="U799" s="70"/>
      <c r="V799" s="70"/>
      <c r="W799" s="70"/>
    </row>
    <row r="800">
      <c r="A800" s="70"/>
      <c r="B800" s="70"/>
      <c r="C800" s="70"/>
      <c r="D800" s="70"/>
      <c r="E800" s="66"/>
      <c r="F800" s="70"/>
      <c r="G800" s="70"/>
      <c r="H800" s="70"/>
      <c r="I800" s="70"/>
      <c r="J800" s="70"/>
      <c r="K800" s="70"/>
      <c r="L800" s="70"/>
      <c r="M800" s="70"/>
      <c r="N800" s="70"/>
      <c r="O800" s="70"/>
      <c r="P800" s="70"/>
      <c r="Q800" s="70"/>
      <c r="R800" s="70"/>
      <c r="S800" s="70"/>
      <c r="T800" s="70"/>
      <c r="U800" s="70"/>
      <c r="V800" s="70"/>
      <c r="W800" s="70"/>
    </row>
    <row r="801">
      <c r="A801" s="70"/>
      <c r="B801" s="70"/>
      <c r="C801" s="70"/>
      <c r="D801" s="70"/>
      <c r="E801" s="66"/>
      <c r="F801" s="70"/>
      <c r="G801" s="70"/>
      <c r="H801" s="70"/>
      <c r="I801" s="70"/>
      <c r="J801" s="70"/>
      <c r="K801" s="70"/>
      <c r="L801" s="70"/>
      <c r="M801" s="70"/>
      <c r="N801" s="70"/>
      <c r="O801" s="70"/>
      <c r="P801" s="70"/>
      <c r="Q801" s="70"/>
      <c r="R801" s="70"/>
      <c r="S801" s="70"/>
      <c r="T801" s="70"/>
      <c r="U801" s="70"/>
      <c r="V801" s="70"/>
      <c r="W801" s="70"/>
    </row>
    <row r="802">
      <c r="A802" s="70"/>
      <c r="B802" s="70"/>
      <c r="C802" s="70"/>
      <c r="D802" s="70"/>
      <c r="E802" s="66"/>
      <c r="F802" s="70"/>
      <c r="G802" s="70"/>
      <c r="H802" s="70"/>
      <c r="I802" s="70"/>
      <c r="J802" s="70"/>
      <c r="K802" s="70"/>
      <c r="L802" s="70"/>
      <c r="M802" s="70"/>
      <c r="N802" s="70"/>
      <c r="O802" s="70"/>
      <c r="P802" s="70"/>
      <c r="Q802" s="70"/>
      <c r="R802" s="70"/>
      <c r="S802" s="70"/>
      <c r="T802" s="70"/>
      <c r="U802" s="70"/>
      <c r="V802" s="70"/>
      <c r="W802" s="70"/>
    </row>
    <row r="803">
      <c r="A803" s="70"/>
      <c r="B803" s="70"/>
      <c r="C803" s="70"/>
      <c r="D803" s="70"/>
      <c r="E803" s="66"/>
      <c r="F803" s="70"/>
      <c r="G803" s="70"/>
      <c r="H803" s="70"/>
      <c r="I803" s="70"/>
      <c r="J803" s="70"/>
      <c r="K803" s="70"/>
      <c r="L803" s="70"/>
      <c r="M803" s="70"/>
      <c r="N803" s="70"/>
      <c r="O803" s="70"/>
      <c r="P803" s="70"/>
      <c r="Q803" s="70"/>
      <c r="R803" s="70"/>
      <c r="S803" s="70"/>
      <c r="T803" s="70"/>
      <c r="U803" s="70"/>
      <c r="V803" s="70"/>
      <c r="W803" s="70"/>
    </row>
    <row r="804">
      <c r="A804" s="70"/>
      <c r="B804" s="70"/>
      <c r="C804" s="70"/>
      <c r="D804" s="70"/>
      <c r="E804" s="66"/>
      <c r="F804" s="70"/>
      <c r="G804" s="70"/>
      <c r="H804" s="70"/>
      <c r="I804" s="70"/>
      <c r="J804" s="70"/>
      <c r="K804" s="70"/>
      <c r="L804" s="70"/>
      <c r="M804" s="70"/>
      <c r="N804" s="70"/>
      <c r="O804" s="70"/>
      <c r="P804" s="70"/>
      <c r="Q804" s="70"/>
      <c r="R804" s="70"/>
      <c r="S804" s="70"/>
      <c r="T804" s="70"/>
      <c r="U804" s="70"/>
      <c r="V804" s="70"/>
      <c r="W804" s="70"/>
    </row>
    <row r="805">
      <c r="A805" s="70"/>
      <c r="B805" s="70"/>
      <c r="C805" s="70"/>
      <c r="D805" s="70"/>
      <c r="E805" s="66"/>
      <c r="F805" s="70"/>
      <c r="G805" s="70"/>
      <c r="H805" s="70"/>
      <c r="I805" s="70"/>
      <c r="J805" s="70"/>
      <c r="K805" s="70"/>
      <c r="L805" s="70"/>
      <c r="M805" s="70"/>
      <c r="N805" s="70"/>
      <c r="O805" s="70"/>
      <c r="P805" s="70"/>
      <c r="Q805" s="70"/>
      <c r="R805" s="70"/>
      <c r="S805" s="70"/>
      <c r="T805" s="70"/>
      <c r="U805" s="70"/>
      <c r="V805" s="70"/>
      <c r="W805" s="70"/>
    </row>
    <row r="806">
      <c r="A806" s="70"/>
      <c r="B806" s="70"/>
      <c r="C806" s="70"/>
      <c r="D806" s="70"/>
      <c r="E806" s="66"/>
      <c r="F806" s="70"/>
      <c r="G806" s="70"/>
      <c r="H806" s="70"/>
      <c r="I806" s="70"/>
      <c r="J806" s="70"/>
      <c r="K806" s="70"/>
      <c r="L806" s="70"/>
      <c r="M806" s="70"/>
      <c r="N806" s="70"/>
      <c r="O806" s="70"/>
      <c r="P806" s="70"/>
      <c r="Q806" s="70"/>
      <c r="R806" s="70"/>
      <c r="S806" s="70"/>
      <c r="T806" s="70"/>
      <c r="U806" s="70"/>
      <c r="V806" s="70"/>
      <c r="W806" s="70"/>
    </row>
    <row r="807">
      <c r="A807" s="70"/>
      <c r="B807" s="70"/>
      <c r="C807" s="70"/>
      <c r="D807" s="70"/>
      <c r="E807" s="66"/>
      <c r="F807" s="70"/>
      <c r="G807" s="70"/>
      <c r="H807" s="70"/>
      <c r="I807" s="70"/>
      <c r="J807" s="70"/>
      <c r="K807" s="70"/>
      <c r="L807" s="70"/>
      <c r="M807" s="70"/>
      <c r="N807" s="70"/>
      <c r="O807" s="70"/>
      <c r="P807" s="70"/>
      <c r="Q807" s="70"/>
      <c r="R807" s="70"/>
      <c r="S807" s="70"/>
      <c r="T807" s="70"/>
      <c r="U807" s="70"/>
      <c r="V807" s="70"/>
      <c r="W807" s="70"/>
    </row>
    <row r="808">
      <c r="A808" s="70"/>
      <c r="B808" s="70"/>
      <c r="C808" s="70"/>
      <c r="D808" s="70"/>
      <c r="E808" s="66"/>
      <c r="F808" s="70"/>
      <c r="G808" s="70"/>
      <c r="H808" s="70"/>
      <c r="I808" s="70"/>
      <c r="J808" s="70"/>
      <c r="K808" s="70"/>
      <c r="L808" s="70"/>
      <c r="M808" s="70"/>
      <c r="N808" s="70"/>
      <c r="O808" s="70"/>
      <c r="P808" s="70"/>
      <c r="Q808" s="70"/>
      <c r="R808" s="70"/>
      <c r="S808" s="70"/>
      <c r="T808" s="70"/>
      <c r="U808" s="70"/>
      <c r="V808" s="70"/>
      <c r="W808" s="70"/>
    </row>
    <row r="809">
      <c r="A809" s="70"/>
      <c r="B809" s="70"/>
      <c r="C809" s="70"/>
      <c r="D809" s="70"/>
      <c r="E809" s="66"/>
      <c r="F809" s="70"/>
      <c r="G809" s="70"/>
      <c r="H809" s="70"/>
      <c r="I809" s="70"/>
      <c r="J809" s="70"/>
      <c r="K809" s="70"/>
      <c r="L809" s="70"/>
      <c r="M809" s="70"/>
      <c r="N809" s="70"/>
      <c r="O809" s="70"/>
      <c r="P809" s="70"/>
      <c r="Q809" s="70"/>
      <c r="R809" s="70"/>
      <c r="S809" s="70"/>
      <c r="T809" s="70"/>
      <c r="U809" s="70"/>
      <c r="V809" s="70"/>
      <c r="W809" s="70"/>
    </row>
    <row r="810">
      <c r="A810" s="70"/>
      <c r="B810" s="70"/>
      <c r="C810" s="70"/>
      <c r="D810" s="70"/>
      <c r="E810" s="66"/>
      <c r="F810" s="70"/>
      <c r="G810" s="70"/>
      <c r="H810" s="70"/>
      <c r="I810" s="70"/>
      <c r="J810" s="70"/>
      <c r="K810" s="70"/>
      <c r="L810" s="70"/>
      <c r="M810" s="70"/>
      <c r="N810" s="70"/>
      <c r="O810" s="70"/>
      <c r="P810" s="70"/>
      <c r="Q810" s="70"/>
      <c r="R810" s="70"/>
      <c r="S810" s="70"/>
      <c r="T810" s="70"/>
      <c r="U810" s="70"/>
      <c r="V810" s="70"/>
      <c r="W810" s="70"/>
    </row>
    <row r="811">
      <c r="A811" s="70"/>
      <c r="B811" s="70"/>
      <c r="C811" s="70"/>
      <c r="D811" s="70"/>
      <c r="E811" s="66"/>
      <c r="F811" s="70"/>
      <c r="G811" s="70"/>
      <c r="H811" s="70"/>
      <c r="I811" s="70"/>
      <c r="J811" s="70"/>
      <c r="K811" s="70"/>
      <c r="L811" s="70"/>
      <c r="M811" s="70"/>
      <c r="N811" s="70"/>
      <c r="O811" s="70"/>
      <c r="P811" s="70"/>
      <c r="Q811" s="70"/>
      <c r="R811" s="70"/>
      <c r="S811" s="70"/>
      <c r="T811" s="70"/>
      <c r="U811" s="70"/>
      <c r="V811" s="70"/>
      <c r="W811" s="70"/>
    </row>
    <row r="812">
      <c r="A812" s="70"/>
      <c r="B812" s="70"/>
      <c r="C812" s="70"/>
      <c r="D812" s="70"/>
      <c r="E812" s="66"/>
      <c r="F812" s="70"/>
      <c r="G812" s="70"/>
      <c r="H812" s="70"/>
      <c r="I812" s="70"/>
      <c r="J812" s="70"/>
      <c r="K812" s="70"/>
      <c r="L812" s="70"/>
      <c r="M812" s="70"/>
      <c r="N812" s="70"/>
      <c r="O812" s="70"/>
      <c r="P812" s="70"/>
      <c r="Q812" s="70"/>
      <c r="R812" s="70"/>
      <c r="S812" s="70"/>
      <c r="T812" s="70"/>
      <c r="U812" s="70"/>
      <c r="V812" s="70"/>
      <c r="W812" s="70"/>
    </row>
    <row r="813">
      <c r="A813" s="70"/>
      <c r="B813" s="70"/>
      <c r="C813" s="70"/>
      <c r="D813" s="70"/>
      <c r="E813" s="66"/>
      <c r="F813" s="70"/>
      <c r="G813" s="70"/>
      <c r="H813" s="70"/>
      <c r="I813" s="70"/>
      <c r="J813" s="70"/>
      <c r="K813" s="70"/>
      <c r="L813" s="70"/>
      <c r="M813" s="70"/>
      <c r="N813" s="70"/>
      <c r="O813" s="70"/>
      <c r="P813" s="70"/>
      <c r="Q813" s="70"/>
      <c r="R813" s="70"/>
      <c r="S813" s="70"/>
      <c r="T813" s="70"/>
      <c r="U813" s="70"/>
      <c r="V813" s="70"/>
      <c r="W813" s="70"/>
    </row>
    <row r="814">
      <c r="A814" s="70"/>
      <c r="B814" s="70"/>
      <c r="C814" s="70"/>
      <c r="D814" s="70"/>
      <c r="E814" s="66"/>
      <c r="F814" s="70"/>
      <c r="G814" s="70"/>
      <c r="H814" s="70"/>
      <c r="I814" s="70"/>
      <c r="J814" s="70"/>
      <c r="K814" s="70"/>
      <c r="L814" s="70"/>
      <c r="M814" s="70"/>
      <c r="N814" s="70"/>
      <c r="O814" s="70"/>
      <c r="P814" s="70"/>
      <c r="Q814" s="70"/>
      <c r="R814" s="70"/>
      <c r="S814" s="70"/>
      <c r="T814" s="70"/>
      <c r="U814" s="70"/>
      <c r="V814" s="70"/>
      <c r="W814" s="70"/>
    </row>
    <row r="815">
      <c r="A815" s="70"/>
      <c r="B815" s="70"/>
      <c r="C815" s="70"/>
      <c r="D815" s="70"/>
      <c r="E815" s="66"/>
      <c r="F815" s="70"/>
      <c r="G815" s="70"/>
      <c r="H815" s="70"/>
      <c r="I815" s="70"/>
      <c r="J815" s="70"/>
      <c r="K815" s="70"/>
      <c r="L815" s="70"/>
      <c r="M815" s="70"/>
      <c r="N815" s="70"/>
      <c r="O815" s="70"/>
      <c r="P815" s="70"/>
      <c r="Q815" s="70"/>
      <c r="R815" s="70"/>
      <c r="S815" s="70"/>
      <c r="T815" s="70"/>
      <c r="U815" s="70"/>
      <c r="V815" s="70"/>
      <c r="W815" s="70"/>
    </row>
    <row r="816">
      <c r="A816" s="70"/>
      <c r="B816" s="70"/>
      <c r="C816" s="70"/>
      <c r="D816" s="70"/>
      <c r="E816" s="66"/>
      <c r="F816" s="70"/>
      <c r="G816" s="70"/>
      <c r="H816" s="70"/>
      <c r="I816" s="70"/>
      <c r="J816" s="70"/>
      <c r="K816" s="70"/>
      <c r="L816" s="70"/>
      <c r="M816" s="70"/>
      <c r="N816" s="70"/>
      <c r="O816" s="70"/>
      <c r="P816" s="70"/>
      <c r="Q816" s="70"/>
      <c r="R816" s="70"/>
      <c r="S816" s="70"/>
      <c r="T816" s="70"/>
      <c r="U816" s="70"/>
      <c r="V816" s="70"/>
      <c r="W816" s="70"/>
    </row>
    <row r="817">
      <c r="A817" s="70"/>
      <c r="B817" s="70"/>
      <c r="C817" s="70"/>
      <c r="D817" s="70"/>
      <c r="E817" s="66"/>
      <c r="F817" s="70"/>
      <c r="G817" s="70"/>
      <c r="H817" s="70"/>
      <c r="I817" s="70"/>
      <c r="J817" s="70"/>
      <c r="K817" s="70"/>
      <c r="L817" s="70"/>
      <c r="M817" s="70"/>
      <c r="N817" s="70"/>
      <c r="O817" s="70"/>
      <c r="P817" s="70"/>
      <c r="Q817" s="70"/>
      <c r="R817" s="70"/>
      <c r="S817" s="70"/>
      <c r="T817" s="70"/>
      <c r="U817" s="70"/>
      <c r="V817" s="70"/>
      <c r="W817" s="70"/>
    </row>
    <row r="818">
      <c r="A818" s="70"/>
      <c r="B818" s="70"/>
      <c r="C818" s="70"/>
      <c r="D818" s="70"/>
      <c r="E818" s="66"/>
      <c r="F818" s="70"/>
      <c r="G818" s="70"/>
      <c r="H818" s="70"/>
      <c r="I818" s="70"/>
      <c r="J818" s="70"/>
      <c r="K818" s="70"/>
      <c r="L818" s="70"/>
      <c r="M818" s="70"/>
      <c r="N818" s="70"/>
      <c r="O818" s="70"/>
      <c r="P818" s="70"/>
      <c r="Q818" s="70"/>
      <c r="R818" s="70"/>
      <c r="S818" s="70"/>
      <c r="T818" s="70"/>
      <c r="U818" s="70"/>
      <c r="V818" s="70"/>
      <c r="W818" s="70"/>
    </row>
    <row r="819">
      <c r="A819" s="70"/>
      <c r="B819" s="70"/>
      <c r="C819" s="70"/>
      <c r="D819" s="70"/>
      <c r="E819" s="66"/>
      <c r="F819" s="70"/>
      <c r="G819" s="70"/>
      <c r="H819" s="70"/>
      <c r="I819" s="70"/>
      <c r="J819" s="70"/>
      <c r="K819" s="70"/>
      <c r="L819" s="70"/>
      <c r="M819" s="70"/>
      <c r="N819" s="70"/>
      <c r="O819" s="70"/>
      <c r="P819" s="70"/>
      <c r="Q819" s="70"/>
      <c r="R819" s="70"/>
      <c r="S819" s="70"/>
      <c r="T819" s="70"/>
      <c r="U819" s="70"/>
      <c r="V819" s="70"/>
      <c r="W819" s="70"/>
    </row>
    <row r="820">
      <c r="A820" s="70"/>
      <c r="B820" s="70"/>
      <c r="C820" s="70"/>
      <c r="D820" s="70"/>
      <c r="E820" s="66"/>
      <c r="F820" s="70"/>
      <c r="G820" s="70"/>
      <c r="H820" s="70"/>
      <c r="I820" s="70"/>
      <c r="J820" s="70"/>
      <c r="K820" s="70"/>
      <c r="L820" s="70"/>
      <c r="M820" s="70"/>
      <c r="N820" s="70"/>
      <c r="O820" s="70"/>
      <c r="P820" s="70"/>
      <c r="Q820" s="70"/>
      <c r="R820" s="70"/>
      <c r="S820" s="70"/>
      <c r="T820" s="70"/>
      <c r="U820" s="70"/>
      <c r="V820" s="70"/>
      <c r="W820" s="70"/>
    </row>
    <row r="821">
      <c r="A821" s="70"/>
      <c r="B821" s="70"/>
      <c r="C821" s="70"/>
      <c r="D821" s="70"/>
      <c r="E821" s="66"/>
      <c r="F821" s="70"/>
      <c r="G821" s="70"/>
      <c r="H821" s="70"/>
      <c r="I821" s="70"/>
      <c r="J821" s="70"/>
      <c r="K821" s="70"/>
      <c r="L821" s="70"/>
      <c r="M821" s="70"/>
      <c r="N821" s="70"/>
      <c r="O821" s="70"/>
      <c r="P821" s="70"/>
      <c r="Q821" s="70"/>
      <c r="R821" s="70"/>
      <c r="S821" s="70"/>
      <c r="T821" s="70"/>
      <c r="U821" s="70"/>
      <c r="V821" s="70"/>
      <c r="W821" s="70"/>
    </row>
    <row r="822">
      <c r="A822" s="70"/>
      <c r="B822" s="70"/>
      <c r="C822" s="70"/>
      <c r="D822" s="70"/>
      <c r="E822" s="66"/>
      <c r="F822" s="70"/>
      <c r="G822" s="70"/>
      <c r="H822" s="70"/>
      <c r="I822" s="70"/>
      <c r="J822" s="70"/>
      <c r="K822" s="70"/>
      <c r="L822" s="70"/>
      <c r="M822" s="70"/>
      <c r="N822" s="70"/>
      <c r="O822" s="70"/>
      <c r="P822" s="70"/>
      <c r="Q822" s="70"/>
      <c r="R822" s="70"/>
      <c r="S822" s="70"/>
      <c r="T822" s="70"/>
      <c r="U822" s="70"/>
      <c r="V822" s="70"/>
      <c r="W822" s="70"/>
    </row>
    <row r="823">
      <c r="A823" s="70"/>
      <c r="B823" s="70"/>
      <c r="C823" s="70"/>
      <c r="D823" s="70"/>
      <c r="E823" s="66"/>
      <c r="F823" s="70"/>
      <c r="G823" s="70"/>
      <c r="H823" s="70"/>
      <c r="I823" s="70"/>
      <c r="J823" s="70"/>
      <c r="K823" s="70"/>
      <c r="L823" s="70"/>
      <c r="M823" s="70"/>
      <c r="N823" s="70"/>
      <c r="O823" s="70"/>
      <c r="P823" s="70"/>
      <c r="Q823" s="70"/>
      <c r="R823" s="70"/>
      <c r="S823" s="70"/>
      <c r="T823" s="70"/>
      <c r="U823" s="70"/>
      <c r="V823" s="70"/>
      <c r="W823" s="70"/>
    </row>
    <row r="824">
      <c r="A824" s="70"/>
      <c r="B824" s="70"/>
      <c r="C824" s="70"/>
      <c r="D824" s="70"/>
      <c r="E824" s="66"/>
      <c r="F824" s="70"/>
      <c r="G824" s="70"/>
      <c r="H824" s="70"/>
      <c r="I824" s="70"/>
      <c r="J824" s="70"/>
      <c r="K824" s="70"/>
      <c r="L824" s="70"/>
      <c r="M824" s="70"/>
      <c r="N824" s="70"/>
      <c r="O824" s="70"/>
      <c r="P824" s="70"/>
      <c r="Q824" s="70"/>
      <c r="R824" s="70"/>
      <c r="S824" s="70"/>
      <c r="T824" s="70"/>
      <c r="U824" s="70"/>
      <c r="V824" s="70"/>
      <c r="W824" s="70"/>
    </row>
    <row r="825">
      <c r="A825" s="70"/>
      <c r="B825" s="70"/>
      <c r="C825" s="70"/>
      <c r="D825" s="70"/>
      <c r="E825" s="66"/>
      <c r="F825" s="70"/>
      <c r="G825" s="70"/>
      <c r="H825" s="70"/>
      <c r="I825" s="70"/>
      <c r="J825" s="70"/>
      <c r="K825" s="70"/>
      <c r="L825" s="70"/>
      <c r="M825" s="70"/>
      <c r="N825" s="70"/>
      <c r="O825" s="70"/>
      <c r="P825" s="70"/>
      <c r="Q825" s="70"/>
      <c r="R825" s="70"/>
      <c r="S825" s="70"/>
      <c r="T825" s="70"/>
      <c r="U825" s="70"/>
      <c r="V825" s="70"/>
      <c r="W825" s="70"/>
    </row>
    <row r="826">
      <c r="A826" s="70"/>
      <c r="B826" s="70"/>
      <c r="C826" s="70"/>
      <c r="D826" s="70"/>
      <c r="E826" s="66"/>
      <c r="F826" s="70"/>
      <c r="G826" s="70"/>
      <c r="H826" s="70"/>
      <c r="I826" s="70"/>
      <c r="J826" s="70"/>
      <c r="K826" s="70"/>
      <c r="L826" s="70"/>
      <c r="M826" s="70"/>
      <c r="N826" s="70"/>
      <c r="O826" s="70"/>
      <c r="P826" s="70"/>
      <c r="Q826" s="70"/>
      <c r="R826" s="70"/>
      <c r="S826" s="70"/>
      <c r="T826" s="70"/>
      <c r="U826" s="70"/>
      <c r="V826" s="70"/>
      <c r="W826" s="70"/>
    </row>
    <row r="827">
      <c r="A827" s="70"/>
      <c r="B827" s="70"/>
      <c r="C827" s="70"/>
      <c r="D827" s="70"/>
      <c r="E827" s="66"/>
      <c r="F827" s="70"/>
      <c r="G827" s="70"/>
      <c r="H827" s="70"/>
      <c r="I827" s="70"/>
      <c r="J827" s="70"/>
      <c r="K827" s="70"/>
      <c r="L827" s="70"/>
      <c r="M827" s="70"/>
      <c r="N827" s="70"/>
      <c r="O827" s="70"/>
      <c r="P827" s="70"/>
      <c r="Q827" s="70"/>
      <c r="R827" s="70"/>
      <c r="S827" s="70"/>
      <c r="T827" s="70"/>
      <c r="U827" s="70"/>
      <c r="V827" s="70"/>
      <c r="W827" s="70"/>
    </row>
    <row r="828">
      <c r="A828" s="70"/>
      <c r="B828" s="70"/>
      <c r="C828" s="70"/>
      <c r="D828" s="70"/>
      <c r="E828" s="66"/>
      <c r="F828" s="70"/>
      <c r="G828" s="70"/>
      <c r="H828" s="70"/>
      <c r="I828" s="70"/>
      <c r="J828" s="70"/>
      <c r="K828" s="70"/>
      <c r="L828" s="70"/>
      <c r="M828" s="70"/>
      <c r="N828" s="70"/>
      <c r="O828" s="70"/>
      <c r="P828" s="70"/>
      <c r="Q828" s="70"/>
      <c r="R828" s="70"/>
      <c r="S828" s="70"/>
      <c r="T828" s="70"/>
      <c r="U828" s="70"/>
      <c r="V828" s="70"/>
      <c r="W828" s="70"/>
    </row>
    <row r="829">
      <c r="A829" s="70"/>
      <c r="B829" s="70"/>
      <c r="C829" s="70"/>
      <c r="D829" s="70"/>
      <c r="E829" s="66"/>
      <c r="F829" s="70"/>
      <c r="G829" s="70"/>
      <c r="H829" s="70"/>
      <c r="I829" s="70"/>
      <c r="J829" s="70"/>
      <c r="K829" s="70"/>
      <c r="L829" s="70"/>
      <c r="M829" s="70"/>
      <c r="N829" s="70"/>
      <c r="O829" s="70"/>
      <c r="P829" s="70"/>
      <c r="Q829" s="70"/>
      <c r="R829" s="70"/>
      <c r="S829" s="70"/>
      <c r="T829" s="70"/>
      <c r="U829" s="70"/>
      <c r="V829" s="70"/>
      <c r="W829" s="70"/>
    </row>
    <row r="830">
      <c r="A830" s="70"/>
      <c r="B830" s="70"/>
      <c r="C830" s="70"/>
      <c r="D830" s="70"/>
      <c r="E830" s="66"/>
      <c r="F830" s="70"/>
      <c r="G830" s="70"/>
      <c r="H830" s="70"/>
      <c r="I830" s="70"/>
      <c r="J830" s="70"/>
      <c r="K830" s="70"/>
      <c r="L830" s="70"/>
      <c r="M830" s="70"/>
      <c r="N830" s="70"/>
      <c r="O830" s="70"/>
      <c r="P830" s="70"/>
      <c r="Q830" s="70"/>
      <c r="R830" s="70"/>
      <c r="S830" s="70"/>
      <c r="T830" s="70"/>
      <c r="U830" s="70"/>
      <c r="V830" s="70"/>
      <c r="W830" s="70"/>
    </row>
    <row r="831">
      <c r="A831" s="70"/>
      <c r="B831" s="70"/>
      <c r="C831" s="70"/>
      <c r="D831" s="70"/>
      <c r="E831" s="66"/>
      <c r="F831" s="70"/>
      <c r="G831" s="70"/>
      <c r="H831" s="70"/>
      <c r="I831" s="70"/>
      <c r="J831" s="70"/>
      <c r="K831" s="70"/>
      <c r="L831" s="70"/>
      <c r="M831" s="70"/>
      <c r="N831" s="70"/>
      <c r="O831" s="70"/>
      <c r="P831" s="70"/>
      <c r="Q831" s="70"/>
      <c r="R831" s="70"/>
      <c r="S831" s="70"/>
      <c r="T831" s="70"/>
      <c r="U831" s="70"/>
      <c r="V831" s="70"/>
      <c r="W831" s="70"/>
    </row>
    <row r="832">
      <c r="A832" s="70"/>
      <c r="B832" s="70"/>
      <c r="C832" s="70"/>
      <c r="D832" s="70"/>
      <c r="E832" s="66"/>
      <c r="F832" s="70"/>
      <c r="G832" s="70"/>
      <c r="H832" s="70"/>
      <c r="I832" s="70"/>
      <c r="J832" s="70"/>
      <c r="K832" s="70"/>
      <c r="L832" s="70"/>
      <c r="M832" s="70"/>
      <c r="N832" s="70"/>
      <c r="O832" s="70"/>
      <c r="P832" s="70"/>
      <c r="Q832" s="70"/>
      <c r="R832" s="70"/>
      <c r="S832" s="70"/>
      <c r="T832" s="70"/>
      <c r="U832" s="70"/>
      <c r="V832" s="70"/>
      <c r="W832" s="70"/>
    </row>
    <row r="833">
      <c r="A833" s="70"/>
      <c r="B833" s="70"/>
      <c r="C833" s="70"/>
      <c r="D833" s="70"/>
      <c r="E833" s="66"/>
      <c r="F833" s="70"/>
      <c r="G833" s="70"/>
      <c r="H833" s="70"/>
      <c r="I833" s="70"/>
      <c r="J833" s="70"/>
      <c r="K833" s="70"/>
      <c r="L833" s="70"/>
      <c r="M833" s="70"/>
      <c r="N833" s="70"/>
      <c r="O833" s="70"/>
      <c r="P833" s="70"/>
      <c r="Q833" s="70"/>
      <c r="R833" s="70"/>
      <c r="S833" s="70"/>
      <c r="T833" s="70"/>
      <c r="U833" s="70"/>
      <c r="V833" s="70"/>
      <c r="W833" s="70"/>
    </row>
    <row r="834">
      <c r="A834" s="70"/>
      <c r="B834" s="70"/>
      <c r="C834" s="70"/>
      <c r="D834" s="70"/>
      <c r="E834" s="66"/>
      <c r="F834" s="70"/>
      <c r="G834" s="70"/>
      <c r="H834" s="70"/>
      <c r="I834" s="70"/>
      <c r="J834" s="70"/>
      <c r="K834" s="70"/>
      <c r="L834" s="70"/>
      <c r="M834" s="70"/>
      <c r="N834" s="70"/>
      <c r="O834" s="70"/>
      <c r="P834" s="70"/>
      <c r="Q834" s="70"/>
      <c r="R834" s="70"/>
      <c r="S834" s="70"/>
      <c r="T834" s="70"/>
      <c r="U834" s="70"/>
      <c r="V834" s="70"/>
      <c r="W834" s="70"/>
    </row>
    <row r="835">
      <c r="A835" s="70"/>
      <c r="B835" s="70"/>
      <c r="C835" s="70"/>
      <c r="D835" s="70"/>
      <c r="E835" s="66"/>
      <c r="F835" s="70"/>
      <c r="G835" s="70"/>
      <c r="H835" s="70"/>
      <c r="I835" s="70"/>
      <c r="J835" s="70"/>
      <c r="K835" s="70"/>
      <c r="L835" s="70"/>
      <c r="M835" s="70"/>
      <c r="N835" s="70"/>
      <c r="O835" s="70"/>
      <c r="P835" s="70"/>
      <c r="Q835" s="70"/>
      <c r="R835" s="70"/>
      <c r="S835" s="70"/>
      <c r="T835" s="70"/>
      <c r="U835" s="70"/>
      <c r="V835" s="70"/>
      <c r="W835" s="70"/>
    </row>
    <row r="836">
      <c r="A836" s="70"/>
      <c r="B836" s="70"/>
      <c r="C836" s="70"/>
      <c r="D836" s="70"/>
      <c r="E836" s="66"/>
      <c r="F836" s="70"/>
      <c r="G836" s="70"/>
      <c r="H836" s="70"/>
      <c r="I836" s="70"/>
      <c r="J836" s="70"/>
      <c r="K836" s="70"/>
      <c r="L836" s="70"/>
      <c r="M836" s="70"/>
      <c r="N836" s="70"/>
      <c r="O836" s="70"/>
      <c r="P836" s="70"/>
      <c r="Q836" s="70"/>
      <c r="R836" s="70"/>
      <c r="S836" s="70"/>
      <c r="T836" s="70"/>
      <c r="U836" s="70"/>
      <c r="V836" s="70"/>
      <c r="W836" s="70"/>
    </row>
    <row r="837">
      <c r="A837" s="70"/>
      <c r="B837" s="70"/>
      <c r="C837" s="70"/>
      <c r="D837" s="70"/>
      <c r="E837" s="66"/>
      <c r="F837" s="70"/>
      <c r="G837" s="70"/>
      <c r="H837" s="70"/>
      <c r="I837" s="70"/>
      <c r="J837" s="70"/>
      <c r="K837" s="70"/>
      <c r="L837" s="70"/>
      <c r="M837" s="70"/>
      <c r="N837" s="70"/>
      <c r="O837" s="70"/>
      <c r="P837" s="70"/>
      <c r="Q837" s="70"/>
      <c r="R837" s="70"/>
      <c r="S837" s="70"/>
      <c r="T837" s="70"/>
      <c r="U837" s="70"/>
      <c r="V837" s="70"/>
      <c r="W837" s="70"/>
    </row>
    <row r="838">
      <c r="A838" s="70"/>
      <c r="B838" s="70"/>
      <c r="C838" s="70"/>
      <c r="D838" s="70"/>
      <c r="E838" s="66"/>
      <c r="F838" s="70"/>
      <c r="G838" s="70"/>
      <c r="H838" s="70"/>
      <c r="I838" s="70"/>
      <c r="J838" s="70"/>
      <c r="K838" s="70"/>
      <c r="L838" s="70"/>
      <c r="M838" s="70"/>
      <c r="N838" s="70"/>
      <c r="O838" s="70"/>
      <c r="P838" s="70"/>
      <c r="Q838" s="70"/>
      <c r="R838" s="70"/>
      <c r="S838" s="70"/>
      <c r="T838" s="70"/>
      <c r="U838" s="70"/>
      <c r="V838" s="70"/>
      <c r="W838" s="70"/>
    </row>
    <row r="839">
      <c r="A839" s="70"/>
      <c r="B839" s="70"/>
      <c r="C839" s="70"/>
      <c r="D839" s="70"/>
      <c r="E839" s="66"/>
      <c r="F839" s="70"/>
      <c r="G839" s="70"/>
      <c r="H839" s="70"/>
      <c r="I839" s="70"/>
      <c r="J839" s="70"/>
      <c r="K839" s="70"/>
      <c r="L839" s="70"/>
      <c r="M839" s="70"/>
      <c r="N839" s="70"/>
      <c r="O839" s="70"/>
      <c r="P839" s="70"/>
      <c r="Q839" s="70"/>
      <c r="R839" s="70"/>
      <c r="S839" s="70"/>
      <c r="T839" s="70"/>
      <c r="U839" s="70"/>
      <c r="V839" s="70"/>
      <c r="W839" s="70"/>
    </row>
    <row r="840">
      <c r="A840" s="70"/>
      <c r="B840" s="70"/>
      <c r="C840" s="70"/>
      <c r="D840" s="70"/>
      <c r="E840" s="66"/>
      <c r="F840" s="70"/>
      <c r="G840" s="70"/>
      <c r="H840" s="70"/>
      <c r="I840" s="70"/>
      <c r="J840" s="70"/>
      <c r="K840" s="70"/>
      <c r="L840" s="70"/>
      <c r="M840" s="70"/>
      <c r="N840" s="70"/>
      <c r="O840" s="70"/>
      <c r="P840" s="70"/>
      <c r="Q840" s="70"/>
      <c r="R840" s="70"/>
      <c r="S840" s="70"/>
      <c r="T840" s="70"/>
      <c r="U840" s="70"/>
      <c r="V840" s="70"/>
      <c r="W840" s="70"/>
    </row>
    <row r="841">
      <c r="A841" s="70"/>
      <c r="B841" s="70"/>
      <c r="C841" s="70"/>
      <c r="D841" s="70"/>
      <c r="E841" s="66"/>
      <c r="F841" s="70"/>
      <c r="G841" s="70"/>
      <c r="H841" s="70"/>
      <c r="I841" s="70"/>
      <c r="J841" s="70"/>
      <c r="K841" s="70"/>
      <c r="L841" s="70"/>
      <c r="M841" s="70"/>
      <c r="N841" s="70"/>
      <c r="O841" s="70"/>
      <c r="P841" s="70"/>
      <c r="Q841" s="70"/>
      <c r="R841" s="70"/>
      <c r="S841" s="70"/>
      <c r="T841" s="70"/>
      <c r="U841" s="70"/>
      <c r="V841" s="70"/>
      <c r="W841" s="70"/>
    </row>
    <row r="842">
      <c r="A842" s="70"/>
      <c r="B842" s="70"/>
      <c r="C842" s="70"/>
      <c r="D842" s="70"/>
      <c r="E842" s="66"/>
      <c r="F842" s="70"/>
      <c r="G842" s="70"/>
      <c r="H842" s="70"/>
      <c r="I842" s="70"/>
      <c r="J842" s="70"/>
      <c r="K842" s="70"/>
      <c r="L842" s="70"/>
      <c r="M842" s="70"/>
      <c r="N842" s="70"/>
      <c r="O842" s="70"/>
      <c r="P842" s="70"/>
      <c r="Q842" s="70"/>
      <c r="R842" s="70"/>
      <c r="S842" s="70"/>
      <c r="T842" s="70"/>
      <c r="U842" s="70"/>
      <c r="V842" s="70"/>
      <c r="W842" s="70"/>
    </row>
    <row r="843">
      <c r="A843" s="70"/>
      <c r="B843" s="70"/>
      <c r="C843" s="70"/>
      <c r="D843" s="70"/>
      <c r="E843" s="66"/>
      <c r="F843" s="70"/>
      <c r="G843" s="70"/>
      <c r="H843" s="70"/>
      <c r="I843" s="70"/>
      <c r="J843" s="70"/>
      <c r="K843" s="70"/>
      <c r="L843" s="70"/>
      <c r="M843" s="70"/>
      <c r="N843" s="70"/>
      <c r="O843" s="70"/>
      <c r="P843" s="70"/>
      <c r="Q843" s="70"/>
      <c r="R843" s="70"/>
      <c r="S843" s="70"/>
      <c r="T843" s="70"/>
      <c r="U843" s="70"/>
      <c r="V843" s="70"/>
      <c r="W843" s="70"/>
    </row>
    <row r="844">
      <c r="A844" s="70"/>
      <c r="B844" s="70"/>
      <c r="C844" s="70"/>
      <c r="D844" s="70"/>
      <c r="E844" s="66"/>
      <c r="F844" s="70"/>
      <c r="G844" s="70"/>
      <c r="H844" s="70"/>
      <c r="I844" s="70"/>
      <c r="J844" s="70"/>
      <c r="K844" s="70"/>
      <c r="L844" s="70"/>
      <c r="M844" s="70"/>
      <c r="N844" s="70"/>
      <c r="O844" s="70"/>
      <c r="P844" s="70"/>
      <c r="Q844" s="70"/>
      <c r="R844" s="70"/>
      <c r="S844" s="70"/>
      <c r="T844" s="70"/>
      <c r="U844" s="70"/>
      <c r="V844" s="70"/>
      <c r="W844" s="70"/>
    </row>
    <row r="845">
      <c r="A845" s="70"/>
      <c r="B845" s="70"/>
      <c r="C845" s="70"/>
      <c r="D845" s="70"/>
      <c r="E845" s="66"/>
      <c r="F845" s="70"/>
      <c r="G845" s="70"/>
      <c r="H845" s="70"/>
      <c r="I845" s="70"/>
      <c r="J845" s="70"/>
      <c r="K845" s="70"/>
      <c r="L845" s="70"/>
      <c r="M845" s="70"/>
      <c r="N845" s="70"/>
      <c r="O845" s="70"/>
      <c r="P845" s="70"/>
      <c r="Q845" s="70"/>
      <c r="R845" s="70"/>
      <c r="S845" s="70"/>
      <c r="T845" s="70"/>
      <c r="U845" s="70"/>
      <c r="V845" s="70"/>
      <c r="W845" s="70"/>
    </row>
    <row r="846">
      <c r="A846" s="70"/>
      <c r="B846" s="70"/>
      <c r="C846" s="70"/>
      <c r="D846" s="70"/>
      <c r="E846" s="66"/>
      <c r="F846" s="70"/>
      <c r="G846" s="70"/>
      <c r="H846" s="70"/>
      <c r="I846" s="70"/>
      <c r="J846" s="70"/>
      <c r="K846" s="70"/>
      <c r="L846" s="70"/>
      <c r="M846" s="70"/>
      <c r="N846" s="70"/>
      <c r="O846" s="70"/>
      <c r="P846" s="70"/>
      <c r="Q846" s="70"/>
      <c r="R846" s="70"/>
      <c r="S846" s="70"/>
      <c r="T846" s="70"/>
      <c r="U846" s="70"/>
      <c r="V846" s="70"/>
      <c r="W846" s="70"/>
    </row>
    <row r="847">
      <c r="A847" s="70"/>
      <c r="B847" s="70"/>
      <c r="C847" s="70"/>
      <c r="D847" s="70"/>
      <c r="E847" s="66"/>
      <c r="F847" s="70"/>
      <c r="G847" s="70"/>
      <c r="H847" s="70"/>
      <c r="I847" s="70"/>
      <c r="J847" s="70"/>
      <c r="K847" s="70"/>
      <c r="L847" s="70"/>
      <c r="M847" s="70"/>
      <c r="N847" s="70"/>
      <c r="O847" s="70"/>
      <c r="P847" s="70"/>
      <c r="Q847" s="70"/>
      <c r="R847" s="70"/>
      <c r="S847" s="70"/>
      <c r="T847" s="70"/>
      <c r="U847" s="70"/>
      <c r="V847" s="70"/>
      <c r="W847" s="70"/>
    </row>
    <row r="848">
      <c r="A848" s="70"/>
      <c r="B848" s="70"/>
      <c r="C848" s="70"/>
      <c r="D848" s="70"/>
      <c r="E848" s="66"/>
      <c r="F848" s="70"/>
      <c r="G848" s="70"/>
      <c r="H848" s="70"/>
      <c r="I848" s="70"/>
      <c r="J848" s="70"/>
      <c r="K848" s="70"/>
      <c r="L848" s="70"/>
      <c r="M848" s="70"/>
      <c r="N848" s="70"/>
      <c r="O848" s="70"/>
      <c r="P848" s="70"/>
      <c r="Q848" s="70"/>
      <c r="R848" s="70"/>
      <c r="S848" s="70"/>
      <c r="T848" s="70"/>
      <c r="U848" s="70"/>
      <c r="V848" s="70"/>
      <c r="W848" s="70"/>
    </row>
    <row r="849">
      <c r="A849" s="70"/>
      <c r="B849" s="70"/>
      <c r="C849" s="70"/>
      <c r="D849" s="70"/>
      <c r="E849" s="66"/>
      <c r="F849" s="70"/>
      <c r="G849" s="70"/>
      <c r="H849" s="70"/>
      <c r="I849" s="70"/>
      <c r="J849" s="70"/>
      <c r="K849" s="70"/>
      <c r="L849" s="70"/>
      <c r="M849" s="70"/>
      <c r="N849" s="70"/>
      <c r="O849" s="70"/>
      <c r="P849" s="70"/>
      <c r="Q849" s="70"/>
      <c r="R849" s="70"/>
      <c r="S849" s="70"/>
      <c r="T849" s="70"/>
      <c r="U849" s="70"/>
      <c r="V849" s="70"/>
      <c r="W849" s="70"/>
    </row>
    <row r="850">
      <c r="A850" s="70"/>
      <c r="B850" s="70"/>
      <c r="C850" s="70"/>
      <c r="D850" s="70"/>
      <c r="E850" s="66"/>
      <c r="F850" s="70"/>
      <c r="G850" s="70"/>
      <c r="H850" s="70"/>
      <c r="I850" s="70"/>
      <c r="J850" s="70"/>
      <c r="K850" s="70"/>
      <c r="L850" s="70"/>
      <c r="M850" s="70"/>
      <c r="N850" s="70"/>
      <c r="O850" s="70"/>
      <c r="P850" s="70"/>
      <c r="Q850" s="70"/>
      <c r="R850" s="70"/>
      <c r="S850" s="70"/>
      <c r="T850" s="70"/>
      <c r="U850" s="70"/>
      <c r="V850" s="70"/>
      <c r="W850" s="70"/>
    </row>
    <row r="851">
      <c r="A851" s="70"/>
      <c r="B851" s="70"/>
      <c r="C851" s="70"/>
      <c r="D851" s="70"/>
      <c r="E851" s="66"/>
      <c r="F851" s="70"/>
      <c r="G851" s="70"/>
      <c r="H851" s="70"/>
      <c r="I851" s="70"/>
      <c r="J851" s="70"/>
      <c r="K851" s="70"/>
      <c r="L851" s="70"/>
      <c r="M851" s="70"/>
      <c r="N851" s="70"/>
      <c r="O851" s="70"/>
      <c r="P851" s="70"/>
      <c r="Q851" s="70"/>
      <c r="R851" s="70"/>
      <c r="S851" s="70"/>
      <c r="T851" s="70"/>
      <c r="U851" s="70"/>
      <c r="V851" s="70"/>
      <c r="W851" s="70"/>
    </row>
    <row r="852">
      <c r="A852" s="70"/>
      <c r="B852" s="70"/>
      <c r="C852" s="70"/>
      <c r="D852" s="70"/>
      <c r="E852" s="66"/>
      <c r="F852" s="70"/>
      <c r="G852" s="70"/>
      <c r="H852" s="70"/>
      <c r="I852" s="70"/>
      <c r="J852" s="70"/>
      <c r="K852" s="70"/>
      <c r="L852" s="70"/>
      <c r="M852" s="70"/>
      <c r="N852" s="70"/>
      <c r="O852" s="70"/>
      <c r="P852" s="70"/>
      <c r="Q852" s="70"/>
      <c r="R852" s="70"/>
      <c r="S852" s="70"/>
      <c r="T852" s="70"/>
      <c r="U852" s="70"/>
      <c r="V852" s="70"/>
      <c r="W852" s="70"/>
    </row>
    <row r="853">
      <c r="A853" s="70"/>
      <c r="B853" s="70"/>
      <c r="C853" s="70"/>
      <c r="D853" s="70"/>
      <c r="E853" s="66"/>
      <c r="F853" s="70"/>
      <c r="G853" s="70"/>
      <c r="H853" s="70"/>
      <c r="I853" s="70"/>
      <c r="J853" s="70"/>
      <c r="K853" s="70"/>
      <c r="L853" s="70"/>
      <c r="M853" s="70"/>
      <c r="N853" s="70"/>
      <c r="O853" s="70"/>
      <c r="P853" s="70"/>
      <c r="Q853" s="70"/>
      <c r="R853" s="70"/>
      <c r="S853" s="70"/>
      <c r="T853" s="70"/>
      <c r="U853" s="70"/>
      <c r="V853" s="70"/>
      <c r="W853" s="70"/>
    </row>
    <row r="854">
      <c r="A854" s="70"/>
      <c r="B854" s="70"/>
      <c r="C854" s="70"/>
      <c r="D854" s="70"/>
      <c r="E854" s="66"/>
      <c r="F854" s="70"/>
      <c r="G854" s="70"/>
      <c r="H854" s="70"/>
      <c r="I854" s="70"/>
      <c r="J854" s="70"/>
      <c r="K854" s="70"/>
      <c r="L854" s="70"/>
      <c r="M854" s="70"/>
      <c r="N854" s="70"/>
      <c r="O854" s="70"/>
      <c r="P854" s="70"/>
      <c r="Q854" s="70"/>
      <c r="R854" s="70"/>
      <c r="S854" s="70"/>
      <c r="T854" s="70"/>
      <c r="U854" s="70"/>
      <c r="V854" s="70"/>
      <c r="W854" s="70"/>
    </row>
    <row r="855">
      <c r="A855" s="70"/>
      <c r="B855" s="70"/>
      <c r="C855" s="70"/>
      <c r="D855" s="70"/>
      <c r="E855" s="66"/>
      <c r="F855" s="70"/>
      <c r="G855" s="70"/>
      <c r="H855" s="70"/>
      <c r="I855" s="70"/>
      <c r="J855" s="70"/>
      <c r="K855" s="70"/>
      <c r="L855" s="70"/>
      <c r="M855" s="70"/>
      <c r="N855" s="70"/>
      <c r="O855" s="70"/>
      <c r="P855" s="70"/>
      <c r="Q855" s="70"/>
      <c r="R855" s="70"/>
      <c r="S855" s="70"/>
      <c r="T855" s="70"/>
      <c r="U855" s="70"/>
      <c r="V855" s="70"/>
      <c r="W855" s="70"/>
    </row>
    <row r="856">
      <c r="A856" s="70"/>
      <c r="B856" s="70"/>
      <c r="C856" s="70"/>
      <c r="D856" s="70"/>
      <c r="E856" s="66"/>
      <c r="F856" s="70"/>
      <c r="G856" s="70"/>
      <c r="H856" s="70"/>
      <c r="I856" s="70"/>
      <c r="J856" s="70"/>
      <c r="K856" s="70"/>
      <c r="L856" s="70"/>
      <c r="M856" s="70"/>
      <c r="N856" s="70"/>
      <c r="O856" s="70"/>
      <c r="P856" s="70"/>
      <c r="Q856" s="70"/>
      <c r="R856" s="70"/>
      <c r="S856" s="70"/>
      <c r="T856" s="70"/>
      <c r="U856" s="70"/>
      <c r="V856" s="70"/>
      <c r="W856" s="70"/>
    </row>
    <row r="857">
      <c r="A857" s="70"/>
      <c r="B857" s="70"/>
      <c r="C857" s="70"/>
      <c r="D857" s="70"/>
      <c r="E857" s="66"/>
      <c r="F857" s="70"/>
      <c r="G857" s="70"/>
      <c r="H857" s="70"/>
      <c r="I857" s="70"/>
      <c r="J857" s="70"/>
      <c r="K857" s="70"/>
      <c r="L857" s="70"/>
      <c r="M857" s="70"/>
      <c r="N857" s="70"/>
      <c r="O857" s="70"/>
      <c r="P857" s="70"/>
      <c r="Q857" s="70"/>
      <c r="R857" s="70"/>
      <c r="S857" s="70"/>
      <c r="T857" s="70"/>
      <c r="U857" s="70"/>
      <c r="V857" s="70"/>
      <c r="W857" s="70"/>
    </row>
    <row r="858">
      <c r="A858" s="70"/>
      <c r="B858" s="70"/>
      <c r="C858" s="70"/>
      <c r="D858" s="70"/>
      <c r="E858" s="66"/>
      <c r="F858" s="70"/>
      <c r="G858" s="70"/>
      <c r="H858" s="70"/>
      <c r="I858" s="70"/>
      <c r="J858" s="70"/>
      <c r="K858" s="70"/>
      <c r="L858" s="70"/>
      <c r="M858" s="70"/>
      <c r="N858" s="70"/>
      <c r="O858" s="70"/>
      <c r="P858" s="70"/>
      <c r="Q858" s="70"/>
      <c r="R858" s="70"/>
      <c r="S858" s="70"/>
      <c r="T858" s="70"/>
      <c r="U858" s="70"/>
      <c r="V858" s="70"/>
      <c r="W858" s="70"/>
    </row>
    <row r="859">
      <c r="A859" s="70"/>
      <c r="B859" s="70"/>
      <c r="C859" s="70"/>
      <c r="D859" s="70"/>
      <c r="E859" s="66"/>
      <c r="F859" s="70"/>
      <c r="G859" s="70"/>
      <c r="H859" s="70"/>
      <c r="I859" s="70"/>
      <c r="J859" s="70"/>
      <c r="K859" s="70"/>
      <c r="L859" s="70"/>
      <c r="M859" s="70"/>
      <c r="N859" s="70"/>
      <c r="O859" s="70"/>
      <c r="P859" s="70"/>
      <c r="Q859" s="70"/>
      <c r="R859" s="70"/>
      <c r="S859" s="70"/>
      <c r="T859" s="70"/>
      <c r="U859" s="70"/>
      <c r="V859" s="70"/>
      <c r="W859" s="70"/>
    </row>
    <row r="860">
      <c r="A860" s="70"/>
      <c r="B860" s="70"/>
      <c r="C860" s="70"/>
      <c r="D860" s="70"/>
      <c r="E860" s="66"/>
      <c r="F860" s="70"/>
      <c r="G860" s="70"/>
      <c r="H860" s="70"/>
      <c r="I860" s="70"/>
      <c r="J860" s="70"/>
      <c r="K860" s="70"/>
      <c r="L860" s="70"/>
      <c r="M860" s="70"/>
      <c r="N860" s="70"/>
      <c r="O860" s="70"/>
      <c r="P860" s="70"/>
      <c r="Q860" s="70"/>
      <c r="R860" s="70"/>
      <c r="S860" s="70"/>
      <c r="T860" s="70"/>
      <c r="U860" s="70"/>
      <c r="V860" s="70"/>
      <c r="W860" s="70"/>
    </row>
    <row r="861">
      <c r="A861" s="70"/>
      <c r="B861" s="70"/>
      <c r="C861" s="70"/>
      <c r="D861" s="70"/>
      <c r="E861" s="66"/>
      <c r="F861" s="70"/>
      <c r="G861" s="70"/>
      <c r="H861" s="70"/>
      <c r="I861" s="70"/>
      <c r="J861" s="70"/>
      <c r="K861" s="70"/>
      <c r="L861" s="70"/>
      <c r="M861" s="70"/>
      <c r="N861" s="70"/>
      <c r="O861" s="70"/>
      <c r="P861" s="70"/>
      <c r="Q861" s="70"/>
      <c r="R861" s="70"/>
      <c r="S861" s="70"/>
      <c r="T861" s="70"/>
      <c r="U861" s="70"/>
      <c r="V861" s="70"/>
      <c r="W861" s="70"/>
    </row>
    <row r="862">
      <c r="A862" s="70"/>
      <c r="B862" s="70"/>
      <c r="C862" s="70"/>
      <c r="D862" s="70"/>
      <c r="E862" s="66"/>
      <c r="F862" s="70"/>
      <c r="G862" s="70"/>
      <c r="H862" s="70"/>
      <c r="I862" s="70"/>
      <c r="J862" s="70"/>
      <c r="K862" s="70"/>
      <c r="L862" s="70"/>
      <c r="M862" s="70"/>
      <c r="N862" s="70"/>
      <c r="O862" s="70"/>
      <c r="P862" s="70"/>
      <c r="Q862" s="70"/>
      <c r="R862" s="70"/>
      <c r="S862" s="70"/>
      <c r="T862" s="70"/>
      <c r="U862" s="70"/>
      <c r="V862" s="70"/>
      <c r="W862" s="70"/>
    </row>
    <row r="863">
      <c r="A863" s="70"/>
      <c r="B863" s="70"/>
      <c r="C863" s="70"/>
      <c r="D863" s="70"/>
      <c r="E863" s="66"/>
      <c r="F863" s="70"/>
      <c r="G863" s="70"/>
      <c r="H863" s="70"/>
      <c r="I863" s="70"/>
      <c r="J863" s="70"/>
      <c r="K863" s="70"/>
      <c r="L863" s="70"/>
      <c r="M863" s="70"/>
      <c r="N863" s="70"/>
      <c r="O863" s="70"/>
      <c r="P863" s="70"/>
      <c r="Q863" s="70"/>
      <c r="R863" s="70"/>
      <c r="S863" s="70"/>
      <c r="T863" s="70"/>
      <c r="U863" s="70"/>
      <c r="V863" s="70"/>
      <c r="W863" s="70"/>
    </row>
    <row r="864">
      <c r="A864" s="70"/>
      <c r="B864" s="70"/>
      <c r="C864" s="70"/>
      <c r="D864" s="70"/>
      <c r="E864" s="66"/>
      <c r="F864" s="70"/>
      <c r="G864" s="70"/>
      <c r="H864" s="70"/>
      <c r="I864" s="70"/>
      <c r="J864" s="70"/>
      <c r="K864" s="70"/>
      <c r="L864" s="70"/>
      <c r="M864" s="70"/>
      <c r="N864" s="70"/>
      <c r="O864" s="70"/>
      <c r="P864" s="70"/>
      <c r="Q864" s="70"/>
      <c r="R864" s="70"/>
      <c r="S864" s="70"/>
      <c r="T864" s="70"/>
      <c r="U864" s="70"/>
      <c r="V864" s="70"/>
      <c r="W864" s="70"/>
    </row>
    <row r="865">
      <c r="A865" s="70"/>
      <c r="B865" s="70"/>
      <c r="C865" s="70"/>
      <c r="D865" s="70"/>
      <c r="E865" s="66"/>
      <c r="F865" s="70"/>
      <c r="G865" s="70"/>
      <c r="H865" s="70"/>
      <c r="I865" s="70"/>
      <c r="J865" s="70"/>
      <c r="K865" s="70"/>
      <c r="L865" s="70"/>
      <c r="M865" s="70"/>
      <c r="N865" s="70"/>
      <c r="O865" s="70"/>
      <c r="P865" s="70"/>
      <c r="Q865" s="70"/>
      <c r="R865" s="70"/>
      <c r="S865" s="70"/>
      <c r="T865" s="70"/>
      <c r="U865" s="70"/>
      <c r="V865" s="70"/>
      <c r="W865" s="70"/>
    </row>
    <row r="866">
      <c r="A866" s="70"/>
      <c r="B866" s="70"/>
      <c r="C866" s="70"/>
      <c r="D866" s="70"/>
      <c r="E866" s="66"/>
      <c r="F866" s="70"/>
      <c r="G866" s="70"/>
      <c r="H866" s="70"/>
      <c r="I866" s="70"/>
      <c r="J866" s="70"/>
      <c r="K866" s="70"/>
      <c r="L866" s="70"/>
      <c r="M866" s="70"/>
      <c r="N866" s="70"/>
      <c r="O866" s="70"/>
      <c r="P866" s="70"/>
      <c r="Q866" s="70"/>
      <c r="R866" s="70"/>
      <c r="S866" s="70"/>
      <c r="T866" s="70"/>
      <c r="U866" s="70"/>
      <c r="V866" s="70"/>
      <c r="W866" s="70"/>
    </row>
    <row r="867">
      <c r="A867" s="70"/>
      <c r="B867" s="70"/>
      <c r="C867" s="70"/>
      <c r="D867" s="70"/>
      <c r="E867" s="66"/>
      <c r="F867" s="70"/>
      <c r="G867" s="70"/>
      <c r="H867" s="70"/>
      <c r="I867" s="70"/>
      <c r="J867" s="70"/>
      <c r="K867" s="70"/>
      <c r="L867" s="70"/>
      <c r="M867" s="70"/>
      <c r="N867" s="70"/>
      <c r="O867" s="70"/>
      <c r="P867" s="70"/>
      <c r="Q867" s="70"/>
      <c r="R867" s="70"/>
      <c r="S867" s="70"/>
      <c r="T867" s="70"/>
      <c r="U867" s="70"/>
      <c r="V867" s="70"/>
      <c r="W867" s="70"/>
    </row>
    <row r="868">
      <c r="A868" s="70"/>
      <c r="B868" s="70"/>
      <c r="C868" s="70"/>
      <c r="D868" s="70"/>
      <c r="E868" s="66"/>
      <c r="F868" s="70"/>
      <c r="G868" s="70"/>
      <c r="H868" s="70"/>
      <c r="I868" s="70"/>
      <c r="J868" s="70"/>
      <c r="K868" s="70"/>
      <c r="L868" s="70"/>
      <c r="M868" s="70"/>
      <c r="N868" s="70"/>
      <c r="O868" s="70"/>
      <c r="P868" s="70"/>
      <c r="Q868" s="70"/>
      <c r="R868" s="70"/>
      <c r="S868" s="70"/>
      <c r="T868" s="70"/>
      <c r="U868" s="70"/>
      <c r="V868" s="70"/>
      <c r="W868" s="70"/>
    </row>
    <row r="869">
      <c r="A869" s="70"/>
      <c r="B869" s="70"/>
      <c r="C869" s="70"/>
      <c r="D869" s="70"/>
      <c r="E869" s="66"/>
      <c r="F869" s="70"/>
      <c r="G869" s="70"/>
      <c r="H869" s="70"/>
      <c r="I869" s="70"/>
      <c r="J869" s="70"/>
      <c r="K869" s="70"/>
      <c r="L869" s="70"/>
      <c r="M869" s="70"/>
      <c r="N869" s="70"/>
      <c r="O869" s="70"/>
      <c r="P869" s="70"/>
      <c r="Q869" s="70"/>
      <c r="R869" s="70"/>
      <c r="S869" s="70"/>
      <c r="T869" s="70"/>
      <c r="U869" s="70"/>
      <c r="V869" s="70"/>
      <c r="W869" s="70"/>
    </row>
    <row r="870">
      <c r="A870" s="70"/>
      <c r="B870" s="70"/>
      <c r="C870" s="70"/>
      <c r="D870" s="70"/>
      <c r="E870" s="66"/>
      <c r="F870" s="70"/>
      <c r="G870" s="70"/>
      <c r="H870" s="70"/>
      <c r="I870" s="70"/>
      <c r="J870" s="70"/>
      <c r="K870" s="70"/>
      <c r="L870" s="70"/>
      <c r="M870" s="70"/>
      <c r="N870" s="70"/>
      <c r="O870" s="70"/>
      <c r="P870" s="70"/>
      <c r="Q870" s="70"/>
      <c r="R870" s="70"/>
      <c r="S870" s="70"/>
      <c r="T870" s="70"/>
      <c r="U870" s="70"/>
      <c r="V870" s="70"/>
      <c r="W870" s="70"/>
    </row>
    <row r="871">
      <c r="A871" s="70"/>
      <c r="B871" s="70"/>
      <c r="C871" s="70"/>
      <c r="D871" s="70"/>
      <c r="E871" s="66"/>
      <c r="F871" s="70"/>
      <c r="G871" s="70"/>
      <c r="H871" s="70"/>
      <c r="I871" s="70"/>
      <c r="J871" s="70"/>
      <c r="K871" s="70"/>
      <c r="L871" s="70"/>
      <c r="M871" s="70"/>
      <c r="N871" s="70"/>
      <c r="O871" s="70"/>
      <c r="P871" s="70"/>
      <c r="Q871" s="70"/>
      <c r="R871" s="70"/>
      <c r="S871" s="70"/>
      <c r="T871" s="70"/>
      <c r="U871" s="70"/>
      <c r="V871" s="70"/>
      <c r="W871" s="70"/>
    </row>
    <row r="872">
      <c r="A872" s="70"/>
      <c r="B872" s="70"/>
      <c r="C872" s="70"/>
      <c r="D872" s="70"/>
      <c r="E872" s="66"/>
      <c r="F872" s="70"/>
      <c r="G872" s="70"/>
      <c r="H872" s="70"/>
      <c r="I872" s="70"/>
      <c r="J872" s="70"/>
      <c r="K872" s="70"/>
      <c r="L872" s="70"/>
      <c r="M872" s="70"/>
      <c r="N872" s="70"/>
      <c r="O872" s="70"/>
      <c r="P872" s="70"/>
      <c r="Q872" s="70"/>
      <c r="R872" s="70"/>
      <c r="S872" s="70"/>
      <c r="T872" s="70"/>
      <c r="U872" s="70"/>
      <c r="V872" s="70"/>
      <c r="W872" s="70"/>
    </row>
    <row r="873">
      <c r="A873" s="70"/>
      <c r="B873" s="70"/>
      <c r="C873" s="70"/>
      <c r="D873" s="70"/>
      <c r="E873" s="66"/>
      <c r="F873" s="70"/>
      <c r="G873" s="70"/>
      <c r="H873" s="70"/>
      <c r="I873" s="70"/>
      <c r="J873" s="70"/>
      <c r="K873" s="70"/>
      <c r="L873" s="70"/>
      <c r="M873" s="70"/>
      <c r="N873" s="70"/>
      <c r="O873" s="70"/>
      <c r="P873" s="70"/>
      <c r="Q873" s="70"/>
      <c r="R873" s="70"/>
      <c r="S873" s="70"/>
      <c r="T873" s="70"/>
      <c r="U873" s="70"/>
      <c r="V873" s="70"/>
      <c r="W873" s="70"/>
    </row>
    <row r="874">
      <c r="A874" s="70"/>
      <c r="B874" s="70"/>
      <c r="C874" s="70"/>
      <c r="D874" s="70"/>
      <c r="E874" s="66"/>
      <c r="F874" s="70"/>
      <c r="G874" s="70"/>
      <c r="H874" s="70"/>
      <c r="I874" s="70"/>
      <c r="J874" s="70"/>
      <c r="K874" s="70"/>
      <c r="L874" s="70"/>
      <c r="M874" s="70"/>
      <c r="N874" s="70"/>
      <c r="O874" s="70"/>
      <c r="P874" s="70"/>
      <c r="Q874" s="70"/>
      <c r="R874" s="70"/>
      <c r="S874" s="70"/>
      <c r="T874" s="70"/>
      <c r="U874" s="70"/>
      <c r="V874" s="70"/>
      <c r="W874" s="70"/>
    </row>
    <row r="875">
      <c r="A875" s="70"/>
      <c r="B875" s="70"/>
      <c r="C875" s="70"/>
      <c r="D875" s="70"/>
      <c r="E875" s="66"/>
      <c r="F875" s="70"/>
      <c r="G875" s="70"/>
      <c r="H875" s="70"/>
      <c r="I875" s="70"/>
      <c r="J875" s="70"/>
      <c r="K875" s="70"/>
      <c r="L875" s="70"/>
      <c r="M875" s="70"/>
      <c r="N875" s="70"/>
      <c r="O875" s="70"/>
      <c r="P875" s="70"/>
      <c r="Q875" s="70"/>
      <c r="R875" s="70"/>
      <c r="S875" s="70"/>
      <c r="T875" s="70"/>
      <c r="U875" s="70"/>
      <c r="V875" s="70"/>
      <c r="W875" s="70"/>
    </row>
    <row r="876">
      <c r="A876" s="70"/>
      <c r="B876" s="70"/>
      <c r="C876" s="70"/>
      <c r="D876" s="70"/>
      <c r="E876" s="66"/>
      <c r="F876" s="70"/>
      <c r="G876" s="70"/>
      <c r="H876" s="70"/>
      <c r="I876" s="70"/>
      <c r="J876" s="70"/>
      <c r="K876" s="70"/>
      <c r="L876" s="70"/>
      <c r="M876" s="70"/>
      <c r="N876" s="70"/>
      <c r="O876" s="70"/>
      <c r="P876" s="70"/>
      <c r="Q876" s="70"/>
      <c r="R876" s="70"/>
      <c r="S876" s="70"/>
      <c r="T876" s="70"/>
      <c r="U876" s="70"/>
      <c r="V876" s="70"/>
      <c r="W876" s="70"/>
    </row>
    <row r="877">
      <c r="A877" s="70"/>
      <c r="B877" s="70"/>
      <c r="C877" s="70"/>
      <c r="D877" s="70"/>
      <c r="E877" s="66"/>
      <c r="F877" s="70"/>
      <c r="G877" s="70"/>
      <c r="H877" s="70"/>
      <c r="I877" s="70"/>
      <c r="J877" s="70"/>
      <c r="K877" s="70"/>
      <c r="L877" s="70"/>
      <c r="M877" s="70"/>
      <c r="N877" s="70"/>
      <c r="O877" s="70"/>
      <c r="P877" s="70"/>
      <c r="Q877" s="70"/>
      <c r="R877" s="70"/>
      <c r="S877" s="70"/>
      <c r="T877" s="70"/>
      <c r="U877" s="70"/>
      <c r="V877" s="70"/>
      <c r="W877" s="70"/>
    </row>
    <row r="878">
      <c r="A878" s="70"/>
      <c r="B878" s="70"/>
      <c r="C878" s="70"/>
      <c r="D878" s="70"/>
      <c r="E878" s="66"/>
      <c r="F878" s="70"/>
      <c r="G878" s="70"/>
      <c r="H878" s="70"/>
      <c r="I878" s="70"/>
      <c r="J878" s="70"/>
      <c r="K878" s="70"/>
      <c r="L878" s="70"/>
      <c r="M878" s="70"/>
      <c r="N878" s="70"/>
      <c r="O878" s="70"/>
      <c r="P878" s="70"/>
      <c r="Q878" s="70"/>
      <c r="R878" s="70"/>
      <c r="S878" s="70"/>
      <c r="T878" s="70"/>
      <c r="U878" s="70"/>
      <c r="V878" s="70"/>
      <c r="W878" s="70"/>
    </row>
    <row r="879">
      <c r="A879" s="70"/>
      <c r="B879" s="70"/>
      <c r="C879" s="70"/>
      <c r="D879" s="70"/>
      <c r="E879" s="66"/>
      <c r="F879" s="70"/>
      <c r="G879" s="70"/>
      <c r="H879" s="70"/>
      <c r="I879" s="70"/>
      <c r="J879" s="70"/>
      <c r="K879" s="70"/>
      <c r="L879" s="70"/>
      <c r="M879" s="70"/>
      <c r="N879" s="70"/>
      <c r="O879" s="70"/>
      <c r="P879" s="70"/>
      <c r="Q879" s="70"/>
      <c r="R879" s="70"/>
      <c r="S879" s="70"/>
      <c r="T879" s="70"/>
      <c r="U879" s="70"/>
      <c r="V879" s="70"/>
      <c r="W879" s="70"/>
    </row>
    <row r="880">
      <c r="A880" s="70"/>
      <c r="B880" s="70"/>
      <c r="C880" s="70"/>
      <c r="D880" s="70"/>
      <c r="E880" s="66"/>
      <c r="F880" s="70"/>
      <c r="G880" s="70"/>
      <c r="H880" s="70"/>
      <c r="I880" s="70"/>
      <c r="J880" s="70"/>
      <c r="K880" s="70"/>
      <c r="L880" s="70"/>
      <c r="M880" s="70"/>
      <c r="N880" s="70"/>
      <c r="O880" s="70"/>
      <c r="P880" s="70"/>
      <c r="Q880" s="70"/>
      <c r="R880" s="70"/>
      <c r="S880" s="70"/>
      <c r="T880" s="70"/>
      <c r="U880" s="70"/>
      <c r="V880" s="70"/>
      <c r="W880" s="70"/>
    </row>
    <row r="881">
      <c r="A881" s="70"/>
      <c r="B881" s="70"/>
      <c r="C881" s="70"/>
      <c r="D881" s="70"/>
      <c r="E881" s="66"/>
      <c r="F881" s="70"/>
      <c r="G881" s="70"/>
      <c r="H881" s="70"/>
      <c r="I881" s="70"/>
      <c r="J881" s="70"/>
      <c r="K881" s="70"/>
      <c r="L881" s="70"/>
      <c r="M881" s="70"/>
      <c r="N881" s="70"/>
      <c r="O881" s="70"/>
      <c r="P881" s="70"/>
      <c r="Q881" s="70"/>
      <c r="R881" s="70"/>
      <c r="S881" s="70"/>
      <c r="T881" s="70"/>
      <c r="U881" s="70"/>
      <c r="V881" s="70"/>
      <c r="W881" s="70"/>
    </row>
    <row r="882">
      <c r="A882" s="70"/>
      <c r="B882" s="70"/>
      <c r="C882" s="70"/>
      <c r="D882" s="70"/>
      <c r="E882" s="66"/>
      <c r="F882" s="70"/>
      <c r="G882" s="70"/>
      <c r="H882" s="70"/>
      <c r="I882" s="70"/>
      <c r="J882" s="70"/>
      <c r="K882" s="70"/>
      <c r="L882" s="70"/>
      <c r="M882" s="70"/>
      <c r="N882" s="70"/>
      <c r="O882" s="70"/>
      <c r="P882" s="70"/>
      <c r="Q882" s="70"/>
      <c r="R882" s="70"/>
      <c r="S882" s="70"/>
      <c r="T882" s="70"/>
      <c r="U882" s="70"/>
      <c r="V882" s="70"/>
      <c r="W882" s="70"/>
    </row>
    <row r="883">
      <c r="A883" s="70"/>
      <c r="B883" s="70"/>
      <c r="C883" s="70"/>
      <c r="D883" s="70"/>
      <c r="E883" s="66"/>
      <c r="F883" s="70"/>
      <c r="G883" s="70"/>
      <c r="H883" s="70"/>
      <c r="I883" s="70"/>
      <c r="J883" s="70"/>
      <c r="K883" s="70"/>
      <c r="L883" s="70"/>
      <c r="M883" s="70"/>
      <c r="N883" s="70"/>
      <c r="O883" s="70"/>
      <c r="P883" s="70"/>
      <c r="Q883" s="70"/>
      <c r="R883" s="70"/>
      <c r="S883" s="70"/>
      <c r="T883" s="70"/>
      <c r="U883" s="70"/>
      <c r="V883" s="70"/>
      <c r="W883" s="70"/>
    </row>
    <row r="884">
      <c r="A884" s="70"/>
      <c r="B884" s="70"/>
      <c r="C884" s="70"/>
      <c r="D884" s="70"/>
      <c r="E884" s="66"/>
      <c r="F884" s="70"/>
      <c r="G884" s="70"/>
      <c r="H884" s="70"/>
      <c r="I884" s="70"/>
      <c r="J884" s="70"/>
      <c r="K884" s="70"/>
      <c r="L884" s="70"/>
      <c r="M884" s="70"/>
      <c r="N884" s="70"/>
      <c r="O884" s="70"/>
      <c r="P884" s="70"/>
      <c r="Q884" s="70"/>
      <c r="R884" s="70"/>
      <c r="S884" s="70"/>
      <c r="T884" s="70"/>
      <c r="U884" s="70"/>
      <c r="V884" s="70"/>
      <c r="W884" s="70"/>
    </row>
    <row r="885">
      <c r="A885" s="70"/>
      <c r="B885" s="70"/>
      <c r="C885" s="70"/>
      <c r="D885" s="70"/>
      <c r="E885" s="66"/>
      <c r="F885" s="70"/>
      <c r="G885" s="70"/>
      <c r="H885" s="70"/>
      <c r="I885" s="70"/>
      <c r="J885" s="70"/>
      <c r="K885" s="70"/>
      <c r="L885" s="70"/>
      <c r="M885" s="70"/>
      <c r="N885" s="70"/>
      <c r="O885" s="70"/>
      <c r="P885" s="70"/>
      <c r="Q885" s="70"/>
      <c r="R885" s="70"/>
      <c r="S885" s="70"/>
      <c r="T885" s="70"/>
      <c r="U885" s="70"/>
      <c r="V885" s="70"/>
      <c r="W885" s="70"/>
    </row>
    <row r="886">
      <c r="A886" s="70"/>
      <c r="B886" s="70"/>
      <c r="C886" s="70"/>
      <c r="D886" s="70"/>
      <c r="E886" s="66"/>
      <c r="F886" s="70"/>
      <c r="G886" s="70"/>
      <c r="H886" s="70"/>
      <c r="I886" s="70"/>
      <c r="J886" s="70"/>
      <c r="K886" s="70"/>
      <c r="L886" s="70"/>
      <c r="M886" s="70"/>
      <c r="N886" s="70"/>
      <c r="O886" s="70"/>
      <c r="P886" s="70"/>
      <c r="Q886" s="70"/>
      <c r="R886" s="70"/>
      <c r="S886" s="70"/>
      <c r="T886" s="70"/>
      <c r="U886" s="70"/>
      <c r="V886" s="70"/>
      <c r="W886" s="70"/>
    </row>
    <row r="887">
      <c r="A887" s="70"/>
      <c r="B887" s="70"/>
      <c r="C887" s="70"/>
      <c r="D887" s="70"/>
      <c r="E887" s="66"/>
      <c r="F887" s="70"/>
      <c r="G887" s="70"/>
      <c r="H887" s="70"/>
      <c r="I887" s="70"/>
      <c r="J887" s="70"/>
      <c r="K887" s="70"/>
      <c r="L887" s="70"/>
      <c r="M887" s="70"/>
      <c r="N887" s="70"/>
      <c r="O887" s="70"/>
      <c r="P887" s="70"/>
      <c r="Q887" s="70"/>
      <c r="R887" s="70"/>
      <c r="S887" s="70"/>
      <c r="T887" s="70"/>
      <c r="U887" s="70"/>
      <c r="V887" s="70"/>
      <c r="W887" s="70"/>
    </row>
    <row r="888">
      <c r="A888" s="70"/>
      <c r="B888" s="70"/>
      <c r="C888" s="70"/>
      <c r="D888" s="70"/>
      <c r="E888" s="66"/>
      <c r="F888" s="70"/>
      <c r="G888" s="70"/>
      <c r="H888" s="70"/>
      <c r="I888" s="70"/>
      <c r="J888" s="70"/>
      <c r="K888" s="70"/>
      <c r="L888" s="70"/>
      <c r="M888" s="70"/>
      <c r="N888" s="70"/>
      <c r="O888" s="70"/>
      <c r="P888" s="70"/>
      <c r="Q888" s="70"/>
      <c r="R888" s="70"/>
      <c r="S888" s="70"/>
      <c r="T888" s="70"/>
      <c r="U888" s="70"/>
      <c r="V888" s="70"/>
      <c r="W888" s="70"/>
    </row>
    <row r="889">
      <c r="A889" s="70"/>
      <c r="B889" s="70"/>
      <c r="C889" s="70"/>
      <c r="D889" s="70"/>
      <c r="E889" s="66"/>
      <c r="F889" s="70"/>
      <c r="G889" s="70"/>
      <c r="H889" s="70"/>
      <c r="I889" s="70"/>
      <c r="J889" s="70"/>
      <c r="K889" s="70"/>
      <c r="L889" s="70"/>
      <c r="M889" s="70"/>
      <c r="N889" s="70"/>
      <c r="O889" s="70"/>
      <c r="P889" s="70"/>
      <c r="Q889" s="70"/>
      <c r="R889" s="70"/>
      <c r="S889" s="70"/>
      <c r="T889" s="70"/>
      <c r="U889" s="70"/>
      <c r="V889" s="70"/>
      <c r="W889" s="70"/>
    </row>
    <row r="890">
      <c r="A890" s="70"/>
      <c r="B890" s="70"/>
      <c r="C890" s="70"/>
      <c r="D890" s="70"/>
      <c r="E890" s="66"/>
      <c r="F890" s="70"/>
      <c r="G890" s="70"/>
      <c r="H890" s="70"/>
      <c r="I890" s="70"/>
      <c r="J890" s="70"/>
      <c r="K890" s="70"/>
      <c r="L890" s="70"/>
      <c r="M890" s="70"/>
      <c r="N890" s="70"/>
      <c r="O890" s="70"/>
      <c r="P890" s="70"/>
      <c r="Q890" s="70"/>
      <c r="R890" s="70"/>
      <c r="S890" s="70"/>
      <c r="T890" s="70"/>
      <c r="U890" s="70"/>
      <c r="V890" s="70"/>
      <c r="W890" s="70"/>
    </row>
    <row r="891">
      <c r="A891" s="70"/>
      <c r="B891" s="70"/>
      <c r="C891" s="70"/>
      <c r="D891" s="70"/>
      <c r="E891" s="66"/>
      <c r="F891" s="70"/>
      <c r="G891" s="70"/>
      <c r="H891" s="70"/>
      <c r="I891" s="70"/>
      <c r="J891" s="70"/>
      <c r="K891" s="70"/>
      <c r="L891" s="70"/>
      <c r="M891" s="70"/>
      <c r="N891" s="70"/>
      <c r="O891" s="70"/>
      <c r="P891" s="70"/>
      <c r="Q891" s="70"/>
      <c r="R891" s="70"/>
      <c r="S891" s="70"/>
      <c r="T891" s="70"/>
      <c r="U891" s="70"/>
      <c r="V891" s="70"/>
      <c r="W891" s="70"/>
    </row>
    <row r="892">
      <c r="A892" s="70"/>
      <c r="B892" s="70"/>
      <c r="C892" s="70"/>
      <c r="D892" s="70"/>
      <c r="E892" s="66"/>
      <c r="F892" s="70"/>
      <c r="G892" s="70"/>
      <c r="H892" s="70"/>
      <c r="I892" s="70"/>
      <c r="J892" s="70"/>
      <c r="K892" s="70"/>
      <c r="L892" s="70"/>
      <c r="M892" s="70"/>
      <c r="N892" s="70"/>
      <c r="O892" s="70"/>
      <c r="P892" s="70"/>
      <c r="Q892" s="70"/>
      <c r="R892" s="70"/>
      <c r="S892" s="70"/>
      <c r="T892" s="70"/>
      <c r="U892" s="70"/>
      <c r="V892" s="70"/>
      <c r="W892" s="70"/>
    </row>
    <row r="893">
      <c r="A893" s="70"/>
      <c r="B893" s="70"/>
      <c r="C893" s="70"/>
      <c r="D893" s="70"/>
      <c r="E893" s="66"/>
      <c r="F893" s="70"/>
      <c r="G893" s="70"/>
      <c r="H893" s="70"/>
      <c r="I893" s="70"/>
      <c r="J893" s="70"/>
      <c r="K893" s="70"/>
      <c r="L893" s="70"/>
      <c r="M893" s="70"/>
      <c r="N893" s="70"/>
      <c r="O893" s="70"/>
      <c r="P893" s="70"/>
      <c r="Q893" s="70"/>
      <c r="R893" s="70"/>
      <c r="S893" s="70"/>
      <c r="T893" s="70"/>
      <c r="U893" s="70"/>
      <c r="V893" s="70"/>
      <c r="W893" s="70"/>
    </row>
    <row r="894">
      <c r="A894" s="70"/>
      <c r="B894" s="70"/>
      <c r="C894" s="70"/>
      <c r="D894" s="70"/>
      <c r="E894" s="66"/>
      <c r="F894" s="70"/>
      <c r="G894" s="70"/>
      <c r="H894" s="70"/>
      <c r="I894" s="70"/>
      <c r="J894" s="70"/>
      <c r="K894" s="70"/>
      <c r="L894" s="70"/>
      <c r="M894" s="70"/>
      <c r="N894" s="70"/>
      <c r="O894" s="70"/>
      <c r="P894" s="70"/>
      <c r="Q894" s="70"/>
      <c r="R894" s="70"/>
      <c r="S894" s="70"/>
      <c r="T894" s="70"/>
      <c r="U894" s="70"/>
      <c r="V894" s="70"/>
      <c r="W894" s="70"/>
    </row>
    <row r="895">
      <c r="A895" s="70"/>
      <c r="B895" s="70"/>
      <c r="C895" s="70"/>
      <c r="D895" s="70"/>
      <c r="E895" s="66"/>
      <c r="F895" s="70"/>
      <c r="G895" s="70"/>
      <c r="H895" s="70"/>
      <c r="I895" s="70"/>
      <c r="J895" s="70"/>
      <c r="K895" s="70"/>
      <c r="L895" s="70"/>
      <c r="M895" s="70"/>
      <c r="N895" s="70"/>
      <c r="O895" s="70"/>
      <c r="P895" s="70"/>
      <c r="Q895" s="70"/>
      <c r="R895" s="70"/>
      <c r="S895" s="70"/>
      <c r="T895" s="70"/>
      <c r="U895" s="70"/>
      <c r="V895" s="70"/>
      <c r="W895" s="70"/>
    </row>
    <row r="896">
      <c r="A896" s="70"/>
      <c r="B896" s="70"/>
      <c r="C896" s="70"/>
      <c r="D896" s="70"/>
      <c r="E896" s="66"/>
      <c r="F896" s="70"/>
      <c r="G896" s="70"/>
      <c r="H896" s="70"/>
      <c r="I896" s="70"/>
      <c r="J896" s="70"/>
      <c r="K896" s="70"/>
      <c r="L896" s="70"/>
      <c r="M896" s="70"/>
      <c r="N896" s="70"/>
      <c r="O896" s="70"/>
      <c r="P896" s="70"/>
      <c r="Q896" s="70"/>
      <c r="R896" s="70"/>
      <c r="S896" s="70"/>
      <c r="T896" s="70"/>
      <c r="U896" s="70"/>
      <c r="V896" s="70"/>
      <c r="W896" s="70"/>
    </row>
    <row r="897">
      <c r="A897" s="70"/>
      <c r="B897" s="70"/>
      <c r="C897" s="70"/>
      <c r="D897" s="70"/>
      <c r="E897" s="66"/>
      <c r="F897" s="70"/>
      <c r="G897" s="70"/>
      <c r="H897" s="70"/>
      <c r="I897" s="70"/>
      <c r="J897" s="70"/>
      <c r="K897" s="70"/>
      <c r="L897" s="70"/>
      <c r="M897" s="70"/>
      <c r="N897" s="70"/>
      <c r="O897" s="70"/>
      <c r="P897" s="70"/>
      <c r="Q897" s="70"/>
      <c r="R897" s="70"/>
      <c r="S897" s="70"/>
      <c r="T897" s="70"/>
      <c r="U897" s="70"/>
      <c r="V897" s="70"/>
      <c r="W897" s="70"/>
    </row>
    <row r="898">
      <c r="A898" s="70"/>
      <c r="B898" s="70"/>
      <c r="C898" s="70"/>
      <c r="D898" s="70"/>
      <c r="E898" s="66"/>
      <c r="F898" s="70"/>
      <c r="G898" s="70"/>
      <c r="H898" s="70"/>
      <c r="I898" s="70"/>
      <c r="J898" s="70"/>
      <c r="K898" s="70"/>
      <c r="L898" s="70"/>
      <c r="M898" s="70"/>
      <c r="N898" s="70"/>
      <c r="O898" s="70"/>
      <c r="P898" s="70"/>
      <c r="Q898" s="70"/>
      <c r="R898" s="70"/>
      <c r="S898" s="70"/>
      <c r="T898" s="70"/>
      <c r="U898" s="70"/>
      <c r="V898" s="70"/>
      <c r="W898" s="70"/>
    </row>
    <row r="899">
      <c r="A899" s="70"/>
      <c r="B899" s="70"/>
      <c r="C899" s="70"/>
      <c r="D899" s="70"/>
      <c r="E899" s="66"/>
      <c r="F899" s="70"/>
      <c r="G899" s="70"/>
      <c r="H899" s="70"/>
      <c r="I899" s="70"/>
      <c r="J899" s="70"/>
      <c r="K899" s="70"/>
      <c r="L899" s="70"/>
      <c r="M899" s="70"/>
      <c r="N899" s="70"/>
      <c r="O899" s="70"/>
      <c r="P899" s="70"/>
      <c r="Q899" s="70"/>
      <c r="R899" s="70"/>
      <c r="S899" s="70"/>
      <c r="T899" s="70"/>
      <c r="U899" s="70"/>
      <c r="V899" s="70"/>
      <c r="W899" s="70"/>
    </row>
    <row r="900">
      <c r="A900" s="70"/>
      <c r="B900" s="70"/>
      <c r="C900" s="70"/>
      <c r="D900" s="70"/>
      <c r="E900" s="66"/>
      <c r="F900" s="70"/>
      <c r="G900" s="70"/>
      <c r="H900" s="70"/>
      <c r="I900" s="70"/>
      <c r="J900" s="70"/>
      <c r="K900" s="70"/>
      <c r="L900" s="70"/>
      <c r="M900" s="70"/>
      <c r="N900" s="70"/>
      <c r="O900" s="70"/>
      <c r="P900" s="70"/>
      <c r="Q900" s="70"/>
      <c r="R900" s="70"/>
      <c r="S900" s="70"/>
      <c r="T900" s="70"/>
      <c r="U900" s="70"/>
      <c r="V900" s="70"/>
      <c r="W900" s="70"/>
    </row>
    <row r="901">
      <c r="A901" s="70"/>
      <c r="B901" s="70"/>
      <c r="C901" s="70"/>
      <c r="D901" s="70"/>
      <c r="E901" s="66"/>
      <c r="F901" s="70"/>
      <c r="G901" s="70"/>
      <c r="H901" s="70"/>
      <c r="I901" s="70"/>
      <c r="J901" s="70"/>
      <c r="K901" s="70"/>
      <c r="L901" s="70"/>
      <c r="M901" s="70"/>
      <c r="N901" s="70"/>
      <c r="O901" s="70"/>
      <c r="P901" s="70"/>
      <c r="Q901" s="70"/>
      <c r="R901" s="70"/>
      <c r="S901" s="70"/>
      <c r="T901" s="70"/>
      <c r="U901" s="70"/>
      <c r="V901" s="70"/>
      <c r="W901" s="70"/>
    </row>
    <row r="902">
      <c r="A902" s="70"/>
      <c r="B902" s="70"/>
      <c r="C902" s="70"/>
      <c r="D902" s="70"/>
      <c r="E902" s="66"/>
      <c r="F902" s="70"/>
      <c r="G902" s="70"/>
      <c r="H902" s="70"/>
      <c r="I902" s="70"/>
      <c r="J902" s="70"/>
      <c r="K902" s="70"/>
      <c r="L902" s="70"/>
      <c r="M902" s="70"/>
      <c r="N902" s="70"/>
      <c r="O902" s="70"/>
      <c r="P902" s="70"/>
      <c r="Q902" s="70"/>
      <c r="R902" s="70"/>
      <c r="S902" s="70"/>
      <c r="T902" s="70"/>
      <c r="U902" s="70"/>
      <c r="V902" s="70"/>
      <c r="W902" s="70"/>
    </row>
    <row r="903">
      <c r="A903" s="70"/>
      <c r="B903" s="70"/>
      <c r="C903" s="70"/>
      <c r="D903" s="70"/>
      <c r="E903" s="66"/>
      <c r="F903" s="70"/>
      <c r="G903" s="70"/>
      <c r="H903" s="70"/>
      <c r="I903" s="70"/>
      <c r="J903" s="70"/>
      <c r="K903" s="70"/>
      <c r="L903" s="70"/>
      <c r="M903" s="70"/>
      <c r="N903" s="70"/>
      <c r="O903" s="70"/>
      <c r="P903" s="70"/>
      <c r="Q903" s="70"/>
      <c r="R903" s="70"/>
      <c r="S903" s="70"/>
      <c r="T903" s="70"/>
      <c r="U903" s="70"/>
      <c r="V903" s="70"/>
      <c r="W903" s="70"/>
    </row>
    <row r="904">
      <c r="A904" s="70"/>
      <c r="B904" s="70"/>
      <c r="C904" s="70"/>
      <c r="D904" s="70"/>
      <c r="E904" s="66"/>
      <c r="F904" s="70"/>
      <c r="G904" s="70"/>
      <c r="H904" s="70"/>
      <c r="I904" s="70"/>
      <c r="J904" s="70"/>
      <c r="K904" s="70"/>
      <c r="L904" s="70"/>
      <c r="M904" s="70"/>
      <c r="N904" s="70"/>
      <c r="O904" s="70"/>
      <c r="P904" s="70"/>
      <c r="Q904" s="70"/>
      <c r="R904" s="70"/>
      <c r="S904" s="70"/>
      <c r="T904" s="70"/>
      <c r="U904" s="70"/>
      <c r="V904" s="70"/>
      <c r="W904" s="70"/>
    </row>
    <row r="905">
      <c r="A905" s="70"/>
      <c r="B905" s="70"/>
      <c r="C905" s="70"/>
      <c r="D905" s="70"/>
      <c r="E905" s="66"/>
      <c r="F905" s="70"/>
      <c r="G905" s="70"/>
      <c r="H905" s="70"/>
      <c r="I905" s="70"/>
      <c r="J905" s="70"/>
      <c r="K905" s="70"/>
      <c r="L905" s="70"/>
      <c r="M905" s="70"/>
      <c r="N905" s="70"/>
      <c r="O905" s="70"/>
      <c r="P905" s="70"/>
      <c r="Q905" s="70"/>
      <c r="R905" s="70"/>
      <c r="S905" s="70"/>
      <c r="T905" s="70"/>
      <c r="U905" s="70"/>
      <c r="V905" s="70"/>
      <c r="W905" s="70"/>
    </row>
    <row r="906">
      <c r="A906" s="70"/>
      <c r="B906" s="70"/>
      <c r="C906" s="70"/>
      <c r="D906" s="70"/>
      <c r="E906" s="66"/>
      <c r="F906" s="70"/>
      <c r="G906" s="70"/>
      <c r="H906" s="70"/>
      <c r="I906" s="70"/>
      <c r="J906" s="70"/>
      <c r="K906" s="70"/>
      <c r="L906" s="70"/>
      <c r="M906" s="70"/>
      <c r="N906" s="70"/>
      <c r="O906" s="70"/>
      <c r="P906" s="70"/>
      <c r="Q906" s="70"/>
      <c r="R906" s="70"/>
      <c r="S906" s="70"/>
      <c r="T906" s="70"/>
      <c r="U906" s="70"/>
      <c r="V906" s="70"/>
      <c r="W906" s="70"/>
    </row>
    <row r="907">
      <c r="A907" s="70"/>
      <c r="B907" s="70"/>
      <c r="C907" s="70"/>
      <c r="D907" s="70"/>
      <c r="E907" s="66"/>
      <c r="F907" s="70"/>
      <c r="G907" s="70"/>
      <c r="H907" s="70"/>
      <c r="I907" s="70"/>
      <c r="J907" s="70"/>
      <c r="K907" s="70"/>
      <c r="L907" s="70"/>
      <c r="M907" s="70"/>
      <c r="N907" s="70"/>
      <c r="O907" s="70"/>
      <c r="P907" s="70"/>
      <c r="Q907" s="70"/>
      <c r="R907" s="70"/>
      <c r="S907" s="70"/>
      <c r="T907" s="70"/>
      <c r="U907" s="70"/>
      <c r="V907" s="70"/>
      <c r="W907" s="70"/>
    </row>
    <row r="908">
      <c r="A908" s="70"/>
      <c r="B908" s="70"/>
      <c r="C908" s="70"/>
      <c r="D908" s="70"/>
      <c r="E908" s="66"/>
      <c r="F908" s="70"/>
      <c r="G908" s="70"/>
      <c r="H908" s="70"/>
      <c r="I908" s="70"/>
      <c r="J908" s="70"/>
      <c r="K908" s="70"/>
      <c r="L908" s="70"/>
      <c r="M908" s="70"/>
      <c r="N908" s="70"/>
      <c r="O908" s="70"/>
      <c r="P908" s="70"/>
      <c r="Q908" s="70"/>
      <c r="R908" s="70"/>
      <c r="S908" s="70"/>
      <c r="T908" s="70"/>
      <c r="U908" s="70"/>
      <c r="V908" s="70"/>
      <c r="W908" s="70"/>
    </row>
    <row r="909">
      <c r="A909" s="70"/>
      <c r="B909" s="70"/>
      <c r="C909" s="70"/>
      <c r="D909" s="70"/>
      <c r="E909" s="66"/>
      <c r="F909" s="70"/>
      <c r="G909" s="70"/>
      <c r="H909" s="70"/>
      <c r="I909" s="70"/>
      <c r="J909" s="70"/>
      <c r="K909" s="70"/>
      <c r="L909" s="70"/>
      <c r="M909" s="70"/>
      <c r="N909" s="70"/>
      <c r="O909" s="70"/>
      <c r="P909" s="70"/>
      <c r="Q909" s="70"/>
      <c r="R909" s="70"/>
      <c r="S909" s="70"/>
      <c r="T909" s="70"/>
      <c r="U909" s="70"/>
      <c r="V909" s="70"/>
      <c r="W909" s="70"/>
    </row>
    <row r="910">
      <c r="A910" s="70"/>
      <c r="B910" s="70"/>
      <c r="C910" s="70"/>
      <c r="D910" s="70"/>
      <c r="E910" s="66"/>
      <c r="F910" s="70"/>
      <c r="G910" s="70"/>
      <c r="H910" s="70"/>
      <c r="I910" s="70"/>
      <c r="J910" s="70"/>
      <c r="K910" s="70"/>
      <c r="L910" s="70"/>
      <c r="M910" s="70"/>
      <c r="N910" s="70"/>
      <c r="O910" s="70"/>
      <c r="P910" s="70"/>
      <c r="Q910" s="70"/>
      <c r="R910" s="70"/>
      <c r="S910" s="70"/>
      <c r="T910" s="70"/>
      <c r="U910" s="70"/>
      <c r="V910" s="70"/>
      <c r="W910" s="70"/>
    </row>
    <row r="911">
      <c r="A911" s="70"/>
      <c r="B911" s="70"/>
      <c r="C911" s="70"/>
      <c r="D911" s="70"/>
      <c r="E911" s="66"/>
      <c r="F911" s="70"/>
      <c r="G911" s="70"/>
      <c r="H911" s="70"/>
      <c r="I911" s="70"/>
      <c r="J911" s="70"/>
      <c r="K911" s="70"/>
      <c r="L911" s="70"/>
      <c r="M911" s="70"/>
      <c r="N911" s="70"/>
      <c r="O911" s="70"/>
      <c r="P911" s="70"/>
      <c r="Q911" s="70"/>
      <c r="R911" s="70"/>
      <c r="S911" s="70"/>
      <c r="T911" s="70"/>
      <c r="U911" s="70"/>
      <c r="V911" s="70"/>
      <c r="W911" s="70"/>
    </row>
    <row r="912">
      <c r="A912" s="70"/>
      <c r="B912" s="70"/>
      <c r="C912" s="70"/>
      <c r="D912" s="70"/>
      <c r="E912" s="66"/>
      <c r="F912" s="70"/>
      <c r="G912" s="70"/>
      <c r="H912" s="70"/>
      <c r="I912" s="70"/>
      <c r="J912" s="70"/>
      <c r="K912" s="70"/>
      <c r="L912" s="70"/>
      <c r="M912" s="70"/>
      <c r="N912" s="70"/>
      <c r="O912" s="70"/>
      <c r="P912" s="70"/>
      <c r="Q912" s="70"/>
      <c r="R912" s="70"/>
      <c r="S912" s="70"/>
      <c r="T912" s="70"/>
      <c r="U912" s="70"/>
      <c r="V912" s="70"/>
      <c r="W912" s="70"/>
    </row>
    <row r="913">
      <c r="A913" s="70"/>
      <c r="B913" s="70"/>
      <c r="C913" s="70"/>
      <c r="D913" s="70"/>
      <c r="E913" s="66"/>
      <c r="F913" s="70"/>
      <c r="G913" s="70"/>
      <c r="H913" s="70"/>
      <c r="I913" s="70"/>
      <c r="J913" s="70"/>
      <c r="K913" s="70"/>
      <c r="L913" s="70"/>
      <c r="M913" s="70"/>
      <c r="N913" s="70"/>
      <c r="O913" s="70"/>
      <c r="P913" s="70"/>
      <c r="Q913" s="70"/>
      <c r="R913" s="70"/>
      <c r="S913" s="70"/>
      <c r="T913" s="70"/>
      <c r="U913" s="70"/>
      <c r="V913" s="70"/>
      <c r="W913" s="70"/>
    </row>
    <row r="914">
      <c r="A914" s="70"/>
      <c r="B914" s="70"/>
      <c r="C914" s="70"/>
      <c r="D914" s="70"/>
      <c r="E914" s="66"/>
      <c r="F914" s="70"/>
      <c r="G914" s="70"/>
      <c r="H914" s="70"/>
      <c r="I914" s="70"/>
      <c r="J914" s="70"/>
      <c r="K914" s="70"/>
      <c r="L914" s="70"/>
      <c r="M914" s="70"/>
      <c r="N914" s="70"/>
      <c r="O914" s="70"/>
      <c r="P914" s="70"/>
      <c r="Q914" s="70"/>
      <c r="R914" s="70"/>
      <c r="S914" s="70"/>
      <c r="T914" s="70"/>
      <c r="U914" s="70"/>
      <c r="V914" s="70"/>
      <c r="W914" s="70"/>
    </row>
    <row r="915">
      <c r="A915" s="70"/>
      <c r="B915" s="70"/>
      <c r="C915" s="70"/>
      <c r="D915" s="70"/>
      <c r="E915" s="66"/>
      <c r="F915" s="70"/>
      <c r="G915" s="70"/>
      <c r="H915" s="70"/>
      <c r="I915" s="70"/>
      <c r="J915" s="70"/>
      <c r="K915" s="70"/>
      <c r="L915" s="70"/>
      <c r="M915" s="70"/>
      <c r="N915" s="70"/>
      <c r="O915" s="70"/>
      <c r="P915" s="70"/>
      <c r="Q915" s="70"/>
      <c r="R915" s="70"/>
      <c r="S915" s="70"/>
      <c r="T915" s="70"/>
      <c r="U915" s="70"/>
      <c r="V915" s="70"/>
      <c r="W915" s="70"/>
    </row>
    <row r="916">
      <c r="A916" s="70"/>
      <c r="B916" s="70"/>
      <c r="C916" s="70"/>
      <c r="D916" s="70"/>
      <c r="E916" s="66"/>
      <c r="F916" s="70"/>
      <c r="G916" s="70"/>
      <c r="H916" s="70"/>
      <c r="I916" s="70"/>
      <c r="J916" s="70"/>
      <c r="K916" s="70"/>
      <c r="L916" s="70"/>
      <c r="M916" s="70"/>
      <c r="N916" s="70"/>
      <c r="O916" s="70"/>
      <c r="P916" s="70"/>
      <c r="Q916" s="70"/>
      <c r="R916" s="70"/>
      <c r="S916" s="70"/>
      <c r="T916" s="70"/>
      <c r="U916" s="70"/>
      <c r="V916" s="70"/>
      <c r="W916" s="70"/>
    </row>
    <row r="917">
      <c r="A917" s="70"/>
      <c r="B917" s="70"/>
      <c r="C917" s="70"/>
      <c r="D917" s="70"/>
      <c r="E917" s="66"/>
      <c r="F917" s="70"/>
      <c r="G917" s="70"/>
      <c r="H917" s="70"/>
      <c r="I917" s="70"/>
      <c r="J917" s="70"/>
      <c r="K917" s="70"/>
      <c r="L917" s="70"/>
      <c r="M917" s="70"/>
      <c r="N917" s="70"/>
      <c r="O917" s="70"/>
      <c r="P917" s="70"/>
      <c r="Q917" s="70"/>
      <c r="R917" s="70"/>
      <c r="S917" s="70"/>
      <c r="T917" s="70"/>
      <c r="U917" s="70"/>
      <c r="V917" s="70"/>
      <c r="W917" s="70"/>
    </row>
    <row r="918">
      <c r="A918" s="70"/>
      <c r="B918" s="70"/>
      <c r="C918" s="70"/>
      <c r="D918" s="70"/>
      <c r="E918" s="66"/>
      <c r="F918" s="70"/>
      <c r="G918" s="70"/>
      <c r="H918" s="70"/>
      <c r="I918" s="70"/>
      <c r="J918" s="70"/>
      <c r="K918" s="70"/>
      <c r="L918" s="70"/>
      <c r="M918" s="70"/>
      <c r="N918" s="70"/>
      <c r="O918" s="70"/>
      <c r="P918" s="70"/>
      <c r="Q918" s="70"/>
      <c r="R918" s="70"/>
      <c r="S918" s="70"/>
      <c r="T918" s="70"/>
      <c r="U918" s="70"/>
      <c r="V918" s="70"/>
      <c r="W918" s="70"/>
    </row>
    <row r="919">
      <c r="A919" s="70"/>
      <c r="B919" s="70"/>
      <c r="C919" s="70"/>
      <c r="D919" s="70"/>
      <c r="E919" s="66"/>
      <c r="F919" s="70"/>
      <c r="G919" s="70"/>
      <c r="H919" s="70"/>
      <c r="I919" s="70"/>
      <c r="J919" s="70"/>
      <c r="K919" s="70"/>
      <c r="L919" s="70"/>
      <c r="M919" s="70"/>
      <c r="N919" s="70"/>
      <c r="O919" s="70"/>
      <c r="P919" s="70"/>
      <c r="Q919" s="70"/>
      <c r="R919" s="70"/>
      <c r="S919" s="70"/>
      <c r="T919" s="70"/>
      <c r="U919" s="70"/>
      <c r="V919" s="70"/>
      <c r="W919" s="70"/>
    </row>
    <row r="920">
      <c r="A920" s="70"/>
      <c r="B920" s="70"/>
      <c r="C920" s="70"/>
      <c r="D920" s="70"/>
      <c r="E920" s="66"/>
      <c r="F920" s="70"/>
      <c r="G920" s="70"/>
      <c r="H920" s="70"/>
      <c r="I920" s="70"/>
      <c r="J920" s="70"/>
      <c r="K920" s="70"/>
      <c r="L920" s="70"/>
      <c r="M920" s="70"/>
      <c r="N920" s="70"/>
      <c r="O920" s="70"/>
      <c r="P920" s="70"/>
      <c r="Q920" s="70"/>
      <c r="R920" s="70"/>
      <c r="S920" s="70"/>
      <c r="T920" s="70"/>
      <c r="U920" s="70"/>
      <c r="V920" s="70"/>
      <c r="W920" s="70"/>
    </row>
    <row r="921">
      <c r="A921" s="70"/>
      <c r="B921" s="70"/>
      <c r="C921" s="70"/>
      <c r="D921" s="70"/>
      <c r="E921" s="66"/>
      <c r="F921" s="70"/>
      <c r="G921" s="70"/>
      <c r="H921" s="70"/>
      <c r="I921" s="70"/>
      <c r="J921" s="70"/>
      <c r="K921" s="70"/>
      <c r="L921" s="70"/>
      <c r="M921" s="70"/>
      <c r="N921" s="70"/>
      <c r="O921" s="70"/>
      <c r="P921" s="70"/>
      <c r="Q921" s="70"/>
      <c r="R921" s="70"/>
      <c r="S921" s="70"/>
      <c r="T921" s="70"/>
      <c r="U921" s="70"/>
      <c r="V921" s="70"/>
      <c r="W921" s="70"/>
    </row>
    <row r="922">
      <c r="A922" s="70"/>
      <c r="B922" s="70"/>
      <c r="C922" s="70"/>
      <c r="D922" s="70"/>
      <c r="E922" s="66"/>
      <c r="F922" s="70"/>
      <c r="G922" s="70"/>
      <c r="H922" s="70"/>
      <c r="I922" s="70"/>
      <c r="J922" s="70"/>
      <c r="K922" s="70"/>
      <c r="L922" s="70"/>
      <c r="M922" s="70"/>
      <c r="N922" s="70"/>
      <c r="O922" s="70"/>
      <c r="P922" s="70"/>
      <c r="Q922" s="70"/>
      <c r="R922" s="70"/>
      <c r="S922" s="70"/>
      <c r="T922" s="70"/>
      <c r="U922" s="70"/>
      <c r="V922" s="70"/>
      <c r="W922" s="70"/>
    </row>
    <row r="923">
      <c r="A923" s="70"/>
      <c r="B923" s="70"/>
      <c r="C923" s="70"/>
      <c r="D923" s="70"/>
      <c r="E923" s="66"/>
      <c r="F923" s="70"/>
      <c r="G923" s="70"/>
      <c r="H923" s="70"/>
      <c r="I923" s="70"/>
      <c r="J923" s="70"/>
      <c r="K923" s="70"/>
      <c r="L923" s="70"/>
      <c r="M923" s="70"/>
      <c r="N923" s="70"/>
      <c r="O923" s="70"/>
      <c r="P923" s="70"/>
      <c r="Q923" s="70"/>
      <c r="R923" s="70"/>
      <c r="S923" s="70"/>
      <c r="T923" s="70"/>
      <c r="U923" s="70"/>
      <c r="V923" s="70"/>
      <c r="W923" s="70"/>
    </row>
    <row r="924">
      <c r="A924" s="70"/>
      <c r="B924" s="70"/>
      <c r="C924" s="70"/>
      <c r="D924" s="70"/>
      <c r="E924" s="66"/>
      <c r="F924" s="70"/>
      <c r="G924" s="70"/>
      <c r="H924" s="70"/>
      <c r="I924" s="70"/>
      <c r="J924" s="70"/>
      <c r="K924" s="70"/>
      <c r="L924" s="70"/>
      <c r="M924" s="70"/>
      <c r="N924" s="70"/>
      <c r="O924" s="70"/>
      <c r="P924" s="70"/>
      <c r="Q924" s="70"/>
      <c r="R924" s="70"/>
      <c r="S924" s="70"/>
      <c r="T924" s="70"/>
      <c r="U924" s="70"/>
      <c r="V924" s="70"/>
      <c r="W924" s="70"/>
    </row>
    <row r="925">
      <c r="A925" s="70"/>
      <c r="B925" s="70"/>
      <c r="C925" s="70"/>
      <c r="D925" s="70"/>
      <c r="E925" s="66"/>
      <c r="F925" s="70"/>
      <c r="G925" s="70"/>
      <c r="H925" s="70"/>
      <c r="I925" s="70"/>
      <c r="J925" s="70"/>
      <c r="K925" s="70"/>
      <c r="L925" s="70"/>
      <c r="M925" s="70"/>
      <c r="N925" s="70"/>
      <c r="O925" s="70"/>
      <c r="P925" s="70"/>
      <c r="Q925" s="70"/>
      <c r="R925" s="70"/>
      <c r="S925" s="70"/>
      <c r="T925" s="70"/>
      <c r="U925" s="70"/>
      <c r="V925" s="70"/>
      <c r="W925" s="70"/>
    </row>
    <row r="926">
      <c r="A926" s="70"/>
      <c r="B926" s="70"/>
      <c r="C926" s="70"/>
      <c r="D926" s="70"/>
      <c r="E926" s="66"/>
      <c r="F926" s="70"/>
      <c r="G926" s="70"/>
      <c r="H926" s="70"/>
      <c r="I926" s="70"/>
      <c r="J926" s="70"/>
      <c r="K926" s="70"/>
      <c r="L926" s="70"/>
      <c r="M926" s="70"/>
      <c r="N926" s="70"/>
      <c r="O926" s="70"/>
      <c r="P926" s="70"/>
      <c r="Q926" s="70"/>
      <c r="R926" s="70"/>
      <c r="S926" s="70"/>
      <c r="T926" s="70"/>
      <c r="U926" s="70"/>
      <c r="V926" s="70"/>
      <c r="W926" s="70"/>
    </row>
    <row r="927">
      <c r="A927" s="70"/>
      <c r="B927" s="70"/>
      <c r="C927" s="70"/>
      <c r="D927" s="70"/>
      <c r="E927" s="66"/>
      <c r="F927" s="70"/>
      <c r="G927" s="70"/>
      <c r="H927" s="70"/>
      <c r="I927" s="70"/>
      <c r="J927" s="70"/>
      <c r="K927" s="70"/>
      <c r="L927" s="70"/>
      <c r="M927" s="70"/>
      <c r="N927" s="70"/>
      <c r="O927" s="70"/>
      <c r="P927" s="70"/>
      <c r="Q927" s="70"/>
      <c r="R927" s="70"/>
      <c r="S927" s="70"/>
      <c r="T927" s="70"/>
      <c r="U927" s="70"/>
      <c r="V927" s="70"/>
      <c r="W927" s="70"/>
    </row>
    <row r="928">
      <c r="A928" s="70"/>
      <c r="B928" s="70"/>
      <c r="C928" s="70"/>
      <c r="D928" s="70"/>
      <c r="E928" s="66"/>
      <c r="F928" s="70"/>
      <c r="G928" s="70"/>
      <c r="H928" s="70"/>
      <c r="I928" s="70"/>
      <c r="J928" s="70"/>
      <c r="K928" s="70"/>
      <c r="L928" s="70"/>
      <c r="M928" s="70"/>
      <c r="N928" s="70"/>
      <c r="O928" s="70"/>
      <c r="P928" s="70"/>
      <c r="Q928" s="70"/>
      <c r="R928" s="70"/>
      <c r="S928" s="70"/>
      <c r="T928" s="70"/>
      <c r="U928" s="70"/>
      <c r="V928" s="70"/>
      <c r="W928" s="70"/>
    </row>
    <row r="929">
      <c r="A929" s="70"/>
      <c r="B929" s="70"/>
      <c r="C929" s="70"/>
      <c r="D929" s="70"/>
      <c r="E929" s="66"/>
      <c r="F929" s="70"/>
      <c r="G929" s="70"/>
      <c r="H929" s="70"/>
      <c r="I929" s="70"/>
      <c r="J929" s="70"/>
      <c r="K929" s="70"/>
      <c r="L929" s="70"/>
      <c r="M929" s="70"/>
      <c r="N929" s="70"/>
      <c r="O929" s="70"/>
      <c r="P929" s="70"/>
      <c r="Q929" s="70"/>
      <c r="R929" s="70"/>
      <c r="S929" s="70"/>
      <c r="T929" s="70"/>
      <c r="U929" s="70"/>
      <c r="V929" s="70"/>
      <c r="W929" s="70"/>
    </row>
    <row r="930">
      <c r="A930" s="70"/>
      <c r="B930" s="70"/>
      <c r="C930" s="70"/>
      <c r="D930" s="70"/>
      <c r="E930" s="66"/>
      <c r="F930" s="70"/>
      <c r="G930" s="70"/>
      <c r="H930" s="70"/>
      <c r="I930" s="70"/>
      <c r="J930" s="70"/>
      <c r="K930" s="70"/>
      <c r="L930" s="70"/>
      <c r="M930" s="70"/>
      <c r="N930" s="70"/>
      <c r="O930" s="70"/>
      <c r="P930" s="70"/>
      <c r="Q930" s="70"/>
      <c r="R930" s="70"/>
      <c r="S930" s="70"/>
      <c r="T930" s="70"/>
      <c r="U930" s="70"/>
      <c r="V930" s="70"/>
      <c r="W930" s="70"/>
    </row>
    <row r="931">
      <c r="A931" s="70"/>
      <c r="B931" s="70"/>
      <c r="C931" s="70"/>
      <c r="D931" s="70"/>
      <c r="E931" s="66"/>
      <c r="F931" s="70"/>
      <c r="G931" s="70"/>
      <c r="H931" s="70"/>
      <c r="I931" s="70"/>
      <c r="J931" s="70"/>
      <c r="K931" s="70"/>
      <c r="L931" s="70"/>
      <c r="M931" s="70"/>
      <c r="N931" s="70"/>
      <c r="O931" s="70"/>
      <c r="P931" s="70"/>
      <c r="Q931" s="70"/>
      <c r="R931" s="70"/>
      <c r="S931" s="70"/>
      <c r="T931" s="70"/>
      <c r="U931" s="70"/>
      <c r="V931" s="70"/>
      <c r="W931" s="70"/>
    </row>
    <row r="932">
      <c r="A932" s="70"/>
      <c r="B932" s="70"/>
      <c r="C932" s="70"/>
      <c r="D932" s="70"/>
      <c r="E932" s="66"/>
      <c r="F932" s="70"/>
      <c r="G932" s="70"/>
      <c r="H932" s="70"/>
      <c r="I932" s="70"/>
      <c r="J932" s="70"/>
      <c r="K932" s="70"/>
      <c r="L932" s="70"/>
      <c r="M932" s="70"/>
      <c r="N932" s="70"/>
      <c r="O932" s="70"/>
      <c r="P932" s="70"/>
      <c r="Q932" s="70"/>
      <c r="R932" s="70"/>
      <c r="S932" s="70"/>
      <c r="T932" s="70"/>
      <c r="U932" s="70"/>
      <c r="V932" s="70"/>
      <c r="W932" s="70"/>
    </row>
    <row r="933">
      <c r="A933" s="70"/>
      <c r="B933" s="70"/>
      <c r="C933" s="70"/>
      <c r="D933" s="70"/>
      <c r="E933" s="66"/>
      <c r="F933" s="70"/>
      <c r="G933" s="70"/>
      <c r="H933" s="70"/>
      <c r="I933" s="70"/>
      <c r="J933" s="70"/>
      <c r="K933" s="70"/>
      <c r="L933" s="70"/>
      <c r="M933" s="70"/>
      <c r="N933" s="70"/>
      <c r="O933" s="70"/>
      <c r="P933" s="70"/>
      <c r="Q933" s="70"/>
      <c r="R933" s="70"/>
      <c r="S933" s="70"/>
      <c r="T933" s="70"/>
      <c r="U933" s="70"/>
      <c r="V933" s="70"/>
      <c r="W933" s="70"/>
    </row>
    <row r="934">
      <c r="A934" s="70"/>
      <c r="B934" s="70"/>
      <c r="C934" s="70"/>
      <c r="D934" s="70"/>
      <c r="E934" s="66"/>
      <c r="F934" s="70"/>
      <c r="G934" s="70"/>
      <c r="H934" s="70"/>
      <c r="I934" s="70"/>
      <c r="J934" s="70"/>
      <c r="K934" s="70"/>
      <c r="L934" s="70"/>
      <c r="M934" s="70"/>
      <c r="N934" s="70"/>
      <c r="O934" s="70"/>
      <c r="P934" s="70"/>
      <c r="Q934" s="70"/>
      <c r="R934" s="70"/>
      <c r="S934" s="70"/>
      <c r="T934" s="70"/>
      <c r="U934" s="70"/>
      <c r="V934" s="70"/>
      <c r="W934" s="70"/>
    </row>
    <row r="935">
      <c r="A935" s="70"/>
      <c r="B935" s="70"/>
      <c r="C935" s="70"/>
      <c r="D935" s="70"/>
      <c r="E935" s="66"/>
      <c r="F935" s="70"/>
      <c r="G935" s="70"/>
      <c r="H935" s="70"/>
      <c r="I935" s="70"/>
      <c r="J935" s="70"/>
      <c r="K935" s="70"/>
      <c r="L935" s="70"/>
      <c r="M935" s="70"/>
      <c r="N935" s="70"/>
      <c r="O935" s="70"/>
      <c r="P935" s="70"/>
      <c r="Q935" s="70"/>
      <c r="R935" s="70"/>
      <c r="S935" s="70"/>
      <c r="T935" s="70"/>
      <c r="U935" s="70"/>
      <c r="V935" s="70"/>
      <c r="W935" s="70"/>
    </row>
    <row r="936">
      <c r="A936" s="70"/>
      <c r="B936" s="70"/>
      <c r="C936" s="70"/>
      <c r="D936" s="70"/>
      <c r="E936" s="66"/>
      <c r="F936" s="70"/>
      <c r="G936" s="70"/>
      <c r="H936" s="70"/>
      <c r="I936" s="70"/>
      <c r="J936" s="70"/>
      <c r="K936" s="70"/>
      <c r="L936" s="70"/>
      <c r="M936" s="70"/>
      <c r="N936" s="70"/>
      <c r="O936" s="70"/>
      <c r="P936" s="70"/>
      <c r="Q936" s="70"/>
      <c r="R936" s="70"/>
      <c r="S936" s="70"/>
      <c r="T936" s="70"/>
      <c r="U936" s="70"/>
      <c r="V936" s="70"/>
      <c r="W936" s="70"/>
    </row>
    <row r="937">
      <c r="A937" s="70"/>
      <c r="B937" s="70"/>
      <c r="C937" s="70"/>
      <c r="D937" s="70"/>
      <c r="E937" s="66"/>
      <c r="F937" s="70"/>
      <c r="G937" s="70"/>
      <c r="H937" s="70"/>
      <c r="I937" s="70"/>
      <c r="J937" s="70"/>
      <c r="K937" s="70"/>
      <c r="L937" s="70"/>
      <c r="M937" s="70"/>
      <c r="N937" s="70"/>
      <c r="O937" s="70"/>
      <c r="P937" s="70"/>
      <c r="Q937" s="70"/>
      <c r="R937" s="70"/>
      <c r="S937" s="70"/>
      <c r="T937" s="70"/>
      <c r="U937" s="70"/>
      <c r="V937" s="70"/>
      <c r="W937" s="70"/>
    </row>
    <row r="938">
      <c r="A938" s="70"/>
      <c r="B938" s="70"/>
      <c r="C938" s="70"/>
      <c r="D938" s="70"/>
      <c r="E938" s="66"/>
      <c r="F938" s="70"/>
      <c r="G938" s="70"/>
      <c r="H938" s="70"/>
      <c r="I938" s="70"/>
      <c r="J938" s="70"/>
      <c r="K938" s="70"/>
      <c r="L938" s="70"/>
      <c r="M938" s="70"/>
      <c r="N938" s="70"/>
      <c r="O938" s="70"/>
      <c r="P938" s="70"/>
      <c r="Q938" s="70"/>
      <c r="R938" s="70"/>
      <c r="S938" s="70"/>
      <c r="T938" s="70"/>
      <c r="U938" s="70"/>
      <c r="V938" s="70"/>
      <c r="W938" s="70"/>
    </row>
    <row r="939">
      <c r="A939" s="70"/>
      <c r="B939" s="70"/>
      <c r="C939" s="70"/>
      <c r="D939" s="70"/>
      <c r="E939" s="66"/>
      <c r="F939" s="70"/>
      <c r="G939" s="70"/>
      <c r="H939" s="70"/>
      <c r="I939" s="70"/>
      <c r="J939" s="70"/>
      <c r="K939" s="70"/>
      <c r="L939" s="70"/>
      <c r="M939" s="70"/>
      <c r="N939" s="70"/>
      <c r="O939" s="70"/>
      <c r="P939" s="70"/>
      <c r="Q939" s="70"/>
      <c r="R939" s="70"/>
      <c r="S939" s="70"/>
      <c r="T939" s="70"/>
      <c r="U939" s="70"/>
      <c r="V939" s="70"/>
      <c r="W939" s="70"/>
    </row>
    <row r="940">
      <c r="A940" s="70"/>
      <c r="B940" s="70"/>
      <c r="C940" s="70"/>
      <c r="D940" s="70"/>
      <c r="E940" s="66"/>
      <c r="F940" s="70"/>
      <c r="G940" s="70"/>
      <c r="H940" s="70"/>
      <c r="I940" s="70"/>
      <c r="J940" s="70"/>
      <c r="K940" s="70"/>
      <c r="L940" s="70"/>
      <c r="M940" s="70"/>
      <c r="N940" s="70"/>
      <c r="O940" s="70"/>
      <c r="P940" s="70"/>
      <c r="Q940" s="70"/>
      <c r="R940" s="70"/>
      <c r="S940" s="70"/>
      <c r="T940" s="70"/>
      <c r="U940" s="70"/>
      <c r="V940" s="70"/>
      <c r="W940" s="70"/>
    </row>
    <row r="941">
      <c r="A941" s="70"/>
      <c r="B941" s="70"/>
      <c r="C941" s="70"/>
      <c r="D941" s="70"/>
      <c r="E941" s="66"/>
      <c r="F941" s="70"/>
      <c r="G941" s="70"/>
      <c r="H941" s="70"/>
      <c r="I941" s="70"/>
      <c r="J941" s="70"/>
      <c r="K941" s="70"/>
      <c r="L941" s="70"/>
      <c r="M941" s="70"/>
      <c r="N941" s="70"/>
      <c r="O941" s="70"/>
      <c r="P941" s="70"/>
      <c r="Q941" s="70"/>
      <c r="R941" s="70"/>
      <c r="S941" s="70"/>
      <c r="T941" s="70"/>
      <c r="U941" s="70"/>
      <c r="V941" s="70"/>
      <c r="W941" s="70"/>
    </row>
    <row r="942">
      <c r="A942" s="70"/>
      <c r="B942" s="70"/>
      <c r="C942" s="70"/>
      <c r="D942" s="70"/>
      <c r="E942" s="66"/>
      <c r="F942" s="70"/>
      <c r="G942" s="70"/>
      <c r="H942" s="70"/>
      <c r="I942" s="70"/>
      <c r="J942" s="70"/>
      <c r="K942" s="70"/>
      <c r="L942" s="70"/>
      <c r="M942" s="70"/>
      <c r="N942" s="70"/>
      <c r="O942" s="70"/>
      <c r="P942" s="70"/>
      <c r="Q942" s="70"/>
      <c r="R942" s="70"/>
      <c r="S942" s="70"/>
      <c r="T942" s="70"/>
      <c r="U942" s="70"/>
      <c r="V942" s="70"/>
      <c r="W942" s="70"/>
    </row>
    <row r="943">
      <c r="A943" s="70"/>
      <c r="B943" s="70"/>
      <c r="C943" s="70"/>
      <c r="D943" s="70"/>
      <c r="E943" s="66"/>
      <c r="F943" s="70"/>
      <c r="G943" s="70"/>
      <c r="H943" s="70"/>
      <c r="I943" s="70"/>
      <c r="J943" s="70"/>
      <c r="K943" s="70"/>
      <c r="L943" s="70"/>
      <c r="M943" s="70"/>
      <c r="N943" s="70"/>
      <c r="O943" s="70"/>
      <c r="P943" s="70"/>
      <c r="Q943" s="70"/>
      <c r="R943" s="70"/>
      <c r="S943" s="70"/>
      <c r="T943" s="70"/>
      <c r="U943" s="70"/>
      <c r="V943" s="70"/>
      <c r="W943" s="70"/>
    </row>
    <row r="944">
      <c r="A944" s="70"/>
      <c r="B944" s="70"/>
      <c r="C944" s="70"/>
      <c r="D944" s="70"/>
      <c r="E944" s="66"/>
      <c r="F944" s="70"/>
      <c r="G944" s="70"/>
      <c r="H944" s="70"/>
      <c r="I944" s="70"/>
      <c r="J944" s="70"/>
      <c r="K944" s="70"/>
      <c r="L944" s="70"/>
      <c r="M944" s="70"/>
      <c r="N944" s="70"/>
      <c r="O944" s="70"/>
      <c r="P944" s="70"/>
      <c r="Q944" s="70"/>
      <c r="R944" s="70"/>
      <c r="S944" s="70"/>
      <c r="T944" s="70"/>
      <c r="U944" s="70"/>
      <c r="V944" s="70"/>
      <c r="W944" s="70"/>
    </row>
    <row r="945">
      <c r="A945" s="70"/>
      <c r="B945" s="70"/>
      <c r="C945" s="70"/>
      <c r="D945" s="70"/>
      <c r="E945" s="66"/>
      <c r="F945" s="70"/>
      <c r="G945" s="70"/>
      <c r="H945" s="70"/>
      <c r="I945" s="70"/>
      <c r="J945" s="70"/>
      <c r="K945" s="70"/>
      <c r="L945" s="70"/>
      <c r="M945" s="70"/>
      <c r="N945" s="70"/>
      <c r="O945" s="70"/>
      <c r="P945" s="70"/>
      <c r="Q945" s="70"/>
      <c r="R945" s="70"/>
      <c r="S945" s="70"/>
      <c r="T945" s="70"/>
      <c r="U945" s="70"/>
      <c r="V945" s="70"/>
      <c r="W945" s="70"/>
    </row>
    <row r="946">
      <c r="A946" s="70"/>
      <c r="B946" s="70"/>
      <c r="C946" s="70"/>
      <c r="D946" s="70"/>
      <c r="E946" s="66"/>
      <c r="F946" s="70"/>
      <c r="G946" s="70"/>
      <c r="H946" s="70"/>
      <c r="I946" s="70"/>
      <c r="J946" s="70"/>
      <c r="K946" s="70"/>
      <c r="L946" s="70"/>
      <c r="M946" s="70"/>
      <c r="N946" s="70"/>
      <c r="O946" s="70"/>
      <c r="P946" s="70"/>
      <c r="Q946" s="70"/>
      <c r="R946" s="70"/>
      <c r="S946" s="70"/>
      <c r="T946" s="70"/>
      <c r="U946" s="70"/>
      <c r="V946" s="70"/>
      <c r="W946" s="70"/>
    </row>
    <row r="947">
      <c r="A947" s="70"/>
      <c r="B947" s="70"/>
      <c r="C947" s="70"/>
      <c r="D947" s="70"/>
      <c r="E947" s="66"/>
      <c r="F947" s="70"/>
      <c r="G947" s="70"/>
      <c r="H947" s="70"/>
      <c r="I947" s="70"/>
      <c r="J947" s="70"/>
      <c r="K947" s="70"/>
      <c r="L947" s="70"/>
      <c r="M947" s="70"/>
      <c r="N947" s="70"/>
      <c r="O947" s="70"/>
      <c r="P947" s="70"/>
      <c r="Q947" s="70"/>
      <c r="R947" s="70"/>
      <c r="S947" s="70"/>
      <c r="T947" s="70"/>
      <c r="U947" s="70"/>
      <c r="V947" s="70"/>
      <c r="W947" s="70"/>
    </row>
    <row r="948">
      <c r="A948" s="70"/>
      <c r="B948" s="70"/>
      <c r="C948" s="70"/>
      <c r="D948" s="70"/>
      <c r="E948" s="66"/>
      <c r="F948" s="70"/>
      <c r="G948" s="70"/>
      <c r="H948" s="70"/>
      <c r="I948" s="70"/>
      <c r="J948" s="70"/>
      <c r="K948" s="70"/>
      <c r="L948" s="70"/>
      <c r="M948" s="70"/>
      <c r="N948" s="70"/>
      <c r="O948" s="70"/>
      <c r="P948" s="70"/>
      <c r="Q948" s="70"/>
      <c r="R948" s="70"/>
      <c r="S948" s="70"/>
      <c r="T948" s="70"/>
      <c r="U948" s="70"/>
      <c r="V948" s="70"/>
      <c r="W948" s="70"/>
    </row>
    <row r="949">
      <c r="A949" s="70"/>
      <c r="B949" s="70"/>
      <c r="C949" s="70"/>
      <c r="D949" s="70"/>
      <c r="E949" s="66"/>
      <c r="F949" s="70"/>
      <c r="G949" s="70"/>
      <c r="H949" s="70"/>
      <c r="I949" s="70"/>
      <c r="J949" s="70"/>
      <c r="K949" s="70"/>
      <c r="L949" s="70"/>
      <c r="M949" s="70"/>
      <c r="N949" s="70"/>
      <c r="O949" s="70"/>
      <c r="P949" s="70"/>
      <c r="Q949" s="70"/>
      <c r="R949" s="70"/>
      <c r="S949" s="70"/>
      <c r="T949" s="70"/>
      <c r="U949" s="70"/>
      <c r="V949" s="70"/>
      <c r="W949" s="70"/>
    </row>
    <row r="950">
      <c r="A950" s="70"/>
      <c r="B950" s="70"/>
      <c r="C950" s="70"/>
      <c r="D950" s="70"/>
      <c r="E950" s="66"/>
      <c r="F950" s="70"/>
      <c r="G950" s="70"/>
      <c r="H950" s="70"/>
      <c r="I950" s="70"/>
      <c r="J950" s="70"/>
      <c r="K950" s="70"/>
      <c r="L950" s="70"/>
      <c r="M950" s="70"/>
      <c r="N950" s="70"/>
      <c r="O950" s="70"/>
      <c r="P950" s="70"/>
      <c r="Q950" s="70"/>
      <c r="R950" s="70"/>
      <c r="S950" s="70"/>
      <c r="T950" s="70"/>
      <c r="U950" s="70"/>
      <c r="V950" s="70"/>
      <c r="W950" s="70"/>
    </row>
    <row r="951">
      <c r="A951" s="70"/>
      <c r="B951" s="70"/>
      <c r="C951" s="70"/>
      <c r="D951" s="70"/>
      <c r="E951" s="66"/>
      <c r="F951" s="70"/>
      <c r="G951" s="70"/>
      <c r="H951" s="70"/>
      <c r="I951" s="70"/>
      <c r="J951" s="70"/>
      <c r="K951" s="70"/>
      <c r="L951" s="70"/>
      <c r="M951" s="70"/>
      <c r="N951" s="70"/>
      <c r="O951" s="70"/>
      <c r="P951" s="70"/>
      <c r="Q951" s="70"/>
      <c r="R951" s="70"/>
      <c r="S951" s="70"/>
      <c r="T951" s="70"/>
      <c r="U951" s="70"/>
      <c r="V951" s="70"/>
      <c r="W951" s="70"/>
    </row>
    <row r="952">
      <c r="A952" s="70"/>
      <c r="B952" s="70"/>
      <c r="C952" s="70"/>
      <c r="D952" s="70"/>
      <c r="E952" s="66"/>
      <c r="F952" s="70"/>
      <c r="G952" s="70"/>
      <c r="H952" s="70"/>
      <c r="I952" s="70"/>
      <c r="J952" s="70"/>
      <c r="K952" s="70"/>
      <c r="L952" s="70"/>
      <c r="M952" s="70"/>
      <c r="N952" s="70"/>
      <c r="O952" s="70"/>
      <c r="P952" s="70"/>
      <c r="Q952" s="70"/>
      <c r="R952" s="70"/>
      <c r="S952" s="70"/>
      <c r="T952" s="70"/>
      <c r="U952" s="70"/>
      <c r="V952" s="70"/>
      <c r="W952" s="70"/>
    </row>
    <row r="953">
      <c r="A953" s="70"/>
      <c r="B953" s="70"/>
      <c r="C953" s="70"/>
      <c r="D953" s="70"/>
      <c r="E953" s="66"/>
      <c r="F953" s="70"/>
      <c r="G953" s="70"/>
      <c r="H953" s="70"/>
      <c r="I953" s="70"/>
      <c r="J953" s="70"/>
      <c r="K953" s="70"/>
      <c r="L953" s="70"/>
      <c r="M953" s="70"/>
      <c r="N953" s="70"/>
      <c r="O953" s="70"/>
      <c r="P953" s="70"/>
      <c r="Q953" s="70"/>
      <c r="R953" s="70"/>
      <c r="S953" s="70"/>
      <c r="T953" s="70"/>
      <c r="U953" s="70"/>
      <c r="V953" s="70"/>
      <c r="W953" s="70"/>
    </row>
    <row r="954">
      <c r="A954" s="70"/>
      <c r="B954" s="70"/>
      <c r="C954" s="70"/>
      <c r="D954" s="70"/>
      <c r="E954" s="66"/>
      <c r="F954" s="70"/>
      <c r="G954" s="70"/>
      <c r="H954" s="70"/>
      <c r="I954" s="70"/>
      <c r="J954" s="70"/>
      <c r="K954" s="70"/>
      <c r="L954" s="70"/>
      <c r="M954" s="70"/>
      <c r="N954" s="70"/>
      <c r="O954" s="70"/>
      <c r="P954" s="70"/>
      <c r="Q954" s="70"/>
      <c r="R954" s="70"/>
      <c r="S954" s="70"/>
      <c r="T954" s="70"/>
      <c r="U954" s="70"/>
      <c r="V954" s="70"/>
      <c r="W954" s="70"/>
    </row>
    <row r="955">
      <c r="A955" s="70"/>
      <c r="B955" s="70"/>
      <c r="C955" s="70"/>
      <c r="D955" s="70"/>
      <c r="E955" s="66"/>
      <c r="F955" s="70"/>
      <c r="G955" s="70"/>
      <c r="H955" s="70"/>
      <c r="I955" s="70"/>
      <c r="J955" s="70"/>
      <c r="K955" s="70"/>
      <c r="L955" s="70"/>
      <c r="M955" s="70"/>
      <c r="N955" s="70"/>
      <c r="O955" s="70"/>
      <c r="P955" s="70"/>
      <c r="Q955" s="70"/>
      <c r="R955" s="70"/>
      <c r="S955" s="70"/>
      <c r="T955" s="70"/>
      <c r="U955" s="70"/>
      <c r="V955" s="70"/>
      <c r="W955" s="70"/>
    </row>
    <row r="956">
      <c r="A956" s="70"/>
      <c r="B956" s="70"/>
      <c r="C956" s="70"/>
      <c r="D956" s="70"/>
      <c r="E956" s="66"/>
      <c r="F956" s="70"/>
      <c r="G956" s="70"/>
      <c r="H956" s="70"/>
      <c r="I956" s="70"/>
      <c r="J956" s="70"/>
      <c r="K956" s="70"/>
      <c r="L956" s="70"/>
      <c r="M956" s="70"/>
      <c r="N956" s="70"/>
      <c r="O956" s="70"/>
      <c r="P956" s="70"/>
      <c r="Q956" s="70"/>
      <c r="R956" s="70"/>
      <c r="S956" s="70"/>
      <c r="T956" s="70"/>
      <c r="U956" s="70"/>
      <c r="V956" s="70"/>
      <c r="W956" s="70"/>
    </row>
    <row r="957">
      <c r="A957" s="70"/>
      <c r="B957" s="70"/>
      <c r="C957" s="70"/>
      <c r="D957" s="70"/>
      <c r="E957" s="66"/>
      <c r="F957" s="70"/>
      <c r="G957" s="70"/>
      <c r="H957" s="70"/>
      <c r="I957" s="70"/>
      <c r="J957" s="70"/>
      <c r="K957" s="70"/>
      <c r="L957" s="70"/>
      <c r="M957" s="70"/>
      <c r="N957" s="70"/>
      <c r="O957" s="70"/>
      <c r="P957" s="70"/>
      <c r="Q957" s="70"/>
      <c r="R957" s="70"/>
      <c r="S957" s="70"/>
      <c r="T957" s="70"/>
      <c r="U957" s="70"/>
      <c r="V957" s="70"/>
      <c r="W957" s="70"/>
    </row>
    <row r="958">
      <c r="A958" s="70"/>
      <c r="B958" s="70"/>
      <c r="C958" s="70"/>
      <c r="D958" s="70"/>
      <c r="E958" s="66"/>
      <c r="F958" s="70"/>
      <c r="G958" s="70"/>
      <c r="H958" s="70"/>
      <c r="I958" s="70"/>
      <c r="J958" s="70"/>
      <c r="K958" s="70"/>
      <c r="L958" s="70"/>
      <c r="M958" s="70"/>
      <c r="N958" s="70"/>
      <c r="O958" s="70"/>
      <c r="P958" s="70"/>
      <c r="Q958" s="70"/>
      <c r="R958" s="70"/>
      <c r="S958" s="70"/>
      <c r="T958" s="70"/>
      <c r="U958" s="70"/>
      <c r="V958" s="70"/>
      <c r="W958" s="70"/>
    </row>
    <row r="959">
      <c r="A959" s="70"/>
      <c r="B959" s="70"/>
      <c r="C959" s="70"/>
      <c r="D959" s="70"/>
      <c r="E959" s="66"/>
      <c r="F959" s="70"/>
      <c r="G959" s="70"/>
      <c r="H959" s="70"/>
      <c r="I959" s="70"/>
      <c r="J959" s="70"/>
      <c r="K959" s="70"/>
      <c r="L959" s="70"/>
      <c r="M959" s="70"/>
      <c r="N959" s="70"/>
      <c r="O959" s="70"/>
      <c r="P959" s="70"/>
      <c r="Q959" s="70"/>
      <c r="R959" s="70"/>
      <c r="S959" s="70"/>
      <c r="T959" s="70"/>
      <c r="U959" s="70"/>
      <c r="V959" s="70"/>
      <c r="W959" s="70"/>
    </row>
    <row r="960">
      <c r="A960" s="70"/>
      <c r="B960" s="70"/>
      <c r="C960" s="70"/>
      <c r="D960" s="70"/>
      <c r="E960" s="66"/>
      <c r="F960" s="70"/>
      <c r="G960" s="70"/>
      <c r="H960" s="70"/>
      <c r="I960" s="70"/>
      <c r="J960" s="70"/>
      <c r="K960" s="70"/>
      <c r="L960" s="70"/>
      <c r="M960" s="70"/>
      <c r="N960" s="70"/>
      <c r="O960" s="70"/>
      <c r="P960" s="70"/>
      <c r="Q960" s="70"/>
      <c r="R960" s="70"/>
      <c r="S960" s="70"/>
      <c r="T960" s="70"/>
      <c r="U960" s="70"/>
      <c r="V960" s="70"/>
      <c r="W960" s="70"/>
    </row>
    <row r="961">
      <c r="A961" s="70"/>
      <c r="B961" s="70"/>
      <c r="C961" s="70"/>
      <c r="D961" s="70"/>
      <c r="E961" s="66"/>
      <c r="F961" s="70"/>
      <c r="G961" s="70"/>
      <c r="H961" s="70"/>
      <c r="I961" s="70"/>
      <c r="J961" s="70"/>
      <c r="K961" s="70"/>
      <c r="L961" s="70"/>
      <c r="M961" s="70"/>
      <c r="N961" s="70"/>
      <c r="O961" s="70"/>
      <c r="P961" s="70"/>
      <c r="Q961" s="70"/>
      <c r="R961" s="70"/>
      <c r="S961" s="70"/>
      <c r="T961" s="70"/>
      <c r="U961" s="70"/>
      <c r="V961" s="70"/>
      <c r="W961" s="70"/>
    </row>
    <row r="962">
      <c r="A962" s="70"/>
      <c r="B962" s="70"/>
      <c r="C962" s="70"/>
      <c r="D962" s="70"/>
      <c r="E962" s="66"/>
      <c r="F962" s="70"/>
      <c r="G962" s="70"/>
      <c r="H962" s="70"/>
      <c r="I962" s="70"/>
      <c r="J962" s="70"/>
      <c r="K962" s="70"/>
      <c r="L962" s="70"/>
      <c r="M962" s="70"/>
      <c r="N962" s="70"/>
      <c r="O962" s="70"/>
      <c r="P962" s="70"/>
      <c r="Q962" s="70"/>
      <c r="R962" s="70"/>
      <c r="S962" s="70"/>
      <c r="T962" s="70"/>
      <c r="U962" s="70"/>
      <c r="V962" s="70"/>
      <c r="W962" s="70"/>
    </row>
    <row r="963">
      <c r="A963" s="70"/>
      <c r="B963" s="70"/>
      <c r="C963" s="70"/>
      <c r="D963" s="70"/>
      <c r="E963" s="66"/>
      <c r="F963" s="70"/>
      <c r="G963" s="70"/>
      <c r="H963" s="70"/>
      <c r="I963" s="70"/>
      <c r="J963" s="70"/>
      <c r="K963" s="70"/>
      <c r="L963" s="70"/>
      <c r="M963" s="70"/>
      <c r="N963" s="70"/>
      <c r="O963" s="70"/>
      <c r="P963" s="70"/>
      <c r="Q963" s="70"/>
      <c r="R963" s="70"/>
      <c r="S963" s="70"/>
      <c r="T963" s="70"/>
      <c r="U963" s="70"/>
      <c r="V963" s="70"/>
      <c r="W963" s="70"/>
    </row>
    <row r="964">
      <c r="A964" s="70"/>
      <c r="B964" s="70"/>
      <c r="C964" s="70"/>
      <c r="D964" s="70"/>
      <c r="E964" s="66"/>
      <c r="F964" s="70"/>
      <c r="G964" s="70"/>
      <c r="H964" s="70"/>
      <c r="I964" s="70"/>
      <c r="J964" s="70"/>
      <c r="K964" s="70"/>
      <c r="L964" s="70"/>
      <c r="M964" s="70"/>
      <c r="N964" s="70"/>
      <c r="O964" s="70"/>
      <c r="P964" s="70"/>
      <c r="Q964" s="70"/>
      <c r="R964" s="70"/>
      <c r="S964" s="70"/>
      <c r="T964" s="70"/>
      <c r="U964" s="70"/>
      <c r="V964" s="70"/>
      <c r="W964" s="70"/>
    </row>
    <row r="965">
      <c r="A965" s="70"/>
      <c r="B965" s="70"/>
      <c r="C965" s="70"/>
      <c r="D965" s="70"/>
      <c r="E965" s="66"/>
      <c r="F965" s="70"/>
      <c r="G965" s="70"/>
      <c r="H965" s="70"/>
      <c r="I965" s="70"/>
      <c r="J965" s="70"/>
      <c r="K965" s="70"/>
      <c r="L965" s="70"/>
      <c r="M965" s="70"/>
      <c r="N965" s="70"/>
      <c r="O965" s="70"/>
      <c r="P965" s="70"/>
      <c r="Q965" s="70"/>
      <c r="R965" s="70"/>
      <c r="S965" s="70"/>
      <c r="T965" s="70"/>
      <c r="U965" s="70"/>
      <c r="V965" s="70"/>
      <c r="W965" s="70"/>
    </row>
    <row r="966">
      <c r="A966" s="70"/>
      <c r="B966" s="70"/>
      <c r="C966" s="70"/>
      <c r="D966" s="70"/>
      <c r="E966" s="66"/>
      <c r="F966" s="70"/>
      <c r="G966" s="70"/>
      <c r="H966" s="70"/>
      <c r="I966" s="70"/>
      <c r="J966" s="70"/>
      <c r="K966" s="70"/>
      <c r="L966" s="70"/>
      <c r="M966" s="70"/>
      <c r="N966" s="70"/>
      <c r="O966" s="70"/>
      <c r="P966" s="70"/>
      <c r="Q966" s="70"/>
      <c r="R966" s="70"/>
      <c r="S966" s="70"/>
      <c r="T966" s="70"/>
      <c r="U966" s="70"/>
      <c r="V966" s="70"/>
      <c r="W966" s="70"/>
    </row>
    <row r="967">
      <c r="A967" s="70"/>
      <c r="B967" s="70"/>
      <c r="C967" s="70"/>
      <c r="D967" s="70"/>
      <c r="E967" s="66"/>
      <c r="F967" s="70"/>
      <c r="G967" s="70"/>
      <c r="H967" s="70"/>
      <c r="I967" s="70"/>
      <c r="J967" s="70"/>
      <c r="K967" s="70"/>
      <c r="L967" s="70"/>
      <c r="M967" s="70"/>
      <c r="N967" s="70"/>
      <c r="O967" s="70"/>
      <c r="P967" s="70"/>
      <c r="Q967" s="70"/>
      <c r="R967" s="70"/>
      <c r="S967" s="70"/>
      <c r="T967" s="70"/>
      <c r="U967" s="70"/>
      <c r="V967" s="70"/>
      <c r="W967" s="70"/>
    </row>
    <row r="968">
      <c r="A968" s="70"/>
      <c r="B968" s="70"/>
      <c r="C968" s="70"/>
      <c r="D968" s="70"/>
      <c r="E968" s="66"/>
      <c r="F968" s="70"/>
      <c r="G968" s="70"/>
      <c r="H968" s="70"/>
      <c r="I968" s="70"/>
      <c r="J968" s="70"/>
      <c r="K968" s="70"/>
      <c r="L968" s="70"/>
      <c r="M968" s="70"/>
      <c r="N968" s="70"/>
      <c r="O968" s="70"/>
      <c r="P968" s="70"/>
      <c r="Q968" s="70"/>
      <c r="R968" s="70"/>
      <c r="S968" s="70"/>
      <c r="T968" s="70"/>
      <c r="U968" s="70"/>
      <c r="V968" s="70"/>
      <c r="W968" s="70"/>
    </row>
    <row r="969">
      <c r="A969" s="70"/>
      <c r="B969" s="70"/>
      <c r="C969" s="70"/>
      <c r="D969" s="70"/>
      <c r="E969" s="66"/>
      <c r="F969" s="70"/>
      <c r="G969" s="70"/>
      <c r="H969" s="70"/>
      <c r="I969" s="70"/>
      <c r="J969" s="70"/>
      <c r="K969" s="70"/>
      <c r="L969" s="70"/>
      <c r="M969" s="70"/>
      <c r="N969" s="70"/>
      <c r="O969" s="70"/>
      <c r="P969" s="70"/>
      <c r="Q969" s="70"/>
      <c r="R969" s="70"/>
      <c r="S969" s="70"/>
      <c r="T969" s="70"/>
      <c r="U969" s="70"/>
      <c r="V969" s="70"/>
      <c r="W969" s="70"/>
    </row>
    <row r="970">
      <c r="A970" s="70"/>
      <c r="B970" s="70"/>
      <c r="C970" s="70"/>
      <c r="D970" s="70"/>
      <c r="E970" s="66"/>
      <c r="F970" s="70"/>
      <c r="G970" s="70"/>
      <c r="H970" s="70"/>
      <c r="I970" s="70"/>
      <c r="J970" s="70"/>
      <c r="K970" s="70"/>
      <c r="L970" s="70"/>
      <c r="M970" s="70"/>
      <c r="N970" s="70"/>
      <c r="O970" s="70"/>
      <c r="P970" s="70"/>
      <c r="Q970" s="70"/>
      <c r="R970" s="70"/>
      <c r="S970" s="70"/>
      <c r="T970" s="70"/>
      <c r="U970" s="70"/>
      <c r="V970" s="70"/>
      <c r="W970" s="70"/>
    </row>
    <row r="971">
      <c r="A971" s="70"/>
      <c r="B971" s="70"/>
      <c r="C971" s="70"/>
      <c r="D971" s="70"/>
      <c r="E971" s="66"/>
      <c r="F971" s="70"/>
      <c r="G971" s="70"/>
      <c r="H971" s="70"/>
      <c r="I971" s="70"/>
      <c r="J971" s="70"/>
      <c r="K971" s="70"/>
      <c r="L971" s="70"/>
      <c r="M971" s="70"/>
      <c r="N971" s="70"/>
      <c r="O971" s="70"/>
      <c r="P971" s="70"/>
      <c r="Q971" s="70"/>
      <c r="R971" s="70"/>
      <c r="S971" s="70"/>
      <c r="T971" s="70"/>
      <c r="U971" s="70"/>
      <c r="V971" s="70"/>
      <c r="W971" s="70"/>
    </row>
  </sheetData>
  <dataValidations>
    <dataValidation type="list" allowBlank="1" sqref="F2:F9">
      <formula1>"Chưa bắt đầu,Đang thực hiện,Đã hoàn thành"</formula1>
    </dataValidation>
  </dataValidation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63"/>
    <col customWidth="1" min="2" max="2" width="25.38"/>
    <col customWidth="1" min="3" max="3" width="14.5"/>
    <col customWidth="1" min="4" max="4" width="14.75"/>
    <col customWidth="1" min="5" max="5" width="43.13"/>
    <col customWidth="1" min="6" max="6" width="14.5"/>
    <col customWidth="1" min="7" max="7" width="51.75"/>
    <col customWidth="1" min="8" max="8" width="52.63"/>
    <col customWidth="1" min="10" max="10" width="39.5"/>
    <col customWidth="1" min="11" max="11" width="25.25"/>
    <col customWidth="1" min="12" max="12" width="21.13"/>
  </cols>
  <sheetData>
    <row r="1">
      <c r="A1" s="71" t="s">
        <v>182</v>
      </c>
      <c r="B1" s="71" t="s">
        <v>183</v>
      </c>
      <c r="C1" s="71" t="s">
        <v>184</v>
      </c>
      <c r="D1" s="71" t="s">
        <v>185</v>
      </c>
      <c r="E1" s="71" t="s">
        <v>186</v>
      </c>
      <c r="F1" s="71" t="s">
        <v>187</v>
      </c>
      <c r="G1" s="71" t="s">
        <v>188</v>
      </c>
      <c r="H1" s="71" t="s">
        <v>189</v>
      </c>
      <c r="I1" s="72"/>
      <c r="J1" s="73" t="s">
        <v>190</v>
      </c>
      <c r="K1" s="74"/>
      <c r="L1" s="72"/>
      <c r="M1" s="72"/>
      <c r="N1" s="72"/>
      <c r="O1" s="72"/>
      <c r="P1" s="72"/>
      <c r="Q1" s="72"/>
      <c r="R1" s="72"/>
      <c r="S1" s="72"/>
      <c r="T1" s="72"/>
      <c r="U1" s="72"/>
      <c r="V1" s="72"/>
      <c r="W1" s="72"/>
      <c r="X1" s="72"/>
      <c r="Y1" s="72"/>
      <c r="Z1" s="72"/>
    </row>
    <row r="2">
      <c r="A2" s="75" t="s">
        <v>191</v>
      </c>
      <c r="B2" s="76" t="s">
        <v>192</v>
      </c>
      <c r="C2" s="77" t="s">
        <v>193</v>
      </c>
      <c r="D2" s="78" t="s">
        <v>194</v>
      </c>
      <c r="E2" s="79" t="s">
        <v>195</v>
      </c>
      <c r="F2" s="80" t="s">
        <v>196</v>
      </c>
      <c r="G2" s="81" t="s">
        <v>197</v>
      </c>
      <c r="H2" s="81" t="s">
        <v>198</v>
      </c>
      <c r="J2" s="82" t="s">
        <v>199</v>
      </c>
      <c r="K2" s="82" t="s">
        <v>200</v>
      </c>
      <c r="L2" s="82" t="s">
        <v>201</v>
      </c>
    </row>
    <row r="3">
      <c r="A3" s="83"/>
      <c r="B3" s="83"/>
      <c r="C3" s="83"/>
      <c r="D3" s="84" t="s">
        <v>194</v>
      </c>
      <c r="E3" s="85" t="s">
        <v>202</v>
      </c>
      <c r="F3" s="84" t="s">
        <v>203</v>
      </c>
      <c r="G3" s="85" t="s">
        <v>204</v>
      </c>
      <c r="H3" s="85" t="s">
        <v>205</v>
      </c>
      <c r="J3" s="86" t="s">
        <v>206</v>
      </c>
      <c r="K3" s="87" t="s">
        <v>207</v>
      </c>
      <c r="L3" s="87" t="s">
        <v>208</v>
      </c>
    </row>
    <row r="4">
      <c r="A4" s="88"/>
      <c r="B4" s="88"/>
      <c r="C4" s="88"/>
      <c r="D4" s="89" t="s">
        <v>194</v>
      </c>
      <c r="E4" s="90" t="s">
        <v>209</v>
      </c>
      <c r="F4" s="89" t="s">
        <v>210</v>
      </c>
      <c r="G4" s="90" t="s">
        <v>211</v>
      </c>
      <c r="H4" s="90" t="s">
        <v>212</v>
      </c>
      <c r="J4" s="86" t="s">
        <v>213</v>
      </c>
      <c r="K4" s="87" t="s">
        <v>214</v>
      </c>
      <c r="L4" s="87" t="s">
        <v>215</v>
      </c>
    </row>
    <row r="5">
      <c r="A5" s="91" t="s">
        <v>216</v>
      </c>
      <c r="B5" s="92" t="s">
        <v>217</v>
      </c>
      <c r="C5" s="92" t="s">
        <v>193</v>
      </c>
      <c r="D5" s="84" t="s">
        <v>12</v>
      </c>
      <c r="E5" s="85" t="s">
        <v>218</v>
      </c>
      <c r="F5" s="84" t="s">
        <v>219</v>
      </c>
      <c r="G5" s="85" t="s">
        <v>220</v>
      </c>
      <c r="H5" s="85" t="s">
        <v>221</v>
      </c>
      <c r="J5" s="86" t="s">
        <v>222</v>
      </c>
      <c r="K5" s="87" t="s">
        <v>223</v>
      </c>
      <c r="L5" s="87" t="s">
        <v>224</v>
      </c>
    </row>
    <row r="6">
      <c r="A6" s="93"/>
      <c r="B6" s="93"/>
      <c r="C6" s="93"/>
      <c r="D6" s="89" t="s">
        <v>12</v>
      </c>
      <c r="E6" s="90" t="s">
        <v>225</v>
      </c>
      <c r="F6" s="89" t="s">
        <v>226</v>
      </c>
      <c r="G6" s="90" t="s">
        <v>227</v>
      </c>
      <c r="H6" s="90" t="s">
        <v>228</v>
      </c>
      <c r="J6" s="86" t="s">
        <v>229</v>
      </c>
      <c r="K6" s="87" t="s">
        <v>230</v>
      </c>
      <c r="L6" s="87" t="s">
        <v>231</v>
      </c>
    </row>
    <row r="7">
      <c r="A7" s="94"/>
      <c r="B7" s="94"/>
      <c r="C7" s="94"/>
      <c r="D7" s="84" t="s">
        <v>12</v>
      </c>
      <c r="E7" s="85" t="s">
        <v>232</v>
      </c>
      <c r="F7" s="84" t="s">
        <v>233</v>
      </c>
      <c r="G7" s="85" t="s">
        <v>234</v>
      </c>
      <c r="H7" s="85" t="s">
        <v>235</v>
      </c>
    </row>
    <row r="8">
      <c r="A8" s="95" t="s">
        <v>236</v>
      </c>
      <c r="B8" s="96" t="s">
        <v>237</v>
      </c>
      <c r="C8" s="95" t="s">
        <v>193</v>
      </c>
      <c r="D8" s="97" t="s">
        <v>58</v>
      </c>
      <c r="E8" s="98" t="s">
        <v>238</v>
      </c>
      <c r="F8" s="99" t="s">
        <v>239</v>
      </c>
      <c r="G8" s="99" t="s">
        <v>240</v>
      </c>
      <c r="H8" s="99" t="s">
        <v>241</v>
      </c>
    </row>
    <row r="9">
      <c r="A9" s="83"/>
      <c r="B9" s="83"/>
      <c r="C9" s="83"/>
      <c r="D9" s="100" t="s">
        <v>58</v>
      </c>
      <c r="E9" s="100" t="s">
        <v>242</v>
      </c>
      <c r="F9" s="100" t="s">
        <v>243</v>
      </c>
      <c r="G9" s="100" t="s">
        <v>244</v>
      </c>
      <c r="H9" s="100" t="s">
        <v>245</v>
      </c>
    </row>
    <row r="10">
      <c r="A10" s="93"/>
      <c r="B10" s="93"/>
      <c r="C10" s="93"/>
      <c r="D10" s="99" t="s">
        <v>58</v>
      </c>
      <c r="E10" s="99" t="s">
        <v>246</v>
      </c>
      <c r="F10" s="99" t="s">
        <v>247</v>
      </c>
      <c r="G10" s="99" t="s">
        <v>248</v>
      </c>
      <c r="H10" s="99" t="s">
        <v>249</v>
      </c>
    </row>
    <row r="11">
      <c r="A11" s="94"/>
      <c r="B11" s="94"/>
      <c r="C11" s="94"/>
      <c r="D11" s="100" t="s">
        <v>58</v>
      </c>
      <c r="E11" s="100" t="s">
        <v>250</v>
      </c>
      <c r="F11" s="100" t="s">
        <v>251</v>
      </c>
      <c r="G11" s="100" t="s">
        <v>252</v>
      </c>
      <c r="H11" s="100" t="s">
        <v>253</v>
      </c>
    </row>
    <row r="12">
      <c r="A12" s="101" t="s">
        <v>254</v>
      </c>
      <c r="B12" s="102" t="s">
        <v>255</v>
      </c>
      <c r="C12" s="102" t="s">
        <v>193</v>
      </c>
      <c r="D12" s="103" t="s">
        <v>58</v>
      </c>
      <c r="E12" s="90" t="s">
        <v>256</v>
      </c>
      <c r="F12" s="90" t="s">
        <v>257</v>
      </c>
      <c r="G12" s="103" t="s">
        <v>258</v>
      </c>
      <c r="H12" s="103" t="s">
        <v>259</v>
      </c>
    </row>
    <row r="13">
      <c r="A13" s="83"/>
      <c r="B13" s="83"/>
      <c r="C13" s="83"/>
      <c r="D13" s="104" t="s">
        <v>58</v>
      </c>
      <c r="E13" s="85" t="s">
        <v>260</v>
      </c>
      <c r="F13" s="85" t="s">
        <v>261</v>
      </c>
      <c r="G13" s="104" t="s">
        <v>262</v>
      </c>
      <c r="H13" s="104" t="s">
        <v>263</v>
      </c>
    </row>
    <row r="14">
      <c r="A14" s="93"/>
      <c r="B14" s="93"/>
      <c r="C14" s="93"/>
      <c r="D14" s="103" t="s">
        <v>58</v>
      </c>
      <c r="E14" s="90" t="s">
        <v>264</v>
      </c>
      <c r="F14" s="90" t="s">
        <v>265</v>
      </c>
      <c r="G14" s="103" t="s">
        <v>266</v>
      </c>
      <c r="H14" s="103" t="s">
        <v>267</v>
      </c>
    </row>
    <row r="15">
      <c r="A15" s="83"/>
      <c r="B15" s="83"/>
      <c r="C15" s="83"/>
      <c r="D15" s="104" t="s">
        <v>58</v>
      </c>
      <c r="E15" s="85" t="s">
        <v>268</v>
      </c>
      <c r="F15" s="85" t="s">
        <v>269</v>
      </c>
      <c r="G15" s="104" t="s">
        <v>270</v>
      </c>
      <c r="H15" s="104" t="s">
        <v>271</v>
      </c>
    </row>
    <row r="16">
      <c r="A16" s="88"/>
      <c r="B16" s="88"/>
      <c r="C16" s="88"/>
      <c r="D16" s="103" t="s">
        <v>58</v>
      </c>
      <c r="E16" s="90" t="s">
        <v>272</v>
      </c>
      <c r="F16" s="90" t="s">
        <v>273</v>
      </c>
      <c r="G16" s="103" t="s">
        <v>274</v>
      </c>
      <c r="H16" s="103" t="s">
        <v>275</v>
      </c>
    </row>
    <row r="17">
      <c r="A17" s="92" t="s">
        <v>276</v>
      </c>
      <c r="B17" s="105" t="s">
        <v>277</v>
      </c>
      <c r="C17" s="105" t="s">
        <v>193</v>
      </c>
      <c r="D17" s="104" t="s">
        <v>58</v>
      </c>
      <c r="E17" s="85" t="s">
        <v>278</v>
      </c>
      <c r="F17" s="85" t="s">
        <v>279</v>
      </c>
      <c r="G17" s="104" t="s">
        <v>280</v>
      </c>
      <c r="H17" s="104" t="s">
        <v>281</v>
      </c>
    </row>
    <row r="18">
      <c r="A18" s="93"/>
      <c r="B18" s="93"/>
      <c r="C18" s="93"/>
      <c r="D18" s="103" t="s">
        <v>58</v>
      </c>
      <c r="E18" s="90" t="s">
        <v>282</v>
      </c>
      <c r="F18" s="90" t="s">
        <v>283</v>
      </c>
      <c r="G18" s="103" t="s">
        <v>284</v>
      </c>
      <c r="H18" s="103" t="s">
        <v>285</v>
      </c>
    </row>
    <row r="19">
      <c r="A19" s="83"/>
      <c r="B19" s="83"/>
      <c r="C19" s="83"/>
      <c r="D19" s="104" t="s">
        <v>58</v>
      </c>
      <c r="E19" s="85" t="s">
        <v>286</v>
      </c>
      <c r="F19" s="85" t="s">
        <v>287</v>
      </c>
      <c r="G19" s="104" t="s">
        <v>288</v>
      </c>
      <c r="H19" s="104" t="s">
        <v>289</v>
      </c>
    </row>
    <row r="20">
      <c r="A20" s="93"/>
      <c r="B20" s="93"/>
      <c r="C20" s="93"/>
      <c r="D20" s="103" t="s">
        <v>58</v>
      </c>
      <c r="E20" s="90" t="s">
        <v>290</v>
      </c>
      <c r="F20" s="90" t="s">
        <v>291</v>
      </c>
      <c r="G20" s="103" t="s">
        <v>292</v>
      </c>
      <c r="H20" s="103" t="s">
        <v>293</v>
      </c>
    </row>
    <row r="21">
      <c r="A21" s="94"/>
      <c r="B21" s="94"/>
      <c r="C21" s="94"/>
      <c r="D21" s="106" t="s">
        <v>58</v>
      </c>
      <c r="E21" s="85" t="s">
        <v>294</v>
      </c>
      <c r="F21" s="85" t="s">
        <v>295</v>
      </c>
      <c r="G21" s="107" t="s">
        <v>296</v>
      </c>
      <c r="H21" s="107" t="s">
        <v>297</v>
      </c>
    </row>
    <row r="22">
      <c r="A22" s="101" t="s">
        <v>298</v>
      </c>
      <c r="B22" s="108" t="s">
        <v>299</v>
      </c>
      <c r="C22" s="108" t="s">
        <v>193</v>
      </c>
      <c r="D22" s="109" t="s">
        <v>58</v>
      </c>
      <c r="E22" s="90" t="s">
        <v>300</v>
      </c>
      <c r="F22" s="90" t="s">
        <v>301</v>
      </c>
      <c r="G22" s="110" t="s">
        <v>302</v>
      </c>
      <c r="H22" s="110" t="s">
        <v>303</v>
      </c>
    </row>
    <row r="23">
      <c r="A23" s="83"/>
      <c r="B23" s="83"/>
      <c r="C23" s="83"/>
      <c r="D23" s="106" t="s">
        <v>58</v>
      </c>
      <c r="E23" s="85" t="s">
        <v>304</v>
      </c>
      <c r="F23" s="85" t="s">
        <v>305</v>
      </c>
      <c r="G23" s="107" t="s">
        <v>306</v>
      </c>
      <c r="H23" s="107" t="s">
        <v>307</v>
      </c>
    </row>
    <row r="24">
      <c r="A24" s="93"/>
      <c r="B24" s="93"/>
      <c r="C24" s="93"/>
      <c r="D24" s="109" t="s">
        <v>58</v>
      </c>
      <c r="E24" s="90" t="s">
        <v>308</v>
      </c>
      <c r="F24" s="90" t="s">
        <v>309</v>
      </c>
      <c r="G24" s="110" t="s">
        <v>310</v>
      </c>
      <c r="H24" s="110" t="s">
        <v>311</v>
      </c>
    </row>
    <row r="25">
      <c r="A25" s="83"/>
      <c r="B25" s="83"/>
      <c r="C25" s="83"/>
      <c r="D25" s="106" t="s">
        <v>58</v>
      </c>
      <c r="E25" s="85" t="s">
        <v>312</v>
      </c>
      <c r="F25" s="85" t="s">
        <v>313</v>
      </c>
      <c r="G25" s="107" t="s">
        <v>314</v>
      </c>
      <c r="H25" s="107" t="s">
        <v>315</v>
      </c>
    </row>
    <row r="26">
      <c r="A26" s="88"/>
      <c r="B26" s="88"/>
      <c r="C26" s="88"/>
      <c r="D26" s="109" t="s">
        <v>58</v>
      </c>
      <c r="E26" s="90" t="s">
        <v>316</v>
      </c>
      <c r="F26" s="90" t="s">
        <v>317</v>
      </c>
      <c r="G26" s="110" t="s">
        <v>318</v>
      </c>
      <c r="H26" s="110" t="s">
        <v>319</v>
      </c>
    </row>
    <row r="27">
      <c r="A27" s="111" t="s">
        <v>320</v>
      </c>
      <c r="B27" s="92" t="s">
        <v>321</v>
      </c>
      <c r="C27" s="92" t="s">
        <v>193</v>
      </c>
      <c r="D27" s="84" t="s">
        <v>58</v>
      </c>
      <c r="E27" s="85" t="s">
        <v>322</v>
      </c>
      <c r="F27" s="84" t="s">
        <v>323</v>
      </c>
      <c r="G27" s="85" t="s">
        <v>324</v>
      </c>
      <c r="H27" s="85" t="s">
        <v>325</v>
      </c>
    </row>
    <row r="28">
      <c r="A28" s="93"/>
      <c r="B28" s="93"/>
      <c r="C28" s="93"/>
      <c r="D28" s="89" t="s">
        <v>58</v>
      </c>
      <c r="E28" s="90" t="s">
        <v>326</v>
      </c>
      <c r="F28" s="89" t="s">
        <v>327</v>
      </c>
      <c r="G28" s="90" t="s">
        <v>328</v>
      </c>
      <c r="H28" s="90" t="s">
        <v>329</v>
      </c>
    </row>
    <row r="29">
      <c r="A29" s="83"/>
      <c r="B29" s="83"/>
      <c r="C29" s="83"/>
      <c r="D29" s="84" t="s">
        <v>58</v>
      </c>
      <c r="E29" s="85" t="s">
        <v>330</v>
      </c>
      <c r="F29" s="84" t="s">
        <v>331</v>
      </c>
      <c r="G29" s="85" t="s">
        <v>332</v>
      </c>
      <c r="H29" s="85" t="s">
        <v>333</v>
      </c>
    </row>
    <row r="30">
      <c r="A30" s="88"/>
      <c r="B30" s="88"/>
      <c r="C30" s="88"/>
      <c r="D30" s="89" t="s">
        <v>58</v>
      </c>
      <c r="E30" s="90" t="s">
        <v>334</v>
      </c>
      <c r="F30" s="89" t="s">
        <v>335</v>
      </c>
      <c r="G30" s="90" t="s">
        <v>336</v>
      </c>
      <c r="H30" s="90" t="s">
        <v>337</v>
      </c>
    </row>
    <row r="31">
      <c r="A31" s="91" t="s">
        <v>338</v>
      </c>
      <c r="B31" s="92" t="s">
        <v>339</v>
      </c>
      <c r="C31" s="92" t="s">
        <v>193</v>
      </c>
      <c r="D31" s="84" t="s">
        <v>58</v>
      </c>
      <c r="E31" s="85" t="s">
        <v>340</v>
      </c>
      <c r="F31" s="84" t="s">
        <v>341</v>
      </c>
      <c r="G31" s="85" t="s">
        <v>342</v>
      </c>
      <c r="H31" s="85" t="s">
        <v>343</v>
      </c>
    </row>
    <row r="32">
      <c r="A32" s="93"/>
      <c r="B32" s="93"/>
      <c r="C32" s="93"/>
      <c r="D32" s="89" t="s">
        <v>58</v>
      </c>
      <c r="E32" s="90" t="s">
        <v>344</v>
      </c>
      <c r="F32" s="89" t="s">
        <v>345</v>
      </c>
      <c r="G32" s="90" t="s">
        <v>346</v>
      </c>
      <c r="H32" s="90" t="s">
        <v>347</v>
      </c>
    </row>
    <row r="33">
      <c r="A33" s="83"/>
      <c r="B33" s="83"/>
      <c r="C33" s="83"/>
      <c r="D33" s="84" t="s">
        <v>12</v>
      </c>
      <c r="E33" s="85" t="s">
        <v>348</v>
      </c>
      <c r="F33" s="84" t="s">
        <v>349</v>
      </c>
      <c r="G33" s="85" t="s">
        <v>350</v>
      </c>
      <c r="H33" s="85" t="s">
        <v>351</v>
      </c>
    </row>
    <row r="34">
      <c r="A34" s="93"/>
      <c r="B34" s="93"/>
      <c r="C34" s="93"/>
      <c r="D34" s="89" t="s">
        <v>12</v>
      </c>
      <c r="E34" s="90" t="s">
        <v>352</v>
      </c>
      <c r="F34" s="89" t="s">
        <v>353</v>
      </c>
      <c r="G34" s="90" t="s">
        <v>354</v>
      </c>
      <c r="H34" s="90" t="s">
        <v>355</v>
      </c>
    </row>
    <row r="35">
      <c r="A35" s="94"/>
      <c r="B35" s="94"/>
      <c r="C35" s="94"/>
      <c r="D35" s="84" t="s">
        <v>12</v>
      </c>
      <c r="E35" s="85" t="s">
        <v>356</v>
      </c>
      <c r="F35" s="84" t="s">
        <v>357</v>
      </c>
      <c r="G35" s="85" t="s">
        <v>358</v>
      </c>
      <c r="H35" s="85" t="s">
        <v>359</v>
      </c>
    </row>
    <row r="36">
      <c r="A36" s="112" t="s">
        <v>360</v>
      </c>
      <c r="B36" s="113" t="s">
        <v>361</v>
      </c>
      <c r="C36" s="101" t="s">
        <v>193</v>
      </c>
      <c r="D36" s="89" t="s">
        <v>12</v>
      </c>
      <c r="E36" s="90" t="s">
        <v>362</v>
      </c>
      <c r="F36" s="99" t="s">
        <v>363</v>
      </c>
      <c r="G36" s="90" t="s">
        <v>364</v>
      </c>
      <c r="H36" s="90" t="s">
        <v>365</v>
      </c>
    </row>
    <row r="37">
      <c r="A37" s="83"/>
      <c r="B37" s="83"/>
      <c r="C37" s="83"/>
      <c r="D37" s="84" t="s">
        <v>58</v>
      </c>
      <c r="E37" s="85" t="s">
        <v>366</v>
      </c>
      <c r="F37" s="100" t="s">
        <v>367</v>
      </c>
      <c r="G37" s="85" t="s">
        <v>368</v>
      </c>
      <c r="H37" s="85" t="s">
        <v>369</v>
      </c>
    </row>
    <row r="38">
      <c r="A38" s="93"/>
      <c r="B38" s="93"/>
      <c r="C38" s="93"/>
      <c r="D38" s="89" t="s">
        <v>58</v>
      </c>
      <c r="E38" s="90" t="s">
        <v>370</v>
      </c>
      <c r="F38" s="99" t="s">
        <v>371</v>
      </c>
      <c r="G38" s="90" t="s">
        <v>372</v>
      </c>
      <c r="H38" s="90" t="s">
        <v>373</v>
      </c>
    </row>
    <row r="39">
      <c r="A39" s="83"/>
      <c r="B39" s="83"/>
      <c r="C39" s="83"/>
      <c r="D39" s="84" t="s">
        <v>58</v>
      </c>
      <c r="E39" s="85" t="s">
        <v>374</v>
      </c>
      <c r="F39" s="100" t="s">
        <v>375</v>
      </c>
      <c r="G39" s="85" t="s">
        <v>376</v>
      </c>
      <c r="H39" s="85" t="s">
        <v>377</v>
      </c>
    </row>
    <row r="40">
      <c r="A40" s="93"/>
      <c r="B40" s="93"/>
      <c r="C40" s="93"/>
      <c r="D40" s="89" t="s">
        <v>58</v>
      </c>
      <c r="E40" s="90" t="s">
        <v>378</v>
      </c>
      <c r="F40" s="99" t="s">
        <v>379</v>
      </c>
      <c r="G40" s="90" t="s">
        <v>380</v>
      </c>
      <c r="H40" s="90" t="s">
        <v>381</v>
      </c>
    </row>
    <row r="41">
      <c r="A41" s="94"/>
      <c r="B41" s="94"/>
      <c r="C41" s="94"/>
      <c r="D41" s="84" t="s">
        <v>12</v>
      </c>
      <c r="E41" s="85" t="s">
        <v>382</v>
      </c>
      <c r="F41" s="100" t="s">
        <v>383</v>
      </c>
      <c r="G41" s="85" t="s">
        <v>384</v>
      </c>
      <c r="H41" s="85" t="s">
        <v>369</v>
      </c>
    </row>
    <row r="42">
      <c r="A42" s="114" t="s">
        <v>385</v>
      </c>
      <c r="B42" s="101" t="s">
        <v>386</v>
      </c>
      <c r="C42" s="101" t="s">
        <v>193</v>
      </c>
      <c r="D42" s="89" t="s">
        <v>194</v>
      </c>
      <c r="E42" s="90" t="s">
        <v>387</v>
      </c>
      <c r="F42" s="89" t="s">
        <v>388</v>
      </c>
      <c r="G42" s="90" t="s">
        <v>389</v>
      </c>
      <c r="H42" s="90" t="s">
        <v>390</v>
      </c>
    </row>
    <row r="43">
      <c r="A43" s="83"/>
      <c r="B43" s="83"/>
      <c r="C43" s="83"/>
      <c r="D43" s="84" t="s">
        <v>58</v>
      </c>
      <c r="E43" s="85" t="s">
        <v>391</v>
      </c>
      <c r="F43" s="84" t="s">
        <v>392</v>
      </c>
      <c r="G43" s="85" t="s">
        <v>393</v>
      </c>
      <c r="H43" s="85" t="s">
        <v>394</v>
      </c>
    </row>
    <row r="44">
      <c r="A44" s="88"/>
      <c r="B44" s="88"/>
      <c r="C44" s="88"/>
      <c r="D44" s="89" t="s">
        <v>58</v>
      </c>
      <c r="E44" s="90" t="s">
        <v>395</v>
      </c>
      <c r="F44" s="89" t="s">
        <v>396</v>
      </c>
      <c r="G44" s="90" t="s">
        <v>397</v>
      </c>
      <c r="H44" s="90" t="s">
        <v>398</v>
      </c>
    </row>
    <row r="45">
      <c r="A45" s="111" t="s">
        <v>399</v>
      </c>
      <c r="B45" s="92" t="s">
        <v>400</v>
      </c>
      <c r="C45" s="92" t="s">
        <v>193</v>
      </c>
      <c r="D45" s="84" t="s">
        <v>58</v>
      </c>
      <c r="E45" s="115" t="s">
        <v>401</v>
      </c>
      <c r="F45" s="84" t="s">
        <v>402</v>
      </c>
      <c r="G45" s="116" t="s">
        <v>403</v>
      </c>
      <c r="H45" s="85" t="s">
        <v>404</v>
      </c>
    </row>
    <row r="46">
      <c r="A46" s="93"/>
      <c r="B46" s="93"/>
      <c r="C46" s="93"/>
      <c r="D46" s="89" t="s">
        <v>58</v>
      </c>
      <c r="E46" s="117" t="s">
        <v>405</v>
      </c>
      <c r="F46" s="89" t="s">
        <v>406</v>
      </c>
      <c r="G46" s="90" t="s">
        <v>407</v>
      </c>
      <c r="H46" s="90" t="s">
        <v>408</v>
      </c>
    </row>
    <row r="47">
      <c r="A47" s="83"/>
      <c r="B47" s="83"/>
      <c r="C47" s="83"/>
      <c r="D47" s="84" t="s">
        <v>58</v>
      </c>
      <c r="E47" s="115" t="s">
        <v>409</v>
      </c>
      <c r="F47" s="84" t="s">
        <v>410</v>
      </c>
      <c r="G47" s="85" t="s">
        <v>411</v>
      </c>
      <c r="H47" s="85" t="s">
        <v>412</v>
      </c>
    </row>
    <row r="48">
      <c r="A48" s="93"/>
      <c r="B48" s="93"/>
      <c r="C48" s="93"/>
      <c r="D48" s="89" t="s">
        <v>58</v>
      </c>
      <c r="E48" s="117" t="s">
        <v>413</v>
      </c>
      <c r="F48" s="89" t="s">
        <v>414</v>
      </c>
      <c r="G48" s="90" t="s">
        <v>415</v>
      </c>
      <c r="H48" s="90" t="s">
        <v>416</v>
      </c>
    </row>
    <row r="49">
      <c r="A49" s="94"/>
      <c r="B49" s="94"/>
      <c r="C49" s="94"/>
      <c r="D49" s="84" t="s">
        <v>12</v>
      </c>
      <c r="E49" s="115" t="s">
        <v>417</v>
      </c>
      <c r="F49" s="84" t="s">
        <v>418</v>
      </c>
      <c r="G49" s="85" t="s">
        <v>419</v>
      </c>
      <c r="H49" s="85" t="s">
        <v>420</v>
      </c>
    </row>
    <row r="50">
      <c r="A50" s="114" t="s">
        <v>421</v>
      </c>
      <c r="B50" s="101" t="s">
        <v>422</v>
      </c>
      <c r="C50" s="101" t="s">
        <v>193</v>
      </c>
      <c r="D50" s="89" t="s">
        <v>194</v>
      </c>
      <c r="E50" s="90" t="s">
        <v>423</v>
      </c>
      <c r="F50" s="90" t="s">
        <v>424</v>
      </c>
      <c r="G50" s="118" t="s">
        <v>425</v>
      </c>
      <c r="H50" s="118" t="s">
        <v>426</v>
      </c>
    </row>
    <row r="51">
      <c r="A51" s="83"/>
      <c r="B51" s="83"/>
      <c r="C51" s="83"/>
      <c r="D51" s="84" t="s">
        <v>194</v>
      </c>
      <c r="E51" s="85" t="s">
        <v>427</v>
      </c>
      <c r="F51" s="85" t="s">
        <v>428</v>
      </c>
      <c r="G51" s="85" t="s">
        <v>429</v>
      </c>
      <c r="H51" s="85" t="s">
        <v>430</v>
      </c>
    </row>
    <row r="52">
      <c r="A52" s="93"/>
      <c r="B52" s="93"/>
      <c r="C52" s="93"/>
      <c r="D52" s="89" t="s">
        <v>194</v>
      </c>
      <c r="E52" s="90" t="s">
        <v>431</v>
      </c>
      <c r="F52" s="90" t="s">
        <v>432</v>
      </c>
      <c r="G52" s="90" t="s">
        <v>433</v>
      </c>
      <c r="H52" s="90" t="s">
        <v>434</v>
      </c>
    </row>
    <row r="53">
      <c r="A53" s="83"/>
      <c r="B53" s="83"/>
      <c r="C53" s="83"/>
      <c r="D53" s="84" t="s">
        <v>58</v>
      </c>
      <c r="E53" s="85" t="s">
        <v>435</v>
      </c>
      <c r="F53" s="85" t="s">
        <v>436</v>
      </c>
      <c r="G53" s="85" t="s">
        <v>437</v>
      </c>
      <c r="H53" s="85" t="s">
        <v>438</v>
      </c>
    </row>
    <row r="54">
      <c r="A54" s="93"/>
      <c r="B54" s="93"/>
      <c r="C54" s="93"/>
      <c r="D54" s="89" t="s">
        <v>194</v>
      </c>
      <c r="E54" s="90" t="s">
        <v>439</v>
      </c>
      <c r="F54" s="90" t="s">
        <v>440</v>
      </c>
      <c r="G54" s="90" t="s">
        <v>441</v>
      </c>
      <c r="H54" s="90" t="s">
        <v>442</v>
      </c>
    </row>
    <row r="55">
      <c r="A55" s="83"/>
      <c r="B55" s="83"/>
      <c r="C55" s="83"/>
      <c r="D55" s="84" t="s">
        <v>194</v>
      </c>
      <c r="E55" s="85" t="s">
        <v>443</v>
      </c>
      <c r="F55" s="85" t="s">
        <v>444</v>
      </c>
      <c r="G55" s="85" t="s">
        <v>445</v>
      </c>
      <c r="H55" s="85" t="s">
        <v>446</v>
      </c>
    </row>
    <row r="56">
      <c r="A56" s="88"/>
      <c r="B56" s="88"/>
      <c r="C56" s="88"/>
      <c r="D56" s="89" t="s">
        <v>58</v>
      </c>
      <c r="E56" s="118" t="s">
        <v>447</v>
      </c>
      <c r="F56" s="90" t="s">
        <v>448</v>
      </c>
      <c r="G56" s="119" t="s">
        <v>449</v>
      </c>
      <c r="H56" s="119" t="s">
        <v>450</v>
      </c>
    </row>
    <row r="57">
      <c r="A57" s="120" t="s">
        <v>451</v>
      </c>
      <c r="B57" s="121" t="s">
        <v>452</v>
      </c>
      <c r="C57" s="122" t="s">
        <v>453</v>
      </c>
      <c r="D57" s="123" t="s">
        <v>58</v>
      </c>
      <c r="E57" s="124" t="s">
        <v>454</v>
      </c>
      <c r="F57" s="84" t="s">
        <v>455</v>
      </c>
      <c r="G57" s="85" t="s">
        <v>456</v>
      </c>
      <c r="H57" s="85" t="s">
        <v>457</v>
      </c>
    </row>
    <row r="58">
      <c r="A58" s="93"/>
      <c r="B58" s="93"/>
      <c r="C58" s="93"/>
      <c r="D58" s="125" t="s">
        <v>12</v>
      </c>
      <c r="E58" s="81" t="s">
        <v>458</v>
      </c>
      <c r="F58" s="89" t="s">
        <v>459</v>
      </c>
      <c r="G58" s="90" t="s">
        <v>460</v>
      </c>
      <c r="H58" s="90" t="s">
        <v>461</v>
      </c>
    </row>
    <row r="59">
      <c r="A59" s="83"/>
      <c r="B59" s="83"/>
      <c r="C59" s="83"/>
      <c r="D59" s="123" t="s">
        <v>58</v>
      </c>
      <c r="E59" s="126" t="s">
        <v>462</v>
      </c>
      <c r="F59" s="84" t="s">
        <v>463</v>
      </c>
      <c r="G59" s="85" t="s">
        <v>464</v>
      </c>
      <c r="H59" s="85" t="s">
        <v>465</v>
      </c>
    </row>
    <row r="60">
      <c r="A60" s="93"/>
      <c r="B60" s="93"/>
      <c r="C60" s="93"/>
      <c r="D60" s="89" t="s">
        <v>58</v>
      </c>
      <c r="E60" s="90" t="s">
        <v>466</v>
      </c>
      <c r="F60" s="89" t="s">
        <v>467</v>
      </c>
      <c r="G60" s="90" t="s">
        <v>468</v>
      </c>
      <c r="H60" s="90" t="s">
        <v>469</v>
      </c>
    </row>
    <row r="61">
      <c r="A61" s="83"/>
      <c r="B61" s="83"/>
      <c r="C61" s="83"/>
      <c r="D61" s="84" t="s">
        <v>58</v>
      </c>
      <c r="E61" s="85" t="s">
        <v>470</v>
      </c>
      <c r="F61" s="84" t="s">
        <v>471</v>
      </c>
      <c r="G61" s="85" t="s">
        <v>472</v>
      </c>
      <c r="H61" s="85" t="s">
        <v>473</v>
      </c>
    </row>
    <row r="62">
      <c r="A62" s="93"/>
      <c r="B62" s="93"/>
      <c r="C62" s="93"/>
      <c r="D62" s="89" t="s">
        <v>58</v>
      </c>
      <c r="E62" s="90" t="s">
        <v>474</v>
      </c>
      <c r="F62" s="89" t="s">
        <v>475</v>
      </c>
      <c r="G62" s="90" t="s">
        <v>476</v>
      </c>
      <c r="H62" s="90" t="s">
        <v>477</v>
      </c>
    </row>
    <row r="63">
      <c r="A63" s="83"/>
      <c r="B63" s="83"/>
      <c r="C63" s="83"/>
      <c r="D63" s="84" t="s">
        <v>58</v>
      </c>
      <c r="E63" s="85" t="s">
        <v>478</v>
      </c>
      <c r="F63" s="84" t="s">
        <v>479</v>
      </c>
      <c r="G63" s="85" t="s">
        <v>480</v>
      </c>
      <c r="H63" s="85" t="s">
        <v>481</v>
      </c>
    </row>
    <row r="64">
      <c r="A64" s="93"/>
      <c r="B64" s="93"/>
      <c r="C64" s="93"/>
      <c r="D64" s="89" t="s">
        <v>58</v>
      </c>
      <c r="E64" s="90" t="s">
        <v>482</v>
      </c>
      <c r="F64" s="89" t="s">
        <v>483</v>
      </c>
      <c r="G64" s="90" t="s">
        <v>484</v>
      </c>
      <c r="H64" s="90" t="s">
        <v>485</v>
      </c>
    </row>
    <row r="65">
      <c r="A65" s="94"/>
      <c r="B65" s="94"/>
      <c r="C65" s="94"/>
      <c r="D65" s="84" t="s">
        <v>58</v>
      </c>
      <c r="E65" s="85" t="s">
        <v>486</v>
      </c>
      <c r="F65" s="84" t="s">
        <v>487</v>
      </c>
      <c r="G65" s="85" t="s">
        <v>488</v>
      </c>
      <c r="H65" s="85" t="s">
        <v>489</v>
      </c>
    </row>
    <row r="66">
      <c r="A66" s="114" t="s">
        <v>490</v>
      </c>
      <c r="B66" s="101" t="s">
        <v>491</v>
      </c>
      <c r="C66" s="127" t="s">
        <v>453</v>
      </c>
      <c r="D66" s="128" t="s">
        <v>58</v>
      </c>
      <c r="E66" s="81" t="s">
        <v>492</v>
      </c>
      <c r="F66" s="89" t="s">
        <v>493</v>
      </c>
      <c r="G66" s="90" t="s">
        <v>494</v>
      </c>
      <c r="H66" s="90" t="s">
        <v>495</v>
      </c>
    </row>
    <row r="67">
      <c r="A67" s="83"/>
      <c r="B67" s="83"/>
      <c r="C67" s="83"/>
      <c r="D67" s="123" t="s">
        <v>58</v>
      </c>
      <c r="E67" s="124" t="s">
        <v>496</v>
      </c>
      <c r="F67" s="84" t="s">
        <v>497</v>
      </c>
      <c r="G67" s="85" t="s">
        <v>498</v>
      </c>
      <c r="H67" s="85" t="s">
        <v>499</v>
      </c>
    </row>
    <row r="68">
      <c r="A68" s="93"/>
      <c r="B68" s="93"/>
      <c r="C68" s="93"/>
      <c r="D68" s="89" t="s">
        <v>58</v>
      </c>
      <c r="E68" s="90" t="s">
        <v>500</v>
      </c>
      <c r="F68" s="89" t="s">
        <v>501</v>
      </c>
      <c r="G68" s="90" t="s">
        <v>502</v>
      </c>
      <c r="H68" s="90" t="s">
        <v>503</v>
      </c>
    </row>
    <row r="69">
      <c r="A69" s="83"/>
      <c r="B69" s="83"/>
      <c r="C69" s="83"/>
      <c r="D69" s="84" t="s">
        <v>58</v>
      </c>
      <c r="E69" s="85" t="s">
        <v>504</v>
      </c>
      <c r="F69" s="84" t="s">
        <v>505</v>
      </c>
      <c r="G69" s="85" t="s">
        <v>506</v>
      </c>
      <c r="H69" s="85" t="s">
        <v>507</v>
      </c>
    </row>
    <row r="70">
      <c r="A70" s="93"/>
      <c r="B70" s="93"/>
      <c r="C70" s="93"/>
      <c r="D70" s="89" t="s">
        <v>58</v>
      </c>
      <c r="E70" s="90" t="s">
        <v>508</v>
      </c>
      <c r="F70" s="89" t="s">
        <v>509</v>
      </c>
      <c r="G70" s="90" t="s">
        <v>510</v>
      </c>
      <c r="H70" s="90" t="s">
        <v>511</v>
      </c>
    </row>
    <row r="71">
      <c r="A71" s="83"/>
      <c r="B71" s="83"/>
      <c r="C71" s="83"/>
      <c r="D71" s="84" t="s">
        <v>58</v>
      </c>
      <c r="E71" s="85" t="s">
        <v>512</v>
      </c>
      <c r="F71" s="84" t="s">
        <v>513</v>
      </c>
      <c r="G71" s="85" t="s">
        <v>514</v>
      </c>
      <c r="H71" s="100" t="s">
        <v>515</v>
      </c>
    </row>
    <row r="72">
      <c r="A72" s="93"/>
      <c r="B72" s="93"/>
      <c r="C72" s="93"/>
      <c r="D72" s="89" t="s">
        <v>58</v>
      </c>
      <c r="E72" s="90" t="s">
        <v>516</v>
      </c>
      <c r="F72" s="89" t="s">
        <v>517</v>
      </c>
      <c r="G72" s="90" t="s">
        <v>518</v>
      </c>
      <c r="H72" s="90" t="s">
        <v>519</v>
      </c>
    </row>
    <row r="73">
      <c r="A73" s="94"/>
      <c r="B73" s="94"/>
      <c r="C73" s="94"/>
      <c r="D73" s="84" t="s">
        <v>58</v>
      </c>
      <c r="E73" s="85" t="s">
        <v>520</v>
      </c>
      <c r="F73" s="84" t="s">
        <v>521</v>
      </c>
      <c r="G73" s="85" t="s">
        <v>522</v>
      </c>
      <c r="H73" s="85" t="s">
        <v>523</v>
      </c>
    </row>
    <row r="74">
      <c r="A74" s="101" t="s">
        <v>524</v>
      </c>
      <c r="B74" s="129" t="s">
        <v>525</v>
      </c>
      <c r="C74" s="127" t="s">
        <v>453</v>
      </c>
      <c r="D74" s="109" t="s">
        <v>58</v>
      </c>
      <c r="E74" s="90" t="s">
        <v>526</v>
      </c>
      <c r="F74" s="90" t="s">
        <v>527</v>
      </c>
      <c r="G74" s="110" t="s">
        <v>528</v>
      </c>
      <c r="H74" s="110" t="s">
        <v>529</v>
      </c>
    </row>
    <row r="75">
      <c r="A75" s="83"/>
      <c r="B75" s="83"/>
      <c r="C75" s="83"/>
      <c r="D75" s="106" t="s">
        <v>58</v>
      </c>
      <c r="E75" s="85" t="s">
        <v>530</v>
      </c>
      <c r="F75" s="85" t="s">
        <v>531</v>
      </c>
      <c r="G75" s="107" t="s">
        <v>532</v>
      </c>
      <c r="H75" s="85" t="s">
        <v>533</v>
      </c>
    </row>
    <row r="76">
      <c r="A76" s="93"/>
      <c r="B76" s="93"/>
      <c r="C76" s="93"/>
      <c r="D76" s="109" t="s">
        <v>58</v>
      </c>
      <c r="E76" s="90" t="s">
        <v>534</v>
      </c>
      <c r="F76" s="90" t="s">
        <v>535</v>
      </c>
      <c r="G76" s="110" t="s">
        <v>536</v>
      </c>
      <c r="H76" s="110" t="s">
        <v>537</v>
      </c>
    </row>
    <row r="77">
      <c r="A77" s="83"/>
      <c r="B77" s="83"/>
      <c r="C77" s="83"/>
      <c r="D77" s="106" t="s">
        <v>58</v>
      </c>
      <c r="E77" s="85" t="s">
        <v>538</v>
      </c>
      <c r="F77" s="85" t="s">
        <v>539</v>
      </c>
      <c r="G77" s="107" t="s">
        <v>540</v>
      </c>
      <c r="H77" s="107" t="s">
        <v>541</v>
      </c>
    </row>
    <row r="78">
      <c r="A78" s="93"/>
      <c r="B78" s="93"/>
      <c r="C78" s="93"/>
      <c r="D78" s="109" t="s">
        <v>58</v>
      </c>
      <c r="E78" s="90" t="s">
        <v>542</v>
      </c>
      <c r="F78" s="90" t="s">
        <v>543</v>
      </c>
      <c r="G78" s="110" t="s">
        <v>544</v>
      </c>
      <c r="H78" s="110" t="s">
        <v>545</v>
      </c>
    </row>
    <row r="79">
      <c r="A79" s="83"/>
      <c r="B79" s="83"/>
      <c r="C79" s="83"/>
      <c r="D79" s="106" t="s">
        <v>58</v>
      </c>
      <c r="E79" s="85" t="s">
        <v>546</v>
      </c>
      <c r="F79" s="85" t="s">
        <v>547</v>
      </c>
      <c r="G79" s="107" t="s">
        <v>548</v>
      </c>
      <c r="H79" s="107" t="s">
        <v>549</v>
      </c>
    </row>
    <row r="80">
      <c r="A80" s="93"/>
      <c r="B80" s="93"/>
      <c r="C80" s="93"/>
      <c r="D80" s="109" t="s">
        <v>58</v>
      </c>
      <c r="E80" s="90" t="s">
        <v>550</v>
      </c>
      <c r="F80" s="90" t="s">
        <v>551</v>
      </c>
      <c r="G80" s="110" t="s">
        <v>552</v>
      </c>
      <c r="H80" s="110" t="s">
        <v>553</v>
      </c>
    </row>
    <row r="81">
      <c r="A81" s="94"/>
      <c r="B81" s="94"/>
      <c r="C81" s="94"/>
      <c r="D81" s="106" t="s">
        <v>58</v>
      </c>
      <c r="E81" s="85" t="s">
        <v>554</v>
      </c>
      <c r="F81" s="85" t="s">
        <v>555</v>
      </c>
      <c r="G81" s="107" t="s">
        <v>556</v>
      </c>
      <c r="H81" s="107" t="s">
        <v>557</v>
      </c>
    </row>
    <row r="82">
      <c r="A82" s="101" t="s">
        <v>558</v>
      </c>
      <c r="B82" s="129" t="s">
        <v>559</v>
      </c>
      <c r="C82" s="127" t="s">
        <v>453</v>
      </c>
      <c r="D82" s="109" t="s">
        <v>12</v>
      </c>
      <c r="E82" s="90" t="s">
        <v>560</v>
      </c>
      <c r="F82" s="90" t="s">
        <v>561</v>
      </c>
      <c r="G82" s="110" t="s">
        <v>562</v>
      </c>
      <c r="H82" s="110" t="s">
        <v>563</v>
      </c>
    </row>
    <row r="83">
      <c r="A83" s="83"/>
      <c r="B83" s="83"/>
      <c r="C83" s="83"/>
      <c r="D83" s="106" t="s">
        <v>12</v>
      </c>
      <c r="E83" s="85" t="s">
        <v>564</v>
      </c>
      <c r="F83" s="85" t="s">
        <v>565</v>
      </c>
      <c r="G83" s="107" t="s">
        <v>566</v>
      </c>
      <c r="H83" s="107" t="s">
        <v>567</v>
      </c>
    </row>
    <row r="84">
      <c r="A84" s="93"/>
      <c r="B84" s="93"/>
      <c r="C84" s="93"/>
      <c r="D84" s="109" t="s">
        <v>12</v>
      </c>
      <c r="E84" s="90" t="s">
        <v>568</v>
      </c>
      <c r="F84" s="90" t="s">
        <v>569</v>
      </c>
      <c r="G84" s="110" t="s">
        <v>570</v>
      </c>
      <c r="H84" s="110" t="s">
        <v>571</v>
      </c>
    </row>
    <row r="85">
      <c r="A85" s="83"/>
      <c r="B85" s="83"/>
      <c r="C85" s="83"/>
      <c r="D85" s="106" t="s">
        <v>12</v>
      </c>
      <c r="E85" s="85" t="s">
        <v>572</v>
      </c>
      <c r="F85" s="85" t="s">
        <v>573</v>
      </c>
      <c r="G85" s="107" t="s">
        <v>574</v>
      </c>
      <c r="H85" s="107" t="s">
        <v>575</v>
      </c>
    </row>
    <row r="86">
      <c r="A86" s="93"/>
      <c r="B86" s="93"/>
      <c r="C86" s="93"/>
      <c r="D86" s="109" t="s">
        <v>12</v>
      </c>
      <c r="E86" s="90" t="s">
        <v>576</v>
      </c>
      <c r="F86" s="90" t="s">
        <v>577</v>
      </c>
      <c r="G86" s="110" t="s">
        <v>578</v>
      </c>
      <c r="H86" s="110" t="s">
        <v>579</v>
      </c>
    </row>
    <row r="87">
      <c r="A87" s="83"/>
      <c r="B87" s="83"/>
      <c r="C87" s="83"/>
      <c r="D87" s="106" t="s">
        <v>12</v>
      </c>
      <c r="E87" s="85" t="s">
        <v>580</v>
      </c>
      <c r="F87" s="85" t="s">
        <v>581</v>
      </c>
      <c r="G87" s="107" t="s">
        <v>582</v>
      </c>
      <c r="H87" s="107" t="s">
        <v>583</v>
      </c>
    </row>
    <row r="88">
      <c r="A88" s="93"/>
      <c r="B88" s="93"/>
      <c r="C88" s="93"/>
      <c r="D88" s="109" t="s">
        <v>12</v>
      </c>
      <c r="E88" s="90" t="s">
        <v>584</v>
      </c>
      <c r="F88" s="90" t="s">
        <v>585</v>
      </c>
      <c r="G88" s="110" t="s">
        <v>586</v>
      </c>
      <c r="H88" s="110" t="s">
        <v>587</v>
      </c>
    </row>
    <row r="89">
      <c r="A89" s="94"/>
      <c r="B89" s="94"/>
      <c r="C89" s="94"/>
      <c r="D89" s="106" t="s">
        <v>12</v>
      </c>
      <c r="E89" s="85" t="s">
        <v>588</v>
      </c>
      <c r="F89" s="85" t="s">
        <v>589</v>
      </c>
      <c r="G89" s="107" t="s">
        <v>590</v>
      </c>
      <c r="H89" s="107" t="s">
        <v>591</v>
      </c>
    </row>
    <row r="90">
      <c r="A90" s="112" t="s">
        <v>592</v>
      </c>
      <c r="B90" s="113" t="s">
        <v>593</v>
      </c>
      <c r="C90" s="127" t="s">
        <v>453</v>
      </c>
      <c r="D90" s="89" t="s">
        <v>194</v>
      </c>
      <c r="E90" s="90" t="s">
        <v>594</v>
      </c>
      <c r="F90" s="89" t="s">
        <v>595</v>
      </c>
      <c r="G90" s="90" t="s">
        <v>596</v>
      </c>
      <c r="H90" s="90" t="s">
        <v>597</v>
      </c>
    </row>
    <row r="91">
      <c r="A91" s="83"/>
      <c r="B91" s="83"/>
      <c r="C91" s="83"/>
      <c r="D91" s="84" t="s">
        <v>194</v>
      </c>
      <c r="E91" s="85" t="s">
        <v>598</v>
      </c>
      <c r="F91" s="84" t="s">
        <v>599</v>
      </c>
      <c r="G91" s="85" t="s">
        <v>600</v>
      </c>
      <c r="H91" s="85" t="s">
        <v>601</v>
      </c>
    </row>
    <row r="92">
      <c r="A92" s="93"/>
      <c r="B92" s="93"/>
      <c r="C92" s="93"/>
      <c r="D92" s="89" t="s">
        <v>58</v>
      </c>
      <c r="E92" s="90" t="s">
        <v>602</v>
      </c>
      <c r="F92" s="89" t="s">
        <v>603</v>
      </c>
      <c r="G92" s="90" t="s">
        <v>604</v>
      </c>
      <c r="H92" s="90" t="s">
        <v>605</v>
      </c>
    </row>
    <row r="93">
      <c r="A93" s="83"/>
      <c r="B93" s="83"/>
      <c r="C93" s="83"/>
      <c r="D93" s="84" t="s">
        <v>58</v>
      </c>
      <c r="E93" s="85" t="s">
        <v>606</v>
      </c>
      <c r="F93" s="84" t="s">
        <v>607</v>
      </c>
      <c r="G93" s="85" t="s">
        <v>608</v>
      </c>
      <c r="H93" s="85" t="s">
        <v>609</v>
      </c>
    </row>
    <row r="94">
      <c r="A94" s="93"/>
      <c r="B94" s="93"/>
      <c r="C94" s="93"/>
      <c r="D94" s="89" t="s">
        <v>58</v>
      </c>
      <c r="E94" s="90" t="s">
        <v>610</v>
      </c>
      <c r="F94" s="89" t="s">
        <v>611</v>
      </c>
      <c r="G94" s="90" t="s">
        <v>612</v>
      </c>
      <c r="H94" s="90" t="s">
        <v>613</v>
      </c>
    </row>
    <row r="95">
      <c r="A95" s="94"/>
      <c r="B95" s="94"/>
      <c r="C95" s="94"/>
      <c r="D95" s="84" t="s">
        <v>58</v>
      </c>
      <c r="E95" s="85" t="s">
        <v>614</v>
      </c>
      <c r="F95" s="84" t="s">
        <v>615</v>
      </c>
      <c r="G95" s="85" t="s">
        <v>616</v>
      </c>
      <c r="H95" s="85" t="s">
        <v>617</v>
      </c>
    </row>
    <row r="96">
      <c r="A96" s="114" t="s">
        <v>618</v>
      </c>
      <c r="B96" s="113" t="s">
        <v>619</v>
      </c>
      <c r="C96" s="127" t="s">
        <v>453</v>
      </c>
      <c r="D96" s="89" t="s">
        <v>58</v>
      </c>
      <c r="E96" s="90" t="s">
        <v>620</v>
      </c>
      <c r="F96" s="89" t="s">
        <v>621</v>
      </c>
      <c r="G96" s="90" t="s">
        <v>622</v>
      </c>
      <c r="H96" s="90" t="s">
        <v>623</v>
      </c>
    </row>
    <row r="97">
      <c r="A97" s="83"/>
      <c r="B97" s="83"/>
      <c r="C97" s="83"/>
      <c r="D97" s="84" t="s">
        <v>58</v>
      </c>
      <c r="E97" s="85" t="s">
        <v>624</v>
      </c>
      <c r="F97" s="84" t="s">
        <v>625</v>
      </c>
      <c r="G97" s="85" t="s">
        <v>626</v>
      </c>
      <c r="H97" s="85" t="s">
        <v>627</v>
      </c>
    </row>
    <row r="98">
      <c r="A98" s="93"/>
      <c r="B98" s="93"/>
      <c r="C98" s="93"/>
      <c r="D98" s="89" t="s">
        <v>58</v>
      </c>
      <c r="E98" s="90" t="s">
        <v>628</v>
      </c>
      <c r="F98" s="89" t="s">
        <v>629</v>
      </c>
      <c r="G98" s="90" t="s">
        <v>630</v>
      </c>
      <c r="H98" s="90" t="s">
        <v>631</v>
      </c>
    </row>
    <row r="99">
      <c r="A99" s="94"/>
      <c r="B99" s="94"/>
      <c r="C99" s="94"/>
      <c r="D99" s="84" t="s">
        <v>12</v>
      </c>
      <c r="E99" s="85" t="s">
        <v>632</v>
      </c>
      <c r="F99" s="84" t="s">
        <v>633</v>
      </c>
      <c r="G99" s="85" t="s">
        <v>634</v>
      </c>
      <c r="H99" s="85" t="s">
        <v>635</v>
      </c>
    </row>
    <row r="100">
      <c r="A100" s="112" t="s">
        <v>636</v>
      </c>
      <c r="B100" s="101" t="s">
        <v>637</v>
      </c>
      <c r="C100" s="101" t="s">
        <v>453</v>
      </c>
      <c r="D100" s="89" t="s">
        <v>58</v>
      </c>
      <c r="E100" s="90" t="s">
        <v>638</v>
      </c>
      <c r="F100" s="90" t="s">
        <v>639</v>
      </c>
      <c r="G100" s="90" t="s">
        <v>640</v>
      </c>
      <c r="H100" s="90" t="s">
        <v>641</v>
      </c>
    </row>
    <row r="101">
      <c r="A101" s="83"/>
      <c r="B101" s="83"/>
      <c r="C101" s="83"/>
      <c r="D101" s="84" t="s">
        <v>58</v>
      </c>
      <c r="E101" s="85" t="s">
        <v>642</v>
      </c>
      <c r="F101" s="85" t="s">
        <v>643</v>
      </c>
      <c r="G101" s="85" t="s">
        <v>644</v>
      </c>
      <c r="H101" s="85" t="s">
        <v>645</v>
      </c>
    </row>
    <row r="102">
      <c r="A102" s="93"/>
      <c r="B102" s="93"/>
      <c r="C102" s="93"/>
      <c r="D102" s="89" t="s">
        <v>58</v>
      </c>
      <c r="E102" s="90" t="s">
        <v>646</v>
      </c>
      <c r="F102" s="90" t="s">
        <v>647</v>
      </c>
      <c r="G102" s="90" t="s">
        <v>648</v>
      </c>
      <c r="H102" s="90" t="s">
        <v>649</v>
      </c>
    </row>
    <row r="103">
      <c r="A103" s="83"/>
      <c r="B103" s="83"/>
      <c r="C103" s="83"/>
      <c r="D103" s="84" t="s">
        <v>58</v>
      </c>
      <c r="E103" s="85" t="s">
        <v>650</v>
      </c>
      <c r="F103" s="85" t="s">
        <v>651</v>
      </c>
      <c r="G103" s="130" t="s">
        <v>652</v>
      </c>
      <c r="H103" s="85" t="s">
        <v>653</v>
      </c>
    </row>
    <row r="104">
      <c r="A104" s="93"/>
      <c r="B104" s="93"/>
      <c r="C104" s="93"/>
      <c r="D104" s="89" t="s">
        <v>58</v>
      </c>
      <c r="E104" s="90" t="s">
        <v>654</v>
      </c>
      <c r="F104" s="90" t="s">
        <v>655</v>
      </c>
      <c r="G104" s="90" t="s">
        <v>656</v>
      </c>
      <c r="H104" s="90" t="s">
        <v>657</v>
      </c>
    </row>
    <row r="105">
      <c r="A105" s="94"/>
      <c r="B105" s="94"/>
      <c r="C105" s="94"/>
      <c r="D105" s="84" t="s">
        <v>58</v>
      </c>
      <c r="E105" s="85" t="s">
        <v>658</v>
      </c>
      <c r="F105" s="85" t="s">
        <v>659</v>
      </c>
      <c r="G105" s="85" t="s">
        <v>660</v>
      </c>
      <c r="H105" s="85" t="s">
        <v>661</v>
      </c>
    </row>
    <row r="106">
      <c r="A106" s="114" t="s">
        <v>662</v>
      </c>
      <c r="B106" s="101" t="s">
        <v>663</v>
      </c>
      <c r="C106" s="101" t="s">
        <v>453</v>
      </c>
      <c r="D106" s="89" t="s">
        <v>12</v>
      </c>
      <c r="E106" s="90" t="s">
        <v>664</v>
      </c>
      <c r="F106" s="90" t="s">
        <v>665</v>
      </c>
      <c r="G106" s="90" t="s">
        <v>666</v>
      </c>
      <c r="H106" s="90" t="s">
        <v>667</v>
      </c>
    </row>
    <row r="107">
      <c r="A107" s="83"/>
      <c r="B107" s="83"/>
      <c r="C107" s="83"/>
      <c r="D107" s="84" t="s">
        <v>12</v>
      </c>
      <c r="E107" s="85" t="s">
        <v>668</v>
      </c>
      <c r="F107" s="85" t="s">
        <v>669</v>
      </c>
      <c r="G107" s="85" t="s">
        <v>670</v>
      </c>
      <c r="H107" s="85" t="s">
        <v>671</v>
      </c>
    </row>
    <row r="108">
      <c r="A108" s="93"/>
      <c r="B108" s="93"/>
      <c r="C108" s="93"/>
      <c r="D108" s="89" t="s">
        <v>12</v>
      </c>
      <c r="E108" s="90" t="s">
        <v>672</v>
      </c>
      <c r="F108" s="90" t="s">
        <v>673</v>
      </c>
      <c r="G108" s="90" t="s">
        <v>674</v>
      </c>
      <c r="H108" s="90" t="s">
        <v>675</v>
      </c>
    </row>
    <row r="109">
      <c r="A109" s="83"/>
      <c r="B109" s="83"/>
      <c r="C109" s="83"/>
      <c r="D109" s="84" t="s">
        <v>12</v>
      </c>
      <c r="E109" s="85" t="s">
        <v>676</v>
      </c>
      <c r="F109" s="85" t="s">
        <v>677</v>
      </c>
      <c r="G109" s="85" t="s">
        <v>678</v>
      </c>
      <c r="H109" s="85" t="s">
        <v>679</v>
      </c>
    </row>
    <row r="110">
      <c r="A110" s="93"/>
      <c r="B110" s="93"/>
      <c r="C110" s="93"/>
      <c r="D110" s="89" t="s">
        <v>12</v>
      </c>
      <c r="E110" s="90" t="s">
        <v>680</v>
      </c>
      <c r="F110" s="90" t="s">
        <v>681</v>
      </c>
      <c r="G110" s="118" t="s">
        <v>682</v>
      </c>
      <c r="H110" s="118" t="s">
        <v>683</v>
      </c>
    </row>
    <row r="111">
      <c r="A111" s="83"/>
      <c r="B111" s="83"/>
      <c r="C111" s="83"/>
      <c r="D111" s="84" t="s">
        <v>12</v>
      </c>
      <c r="E111" s="85" t="s">
        <v>684</v>
      </c>
      <c r="F111" s="85" t="s">
        <v>685</v>
      </c>
      <c r="G111" s="85" t="s">
        <v>686</v>
      </c>
      <c r="H111" s="85" t="s">
        <v>687</v>
      </c>
    </row>
    <row r="112">
      <c r="A112" s="88"/>
      <c r="B112" s="88"/>
      <c r="C112" s="88"/>
      <c r="D112" s="89" t="s">
        <v>58</v>
      </c>
      <c r="E112" s="90" t="s">
        <v>688</v>
      </c>
      <c r="F112" s="90" t="s">
        <v>689</v>
      </c>
      <c r="G112" s="90" t="s">
        <v>690</v>
      </c>
      <c r="H112" s="90" t="s">
        <v>691</v>
      </c>
    </row>
  </sheetData>
  <mergeCells count="60">
    <mergeCell ref="B50:B56"/>
    <mergeCell ref="C50:C56"/>
    <mergeCell ref="A42:A44"/>
    <mergeCell ref="B42:B44"/>
    <mergeCell ref="C42:C44"/>
    <mergeCell ref="A45:A49"/>
    <mergeCell ref="B45:B49"/>
    <mergeCell ref="C45:C49"/>
    <mergeCell ref="A50:A56"/>
    <mergeCell ref="B74:B81"/>
    <mergeCell ref="C74:C81"/>
    <mergeCell ref="A57:A65"/>
    <mergeCell ref="B57:B65"/>
    <mergeCell ref="C57:C65"/>
    <mergeCell ref="A66:A73"/>
    <mergeCell ref="B66:B73"/>
    <mergeCell ref="C66:C73"/>
    <mergeCell ref="A74:A81"/>
    <mergeCell ref="B96:B99"/>
    <mergeCell ref="C96:C99"/>
    <mergeCell ref="A82:A89"/>
    <mergeCell ref="B82:B89"/>
    <mergeCell ref="C82:C89"/>
    <mergeCell ref="A90:A95"/>
    <mergeCell ref="B90:B95"/>
    <mergeCell ref="C90:C95"/>
    <mergeCell ref="A96:A99"/>
    <mergeCell ref="B8:B11"/>
    <mergeCell ref="C8:C11"/>
    <mergeCell ref="A2:A4"/>
    <mergeCell ref="B2:B4"/>
    <mergeCell ref="C2:C4"/>
    <mergeCell ref="A5:A7"/>
    <mergeCell ref="B5:B7"/>
    <mergeCell ref="C5:C7"/>
    <mergeCell ref="A8:A11"/>
    <mergeCell ref="B22:B26"/>
    <mergeCell ref="C22:C26"/>
    <mergeCell ref="A12:A16"/>
    <mergeCell ref="B12:B16"/>
    <mergeCell ref="C12:C16"/>
    <mergeCell ref="A17:A21"/>
    <mergeCell ref="B17:B21"/>
    <mergeCell ref="C17:C21"/>
    <mergeCell ref="A22:A26"/>
    <mergeCell ref="B36:B41"/>
    <mergeCell ref="C36:C41"/>
    <mergeCell ref="A27:A30"/>
    <mergeCell ref="B27:B30"/>
    <mergeCell ref="C27:C30"/>
    <mergeCell ref="A31:A35"/>
    <mergeCell ref="B31:B35"/>
    <mergeCell ref="C31:C35"/>
    <mergeCell ref="A36:A41"/>
    <mergeCell ref="A100:A105"/>
    <mergeCell ref="B100:B105"/>
    <mergeCell ref="C100:C105"/>
    <mergeCell ref="A106:A112"/>
    <mergeCell ref="B106:B112"/>
    <mergeCell ref="C106:C112"/>
  </mergeCells>
  <conditionalFormatting sqref="G46">
    <cfRule type="colorScale" priority="1">
      <colorScale>
        <cfvo type="min"/>
        <cfvo type="max"/>
        <color rgb="FFFFFFFF"/>
        <color rgb="FF57BB8A"/>
      </colorScale>
    </cfRule>
  </conditionalFormatting>
  <conditionalFormatting sqref="G44">
    <cfRule type="colorScale" priority="2">
      <colorScale>
        <cfvo type="min"/>
        <cfvo type="max"/>
        <color rgb="FFFFFFFF"/>
        <color rgb="FF57BB8A"/>
      </colorScale>
    </cfRule>
  </conditionalFormatting>
  <dataValidations>
    <dataValidation type="list" allowBlank="1" sqref="D2:D112">
      <formula1>"Critical,High,Medium,Low"</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63"/>
    <col customWidth="1" min="2" max="2" width="19.25"/>
    <col customWidth="1" min="3" max="3" width="42.75"/>
    <col customWidth="1" min="4" max="4" width="21.13"/>
    <col customWidth="1" min="5" max="5" width="17.25"/>
    <col customWidth="1" min="6" max="6" width="22.63"/>
    <col customWidth="1" min="7" max="7" width="30.38"/>
    <col customWidth="1" min="8" max="8" width="33.13"/>
    <col customWidth="1" min="9" max="9" width="17.25"/>
    <col customWidth="1" min="11" max="11" width="15.0"/>
    <col customWidth="1" min="12" max="12" width="25.38"/>
    <col customWidth="1" min="13" max="13" width="19.25"/>
    <col customWidth="1" min="14" max="14" width="18.63"/>
    <col customWidth="1" min="15" max="15" width="18.25"/>
    <col customWidth="1" min="16" max="16" width="12.88"/>
    <col customWidth="1" min="17" max="17" width="12.75"/>
    <col customWidth="1" min="18" max="18" width="14.38"/>
  </cols>
  <sheetData>
    <row r="1" ht="33.75" customHeight="1">
      <c r="A1" s="131" t="s">
        <v>692</v>
      </c>
      <c r="B1" s="28"/>
      <c r="C1" s="132" t="s">
        <v>84</v>
      </c>
      <c r="D1" s="28"/>
      <c r="E1" s="133"/>
      <c r="F1" s="133"/>
      <c r="G1" s="133"/>
      <c r="H1" s="133"/>
      <c r="I1" s="133"/>
      <c r="J1" s="133"/>
      <c r="K1" s="134"/>
      <c r="L1" s="135"/>
      <c r="M1" s="135"/>
      <c r="N1" s="135"/>
      <c r="O1" s="135"/>
      <c r="P1" s="135"/>
      <c r="Q1" s="135"/>
      <c r="R1" s="135"/>
      <c r="S1" s="135"/>
      <c r="T1" s="135"/>
      <c r="U1" s="135"/>
      <c r="V1" s="134"/>
      <c r="W1" s="134"/>
      <c r="X1" s="134"/>
      <c r="Y1" s="134"/>
      <c r="Z1" s="134"/>
      <c r="AA1" s="134"/>
      <c r="AB1" s="134"/>
      <c r="AC1" s="134"/>
    </row>
    <row r="2" ht="33.75" customHeight="1">
      <c r="A2" s="131" t="s">
        <v>693</v>
      </c>
      <c r="B2" s="28"/>
      <c r="C2" s="132" t="s">
        <v>88</v>
      </c>
      <c r="D2" s="28"/>
      <c r="E2" s="133"/>
      <c r="F2" s="133"/>
      <c r="G2" s="133"/>
      <c r="H2" s="133"/>
      <c r="I2" s="133"/>
      <c r="J2" s="133"/>
      <c r="K2" s="134"/>
      <c r="L2" s="135"/>
      <c r="M2" s="135"/>
      <c r="N2" s="135"/>
      <c r="O2" s="135"/>
      <c r="P2" s="135"/>
      <c r="Q2" s="135"/>
      <c r="R2" s="135"/>
      <c r="S2" s="135"/>
      <c r="T2" s="135"/>
      <c r="U2" s="135"/>
      <c r="V2" s="134"/>
      <c r="W2" s="134"/>
      <c r="X2" s="134"/>
      <c r="Y2" s="134"/>
      <c r="Z2" s="134"/>
      <c r="AA2" s="134"/>
      <c r="AB2" s="134"/>
      <c r="AC2" s="134"/>
    </row>
    <row r="3" ht="33.75" customHeight="1">
      <c r="A3" s="131" t="s">
        <v>694</v>
      </c>
      <c r="B3" s="28"/>
      <c r="C3" s="136">
        <v>46136.0</v>
      </c>
      <c r="D3" s="28"/>
      <c r="E3" s="133"/>
      <c r="F3" s="133"/>
      <c r="G3" s="133"/>
      <c r="H3" s="133"/>
      <c r="I3" s="133"/>
      <c r="J3" s="133"/>
      <c r="K3" s="134"/>
      <c r="L3" s="135"/>
      <c r="M3" s="135"/>
      <c r="N3" s="135"/>
      <c r="O3" s="135"/>
      <c r="P3" s="135"/>
      <c r="Q3" s="135"/>
      <c r="R3" s="135"/>
      <c r="S3" s="135"/>
      <c r="T3" s="135"/>
      <c r="U3" s="135"/>
      <c r="V3" s="134"/>
      <c r="W3" s="134"/>
      <c r="X3" s="134"/>
      <c r="Y3" s="134"/>
      <c r="Z3" s="134"/>
      <c r="AA3" s="134"/>
      <c r="AB3" s="134"/>
      <c r="AC3" s="134"/>
    </row>
    <row r="4" ht="33.75" customHeight="1">
      <c r="A4" s="131" t="s">
        <v>695</v>
      </c>
      <c r="B4" s="28"/>
      <c r="C4" s="132"/>
      <c r="D4" s="28"/>
      <c r="E4" s="133"/>
      <c r="F4" s="133"/>
      <c r="G4" s="133"/>
      <c r="H4" s="133"/>
      <c r="I4" s="133"/>
      <c r="J4" s="133"/>
      <c r="K4" s="134"/>
      <c r="L4" s="135"/>
      <c r="M4" s="135"/>
      <c r="N4" s="135"/>
      <c r="O4" s="135"/>
      <c r="P4" s="135"/>
      <c r="Q4" s="135"/>
      <c r="R4" s="135"/>
      <c r="S4" s="135"/>
      <c r="T4" s="135"/>
      <c r="U4" s="135"/>
      <c r="V4" s="134"/>
      <c r="W4" s="134"/>
      <c r="X4" s="134"/>
      <c r="Y4" s="134"/>
      <c r="Z4" s="134"/>
      <c r="AA4" s="134"/>
      <c r="AB4" s="134"/>
      <c r="AC4" s="134"/>
    </row>
    <row r="5" ht="33.75" customHeight="1">
      <c r="A5" s="133"/>
      <c r="B5" s="133"/>
      <c r="C5" s="133"/>
      <c r="D5" s="133"/>
      <c r="E5" s="133"/>
      <c r="F5" s="133"/>
      <c r="G5" s="133"/>
      <c r="H5" s="133"/>
      <c r="I5" s="133"/>
      <c r="J5" s="134"/>
      <c r="K5" s="135"/>
      <c r="L5" s="135"/>
      <c r="M5" s="135"/>
      <c r="N5" s="135"/>
      <c r="O5" s="135"/>
      <c r="P5" s="135"/>
      <c r="Q5" s="135"/>
      <c r="R5" s="135"/>
      <c r="S5" s="135"/>
      <c r="T5" s="135"/>
      <c r="U5" s="134"/>
      <c r="V5" s="134"/>
      <c r="W5" s="134"/>
      <c r="X5" s="134"/>
      <c r="Y5" s="134"/>
      <c r="Z5" s="134"/>
      <c r="AA5" s="134"/>
      <c r="AB5" s="134"/>
      <c r="AC5" s="134"/>
    </row>
    <row r="6" ht="33.75" customHeight="1">
      <c r="A6" s="133"/>
      <c r="B6" s="133"/>
      <c r="C6" s="133"/>
      <c r="D6" s="133"/>
      <c r="E6" s="133"/>
      <c r="F6" s="133"/>
      <c r="G6" s="133"/>
      <c r="H6" s="133"/>
      <c r="I6" s="133"/>
      <c r="J6" s="134"/>
      <c r="K6" s="135"/>
      <c r="L6" s="135"/>
      <c r="M6" s="135"/>
      <c r="N6" s="135"/>
      <c r="O6" s="135"/>
      <c r="P6" s="135"/>
      <c r="Q6" s="135"/>
      <c r="R6" s="135"/>
      <c r="S6" s="135"/>
      <c r="T6" s="135"/>
      <c r="U6" s="134"/>
      <c r="V6" s="134"/>
      <c r="W6" s="134"/>
      <c r="X6" s="134"/>
      <c r="Y6" s="134"/>
      <c r="Z6" s="134"/>
      <c r="AA6" s="134"/>
      <c r="AB6" s="134"/>
      <c r="AC6" s="134"/>
    </row>
    <row r="7" ht="33.75" customHeight="1">
      <c r="A7" s="23" t="s">
        <v>182</v>
      </c>
      <c r="B7" s="23" t="s">
        <v>187</v>
      </c>
      <c r="C7" s="23" t="s">
        <v>696</v>
      </c>
      <c r="D7" s="23" t="s">
        <v>697</v>
      </c>
      <c r="E7" s="23" t="s">
        <v>698</v>
      </c>
      <c r="F7" s="23" t="s">
        <v>699</v>
      </c>
      <c r="G7" s="23" t="s">
        <v>700</v>
      </c>
      <c r="H7" s="23" t="s">
        <v>701</v>
      </c>
      <c r="I7" s="23" t="s">
        <v>149</v>
      </c>
      <c r="J7" s="23" t="s">
        <v>4</v>
      </c>
      <c r="K7" s="137"/>
      <c r="L7" s="137"/>
      <c r="M7" s="137"/>
      <c r="N7" s="137"/>
      <c r="O7" s="137"/>
      <c r="P7" s="137"/>
      <c r="Q7" s="137"/>
      <c r="R7" s="137"/>
      <c r="S7" s="137"/>
      <c r="T7" s="137"/>
      <c r="U7" s="138"/>
      <c r="V7" s="138"/>
      <c r="W7" s="138"/>
      <c r="X7" s="138"/>
      <c r="Y7" s="138"/>
      <c r="Z7" s="138"/>
      <c r="AA7" s="138"/>
      <c r="AB7" s="138"/>
      <c r="AC7" s="138"/>
    </row>
    <row r="8" ht="25.5" customHeight="1">
      <c r="A8" s="139" t="s">
        <v>191</v>
      </c>
      <c r="B8" s="140" t="s">
        <v>196</v>
      </c>
      <c r="C8" s="141" t="s">
        <v>702</v>
      </c>
      <c r="D8" s="139" t="s">
        <v>194</v>
      </c>
      <c r="E8" s="140" t="s">
        <v>183</v>
      </c>
      <c r="F8" s="142" t="s">
        <v>90</v>
      </c>
      <c r="G8" s="143" t="s">
        <v>703</v>
      </c>
      <c r="H8" s="143" t="s">
        <v>704</v>
      </c>
      <c r="I8" s="140" t="s">
        <v>156</v>
      </c>
      <c r="J8" s="144"/>
      <c r="K8" s="135"/>
      <c r="L8" s="135"/>
      <c r="M8" s="135"/>
      <c r="N8" s="135"/>
      <c r="O8" s="135"/>
      <c r="P8" s="135"/>
      <c r="Q8" s="135"/>
      <c r="R8" s="135"/>
      <c r="S8" s="135"/>
      <c r="T8" s="135"/>
      <c r="U8" s="134"/>
      <c r="V8" s="134"/>
      <c r="W8" s="134"/>
      <c r="X8" s="134"/>
      <c r="Y8" s="134"/>
      <c r="Z8" s="134"/>
      <c r="AA8" s="134"/>
      <c r="AB8" s="134"/>
      <c r="AC8" s="134"/>
    </row>
    <row r="9" ht="25.5" customHeight="1">
      <c r="A9" s="145"/>
      <c r="B9" s="145"/>
      <c r="C9" s="145"/>
      <c r="D9" s="145"/>
      <c r="E9" s="145"/>
      <c r="F9" s="145"/>
      <c r="G9" s="143" t="s">
        <v>705</v>
      </c>
      <c r="H9" s="143" t="s">
        <v>706</v>
      </c>
      <c r="I9" s="145"/>
      <c r="J9" s="144"/>
      <c r="K9" s="135"/>
      <c r="L9" s="135"/>
      <c r="M9" s="135"/>
      <c r="N9" s="135"/>
      <c r="O9" s="135"/>
      <c r="P9" s="135"/>
      <c r="Q9" s="135"/>
      <c r="R9" s="135"/>
      <c r="S9" s="135"/>
      <c r="T9" s="135"/>
      <c r="U9" s="134"/>
      <c r="V9" s="134"/>
      <c r="W9" s="134"/>
      <c r="X9" s="134"/>
      <c r="Y9" s="134"/>
      <c r="Z9" s="134"/>
      <c r="AA9" s="134"/>
      <c r="AB9" s="134"/>
      <c r="AC9" s="134"/>
    </row>
    <row r="10" ht="25.5" customHeight="1">
      <c r="A10" s="145"/>
      <c r="B10" s="146"/>
      <c r="C10" s="146"/>
      <c r="D10" s="146"/>
      <c r="E10" s="146"/>
      <c r="F10" s="146"/>
      <c r="G10" s="143" t="s">
        <v>707</v>
      </c>
      <c r="H10" s="143" t="s">
        <v>708</v>
      </c>
      <c r="I10" s="146"/>
      <c r="J10" s="144"/>
      <c r="K10" s="135"/>
      <c r="L10" s="135"/>
      <c r="M10" s="135"/>
      <c r="N10" s="135"/>
      <c r="O10" s="135"/>
      <c r="P10" s="135"/>
      <c r="Q10" s="135"/>
      <c r="R10" s="135"/>
      <c r="S10" s="135"/>
      <c r="T10" s="135"/>
      <c r="U10" s="134"/>
      <c r="V10" s="134"/>
      <c r="W10" s="134"/>
      <c r="X10" s="134"/>
      <c r="Y10" s="134"/>
      <c r="Z10" s="134"/>
      <c r="AA10" s="134"/>
      <c r="AB10" s="134"/>
      <c r="AC10" s="134"/>
    </row>
    <row r="11" ht="25.5" customHeight="1">
      <c r="A11" s="145"/>
      <c r="B11" s="140" t="s">
        <v>203</v>
      </c>
      <c r="C11" s="141" t="s">
        <v>709</v>
      </c>
      <c r="D11" s="139" t="s">
        <v>194</v>
      </c>
      <c r="E11" s="140" t="s">
        <v>183</v>
      </c>
      <c r="F11" s="140" t="s">
        <v>90</v>
      </c>
      <c r="G11" s="143" t="s">
        <v>710</v>
      </c>
      <c r="H11" s="143" t="s">
        <v>711</v>
      </c>
      <c r="I11" s="140" t="s">
        <v>156</v>
      </c>
      <c r="J11" s="144"/>
      <c r="K11" s="135"/>
      <c r="L11" s="135"/>
      <c r="M11" s="135"/>
      <c r="N11" s="135"/>
      <c r="O11" s="135"/>
      <c r="P11" s="135"/>
      <c r="Q11" s="135"/>
      <c r="R11" s="135"/>
      <c r="S11" s="135"/>
      <c r="T11" s="135"/>
      <c r="U11" s="134"/>
      <c r="V11" s="134"/>
      <c r="W11" s="134"/>
      <c r="X11" s="134"/>
      <c r="Y11" s="134"/>
      <c r="Z11" s="134"/>
      <c r="AA11" s="134"/>
      <c r="AB11" s="134"/>
      <c r="AC11" s="134"/>
    </row>
    <row r="12" ht="25.5" customHeight="1">
      <c r="A12" s="145"/>
      <c r="B12" s="145"/>
      <c r="C12" s="145"/>
      <c r="D12" s="145"/>
      <c r="E12" s="145"/>
      <c r="F12" s="145"/>
      <c r="G12" s="143" t="s">
        <v>712</v>
      </c>
      <c r="H12" s="143" t="s">
        <v>713</v>
      </c>
      <c r="I12" s="145"/>
      <c r="J12" s="144"/>
      <c r="K12" s="135"/>
      <c r="L12" s="135"/>
      <c r="M12" s="135"/>
      <c r="N12" s="135"/>
      <c r="O12" s="135"/>
      <c r="P12" s="135"/>
      <c r="Q12" s="135"/>
      <c r="R12" s="135"/>
      <c r="S12" s="135"/>
      <c r="T12" s="135"/>
      <c r="U12" s="134"/>
      <c r="V12" s="134"/>
      <c r="W12" s="134"/>
      <c r="X12" s="134"/>
      <c r="Y12" s="134"/>
      <c r="Z12" s="134"/>
      <c r="AA12" s="134"/>
      <c r="AB12" s="134"/>
      <c r="AC12" s="134"/>
    </row>
    <row r="13" ht="25.5" customHeight="1">
      <c r="A13" s="145"/>
      <c r="B13" s="146"/>
      <c r="C13" s="146"/>
      <c r="D13" s="146"/>
      <c r="E13" s="146"/>
      <c r="F13" s="146"/>
      <c r="G13" s="143" t="s">
        <v>714</v>
      </c>
      <c r="H13" s="143" t="s">
        <v>715</v>
      </c>
      <c r="I13" s="146"/>
      <c r="J13" s="144"/>
      <c r="K13" s="135"/>
      <c r="L13" s="135"/>
      <c r="M13" s="135"/>
      <c r="N13" s="135"/>
      <c r="O13" s="135"/>
      <c r="P13" s="135"/>
      <c r="Q13" s="135"/>
      <c r="R13" s="135"/>
      <c r="S13" s="135"/>
      <c r="T13" s="135"/>
      <c r="U13" s="134"/>
      <c r="V13" s="134"/>
      <c r="W13" s="134"/>
      <c r="X13" s="134"/>
      <c r="Y13" s="134"/>
      <c r="Z13" s="134"/>
      <c r="AA13" s="134"/>
      <c r="AB13" s="134"/>
      <c r="AC13" s="134"/>
    </row>
    <row r="14" ht="25.5" customHeight="1">
      <c r="A14" s="145"/>
      <c r="B14" s="140" t="s">
        <v>210</v>
      </c>
      <c r="C14" s="141" t="s">
        <v>716</v>
      </c>
      <c r="D14" s="139" t="s">
        <v>194</v>
      </c>
      <c r="E14" s="140" t="s">
        <v>183</v>
      </c>
      <c r="F14" s="140" t="s">
        <v>90</v>
      </c>
      <c r="G14" s="143" t="s">
        <v>717</v>
      </c>
      <c r="H14" s="143" t="s">
        <v>718</v>
      </c>
      <c r="I14" s="140" t="s">
        <v>156</v>
      </c>
      <c r="J14" s="144"/>
      <c r="K14" s="135"/>
      <c r="L14" s="135"/>
      <c r="M14" s="135"/>
      <c r="N14" s="135"/>
      <c r="O14" s="135"/>
      <c r="P14" s="135"/>
      <c r="Q14" s="135"/>
      <c r="R14" s="135"/>
      <c r="S14" s="135"/>
      <c r="T14" s="135"/>
      <c r="U14" s="134"/>
      <c r="V14" s="134"/>
      <c r="W14" s="134"/>
      <c r="X14" s="134"/>
      <c r="Y14" s="134"/>
      <c r="Z14" s="134"/>
      <c r="AA14" s="134"/>
      <c r="AB14" s="134"/>
      <c r="AC14" s="134"/>
    </row>
    <row r="15" ht="25.5" customHeight="1">
      <c r="A15" s="145"/>
      <c r="B15" s="145"/>
      <c r="C15" s="145"/>
      <c r="D15" s="145"/>
      <c r="E15" s="145"/>
      <c r="F15" s="145"/>
      <c r="G15" s="143" t="s">
        <v>719</v>
      </c>
      <c r="H15" s="143" t="s">
        <v>720</v>
      </c>
      <c r="I15" s="145"/>
      <c r="J15" s="144"/>
      <c r="K15" s="135"/>
      <c r="L15" s="135"/>
      <c r="M15" s="135"/>
      <c r="N15" s="135"/>
      <c r="O15" s="135"/>
      <c r="P15" s="135"/>
      <c r="Q15" s="135"/>
      <c r="R15" s="135"/>
      <c r="S15" s="135"/>
      <c r="T15" s="135"/>
      <c r="U15" s="134"/>
      <c r="V15" s="134"/>
      <c r="W15" s="134"/>
      <c r="X15" s="134"/>
      <c r="Y15" s="134"/>
      <c r="Z15" s="134"/>
      <c r="AA15" s="134"/>
      <c r="AB15" s="134"/>
      <c r="AC15" s="134"/>
    </row>
    <row r="16" ht="25.5" customHeight="1">
      <c r="A16" s="146"/>
      <c r="B16" s="146"/>
      <c r="C16" s="146"/>
      <c r="D16" s="146"/>
      <c r="E16" s="146"/>
      <c r="F16" s="146"/>
      <c r="G16" s="143" t="s">
        <v>721</v>
      </c>
      <c r="H16" s="143" t="s">
        <v>722</v>
      </c>
      <c r="I16" s="146"/>
      <c r="J16" s="144"/>
      <c r="K16" s="135"/>
      <c r="L16" s="135"/>
      <c r="M16" s="135"/>
      <c r="N16" s="135"/>
      <c r="O16" s="135"/>
      <c r="P16" s="135"/>
      <c r="Q16" s="135"/>
      <c r="R16" s="135"/>
      <c r="S16" s="135"/>
      <c r="T16" s="135"/>
      <c r="U16" s="134"/>
      <c r="V16" s="134"/>
      <c r="W16" s="134"/>
      <c r="X16" s="134"/>
      <c r="Y16" s="134"/>
      <c r="Z16" s="134"/>
      <c r="AA16" s="134"/>
      <c r="AB16" s="134"/>
      <c r="AC16" s="134"/>
    </row>
    <row r="17" ht="25.5" customHeight="1">
      <c r="A17" s="147" t="s">
        <v>216</v>
      </c>
      <c r="B17" s="148" t="s">
        <v>219</v>
      </c>
      <c r="C17" s="149" t="s">
        <v>723</v>
      </c>
      <c r="D17" s="147" t="s">
        <v>12</v>
      </c>
      <c r="E17" s="148" t="s">
        <v>183</v>
      </c>
      <c r="F17" s="148" t="s">
        <v>90</v>
      </c>
      <c r="G17" s="150" t="s">
        <v>724</v>
      </c>
      <c r="H17" s="150" t="s">
        <v>725</v>
      </c>
      <c r="I17" s="148" t="s">
        <v>156</v>
      </c>
      <c r="J17" s="151"/>
      <c r="K17" s="135"/>
      <c r="L17" s="135"/>
      <c r="M17" s="135"/>
      <c r="N17" s="135"/>
      <c r="O17" s="135"/>
      <c r="P17" s="135"/>
      <c r="Q17" s="135"/>
      <c r="R17" s="135"/>
      <c r="S17" s="135"/>
      <c r="T17" s="135"/>
      <c r="U17" s="134"/>
      <c r="V17" s="134"/>
      <c r="W17" s="134"/>
      <c r="X17" s="134"/>
      <c r="Y17" s="134"/>
      <c r="Z17" s="134"/>
      <c r="AA17" s="134"/>
      <c r="AB17" s="134"/>
      <c r="AC17" s="134"/>
    </row>
    <row r="18" ht="25.5" customHeight="1">
      <c r="A18" s="145"/>
      <c r="B18" s="145"/>
      <c r="C18" s="145"/>
      <c r="D18" s="145"/>
      <c r="E18" s="145"/>
      <c r="F18" s="145"/>
      <c r="G18" s="150" t="s">
        <v>726</v>
      </c>
      <c r="H18" s="150" t="s">
        <v>727</v>
      </c>
      <c r="I18" s="145"/>
      <c r="J18" s="151"/>
      <c r="K18" s="135"/>
      <c r="L18" s="135"/>
      <c r="M18" s="135"/>
      <c r="N18" s="135"/>
      <c r="O18" s="135"/>
      <c r="P18" s="135"/>
      <c r="Q18" s="135"/>
      <c r="R18" s="135"/>
      <c r="S18" s="135"/>
      <c r="T18" s="135"/>
      <c r="U18" s="134"/>
      <c r="V18" s="134"/>
      <c r="W18" s="134"/>
      <c r="X18" s="134"/>
      <c r="Y18" s="134"/>
      <c r="Z18" s="134"/>
      <c r="AA18" s="134"/>
      <c r="AB18" s="134"/>
      <c r="AC18" s="134"/>
    </row>
    <row r="19" ht="25.5" customHeight="1">
      <c r="A19" s="145"/>
      <c r="B19" s="146"/>
      <c r="C19" s="146"/>
      <c r="D19" s="146"/>
      <c r="E19" s="146"/>
      <c r="F19" s="146"/>
      <c r="G19" s="150" t="s">
        <v>728</v>
      </c>
      <c r="H19" s="150" t="s">
        <v>729</v>
      </c>
      <c r="I19" s="146"/>
      <c r="J19" s="151"/>
      <c r="K19" s="135"/>
      <c r="L19" s="135"/>
      <c r="M19" s="135"/>
      <c r="N19" s="135"/>
      <c r="O19" s="135"/>
      <c r="P19" s="135"/>
      <c r="Q19" s="135"/>
      <c r="R19" s="135"/>
      <c r="S19" s="135"/>
      <c r="T19" s="135"/>
      <c r="U19" s="134"/>
      <c r="V19" s="134"/>
      <c r="W19" s="134"/>
      <c r="X19" s="134"/>
      <c r="Y19" s="134"/>
      <c r="Z19" s="134"/>
      <c r="AA19" s="134"/>
      <c r="AB19" s="134"/>
      <c r="AC19" s="134"/>
    </row>
    <row r="20" ht="25.5" customHeight="1">
      <c r="A20" s="145"/>
      <c r="B20" s="148" t="s">
        <v>226</v>
      </c>
      <c r="C20" s="149" t="s">
        <v>730</v>
      </c>
      <c r="D20" s="147" t="s">
        <v>12</v>
      </c>
      <c r="E20" s="148" t="s">
        <v>183</v>
      </c>
      <c r="F20" s="148" t="s">
        <v>90</v>
      </c>
      <c r="G20" s="150" t="s">
        <v>731</v>
      </c>
      <c r="H20" s="150" t="s">
        <v>732</v>
      </c>
      <c r="I20" s="148" t="s">
        <v>156</v>
      </c>
      <c r="J20" s="151"/>
      <c r="K20" s="135"/>
      <c r="L20" s="135"/>
      <c r="M20" s="135"/>
      <c r="N20" s="135"/>
      <c r="O20" s="135"/>
      <c r="P20" s="135"/>
      <c r="Q20" s="135"/>
      <c r="R20" s="135"/>
      <c r="S20" s="135"/>
      <c r="T20" s="135"/>
      <c r="U20" s="134"/>
      <c r="V20" s="134"/>
      <c r="W20" s="134"/>
      <c r="X20" s="134"/>
      <c r="Y20" s="134"/>
      <c r="Z20" s="134"/>
      <c r="AA20" s="134"/>
      <c r="AB20" s="134"/>
      <c r="AC20" s="134"/>
    </row>
    <row r="21" ht="25.5" customHeight="1">
      <c r="A21" s="145"/>
      <c r="B21" s="145"/>
      <c r="C21" s="145"/>
      <c r="D21" s="145"/>
      <c r="E21" s="145"/>
      <c r="F21" s="145"/>
      <c r="G21" s="150" t="s">
        <v>733</v>
      </c>
      <c r="H21" s="150" t="s">
        <v>734</v>
      </c>
      <c r="I21" s="145"/>
      <c r="J21" s="151"/>
      <c r="K21" s="135"/>
      <c r="L21" s="135"/>
      <c r="M21" s="135"/>
      <c r="N21" s="135"/>
      <c r="O21" s="135"/>
      <c r="P21" s="135"/>
      <c r="Q21" s="135"/>
      <c r="R21" s="135"/>
      <c r="S21" s="135"/>
      <c r="T21" s="135"/>
      <c r="U21" s="134"/>
      <c r="V21" s="134"/>
      <c r="W21" s="134"/>
      <c r="X21" s="134"/>
      <c r="Y21" s="134"/>
      <c r="Z21" s="134"/>
      <c r="AA21" s="134"/>
      <c r="AB21" s="134"/>
      <c r="AC21" s="134"/>
    </row>
    <row r="22" ht="25.5" customHeight="1">
      <c r="A22" s="145"/>
      <c r="B22" s="146"/>
      <c r="C22" s="146"/>
      <c r="D22" s="146"/>
      <c r="E22" s="146"/>
      <c r="F22" s="146"/>
      <c r="G22" s="150" t="s">
        <v>735</v>
      </c>
      <c r="H22" s="150" t="s">
        <v>736</v>
      </c>
      <c r="I22" s="146"/>
      <c r="J22" s="151"/>
      <c r="K22" s="135"/>
      <c r="L22" s="135"/>
      <c r="M22" s="135"/>
      <c r="N22" s="135"/>
      <c r="O22" s="135"/>
      <c r="P22" s="135"/>
      <c r="Q22" s="135"/>
      <c r="R22" s="135"/>
      <c r="S22" s="135"/>
      <c r="T22" s="135"/>
      <c r="U22" s="134"/>
      <c r="V22" s="134"/>
      <c r="W22" s="134"/>
      <c r="X22" s="134"/>
      <c r="Y22" s="134"/>
      <c r="Z22" s="134"/>
      <c r="AA22" s="134"/>
      <c r="AB22" s="134"/>
      <c r="AC22" s="134"/>
    </row>
    <row r="23" ht="25.5" customHeight="1">
      <c r="A23" s="145"/>
      <c r="B23" s="148" t="s">
        <v>233</v>
      </c>
      <c r="C23" s="149" t="s">
        <v>737</v>
      </c>
      <c r="D23" s="147" t="s">
        <v>12</v>
      </c>
      <c r="E23" s="148" t="s">
        <v>183</v>
      </c>
      <c r="F23" s="148" t="s">
        <v>90</v>
      </c>
      <c r="G23" s="150" t="s">
        <v>738</v>
      </c>
      <c r="H23" s="150" t="s">
        <v>739</v>
      </c>
      <c r="I23" s="148" t="s">
        <v>156</v>
      </c>
      <c r="J23" s="151"/>
      <c r="K23" s="135"/>
      <c r="L23" s="135"/>
      <c r="M23" s="135"/>
      <c r="N23" s="135"/>
      <c r="O23" s="135"/>
      <c r="P23" s="135"/>
      <c r="Q23" s="135"/>
      <c r="R23" s="135"/>
      <c r="S23" s="135"/>
      <c r="T23" s="135"/>
      <c r="U23" s="134"/>
      <c r="V23" s="134"/>
      <c r="W23" s="134"/>
      <c r="X23" s="134"/>
      <c r="Y23" s="134"/>
      <c r="Z23" s="134"/>
      <c r="AA23" s="134"/>
      <c r="AB23" s="134"/>
      <c r="AC23" s="134"/>
    </row>
    <row r="24" ht="25.5" customHeight="1">
      <c r="A24" s="145"/>
      <c r="B24" s="145"/>
      <c r="C24" s="145"/>
      <c r="D24" s="145"/>
      <c r="E24" s="145"/>
      <c r="F24" s="145"/>
      <c r="G24" s="150" t="s">
        <v>740</v>
      </c>
      <c r="H24" s="150" t="s">
        <v>741</v>
      </c>
      <c r="I24" s="145"/>
      <c r="J24" s="151"/>
      <c r="K24" s="135"/>
      <c r="L24" s="135"/>
      <c r="M24" s="135"/>
      <c r="N24" s="135"/>
      <c r="O24" s="135"/>
      <c r="P24" s="135"/>
      <c r="Q24" s="135"/>
      <c r="R24" s="135"/>
      <c r="S24" s="135"/>
      <c r="T24" s="135"/>
      <c r="U24" s="134"/>
      <c r="V24" s="134"/>
      <c r="W24" s="134"/>
      <c r="X24" s="134"/>
      <c r="Y24" s="134"/>
      <c r="Z24" s="134"/>
      <c r="AA24" s="134"/>
      <c r="AB24" s="134"/>
      <c r="AC24" s="134"/>
    </row>
    <row r="25" ht="25.5" customHeight="1">
      <c r="A25" s="146"/>
      <c r="B25" s="146"/>
      <c r="C25" s="146"/>
      <c r="D25" s="146"/>
      <c r="E25" s="146"/>
      <c r="F25" s="146"/>
      <c r="G25" s="150" t="s">
        <v>742</v>
      </c>
      <c r="H25" s="150" t="s">
        <v>743</v>
      </c>
      <c r="I25" s="146"/>
      <c r="J25" s="151"/>
      <c r="K25" s="135"/>
      <c r="L25" s="135"/>
      <c r="M25" s="135"/>
      <c r="N25" s="135"/>
      <c r="O25" s="135"/>
      <c r="P25" s="135"/>
      <c r="Q25" s="135"/>
      <c r="R25" s="135"/>
      <c r="S25" s="135"/>
      <c r="T25" s="135"/>
      <c r="U25" s="134"/>
      <c r="V25" s="134"/>
      <c r="W25" s="134"/>
      <c r="X25" s="134"/>
      <c r="Y25" s="134"/>
      <c r="Z25" s="134"/>
      <c r="AA25" s="134"/>
      <c r="AB25" s="134"/>
      <c r="AC25" s="134"/>
    </row>
    <row r="26" ht="25.5" customHeight="1">
      <c r="A26" s="139" t="s">
        <v>236</v>
      </c>
      <c r="B26" s="140" t="s">
        <v>239</v>
      </c>
      <c r="C26" s="141" t="s">
        <v>744</v>
      </c>
      <c r="D26" s="139" t="s">
        <v>58</v>
      </c>
      <c r="E26" s="140" t="s">
        <v>183</v>
      </c>
      <c r="F26" s="140" t="s">
        <v>90</v>
      </c>
      <c r="G26" s="143" t="s">
        <v>745</v>
      </c>
      <c r="H26" s="143" t="s">
        <v>746</v>
      </c>
      <c r="I26" s="140" t="s">
        <v>156</v>
      </c>
      <c r="J26" s="144"/>
      <c r="K26" s="135"/>
      <c r="L26" s="135"/>
      <c r="M26" s="135"/>
      <c r="N26" s="135"/>
      <c r="O26" s="135"/>
      <c r="P26" s="135"/>
      <c r="Q26" s="135"/>
      <c r="R26" s="135"/>
      <c r="S26" s="135"/>
      <c r="T26" s="135"/>
      <c r="U26" s="134"/>
      <c r="V26" s="134"/>
      <c r="W26" s="134"/>
      <c r="X26" s="134"/>
      <c r="Y26" s="134"/>
      <c r="Z26" s="134"/>
      <c r="AA26" s="134"/>
      <c r="AB26" s="134"/>
      <c r="AC26" s="134"/>
    </row>
    <row r="27" ht="25.5" customHeight="1">
      <c r="A27" s="145"/>
      <c r="B27" s="145"/>
      <c r="C27" s="145"/>
      <c r="D27" s="145"/>
      <c r="E27" s="145"/>
      <c r="F27" s="145"/>
      <c r="G27" s="143" t="s">
        <v>747</v>
      </c>
      <c r="H27" s="143" t="s">
        <v>748</v>
      </c>
      <c r="I27" s="145"/>
      <c r="J27" s="144"/>
      <c r="K27" s="135"/>
      <c r="L27" s="135"/>
      <c r="M27" s="135"/>
      <c r="N27" s="135"/>
      <c r="O27" s="135"/>
      <c r="P27" s="135"/>
      <c r="Q27" s="135"/>
      <c r="R27" s="135"/>
      <c r="S27" s="135"/>
      <c r="T27" s="135"/>
      <c r="U27" s="134"/>
      <c r="V27" s="134"/>
      <c r="W27" s="134"/>
      <c r="X27" s="134"/>
      <c r="Y27" s="134"/>
      <c r="Z27" s="134"/>
      <c r="AA27" s="134"/>
      <c r="AB27" s="134"/>
      <c r="AC27" s="134"/>
    </row>
    <row r="28" ht="25.5" customHeight="1">
      <c r="A28" s="145"/>
      <c r="B28" s="146"/>
      <c r="C28" s="146"/>
      <c r="D28" s="146"/>
      <c r="E28" s="146"/>
      <c r="F28" s="146"/>
      <c r="G28" s="143" t="s">
        <v>749</v>
      </c>
      <c r="H28" s="143" t="s">
        <v>750</v>
      </c>
      <c r="I28" s="146"/>
      <c r="J28" s="144"/>
      <c r="K28" s="135"/>
      <c r="L28" s="135"/>
      <c r="M28" s="135"/>
      <c r="N28" s="135"/>
      <c r="O28" s="135"/>
      <c r="P28" s="135"/>
      <c r="Q28" s="135"/>
      <c r="R28" s="135"/>
      <c r="S28" s="135"/>
      <c r="T28" s="135"/>
      <c r="U28" s="134"/>
      <c r="V28" s="134"/>
      <c r="W28" s="134"/>
      <c r="X28" s="134"/>
      <c r="Y28" s="134"/>
      <c r="Z28" s="134"/>
      <c r="AA28" s="134"/>
      <c r="AB28" s="134"/>
      <c r="AC28" s="134"/>
    </row>
    <row r="29" ht="25.5" customHeight="1">
      <c r="A29" s="145"/>
      <c r="B29" s="140" t="s">
        <v>243</v>
      </c>
      <c r="C29" s="141" t="s">
        <v>751</v>
      </c>
      <c r="D29" s="139" t="s">
        <v>58</v>
      </c>
      <c r="E29" s="140" t="s">
        <v>183</v>
      </c>
      <c r="F29" s="140" t="s">
        <v>90</v>
      </c>
      <c r="G29" s="143" t="s">
        <v>752</v>
      </c>
      <c r="H29" s="143" t="s">
        <v>753</v>
      </c>
      <c r="I29" s="140" t="s">
        <v>156</v>
      </c>
      <c r="J29" s="144"/>
      <c r="K29" s="135"/>
      <c r="L29" s="135"/>
      <c r="M29" s="135"/>
      <c r="N29" s="135"/>
      <c r="O29" s="135"/>
      <c r="P29" s="135"/>
      <c r="Q29" s="135"/>
      <c r="R29" s="135"/>
      <c r="S29" s="135"/>
      <c r="T29" s="135"/>
      <c r="U29" s="134"/>
      <c r="V29" s="134"/>
      <c r="W29" s="134"/>
      <c r="X29" s="134"/>
      <c r="Y29" s="134"/>
      <c r="Z29" s="134"/>
      <c r="AA29" s="134"/>
      <c r="AB29" s="134"/>
      <c r="AC29" s="134"/>
    </row>
    <row r="30" ht="25.5" customHeight="1">
      <c r="A30" s="145"/>
      <c r="B30" s="145"/>
      <c r="C30" s="145"/>
      <c r="D30" s="145"/>
      <c r="E30" s="145"/>
      <c r="F30" s="145"/>
      <c r="G30" s="143" t="s">
        <v>754</v>
      </c>
      <c r="H30" s="143" t="s">
        <v>755</v>
      </c>
      <c r="I30" s="145"/>
      <c r="J30" s="144"/>
      <c r="K30" s="135"/>
      <c r="L30" s="135"/>
      <c r="M30" s="135"/>
      <c r="N30" s="135"/>
      <c r="O30" s="135"/>
      <c r="P30" s="135"/>
      <c r="Q30" s="135"/>
      <c r="R30" s="135"/>
      <c r="S30" s="135"/>
      <c r="T30" s="135"/>
      <c r="U30" s="134"/>
      <c r="V30" s="134"/>
      <c r="W30" s="134"/>
      <c r="X30" s="134"/>
      <c r="Y30" s="134"/>
      <c r="Z30" s="134"/>
      <c r="AA30" s="134"/>
      <c r="AB30" s="134"/>
      <c r="AC30" s="134"/>
    </row>
    <row r="31" ht="25.5" customHeight="1">
      <c r="A31" s="145"/>
      <c r="B31" s="146"/>
      <c r="C31" s="146"/>
      <c r="D31" s="146"/>
      <c r="E31" s="146"/>
      <c r="F31" s="146"/>
      <c r="G31" s="143" t="s">
        <v>756</v>
      </c>
      <c r="H31" s="143" t="s">
        <v>757</v>
      </c>
      <c r="I31" s="146"/>
      <c r="J31" s="144"/>
      <c r="K31" s="135"/>
      <c r="L31" s="135"/>
      <c r="M31" s="135"/>
      <c r="N31" s="135"/>
      <c r="O31" s="135"/>
      <c r="P31" s="135"/>
      <c r="Q31" s="135"/>
      <c r="R31" s="135"/>
      <c r="S31" s="135"/>
      <c r="T31" s="135"/>
      <c r="U31" s="134"/>
      <c r="V31" s="134"/>
      <c r="W31" s="134"/>
      <c r="X31" s="134"/>
      <c r="Y31" s="134"/>
      <c r="Z31" s="134"/>
      <c r="AA31" s="134"/>
      <c r="AB31" s="134"/>
      <c r="AC31" s="134"/>
    </row>
    <row r="32" ht="25.5" customHeight="1">
      <c r="A32" s="145"/>
      <c r="B32" s="140" t="s">
        <v>247</v>
      </c>
      <c r="C32" s="141" t="s">
        <v>758</v>
      </c>
      <c r="D32" s="139" t="s">
        <v>58</v>
      </c>
      <c r="E32" s="140" t="s">
        <v>183</v>
      </c>
      <c r="F32" s="140" t="s">
        <v>90</v>
      </c>
      <c r="G32" s="143" t="s">
        <v>759</v>
      </c>
      <c r="H32" s="143" t="s">
        <v>760</v>
      </c>
      <c r="I32" s="140" t="s">
        <v>156</v>
      </c>
      <c r="J32" s="144"/>
      <c r="K32" s="135"/>
      <c r="L32" s="135"/>
      <c r="M32" s="135"/>
      <c r="N32" s="135"/>
      <c r="O32" s="135"/>
      <c r="P32" s="135"/>
      <c r="Q32" s="135"/>
      <c r="R32" s="135"/>
      <c r="S32" s="135"/>
      <c r="T32" s="135"/>
      <c r="U32" s="134"/>
      <c r="V32" s="134"/>
      <c r="W32" s="134"/>
      <c r="X32" s="134"/>
      <c r="Y32" s="134"/>
      <c r="Z32" s="134"/>
      <c r="AA32" s="134"/>
      <c r="AB32" s="134"/>
      <c r="AC32" s="134"/>
    </row>
    <row r="33" ht="25.5" customHeight="1">
      <c r="A33" s="145"/>
      <c r="B33" s="146"/>
      <c r="C33" s="146"/>
      <c r="D33" s="146"/>
      <c r="E33" s="146"/>
      <c r="F33" s="146"/>
      <c r="G33" s="143" t="s">
        <v>761</v>
      </c>
      <c r="H33" s="143" t="s">
        <v>762</v>
      </c>
      <c r="I33" s="146"/>
      <c r="J33" s="144"/>
      <c r="K33" s="135"/>
      <c r="L33" s="135"/>
      <c r="M33" s="135"/>
      <c r="N33" s="135"/>
      <c r="O33" s="135"/>
      <c r="P33" s="135"/>
      <c r="Q33" s="135"/>
      <c r="R33" s="135"/>
      <c r="S33" s="135"/>
      <c r="T33" s="135"/>
      <c r="U33" s="134"/>
      <c r="V33" s="134"/>
      <c r="W33" s="134"/>
      <c r="X33" s="134"/>
      <c r="Y33" s="134"/>
      <c r="Z33" s="134"/>
      <c r="AA33" s="134"/>
      <c r="AB33" s="134"/>
      <c r="AC33" s="134"/>
    </row>
    <row r="34" ht="25.5" customHeight="1">
      <c r="A34" s="145"/>
      <c r="B34" s="140" t="s">
        <v>251</v>
      </c>
      <c r="C34" s="141" t="s">
        <v>763</v>
      </c>
      <c r="D34" s="139" t="s">
        <v>58</v>
      </c>
      <c r="E34" s="140" t="s">
        <v>183</v>
      </c>
      <c r="F34" s="140" t="s">
        <v>90</v>
      </c>
      <c r="G34" s="143" t="s">
        <v>764</v>
      </c>
      <c r="H34" s="143" t="s">
        <v>765</v>
      </c>
      <c r="I34" s="140" t="s">
        <v>156</v>
      </c>
      <c r="J34" s="144"/>
      <c r="K34" s="135"/>
      <c r="L34" s="135"/>
      <c r="M34" s="135"/>
      <c r="N34" s="135"/>
      <c r="O34" s="135"/>
      <c r="P34" s="135"/>
      <c r="Q34" s="135"/>
      <c r="R34" s="135"/>
      <c r="S34" s="135"/>
      <c r="T34" s="135"/>
      <c r="U34" s="134"/>
      <c r="V34" s="134"/>
      <c r="W34" s="134"/>
      <c r="X34" s="134"/>
      <c r="Y34" s="134"/>
      <c r="Z34" s="134"/>
      <c r="AA34" s="134"/>
      <c r="AB34" s="134"/>
      <c r="AC34" s="134"/>
    </row>
    <row r="35" ht="25.5" customHeight="1">
      <c r="A35" s="145"/>
      <c r="B35" s="145"/>
      <c r="C35" s="145"/>
      <c r="D35" s="145"/>
      <c r="E35" s="145"/>
      <c r="F35" s="145"/>
      <c r="G35" s="143" t="s">
        <v>766</v>
      </c>
      <c r="H35" s="143" t="s">
        <v>767</v>
      </c>
      <c r="I35" s="145"/>
      <c r="J35" s="144"/>
      <c r="K35" s="135"/>
      <c r="L35" s="135"/>
      <c r="M35" s="135"/>
      <c r="N35" s="135"/>
      <c r="O35" s="135"/>
      <c r="P35" s="135"/>
      <c r="Q35" s="135"/>
      <c r="R35" s="135"/>
      <c r="S35" s="135"/>
      <c r="T35" s="135"/>
      <c r="U35" s="134"/>
      <c r="V35" s="134"/>
      <c r="W35" s="134"/>
      <c r="X35" s="134"/>
      <c r="Y35" s="134"/>
      <c r="Z35" s="134"/>
      <c r="AA35" s="134"/>
      <c r="AB35" s="134"/>
      <c r="AC35" s="134"/>
    </row>
    <row r="36" ht="25.5" customHeight="1">
      <c r="A36" s="146"/>
      <c r="B36" s="146"/>
      <c r="C36" s="146"/>
      <c r="D36" s="146"/>
      <c r="E36" s="146"/>
      <c r="F36" s="146"/>
      <c r="G36" s="143" t="s">
        <v>768</v>
      </c>
      <c r="H36" s="143" t="s">
        <v>769</v>
      </c>
      <c r="I36" s="146"/>
      <c r="J36" s="144"/>
      <c r="K36" s="135"/>
      <c r="L36" s="135"/>
      <c r="M36" s="135"/>
      <c r="N36" s="135"/>
      <c r="O36" s="135"/>
      <c r="P36" s="135"/>
      <c r="Q36" s="135"/>
      <c r="R36" s="135"/>
      <c r="S36" s="135"/>
      <c r="T36" s="135"/>
      <c r="U36" s="134"/>
      <c r="V36" s="134"/>
      <c r="W36" s="134"/>
      <c r="X36" s="134"/>
      <c r="Y36" s="134"/>
      <c r="Z36" s="134"/>
      <c r="AA36" s="134"/>
      <c r="AB36" s="134"/>
      <c r="AC36" s="134"/>
    </row>
    <row r="37" ht="25.5" customHeight="1">
      <c r="A37" s="147" t="s">
        <v>254</v>
      </c>
      <c r="B37" s="148" t="s">
        <v>257</v>
      </c>
      <c r="C37" s="149" t="s">
        <v>770</v>
      </c>
      <c r="D37" s="147" t="s">
        <v>58</v>
      </c>
      <c r="E37" s="148" t="s">
        <v>183</v>
      </c>
      <c r="F37" s="148" t="s">
        <v>92</v>
      </c>
      <c r="G37" s="150" t="s">
        <v>771</v>
      </c>
      <c r="H37" s="150" t="s">
        <v>772</v>
      </c>
      <c r="I37" s="148" t="s">
        <v>156</v>
      </c>
      <c r="J37" s="151"/>
      <c r="K37" s="135"/>
      <c r="L37" s="135"/>
      <c r="M37" s="135"/>
      <c r="N37" s="135"/>
      <c r="O37" s="135"/>
      <c r="P37" s="135"/>
      <c r="Q37" s="135"/>
      <c r="R37" s="135"/>
      <c r="S37" s="135"/>
      <c r="T37" s="135"/>
      <c r="U37" s="134"/>
      <c r="V37" s="134"/>
      <c r="W37" s="134"/>
      <c r="X37" s="134"/>
      <c r="Y37" s="134"/>
      <c r="Z37" s="134"/>
      <c r="AA37" s="134"/>
      <c r="AB37" s="134"/>
      <c r="AC37" s="134"/>
    </row>
    <row r="38" ht="25.5" customHeight="1">
      <c r="A38" s="145"/>
      <c r="B38" s="145"/>
      <c r="C38" s="145"/>
      <c r="D38" s="145"/>
      <c r="E38" s="145"/>
      <c r="F38" s="145"/>
      <c r="G38" s="150" t="s">
        <v>773</v>
      </c>
      <c r="H38" s="150" t="s">
        <v>774</v>
      </c>
      <c r="I38" s="145"/>
      <c r="J38" s="151"/>
      <c r="K38" s="135"/>
      <c r="L38" s="135"/>
      <c r="M38" s="135"/>
      <c r="N38" s="135"/>
      <c r="O38" s="135"/>
      <c r="P38" s="135"/>
      <c r="Q38" s="135"/>
      <c r="R38" s="135"/>
      <c r="S38" s="135"/>
      <c r="T38" s="135"/>
      <c r="U38" s="134"/>
      <c r="V38" s="134"/>
      <c r="W38" s="134"/>
      <c r="X38" s="134"/>
      <c r="Y38" s="134"/>
      <c r="Z38" s="134"/>
      <c r="AA38" s="134"/>
      <c r="AB38" s="134"/>
      <c r="AC38" s="134"/>
    </row>
    <row r="39" ht="25.5" customHeight="1">
      <c r="A39" s="145"/>
      <c r="B39" s="146"/>
      <c r="C39" s="146"/>
      <c r="D39" s="146"/>
      <c r="E39" s="146"/>
      <c r="F39" s="146"/>
      <c r="G39" s="150" t="s">
        <v>775</v>
      </c>
      <c r="H39" s="150" t="s">
        <v>776</v>
      </c>
      <c r="I39" s="146"/>
      <c r="J39" s="151"/>
      <c r="K39" s="135"/>
      <c r="L39" s="135"/>
      <c r="M39" s="135"/>
      <c r="N39" s="135"/>
      <c r="O39" s="135"/>
      <c r="P39" s="135"/>
      <c r="Q39" s="135"/>
      <c r="R39" s="135"/>
      <c r="S39" s="135"/>
      <c r="T39" s="135"/>
      <c r="U39" s="134"/>
      <c r="V39" s="134"/>
      <c r="W39" s="134"/>
      <c r="X39" s="134"/>
      <c r="Y39" s="134"/>
      <c r="Z39" s="134"/>
      <c r="AA39" s="134"/>
      <c r="AB39" s="134"/>
      <c r="AC39" s="134"/>
    </row>
    <row r="40" ht="25.5" customHeight="1">
      <c r="A40" s="145"/>
      <c r="B40" s="148" t="s">
        <v>261</v>
      </c>
      <c r="C40" s="149" t="s">
        <v>777</v>
      </c>
      <c r="D40" s="147" t="s">
        <v>58</v>
      </c>
      <c r="E40" s="148" t="s">
        <v>183</v>
      </c>
      <c r="F40" s="148" t="s">
        <v>92</v>
      </c>
      <c r="G40" s="150" t="s">
        <v>778</v>
      </c>
      <c r="H40" s="150" t="s">
        <v>779</v>
      </c>
      <c r="I40" s="148" t="s">
        <v>156</v>
      </c>
      <c r="J40" s="151"/>
      <c r="K40" s="135"/>
      <c r="L40" s="135"/>
      <c r="M40" s="135"/>
      <c r="N40" s="135"/>
      <c r="O40" s="135"/>
      <c r="P40" s="135"/>
      <c r="Q40" s="135"/>
      <c r="R40" s="135"/>
      <c r="S40" s="135"/>
      <c r="T40" s="135"/>
      <c r="U40" s="134"/>
      <c r="V40" s="134"/>
      <c r="W40" s="134"/>
      <c r="X40" s="134"/>
      <c r="Y40" s="134"/>
      <c r="Z40" s="134"/>
      <c r="AA40" s="134"/>
      <c r="AB40" s="134"/>
      <c r="AC40" s="134"/>
    </row>
    <row r="41" ht="25.5" customHeight="1">
      <c r="A41" s="145"/>
      <c r="B41" s="145"/>
      <c r="C41" s="145"/>
      <c r="D41" s="145"/>
      <c r="E41" s="145"/>
      <c r="F41" s="145"/>
      <c r="G41" s="150" t="s">
        <v>780</v>
      </c>
      <c r="H41" s="150" t="s">
        <v>781</v>
      </c>
      <c r="I41" s="145"/>
      <c r="J41" s="151"/>
      <c r="K41" s="135"/>
      <c r="L41" s="135"/>
      <c r="M41" s="135"/>
      <c r="N41" s="135"/>
      <c r="O41" s="135"/>
      <c r="P41" s="135"/>
      <c r="Q41" s="135"/>
      <c r="R41" s="135"/>
      <c r="S41" s="135"/>
      <c r="T41" s="135"/>
      <c r="U41" s="134"/>
      <c r="V41" s="134"/>
      <c r="W41" s="134"/>
      <c r="X41" s="134"/>
      <c r="Y41" s="134"/>
      <c r="Z41" s="134"/>
      <c r="AA41" s="134"/>
      <c r="AB41" s="134"/>
      <c r="AC41" s="134"/>
    </row>
    <row r="42" ht="25.5" customHeight="1">
      <c r="A42" s="145"/>
      <c r="B42" s="146"/>
      <c r="C42" s="146"/>
      <c r="D42" s="146"/>
      <c r="E42" s="146"/>
      <c r="F42" s="146"/>
      <c r="G42" s="150" t="s">
        <v>782</v>
      </c>
      <c r="H42" s="150" t="s">
        <v>783</v>
      </c>
      <c r="I42" s="146"/>
      <c r="J42" s="151"/>
      <c r="K42" s="135"/>
      <c r="L42" s="135"/>
      <c r="M42" s="135"/>
      <c r="N42" s="135"/>
      <c r="O42" s="135"/>
      <c r="P42" s="135"/>
      <c r="Q42" s="135"/>
      <c r="R42" s="135"/>
      <c r="S42" s="135"/>
      <c r="T42" s="135"/>
      <c r="U42" s="134"/>
      <c r="V42" s="134"/>
      <c r="W42" s="134"/>
      <c r="X42" s="134"/>
      <c r="Y42" s="134"/>
      <c r="Z42" s="134"/>
      <c r="AA42" s="134"/>
      <c r="AB42" s="134"/>
      <c r="AC42" s="134"/>
    </row>
    <row r="43" ht="25.5" customHeight="1">
      <c r="A43" s="145"/>
      <c r="B43" s="148" t="s">
        <v>265</v>
      </c>
      <c r="C43" s="149" t="s">
        <v>784</v>
      </c>
      <c r="D43" s="147" t="s">
        <v>58</v>
      </c>
      <c r="E43" s="148" t="s">
        <v>183</v>
      </c>
      <c r="F43" s="148" t="s">
        <v>92</v>
      </c>
      <c r="G43" s="150" t="s">
        <v>785</v>
      </c>
      <c r="H43" s="150" t="s">
        <v>786</v>
      </c>
      <c r="I43" s="148" t="s">
        <v>156</v>
      </c>
      <c r="J43" s="151"/>
      <c r="K43" s="135"/>
      <c r="L43" s="135"/>
      <c r="M43" s="135"/>
      <c r="N43" s="135"/>
      <c r="O43" s="135"/>
      <c r="P43" s="135"/>
      <c r="Q43" s="135"/>
      <c r="R43" s="135"/>
      <c r="S43" s="135"/>
      <c r="T43" s="135"/>
      <c r="U43" s="134"/>
      <c r="V43" s="134"/>
      <c r="W43" s="134"/>
      <c r="X43" s="134"/>
      <c r="Y43" s="134"/>
      <c r="Z43" s="134"/>
      <c r="AA43" s="134"/>
      <c r="AB43" s="134"/>
      <c r="AC43" s="134"/>
    </row>
    <row r="44" ht="25.5" customHeight="1">
      <c r="A44" s="145"/>
      <c r="B44" s="145"/>
      <c r="C44" s="145"/>
      <c r="D44" s="145"/>
      <c r="E44" s="145"/>
      <c r="F44" s="145"/>
      <c r="G44" s="150" t="s">
        <v>787</v>
      </c>
      <c r="H44" s="150" t="s">
        <v>788</v>
      </c>
      <c r="I44" s="145"/>
      <c r="J44" s="151"/>
      <c r="K44" s="135"/>
      <c r="L44" s="135"/>
      <c r="M44" s="135"/>
      <c r="N44" s="135"/>
      <c r="O44" s="135"/>
      <c r="P44" s="135"/>
      <c r="Q44" s="135"/>
      <c r="R44" s="135"/>
      <c r="S44" s="135"/>
      <c r="T44" s="135"/>
      <c r="U44" s="134"/>
      <c r="V44" s="134"/>
      <c r="W44" s="134"/>
      <c r="X44" s="134"/>
      <c r="Y44" s="134"/>
      <c r="Z44" s="134"/>
      <c r="AA44" s="134"/>
      <c r="AB44" s="134"/>
      <c r="AC44" s="134"/>
    </row>
    <row r="45" ht="25.5" customHeight="1">
      <c r="A45" s="145"/>
      <c r="B45" s="146"/>
      <c r="C45" s="146"/>
      <c r="D45" s="146"/>
      <c r="E45" s="146"/>
      <c r="F45" s="146"/>
      <c r="G45" s="150" t="s">
        <v>789</v>
      </c>
      <c r="H45" s="150" t="s">
        <v>790</v>
      </c>
      <c r="I45" s="146"/>
      <c r="J45" s="151"/>
      <c r="K45" s="135"/>
      <c r="L45" s="135"/>
      <c r="M45" s="135"/>
      <c r="N45" s="135"/>
      <c r="O45" s="135"/>
      <c r="P45" s="135"/>
      <c r="Q45" s="135"/>
      <c r="R45" s="135"/>
      <c r="S45" s="135"/>
      <c r="T45" s="135"/>
      <c r="U45" s="134"/>
      <c r="V45" s="134"/>
      <c r="W45" s="134"/>
      <c r="X45" s="134"/>
      <c r="Y45" s="134"/>
      <c r="Z45" s="134"/>
      <c r="AA45" s="134"/>
      <c r="AB45" s="134"/>
      <c r="AC45" s="134"/>
    </row>
    <row r="46" ht="25.5" customHeight="1">
      <c r="A46" s="145"/>
      <c r="B46" s="148" t="s">
        <v>269</v>
      </c>
      <c r="C46" s="149" t="s">
        <v>791</v>
      </c>
      <c r="D46" s="147" t="s">
        <v>58</v>
      </c>
      <c r="E46" s="148" t="s">
        <v>183</v>
      </c>
      <c r="F46" s="148" t="s">
        <v>92</v>
      </c>
      <c r="G46" s="150" t="s">
        <v>792</v>
      </c>
      <c r="H46" s="150" t="s">
        <v>793</v>
      </c>
      <c r="I46" s="148" t="s">
        <v>156</v>
      </c>
      <c r="J46" s="151"/>
      <c r="K46" s="135"/>
      <c r="L46" s="135"/>
      <c r="M46" s="135"/>
      <c r="N46" s="135"/>
      <c r="O46" s="135"/>
      <c r="P46" s="135"/>
      <c r="Q46" s="135"/>
      <c r="R46" s="135"/>
      <c r="S46" s="135"/>
      <c r="T46" s="135"/>
      <c r="U46" s="134"/>
      <c r="V46" s="134"/>
      <c r="W46" s="134"/>
      <c r="X46" s="134"/>
      <c r="Y46" s="134"/>
      <c r="Z46" s="134"/>
      <c r="AA46" s="134"/>
      <c r="AB46" s="134"/>
      <c r="AC46" s="134"/>
    </row>
    <row r="47" ht="25.5" customHeight="1">
      <c r="A47" s="145"/>
      <c r="B47" s="146"/>
      <c r="C47" s="146"/>
      <c r="D47" s="146"/>
      <c r="E47" s="146"/>
      <c r="F47" s="146"/>
      <c r="G47" s="150" t="s">
        <v>794</v>
      </c>
      <c r="H47" s="150" t="s">
        <v>795</v>
      </c>
      <c r="I47" s="146"/>
      <c r="J47" s="151"/>
      <c r="K47" s="135"/>
      <c r="L47" s="135"/>
      <c r="M47" s="135"/>
      <c r="N47" s="135"/>
      <c r="O47" s="135"/>
      <c r="P47" s="135"/>
      <c r="Q47" s="135"/>
      <c r="R47" s="135"/>
      <c r="S47" s="135"/>
      <c r="T47" s="135"/>
      <c r="U47" s="134"/>
      <c r="V47" s="134"/>
      <c r="W47" s="134"/>
      <c r="X47" s="134"/>
      <c r="Y47" s="134"/>
      <c r="Z47" s="134"/>
      <c r="AA47" s="134"/>
      <c r="AB47" s="134"/>
      <c r="AC47" s="134"/>
    </row>
    <row r="48" ht="25.5" customHeight="1">
      <c r="A48" s="145"/>
      <c r="B48" s="148" t="s">
        <v>273</v>
      </c>
      <c r="C48" s="149" t="s">
        <v>796</v>
      </c>
      <c r="D48" s="147" t="s">
        <v>58</v>
      </c>
      <c r="E48" s="148" t="s">
        <v>183</v>
      </c>
      <c r="F48" s="148" t="s">
        <v>92</v>
      </c>
      <c r="G48" s="150" t="s">
        <v>797</v>
      </c>
      <c r="H48" s="150" t="s">
        <v>798</v>
      </c>
      <c r="I48" s="148" t="s">
        <v>156</v>
      </c>
      <c r="J48" s="151"/>
      <c r="K48" s="135"/>
      <c r="L48" s="135"/>
      <c r="M48" s="135"/>
      <c r="N48" s="135"/>
      <c r="O48" s="135"/>
      <c r="P48" s="135"/>
      <c r="Q48" s="135"/>
      <c r="R48" s="135"/>
      <c r="S48" s="135"/>
      <c r="T48" s="135"/>
      <c r="U48" s="134"/>
      <c r="V48" s="134"/>
      <c r="W48" s="134"/>
      <c r="X48" s="134"/>
      <c r="Y48" s="134"/>
      <c r="Z48" s="134"/>
      <c r="AA48" s="134"/>
      <c r="AB48" s="134"/>
      <c r="AC48" s="134"/>
    </row>
    <row r="49" ht="25.5" customHeight="1">
      <c r="A49" s="146"/>
      <c r="B49" s="146"/>
      <c r="C49" s="146"/>
      <c r="D49" s="146"/>
      <c r="E49" s="146"/>
      <c r="F49" s="146"/>
      <c r="G49" s="150" t="s">
        <v>799</v>
      </c>
      <c r="H49" s="150" t="s">
        <v>800</v>
      </c>
      <c r="I49" s="146"/>
      <c r="J49" s="151"/>
      <c r="K49" s="135"/>
      <c r="L49" s="135"/>
      <c r="M49" s="135"/>
      <c r="N49" s="135"/>
      <c r="O49" s="135"/>
      <c r="P49" s="135"/>
      <c r="Q49" s="135"/>
      <c r="R49" s="135"/>
      <c r="S49" s="135"/>
      <c r="T49" s="135"/>
      <c r="U49" s="134"/>
      <c r="V49" s="134"/>
      <c r="W49" s="134"/>
      <c r="X49" s="134"/>
      <c r="Y49" s="134"/>
      <c r="Z49" s="134"/>
      <c r="AA49" s="134"/>
      <c r="AB49" s="134"/>
      <c r="AC49" s="134"/>
    </row>
    <row r="50" ht="25.5" customHeight="1">
      <c r="A50" s="139" t="s">
        <v>276</v>
      </c>
      <c r="B50" s="140" t="s">
        <v>279</v>
      </c>
      <c r="C50" s="141" t="s">
        <v>801</v>
      </c>
      <c r="D50" s="139" t="s">
        <v>58</v>
      </c>
      <c r="E50" s="140" t="s">
        <v>183</v>
      </c>
      <c r="F50" s="140" t="s">
        <v>92</v>
      </c>
      <c r="G50" s="143" t="s">
        <v>802</v>
      </c>
      <c r="H50" s="143" t="s">
        <v>803</v>
      </c>
      <c r="I50" s="140" t="s">
        <v>156</v>
      </c>
      <c r="J50" s="144"/>
      <c r="K50" s="135"/>
      <c r="L50" s="135"/>
      <c r="M50" s="135"/>
      <c r="N50" s="135"/>
      <c r="O50" s="135"/>
      <c r="P50" s="135"/>
      <c r="Q50" s="135"/>
      <c r="R50" s="135"/>
      <c r="S50" s="135"/>
      <c r="T50" s="135"/>
      <c r="U50" s="134"/>
      <c r="V50" s="134"/>
      <c r="W50" s="134"/>
      <c r="X50" s="134"/>
      <c r="Y50" s="134"/>
      <c r="Z50" s="134"/>
      <c r="AA50" s="134"/>
      <c r="AB50" s="134"/>
      <c r="AC50" s="134"/>
    </row>
    <row r="51" ht="25.5" customHeight="1">
      <c r="A51" s="145"/>
      <c r="B51" s="145"/>
      <c r="C51" s="145"/>
      <c r="D51" s="145"/>
      <c r="E51" s="145"/>
      <c r="F51" s="145"/>
      <c r="G51" s="143" t="s">
        <v>804</v>
      </c>
      <c r="H51" s="143" t="s">
        <v>805</v>
      </c>
      <c r="I51" s="145"/>
      <c r="J51" s="144"/>
      <c r="K51" s="135"/>
      <c r="L51" s="135"/>
      <c r="M51" s="135"/>
      <c r="N51" s="135"/>
      <c r="O51" s="135"/>
      <c r="P51" s="135"/>
      <c r="Q51" s="135"/>
      <c r="R51" s="135"/>
      <c r="S51" s="135"/>
      <c r="T51" s="135"/>
      <c r="U51" s="134"/>
      <c r="V51" s="134"/>
      <c r="W51" s="134"/>
      <c r="X51" s="134"/>
      <c r="Y51" s="134"/>
      <c r="Z51" s="134"/>
      <c r="AA51" s="134"/>
      <c r="AB51" s="134"/>
      <c r="AC51" s="134"/>
    </row>
    <row r="52" ht="25.5" customHeight="1">
      <c r="A52" s="145"/>
      <c r="B52" s="146"/>
      <c r="C52" s="146"/>
      <c r="D52" s="146"/>
      <c r="E52" s="146"/>
      <c r="F52" s="146"/>
      <c r="G52" s="143" t="s">
        <v>806</v>
      </c>
      <c r="H52" s="143" t="s">
        <v>807</v>
      </c>
      <c r="I52" s="146"/>
      <c r="J52" s="144"/>
      <c r="K52" s="135"/>
      <c r="L52" s="135"/>
      <c r="M52" s="135"/>
      <c r="N52" s="135"/>
      <c r="O52" s="135"/>
      <c r="P52" s="135"/>
      <c r="Q52" s="135"/>
      <c r="R52" s="135"/>
      <c r="S52" s="135"/>
      <c r="T52" s="135"/>
      <c r="U52" s="134"/>
      <c r="V52" s="134"/>
      <c r="W52" s="134"/>
      <c r="X52" s="134"/>
      <c r="Y52" s="134"/>
      <c r="Z52" s="134"/>
      <c r="AA52" s="134"/>
      <c r="AB52" s="134"/>
      <c r="AC52" s="134"/>
    </row>
    <row r="53" ht="25.5" customHeight="1">
      <c r="A53" s="145"/>
      <c r="B53" s="140" t="s">
        <v>283</v>
      </c>
      <c r="C53" s="141" t="s">
        <v>808</v>
      </c>
      <c r="D53" s="139" t="s">
        <v>58</v>
      </c>
      <c r="E53" s="140" t="s">
        <v>183</v>
      </c>
      <c r="F53" s="140" t="s">
        <v>92</v>
      </c>
      <c r="G53" s="143" t="s">
        <v>809</v>
      </c>
      <c r="H53" s="143" t="s">
        <v>810</v>
      </c>
      <c r="I53" s="140" t="s">
        <v>156</v>
      </c>
      <c r="J53" s="144"/>
      <c r="K53" s="135"/>
      <c r="L53" s="135"/>
      <c r="M53" s="135"/>
      <c r="N53" s="135"/>
      <c r="O53" s="135"/>
      <c r="P53" s="135"/>
      <c r="Q53" s="135"/>
      <c r="R53" s="135"/>
      <c r="S53" s="135"/>
      <c r="T53" s="135"/>
      <c r="U53" s="134"/>
      <c r="V53" s="134"/>
      <c r="W53" s="134"/>
      <c r="X53" s="134"/>
      <c r="Y53" s="134"/>
      <c r="Z53" s="134"/>
      <c r="AA53" s="134"/>
      <c r="AB53" s="134"/>
      <c r="AC53" s="134"/>
    </row>
    <row r="54" ht="25.5" customHeight="1">
      <c r="A54" s="145"/>
      <c r="B54" s="145"/>
      <c r="C54" s="145"/>
      <c r="D54" s="145"/>
      <c r="E54" s="145"/>
      <c r="F54" s="145"/>
      <c r="G54" s="143" t="s">
        <v>811</v>
      </c>
      <c r="H54" s="143" t="s">
        <v>812</v>
      </c>
      <c r="I54" s="145"/>
      <c r="J54" s="144"/>
      <c r="K54" s="135"/>
      <c r="L54" s="135"/>
      <c r="M54" s="135"/>
      <c r="N54" s="135"/>
      <c r="O54" s="135"/>
      <c r="P54" s="135"/>
      <c r="Q54" s="135"/>
      <c r="R54" s="135"/>
      <c r="S54" s="135"/>
      <c r="T54" s="135"/>
      <c r="U54" s="134"/>
      <c r="V54" s="134"/>
      <c r="W54" s="134"/>
      <c r="X54" s="134"/>
      <c r="Y54" s="134"/>
      <c r="Z54" s="134"/>
      <c r="AA54" s="134"/>
      <c r="AB54" s="134"/>
      <c r="AC54" s="134"/>
    </row>
    <row r="55" ht="25.5" customHeight="1">
      <c r="A55" s="145"/>
      <c r="B55" s="146"/>
      <c r="C55" s="146"/>
      <c r="D55" s="146"/>
      <c r="E55" s="146"/>
      <c r="F55" s="146"/>
      <c r="G55" s="143" t="s">
        <v>813</v>
      </c>
      <c r="H55" s="143" t="s">
        <v>814</v>
      </c>
      <c r="I55" s="146"/>
      <c r="J55" s="144"/>
      <c r="K55" s="135"/>
      <c r="L55" s="135"/>
      <c r="M55" s="135"/>
      <c r="N55" s="135"/>
      <c r="O55" s="135"/>
      <c r="P55" s="135"/>
      <c r="Q55" s="135"/>
      <c r="R55" s="135"/>
      <c r="S55" s="135"/>
      <c r="T55" s="135"/>
      <c r="U55" s="134"/>
      <c r="V55" s="134"/>
      <c r="W55" s="134"/>
      <c r="X55" s="134"/>
      <c r="Y55" s="134"/>
      <c r="Z55" s="134"/>
      <c r="AA55" s="134"/>
      <c r="AB55" s="134"/>
      <c r="AC55" s="134"/>
    </row>
    <row r="56" ht="25.5" customHeight="1">
      <c r="A56" s="145"/>
      <c r="B56" s="140" t="s">
        <v>287</v>
      </c>
      <c r="C56" s="141" t="s">
        <v>815</v>
      </c>
      <c r="D56" s="139" t="s">
        <v>58</v>
      </c>
      <c r="E56" s="140" t="s">
        <v>183</v>
      </c>
      <c r="F56" s="140" t="s">
        <v>92</v>
      </c>
      <c r="G56" s="143" t="s">
        <v>816</v>
      </c>
      <c r="H56" s="143" t="s">
        <v>817</v>
      </c>
      <c r="I56" s="140" t="s">
        <v>156</v>
      </c>
      <c r="J56" s="144"/>
      <c r="K56" s="135"/>
      <c r="L56" s="135"/>
      <c r="M56" s="135"/>
      <c r="N56" s="135"/>
      <c r="O56" s="135"/>
      <c r="P56" s="135"/>
      <c r="Q56" s="135"/>
      <c r="R56" s="135"/>
      <c r="S56" s="135"/>
      <c r="T56" s="135"/>
      <c r="U56" s="134"/>
      <c r="V56" s="134"/>
      <c r="W56" s="134"/>
      <c r="X56" s="134"/>
      <c r="Y56" s="134"/>
      <c r="Z56" s="134"/>
      <c r="AA56" s="134"/>
      <c r="AB56" s="134"/>
      <c r="AC56" s="134"/>
    </row>
    <row r="57" ht="25.5" customHeight="1">
      <c r="A57" s="145"/>
      <c r="B57" s="145"/>
      <c r="C57" s="145"/>
      <c r="D57" s="145"/>
      <c r="E57" s="145"/>
      <c r="F57" s="145"/>
      <c r="G57" s="143" t="s">
        <v>818</v>
      </c>
      <c r="H57" s="143" t="s">
        <v>819</v>
      </c>
      <c r="I57" s="145"/>
      <c r="J57" s="144"/>
      <c r="K57" s="135"/>
      <c r="L57" s="135"/>
      <c r="M57" s="135"/>
      <c r="N57" s="135"/>
      <c r="O57" s="135"/>
      <c r="P57" s="135"/>
      <c r="Q57" s="135"/>
      <c r="R57" s="135"/>
      <c r="S57" s="135"/>
      <c r="T57" s="135"/>
      <c r="U57" s="134"/>
      <c r="V57" s="134"/>
      <c r="W57" s="134"/>
      <c r="X57" s="134"/>
      <c r="Y57" s="134"/>
      <c r="Z57" s="134"/>
      <c r="AA57" s="134"/>
      <c r="AB57" s="134"/>
      <c r="AC57" s="134"/>
    </row>
    <row r="58" ht="25.5" customHeight="1">
      <c r="A58" s="145"/>
      <c r="B58" s="146"/>
      <c r="C58" s="146"/>
      <c r="D58" s="146"/>
      <c r="E58" s="146"/>
      <c r="F58" s="146"/>
      <c r="G58" s="143" t="s">
        <v>820</v>
      </c>
      <c r="H58" s="143" t="s">
        <v>821</v>
      </c>
      <c r="I58" s="146"/>
      <c r="J58" s="144"/>
      <c r="K58" s="135"/>
      <c r="L58" s="135"/>
      <c r="M58" s="135"/>
      <c r="N58" s="135"/>
      <c r="O58" s="135"/>
      <c r="P58" s="135"/>
      <c r="Q58" s="135"/>
      <c r="R58" s="135"/>
      <c r="S58" s="135"/>
      <c r="T58" s="135"/>
      <c r="U58" s="134"/>
      <c r="V58" s="134"/>
      <c r="W58" s="134"/>
      <c r="X58" s="134"/>
      <c r="Y58" s="134"/>
      <c r="Z58" s="134"/>
      <c r="AA58" s="134"/>
      <c r="AB58" s="134"/>
      <c r="AC58" s="134"/>
    </row>
    <row r="59" ht="25.5" customHeight="1">
      <c r="A59" s="145"/>
      <c r="B59" s="140" t="s">
        <v>291</v>
      </c>
      <c r="C59" s="141" t="s">
        <v>822</v>
      </c>
      <c r="D59" s="139" t="s">
        <v>58</v>
      </c>
      <c r="E59" s="140" t="s">
        <v>183</v>
      </c>
      <c r="F59" s="140" t="s">
        <v>92</v>
      </c>
      <c r="G59" s="143" t="s">
        <v>823</v>
      </c>
      <c r="H59" s="143" t="s">
        <v>824</v>
      </c>
      <c r="I59" s="140" t="s">
        <v>156</v>
      </c>
      <c r="J59" s="144"/>
      <c r="K59" s="135"/>
      <c r="L59" s="135"/>
      <c r="M59" s="135"/>
      <c r="N59" s="135"/>
      <c r="O59" s="135"/>
      <c r="P59" s="135"/>
      <c r="Q59" s="135"/>
      <c r="R59" s="135"/>
      <c r="S59" s="135"/>
      <c r="T59" s="135"/>
      <c r="U59" s="134"/>
      <c r="V59" s="134"/>
      <c r="W59" s="134"/>
      <c r="X59" s="134"/>
      <c r="Y59" s="134"/>
      <c r="Z59" s="134"/>
      <c r="AA59" s="134"/>
      <c r="AB59" s="134"/>
      <c r="AC59" s="134"/>
    </row>
    <row r="60" ht="25.5" customHeight="1">
      <c r="A60" s="145"/>
      <c r="B60" s="146"/>
      <c r="C60" s="146"/>
      <c r="D60" s="146"/>
      <c r="E60" s="146"/>
      <c r="F60" s="146"/>
      <c r="G60" s="143" t="s">
        <v>825</v>
      </c>
      <c r="H60" s="143" t="s">
        <v>826</v>
      </c>
      <c r="I60" s="146"/>
      <c r="J60" s="144"/>
      <c r="K60" s="135"/>
      <c r="L60" s="135"/>
      <c r="M60" s="135"/>
      <c r="N60" s="135"/>
      <c r="O60" s="135"/>
      <c r="P60" s="135"/>
      <c r="Q60" s="135"/>
      <c r="R60" s="135"/>
      <c r="S60" s="135"/>
      <c r="T60" s="135"/>
      <c r="U60" s="134"/>
      <c r="V60" s="134"/>
      <c r="W60" s="134"/>
      <c r="X60" s="134"/>
      <c r="Y60" s="134"/>
      <c r="Z60" s="134"/>
      <c r="AA60" s="134"/>
      <c r="AB60" s="134"/>
      <c r="AC60" s="134"/>
    </row>
    <row r="61" ht="25.5" customHeight="1">
      <c r="A61" s="145"/>
      <c r="B61" s="140" t="s">
        <v>295</v>
      </c>
      <c r="C61" s="141" t="s">
        <v>827</v>
      </c>
      <c r="D61" s="139" t="s">
        <v>58</v>
      </c>
      <c r="E61" s="140" t="s">
        <v>183</v>
      </c>
      <c r="F61" s="140" t="s">
        <v>92</v>
      </c>
      <c r="G61" s="143" t="s">
        <v>828</v>
      </c>
      <c r="H61" s="143" t="s">
        <v>829</v>
      </c>
      <c r="I61" s="140" t="s">
        <v>156</v>
      </c>
      <c r="J61" s="144"/>
      <c r="K61" s="135"/>
      <c r="L61" s="135"/>
      <c r="M61" s="135"/>
      <c r="N61" s="135"/>
      <c r="O61" s="135"/>
      <c r="P61" s="135"/>
      <c r="Q61" s="135"/>
      <c r="R61" s="135"/>
      <c r="S61" s="135"/>
      <c r="T61" s="135"/>
      <c r="U61" s="134"/>
      <c r="V61" s="134"/>
      <c r="W61" s="134"/>
      <c r="X61" s="134"/>
      <c r="Y61" s="134"/>
      <c r="Z61" s="134"/>
      <c r="AA61" s="134"/>
      <c r="AB61" s="134"/>
      <c r="AC61" s="134"/>
    </row>
    <row r="62" ht="25.5" customHeight="1">
      <c r="A62" s="145"/>
      <c r="B62" s="145"/>
      <c r="C62" s="145"/>
      <c r="D62" s="145"/>
      <c r="E62" s="145"/>
      <c r="F62" s="145"/>
      <c r="G62" s="143" t="s">
        <v>830</v>
      </c>
      <c r="H62" s="143" t="s">
        <v>831</v>
      </c>
      <c r="I62" s="145"/>
      <c r="J62" s="144"/>
      <c r="K62" s="135"/>
      <c r="L62" s="135"/>
      <c r="M62" s="135"/>
      <c r="N62" s="135"/>
      <c r="O62" s="135"/>
      <c r="P62" s="135"/>
      <c r="Q62" s="135"/>
      <c r="R62" s="135"/>
      <c r="S62" s="135"/>
      <c r="T62" s="135"/>
      <c r="U62" s="134"/>
      <c r="V62" s="134"/>
      <c r="W62" s="134"/>
      <c r="X62" s="134"/>
      <c r="Y62" s="134"/>
      <c r="Z62" s="134"/>
      <c r="AA62" s="134"/>
      <c r="AB62" s="134"/>
      <c r="AC62" s="134"/>
    </row>
    <row r="63" ht="25.5" customHeight="1">
      <c r="A63" s="146"/>
      <c r="B63" s="146"/>
      <c r="C63" s="146"/>
      <c r="D63" s="146"/>
      <c r="E63" s="146"/>
      <c r="F63" s="146"/>
      <c r="G63" s="143" t="s">
        <v>832</v>
      </c>
      <c r="H63" s="143" t="s">
        <v>833</v>
      </c>
      <c r="I63" s="146"/>
      <c r="J63" s="144"/>
      <c r="K63" s="135"/>
      <c r="L63" s="135"/>
      <c r="M63" s="135"/>
      <c r="N63" s="135"/>
      <c r="O63" s="135"/>
      <c r="P63" s="135"/>
      <c r="Q63" s="135"/>
      <c r="R63" s="135"/>
      <c r="S63" s="135"/>
      <c r="T63" s="135"/>
      <c r="U63" s="134"/>
      <c r="V63" s="134"/>
      <c r="W63" s="134"/>
      <c r="X63" s="134"/>
      <c r="Y63" s="134"/>
      <c r="Z63" s="134"/>
      <c r="AA63" s="134"/>
      <c r="AB63" s="134"/>
      <c r="AC63" s="134"/>
    </row>
    <row r="64" ht="25.5" customHeight="1">
      <c r="A64" s="147" t="s">
        <v>298</v>
      </c>
      <c r="B64" s="148" t="s">
        <v>301</v>
      </c>
      <c r="C64" s="149" t="s">
        <v>834</v>
      </c>
      <c r="D64" s="147" t="s">
        <v>58</v>
      </c>
      <c r="E64" s="148" t="s">
        <v>183</v>
      </c>
      <c r="F64" s="148" t="s">
        <v>92</v>
      </c>
      <c r="G64" s="150" t="s">
        <v>835</v>
      </c>
      <c r="H64" s="150" t="s">
        <v>836</v>
      </c>
      <c r="I64" s="148" t="s">
        <v>156</v>
      </c>
      <c r="J64" s="151"/>
      <c r="K64" s="135"/>
      <c r="L64" s="135"/>
      <c r="M64" s="135"/>
      <c r="N64" s="135"/>
      <c r="O64" s="135"/>
      <c r="P64" s="135"/>
      <c r="Q64" s="135"/>
      <c r="R64" s="135"/>
      <c r="S64" s="135"/>
      <c r="T64" s="135"/>
      <c r="U64" s="134"/>
      <c r="V64" s="134"/>
      <c r="W64" s="134"/>
      <c r="X64" s="134"/>
      <c r="Y64" s="134"/>
      <c r="Z64" s="134"/>
      <c r="AA64" s="134"/>
      <c r="AB64" s="134"/>
      <c r="AC64" s="134"/>
    </row>
    <row r="65" ht="25.5" customHeight="1">
      <c r="A65" s="145"/>
      <c r="B65" s="145"/>
      <c r="C65" s="145"/>
      <c r="D65" s="145"/>
      <c r="E65" s="145"/>
      <c r="F65" s="145"/>
      <c r="G65" s="150" t="s">
        <v>837</v>
      </c>
      <c r="H65" s="150" t="s">
        <v>838</v>
      </c>
      <c r="I65" s="145"/>
      <c r="J65" s="151"/>
      <c r="K65" s="135"/>
      <c r="L65" s="135"/>
      <c r="M65" s="135"/>
      <c r="N65" s="135"/>
      <c r="O65" s="135"/>
      <c r="P65" s="135"/>
      <c r="Q65" s="135"/>
      <c r="R65" s="135"/>
      <c r="S65" s="135"/>
      <c r="T65" s="135"/>
      <c r="U65" s="134"/>
      <c r="V65" s="134"/>
      <c r="W65" s="134"/>
      <c r="X65" s="134"/>
      <c r="Y65" s="134"/>
      <c r="Z65" s="134"/>
      <c r="AA65" s="134"/>
      <c r="AB65" s="134"/>
      <c r="AC65" s="134"/>
    </row>
    <row r="66" ht="25.5" customHeight="1">
      <c r="A66" s="145"/>
      <c r="B66" s="146"/>
      <c r="C66" s="146"/>
      <c r="D66" s="146"/>
      <c r="E66" s="146"/>
      <c r="F66" s="146"/>
      <c r="G66" s="150" t="s">
        <v>839</v>
      </c>
      <c r="H66" s="150" t="s">
        <v>840</v>
      </c>
      <c r="I66" s="146"/>
      <c r="J66" s="151"/>
      <c r="K66" s="135"/>
      <c r="L66" s="135"/>
      <c r="M66" s="135"/>
      <c r="N66" s="135"/>
      <c r="O66" s="135"/>
      <c r="P66" s="135"/>
      <c r="Q66" s="135"/>
      <c r="R66" s="135"/>
      <c r="S66" s="135"/>
      <c r="T66" s="135"/>
      <c r="U66" s="134"/>
      <c r="V66" s="134"/>
      <c r="W66" s="134"/>
      <c r="X66" s="134"/>
      <c r="Y66" s="134"/>
      <c r="Z66" s="134"/>
      <c r="AA66" s="134"/>
      <c r="AB66" s="134"/>
      <c r="AC66" s="134"/>
    </row>
    <row r="67" ht="25.5" customHeight="1">
      <c r="A67" s="145"/>
      <c r="B67" s="148" t="s">
        <v>305</v>
      </c>
      <c r="C67" s="149" t="s">
        <v>841</v>
      </c>
      <c r="D67" s="147" t="s">
        <v>58</v>
      </c>
      <c r="E67" s="148" t="s">
        <v>183</v>
      </c>
      <c r="F67" s="148" t="s">
        <v>92</v>
      </c>
      <c r="G67" s="150" t="s">
        <v>842</v>
      </c>
      <c r="H67" s="150" t="s">
        <v>843</v>
      </c>
      <c r="I67" s="148" t="s">
        <v>156</v>
      </c>
      <c r="J67" s="151"/>
      <c r="K67" s="135"/>
      <c r="L67" s="135"/>
      <c r="M67" s="135"/>
      <c r="N67" s="135"/>
      <c r="O67" s="135"/>
      <c r="P67" s="135"/>
      <c r="Q67" s="135"/>
      <c r="R67" s="135"/>
      <c r="S67" s="135"/>
      <c r="T67" s="135"/>
      <c r="U67" s="134"/>
      <c r="V67" s="134"/>
      <c r="W67" s="134"/>
      <c r="X67" s="134"/>
      <c r="Y67" s="134"/>
      <c r="Z67" s="134"/>
      <c r="AA67" s="134"/>
      <c r="AB67" s="134"/>
      <c r="AC67" s="134"/>
    </row>
    <row r="68" ht="25.5" customHeight="1">
      <c r="A68" s="145"/>
      <c r="B68" s="145"/>
      <c r="C68" s="145"/>
      <c r="D68" s="145"/>
      <c r="E68" s="145"/>
      <c r="F68" s="145"/>
      <c r="G68" s="150" t="s">
        <v>844</v>
      </c>
      <c r="H68" s="150" t="s">
        <v>845</v>
      </c>
      <c r="I68" s="145"/>
      <c r="J68" s="151"/>
      <c r="K68" s="135"/>
      <c r="L68" s="135"/>
      <c r="M68" s="135"/>
      <c r="N68" s="135"/>
      <c r="O68" s="135"/>
      <c r="P68" s="135"/>
      <c r="Q68" s="135"/>
      <c r="R68" s="135"/>
      <c r="S68" s="135"/>
      <c r="T68" s="135"/>
      <c r="U68" s="134"/>
      <c r="V68" s="134"/>
      <c r="W68" s="134"/>
      <c r="X68" s="134"/>
      <c r="Y68" s="134"/>
      <c r="Z68" s="134"/>
      <c r="AA68" s="134"/>
      <c r="AB68" s="134"/>
      <c r="AC68" s="134"/>
    </row>
    <row r="69" ht="25.5" customHeight="1">
      <c r="A69" s="145"/>
      <c r="B69" s="146"/>
      <c r="C69" s="146"/>
      <c r="D69" s="146"/>
      <c r="E69" s="146"/>
      <c r="F69" s="146"/>
      <c r="G69" s="150" t="s">
        <v>846</v>
      </c>
      <c r="H69" s="150" t="s">
        <v>847</v>
      </c>
      <c r="I69" s="146"/>
      <c r="J69" s="151"/>
      <c r="K69" s="135"/>
      <c r="L69" s="135"/>
      <c r="M69" s="135"/>
      <c r="N69" s="135"/>
      <c r="O69" s="135"/>
      <c r="P69" s="135"/>
      <c r="Q69" s="135"/>
      <c r="R69" s="135"/>
      <c r="S69" s="135"/>
      <c r="T69" s="135"/>
      <c r="U69" s="134"/>
      <c r="V69" s="134"/>
      <c r="W69" s="134"/>
      <c r="X69" s="134"/>
      <c r="Y69" s="134"/>
      <c r="Z69" s="134"/>
      <c r="AA69" s="134"/>
      <c r="AB69" s="134"/>
      <c r="AC69" s="134"/>
    </row>
    <row r="70" ht="25.5" customHeight="1">
      <c r="A70" s="145"/>
      <c r="B70" s="148" t="s">
        <v>309</v>
      </c>
      <c r="C70" s="149" t="s">
        <v>848</v>
      </c>
      <c r="D70" s="147" t="s">
        <v>58</v>
      </c>
      <c r="E70" s="148" t="s">
        <v>183</v>
      </c>
      <c r="F70" s="148" t="s">
        <v>92</v>
      </c>
      <c r="G70" s="150" t="s">
        <v>849</v>
      </c>
      <c r="H70" s="150" t="s">
        <v>850</v>
      </c>
      <c r="I70" s="148" t="s">
        <v>156</v>
      </c>
      <c r="J70" s="151"/>
      <c r="K70" s="135"/>
      <c r="L70" s="135"/>
      <c r="M70" s="135"/>
      <c r="N70" s="135"/>
      <c r="O70" s="135"/>
      <c r="P70" s="135"/>
      <c r="Q70" s="135"/>
      <c r="R70" s="135"/>
      <c r="S70" s="135"/>
      <c r="T70" s="135"/>
      <c r="U70" s="134"/>
      <c r="V70" s="134"/>
      <c r="W70" s="134"/>
      <c r="X70" s="134"/>
      <c r="Y70" s="134"/>
      <c r="Z70" s="134"/>
      <c r="AA70" s="134"/>
      <c r="AB70" s="134"/>
      <c r="AC70" s="134"/>
    </row>
    <row r="71" ht="25.5" customHeight="1">
      <c r="A71" s="145"/>
      <c r="B71" s="146"/>
      <c r="C71" s="146"/>
      <c r="D71" s="146"/>
      <c r="E71" s="146"/>
      <c r="F71" s="146"/>
      <c r="G71" s="150" t="s">
        <v>851</v>
      </c>
      <c r="H71" s="150" t="s">
        <v>852</v>
      </c>
      <c r="I71" s="146"/>
      <c r="J71" s="151"/>
      <c r="K71" s="135"/>
      <c r="L71" s="135"/>
      <c r="M71" s="135"/>
      <c r="N71" s="135"/>
      <c r="O71" s="135"/>
      <c r="P71" s="135"/>
      <c r="Q71" s="135"/>
      <c r="R71" s="135"/>
      <c r="S71" s="135"/>
      <c r="T71" s="135"/>
      <c r="U71" s="134"/>
      <c r="V71" s="134"/>
      <c r="W71" s="134"/>
      <c r="X71" s="134"/>
      <c r="Y71" s="134"/>
      <c r="Z71" s="134"/>
      <c r="AA71" s="134"/>
      <c r="AB71" s="134"/>
      <c r="AC71" s="134"/>
    </row>
    <row r="72" ht="25.5" customHeight="1">
      <c r="A72" s="145"/>
      <c r="B72" s="148" t="s">
        <v>313</v>
      </c>
      <c r="C72" s="149" t="s">
        <v>853</v>
      </c>
      <c r="D72" s="147" t="s">
        <v>58</v>
      </c>
      <c r="E72" s="148" t="s">
        <v>183</v>
      </c>
      <c r="F72" s="148" t="s">
        <v>92</v>
      </c>
      <c r="G72" s="150" t="s">
        <v>854</v>
      </c>
      <c r="H72" s="150" t="s">
        <v>855</v>
      </c>
      <c r="I72" s="148" t="s">
        <v>156</v>
      </c>
      <c r="J72" s="151"/>
      <c r="K72" s="135"/>
      <c r="L72" s="135"/>
      <c r="M72" s="135"/>
      <c r="N72" s="135"/>
      <c r="O72" s="135"/>
      <c r="P72" s="135"/>
      <c r="Q72" s="135"/>
      <c r="R72" s="135"/>
      <c r="S72" s="135"/>
      <c r="T72" s="135"/>
      <c r="U72" s="134"/>
      <c r="V72" s="134"/>
      <c r="W72" s="134"/>
      <c r="X72" s="134"/>
      <c r="Y72" s="134"/>
      <c r="Z72" s="134"/>
      <c r="AA72" s="134"/>
      <c r="AB72" s="134"/>
      <c r="AC72" s="134"/>
    </row>
    <row r="73" ht="25.5" customHeight="1">
      <c r="A73" s="145"/>
      <c r="B73" s="145"/>
      <c r="C73" s="145"/>
      <c r="D73" s="145"/>
      <c r="E73" s="145"/>
      <c r="F73" s="145"/>
      <c r="G73" s="150" t="s">
        <v>856</v>
      </c>
      <c r="H73" s="150" t="s">
        <v>857</v>
      </c>
      <c r="I73" s="145"/>
      <c r="J73" s="151"/>
      <c r="K73" s="135"/>
      <c r="L73" s="135"/>
      <c r="M73" s="135"/>
      <c r="N73" s="135"/>
      <c r="O73" s="135"/>
      <c r="P73" s="135"/>
      <c r="Q73" s="135"/>
      <c r="R73" s="135"/>
      <c r="S73" s="135"/>
      <c r="T73" s="135"/>
      <c r="U73" s="134"/>
      <c r="V73" s="134"/>
      <c r="W73" s="134"/>
      <c r="X73" s="134"/>
      <c r="Y73" s="134"/>
      <c r="Z73" s="134"/>
      <c r="AA73" s="134"/>
      <c r="AB73" s="134"/>
      <c r="AC73" s="134"/>
    </row>
    <row r="74" ht="25.5" customHeight="1">
      <c r="A74" s="145"/>
      <c r="B74" s="146"/>
      <c r="C74" s="146"/>
      <c r="D74" s="146"/>
      <c r="E74" s="146"/>
      <c r="F74" s="146"/>
      <c r="G74" s="150" t="s">
        <v>858</v>
      </c>
      <c r="H74" s="150" t="s">
        <v>859</v>
      </c>
      <c r="I74" s="146"/>
      <c r="J74" s="151"/>
      <c r="K74" s="135"/>
      <c r="L74" s="135"/>
      <c r="M74" s="135"/>
      <c r="N74" s="135"/>
      <c r="O74" s="135"/>
      <c r="P74" s="135"/>
      <c r="Q74" s="135"/>
      <c r="R74" s="135"/>
      <c r="S74" s="135"/>
      <c r="T74" s="135"/>
      <c r="U74" s="134"/>
      <c r="V74" s="134"/>
      <c r="W74" s="134"/>
      <c r="X74" s="134"/>
      <c r="Y74" s="134"/>
      <c r="Z74" s="134"/>
      <c r="AA74" s="134"/>
      <c r="AB74" s="134"/>
      <c r="AC74" s="134"/>
    </row>
    <row r="75" ht="25.5" customHeight="1">
      <c r="A75" s="145"/>
      <c r="B75" s="148" t="s">
        <v>317</v>
      </c>
      <c r="C75" s="149" t="s">
        <v>860</v>
      </c>
      <c r="D75" s="147" t="s">
        <v>58</v>
      </c>
      <c r="E75" s="148" t="s">
        <v>183</v>
      </c>
      <c r="F75" s="148" t="s">
        <v>92</v>
      </c>
      <c r="G75" s="150" t="s">
        <v>861</v>
      </c>
      <c r="H75" s="150" t="s">
        <v>862</v>
      </c>
      <c r="I75" s="148" t="s">
        <v>156</v>
      </c>
      <c r="J75" s="151"/>
      <c r="K75" s="135"/>
      <c r="L75" s="135"/>
      <c r="M75" s="135"/>
      <c r="N75" s="135"/>
      <c r="O75" s="135"/>
      <c r="P75" s="135"/>
      <c r="Q75" s="135"/>
      <c r="R75" s="135"/>
      <c r="S75" s="135"/>
      <c r="T75" s="135"/>
      <c r="U75" s="134"/>
      <c r="V75" s="134"/>
      <c r="W75" s="134"/>
      <c r="X75" s="134"/>
      <c r="Y75" s="134"/>
      <c r="Z75" s="134"/>
      <c r="AA75" s="134"/>
      <c r="AB75" s="134"/>
      <c r="AC75" s="134"/>
    </row>
    <row r="76" ht="25.5" customHeight="1">
      <c r="A76" s="146"/>
      <c r="B76" s="146"/>
      <c r="C76" s="146"/>
      <c r="D76" s="146"/>
      <c r="E76" s="146"/>
      <c r="F76" s="146"/>
      <c r="G76" s="150" t="s">
        <v>863</v>
      </c>
      <c r="H76" s="150" t="s">
        <v>864</v>
      </c>
      <c r="I76" s="146"/>
      <c r="J76" s="151"/>
      <c r="K76" s="135"/>
      <c r="L76" s="135"/>
      <c r="M76" s="135"/>
      <c r="N76" s="135"/>
      <c r="O76" s="135"/>
      <c r="P76" s="135"/>
      <c r="Q76" s="135"/>
      <c r="R76" s="135"/>
      <c r="S76" s="135"/>
      <c r="T76" s="135"/>
      <c r="U76" s="134"/>
      <c r="V76" s="134"/>
      <c r="W76" s="134"/>
      <c r="X76" s="134"/>
      <c r="Y76" s="134"/>
      <c r="Z76" s="134"/>
      <c r="AA76" s="134"/>
      <c r="AB76" s="134"/>
      <c r="AC76" s="134"/>
    </row>
    <row r="77" ht="25.5" customHeight="1">
      <c r="A77" s="139" t="s">
        <v>320</v>
      </c>
      <c r="B77" s="140" t="s">
        <v>323</v>
      </c>
      <c r="C77" s="141" t="s">
        <v>865</v>
      </c>
      <c r="D77" s="139" t="s">
        <v>58</v>
      </c>
      <c r="E77" s="140" t="s">
        <v>183</v>
      </c>
      <c r="F77" s="140" t="s">
        <v>88</v>
      </c>
      <c r="G77" s="143" t="s">
        <v>866</v>
      </c>
      <c r="H77" s="143" t="s">
        <v>867</v>
      </c>
      <c r="I77" s="140" t="s">
        <v>156</v>
      </c>
      <c r="J77" s="144"/>
      <c r="K77" s="135"/>
      <c r="L77" s="135"/>
      <c r="M77" s="135"/>
      <c r="N77" s="135"/>
      <c r="O77" s="135"/>
      <c r="P77" s="135"/>
      <c r="Q77" s="135"/>
      <c r="R77" s="135"/>
      <c r="S77" s="135"/>
      <c r="T77" s="135"/>
      <c r="U77" s="134"/>
      <c r="V77" s="134"/>
      <c r="W77" s="134"/>
      <c r="X77" s="134"/>
      <c r="Y77" s="134"/>
      <c r="Z77" s="134"/>
      <c r="AA77" s="134"/>
      <c r="AB77" s="134"/>
      <c r="AC77" s="134"/>
    </row>
    <row r="78" ht="25.5" customHeight="1">
      <c r="A78" s="145"/>
      <c r="B78" s="145"/>
      <c r="C78" s="145"/>
      <c r="D78" s="145"/>
      <c r="E78" s="145"/>
      <c r="F78" s="145"/>
      <c r="G78" s="143" t="s">
        <v>868</v>
      </c>
      <c r="H78" s="143" t="s">
        <v>869</v>
      </c>
      <c r="I78" s="145"/>
      <c r="J78" s="144"/>
      <c r="K78" s="135"/>
      <c r="L78" s="135"/>
      <c r="M78" s="135"/>
      <c r="N78" s="135"/>
      <c r="O78" s="135"/>
      <c r="P78" s="135"/>
      <c r="Q78" s="135"/>
      <c r="R78" s="135"/>
      <c r="S78" s="135"/>
      <c r="T78" s="135"/>
      <c r="U78" s="134"/>
      <c r="V78" s="134"/>
      <c r="W78" s="134"/>
      <c r="X78" s="134"/>
      <c r="Y78" s="134"/>
      <c r="Z78" s="134"/>
      <c r="AA78" s="134"/>
      <c r="AB78" s="134"/>
      <c r="AC78" s="134"/>
    </row>
    <row r="79" ht="25.5" customHeight="1">
      <c r="A79" s="145"/>
      <c r="B79" s="146"/>
      <c r="C79" s="146"/>
      <c r="D79" s="146"/>
      <c r="E79" s="146"/>
      <c r="F79" s="146"/>
      <c r="G79" s="143" t="s">
        <v>870</v>
      </c>
      <c r="H79" s="143" t="s">
        <v>871</v>
      </c>
      <c r="I79" s="146"/>
      <c r="J79" s="144"/>
      <c r="K79" s="135"/>
      <c r="L79" s="135"/>
      <c r="M79" s="135"/>
      <c r="N79" s="135"/>
      <c r="O79" s="135"/>
      <c r="P79" s="135"/>
      <c r="Q79" s="135"/>
      <c r="R79" s="135"/>
      <c r="S79" s="135"/>
      <c r="T79" s="135"/>
      <c r="U79" s="134"/>
      <c r="V79" s="134"/>
      <c r="W79" s="134"/>
      <c r="X79" s="134"/>
      <c r="Y79" s="134"/>
      <c r="Z79" s="134"/>
      <c r="AA79" s="134"/>
      <c r="AB79" s="134"/>
      <c r="AC79" s="134"/>
    </row>
    <row r="80" ht="25.5" customHeight="1">
      <c r="A80" s="145"/>
      <c r="B80" s="140" t="s">
        <v>327</v>
      </c>
      <c r="C80" s="141" t="s">
        <v>872</v>
      </c>
      <c r="D80" s="139" t="s">
        <v>58</v>
      </c>
      <c r="E80" s="140" t="s">
        <v>183</v>
      </c>
      <c r="F80" s="140" t="s">
        <v>88</v>
      </c>
      <c r="G80" s="143" t="s">
        <v>873</v>
      </c>
      <c r="H80" s="143" t="s">
        <v>874</v>
      </c>
      <c r="I80" s="140" t="s">
        <v>156</v>
      </c>
      <c r="J80" s="144"/>
      <c r="K80" s="135"/>
      <c r="L80" s="135"/>
      <c r="M80" s="135"/>
      <c r="N80" s="135"/>
      <c r="O80" s="135"/>
      <c r="P80" s="135"/>
      <c r="Q80" s="135"/>
      <c r="R80" s="135"/>
      <c r="S80" s="135"/>
      <c r="T80" s="135"/>
      <c r="U80" s="134"/>
      <c r="V80" s="134"/>
      <c r="W80" s="134"/>
      <c r="X80" s="134"/>
      <c r="Y80" s="134"/>
      <c r="Z80" s="134"/>
      <c r="AA80" s="134"/>
      <c r="AB80" s="134"/>
      <c r="AC80" s="134"/>
    </row>
    <row r="81" ht="25.5" customHeight="1">
      <c r="A81" s="145"/>
      <c r="B81" s="146"/>
      <c r="C81" s="146"/>
      <c r="D81" s="146"/>
      <c r="E81" s="146"/>
      <c r="F81" s="146"/>
      <c r="G81" s="143" t="s">
        <v>875</v>
      </c>
      <c r="H81" s="143" t="s">
        <v>876</v>
      </c>
      <c r="I81" s="146"/>
      <c r="J81" s="144"/>
      <c r="K81" s="135"/>
      <c r="L81" s="135"/>
      <c r="M81" s="135"/>
      <c r="N81" s="135"/>
      <c r="O81" s="135"/>
      <c r="P81" s="135"/>
      <c r="Q81" s="135"/>
      <c r="R81" s="135"/>
      <c r="S81" s="135"/>
      <c r="T81" s="135"/>
      <c r="U81" s="134"/>
      <c r="V81" s="134"/>
      <c r="W81" s="134"/>
      <c r="X81" s="134"/>
      <c r="Y81" s="134"/>
      <c r="Z81" s="134"/>
      <c r="AA81" s="134"/>
      <c r="AB81" s="134"/>
      <c r="AC81" s="134"/>
    </row>
    <row r="82" ht="25.5" customHeight="1">
      <c r="A82" s="145"/>
      <c r="B82" s="140" t="s">
        <v>331</v>
      </c>
      <c r="C82" s="141" t="s">
        <v>877</v>
      </c>
      <c r="D82" s="139" t="s">
        <v>58</v>
      </c>
      <c r="E82" s="140" t="s">
        <v>183</v>
      </c>
      <c r="F82" s="140" t="s">
        <v>88</v>
      </c>
      <c r="G82" s="143" t="s">
        <v>878</v>
      </c>
      <c r="H82" s="143" t="s">
        <v>879</v>
      </c>
      <c r="I82" s="140" t="s">
        <v>156</v>
      </c>
      <c r="J82" s="144"/>
      <c r="K82" s="135"/>
      <c r="L82" s="135"/>
      <c r="M82" s="135"/>
      <c r="N82" s="135"/>
      <c r="O82" s="135"/>
      <c r="P82" s="135"/>
      <c r="Q82" s="135"/>
      <c r="R82" s="135"/>
      <c r="S82" s="135"/>
      <c r="T82" s="135"/>
      <c r="U82" s="134"/>
      <c r="V82" s="134"/>
      <c r="W82" s="134"/>
      <c r="X82" s="134"/>
      <c r="Y82" s="134"/>
      <c r="Z82" s="134"/>
      <c r="AA82" s="134"/>
      <c r="AB82" s="134"/>
      <c r="AC82" s="134"/>
    </row>
    <row r="83" ht="25.5" customHeight="1">
      <c r="A83" s="145"/>
      <c r="B83" s="146"/>
      <c r="C83" s="146"/>
      <c r="D83" s="146"/>
      <c r="E83" s="146"/>
      <c r="F83" s="146"/>
      <c r="G83" s="143" t="s">
        <v>880</v>
      </c>
      <c r="H83" s="143" t="s">
        <v>881</v>
      </c>
      <c r="I83" s="146"/>
      <c r="J83" s="144"/>
      <c r="K83" s="135"/>
      <c r="L83" s="135"/>
      <c r="M83" s="135"/>
      <c r="N83" s="135"/>
      <c r="O83" s="135"/>
      <c r="P83" s="135"/>
      <c r="Q83" s="135"/>
      <c r="R83" s="135"/>
      <c r="S83" s="135"/>
      <c r="T83" s="135"/>
      <c r="U83" s="134"/>
      <c r="V83" s="134"/>
      <c r="W83" s="134"/>
      <c r="X83" s="134"/>
      <c r="Y83" s="134"/>
      <c r="Z83" s="134"/>
      <c r="AA83" s="134"/>
      <c r="AB83" s="134"/>
      <c r="AC83" s="134"/>
    </row>
    <row r="84" ht="25.5" customHeight="1">
      <c r="A84" s="145"/>
      <c r="B84" s="140" t="s">
        <v>335</v>
      </c>
      <c r="C84" s="141" t="s">
        <v>882</v>
      </c>
      <c r="D84" s="139" t="s">
        <v>58</v>
      </c>
      <c r="E84" s="140" t="s">
        <v>183</v>
      </c>
      <c r="F84" s="140" t="s">
        <v>88</v>
      </c>
      <c r="G84" s="143" t="s">
        <v>883</v>
      </c>
      <c r="H84" s="143" t="s">
        <v>884</v>
      </c>
      <c r="I84" s="140" t="s">
        <v>156</v>
      </c>
      <c r="J84" s="144"/>
      <c r="K84" s="135"/>
      <c r="L84" s="135"/>
      <c r="M84" s="135"/>
      <c r="N84" s="135"/>
      <c r="O84" s="135"/>
      <c r="P84" s="135"/>
      <c r="Q84" s="135"/>
      <c r="R84" s="135"/>
      <c r="S84" s="135"/>
      <c r="T84" s="135"/>
      <c r="U84" s="134"/>
      <c r="V84" s="134"/>
      <c r="W84" s="134"/>
      <c r="X84" s="134"/>
      <c r="Y84" s="134"/>
      <c r="Z84" s="134"/>
      <c r="AA84" s="134"/>
      <c r="AB84" s="134"/>
      <c r="AC84" s="134"/>
    </row>
    <row r="85" ht="25.5" customHeight="1">
      <c r="A85" s="145"/>
      <c r="B85" s="145"/>
      <c r="C85" s="145"/>
      <c r="D85" s="145"/>
      <c r="E85" s="145"/>
      <c r="F85" s="145"/>
      <c r="G85" s="143" t="s">
        <v>885</v>
      </c>
      <c r="H85" s="143" t="s">
        <v>886</v>
      </c>
      <c r="I85" s="145"/>
      <c r="J85" s="144"/>
      <c r="K85" s="135"/>
      <c r="L85" s="135"/>
      <c r="M85" s="135"/>
      <c r="N85" s="135"/>
      <c r="O85" s="135"/>
      <c r="P85" s="135"/>
      <c r="Q85" s="135"/>
      <c r="R85" s="135"/>
      <c r="S85" s="135"/>
      <c r="T85" s="135"/>
      <c r="U85" s="134"/>
      <c r="V85" s="134"/>
      <c r="W85" s="134"/>
      <c r="X85" s="134"/>
      <c r="Y85" s="134"/>
      <c r="Z85" s="134"/>
      <c r="AA85" s="134"/>
      <c r="AB85" s="134"/>
      <c r="AC85" s="134"/>
    </row>
    <row r="86" ht="25.5" customHeight="1">
      <c r="A86" s="146"/>
      <c r="B86" s="146"/>
      <c r="C86" s="146"/>
      <c r="D86" s="146"/>
      <c r="E86" s="146"/>
      <c r="F86" s="146"/>
      <c r="G86" s="143" t="s">
        <v>887</v>
      </c>
      <c r="H86" s="143" t="s">
        <v>888</v>
      </c>
      <c r="I86" s="146"/>
      <c r="J86" s="144"/>
      <c r="K86" s="135"/>
      <c r="L86" s="135"/>
      <c r="M86" s="135"/>
      <c r="N86" s="135"/>
      <c r="O86" s="135"/>
      <c r="P86" s="135"/>
      <c r="Q86" s="135"/>
      <c r="R86" s="135"/>
      <c r="S86" s="135"/>
      <c r="T86" s="135"/>
      <c r="U86" s="134"/>
      <c r="V86" s="134"/>
      <c r="W86" s="134"/>
      <c r="X86" s="134"/>
      <c r="Y86" s="134"/>
      <c r="Z86" s="134"/>
      <c r="AA86" s="134"/>
      <c r="AB86" s="134"/>
      <c r="AC86" s="134"/>
    </row>
    <row r="87" ht="25.5" customHeight="1">
      <c r="A87" s="147" t="s">
        <v>338</v>
      </c>
      <c r="B87" s="148" t="s">
        <v>341</v>
      </c>
      <c r="C87" s="149" t="s">
        <v>889</v>
      </c>
      <c r="D87" s="147" t="s">
        <v>58</v>
      </c>
      <c r="E87" s="148" t="s">
        <v>183</v>
      </c>
      <c r="F87" s="148" t="s">
        <v>88</v>
      </c>
      <c r="G87" s="150" t="s">
        <v>890</v>
      </c>
      <c r="H87" s="150" t="s">
        <v>891</v>
      </c>
      <c r="I87" s="148" t="s">
        <v>156</v>
      </c>
      <c r="J87" s="151"/>
      <c r="K87" s="135"/>
      <c r="L87" s="135"/>
      <c r="M87" s="135"/>
      <c r="N87" s="135"/>
      <c r="O87" s="135"/>
      <c r="P87" s="135"/>
      <c r="Q87" s="135"/>
      <c r="R87" s="135"/>
      <c r="S87" s="135"/>
      <c r="T87" s="135"/>
      <c r="U87" s="134"/>
      <c r="V87" s="134"/>
      <c r="W87" s="134"/>
      <c r="X87" s="134"/>
      <c r="Y87" s="134"/>
      <c r="Z87" s="134"/>
      <c r="AA87" s="134"/>
      <c r="AB87" s="134"/>
      <c r="AC87" s="134"/>
    </row>
    <row r="88" ht="25.5" customHeight="1">
      <c r="A88" s="145"/>
      <c r="B88" s="145"/>
      <c r="C88" s="145"/>
      <c r="D88" s="145"/>
      <c r="E88" s="145"/>
      <c r="F88" s="145"/>
      <c r="G88" s="150" t="s">
        <v>892</v>
      </c>
      <c r="H88" s="150" t="s">
        <v>893</v>
      </c>
      <c r="I88" s="145"/>
      <c r="J88" s="151"/>
      <c r="K88" s="135"/>
      <c r="L88" s="135"/>
      <c r="M88" s="135"/>
      <c r="N88" s="135"/>
      <c r="O88" s="135"/>
      <c r="P88" s="135"/>
      <c r="Q88" s="135"/>
      <c r="R88" s="135"/>
      <c r="S88" s="135"/>
      <c r="T88" s="135"/>
      <c r="U88" s="134"/>
      <c r="V88" s="134"/>
      <c r="W88" s="134"/>
      <c r="X88" s="134"/>
      <c r="Y88" s="134"/>
      <c r="Z88" s="134"/>
      <c r="AA88" s="134"/>
      <c r="AB88" s="134"/>
      <c r="AC88" s="134"/>
    </row>
    <row r="89" ht="25.5" customHeight="1">
      <c r="A89" s="145"/>
      <c r="B89" s="146"/>
      <c r="C89" s="146"/>
      <c r="D89" s="146"/>
      <c r="E89" s="146"/>
      <c r="F89" s="146"/>
      <c r="G89" s="150" t="s">
        <v>894</v>
      </c>
      <c r="H89" s="150" t="s">
        <v>895</v>
      </c>
      <c r="I89" s="146"/>
      <c r="J89" s="151"/>
      <c r="K89" s="135"/>
      <c r="L89" s="135"/>
      <c r="M89" s="135"/>
      <c r="N89" s="135"/>
      <c r="O89" s="135"/>
      <c r="P89" s="135"/>
      <c r="Q89" s="135"/>
      <c r="R89" s="135"/>
      <c r="S89" s="135"/>
      <c r="T89" s="135"/>
      <c r="U89" s="134"/>
      <c r="V89" s="134"/>
      <c r="W89" s="134"/>
      <c r="X89" s="134"/>
      <c r="Y89" s="134"/>
      <c r="Z89" s="134"/>
      <c r="AA89" s="134"/>
      <c r="AB89" s="134"/>
      <c r="AC89" s="134"/>
    </row>
    <row r="90" ht="25.5" customHeight="1">
      <c r="A90" s="145"/>
      <c r="B90" s="148" t="s">
        <v>345</v>
      </c>
      <c r="C90" s="149" t="s">
        <v>896</v>
      </c>
      <c r="D90" s="147" t="s">
        <v>58</v>
      </c>
      <c r="E90" s="148" t="s">
        <v>183</v>
      </c>
      <c r="F90" s="148" t="s">
        <v>88</v>
      </c>
      <c r="G90" s="150" t="s">
        <v>897</v>
      </c>
      <c r="H90" s="150" t="s">
        <v>898</v>
      </c>
      <c r="I90" s="148" t="s">
        <v>156</v>
      </c>
      <c r="J90" s="151"/>
      <c r="K90" s="135"/>
      <c r="L90" s="135"/>
      <c r="M90" s="135"/>
      <c r="N90" s="135"/>
      <c r="O90" s="135"/>
      <c r="P90" s="135"/>
      <c r="Q90" s="135"/>
      <c r="R90" s="135"/>
      <c r="S90" s="135"/>
      <c r="T90" s="135"/>
      <c r="U90" s="134"/>
      <c r="V90" s="134"/>
      <c r="W90" s="134"/>
      <c r="X90" s="134"/>
      <c r="Y90" s="134"/>
      <c r="Z90" s="134"/>
      <c r="AA90" s="134"/>
      <c r="AB90" s="134"/>
      <c r="AC90" s="134"/>
    </row>
    <row r="91" ht="25.5" customHeight="1">
      <c r="A91" s="145"/>
      <c r="B91" s="146"/>
      <c r="C91" s="146"/>
      <c r="D91" s="146"/>
      <c r="E91" s="146"/>
      <c r="F91" s="146"/>
      <c r="G91" s="150" t="s">
        <v>899</v>
      </c>
      <c r="H91" s="150" t="s">
        <v>900</v>
      </c>
      <c r="I91" s="146"/>
      <c r="J91" s="151"/>
      <c r="K91" s="135"/>
      <c r="L91" s="135"/>
      <c r="M91" s="135"/>
      <c r="N91" s="135"/>
      <c r="O91" s="135"/>
      <c r="P91" s="135"/>
      <c r="Q91" s="135"/>
      <c r="R91" s="135"/>
      <c r="S91" s="135"/>
      <c r="T91" s="135"/>
      <c r="U91" s="134"/>
      <c r="V91" s="134"/>
      <c r="W91" s="134"/>
      <c r="X91" s="134"/>
      <c r="Y91" s="134"/>
      <c r="Z91" s="134"/>
      <c r="AA91" s="134"/>
      <c r="AB91" s="134"/>
      <c r="AC91" s="134"/>
    </row>
    <row r="92" ht="25.5" customHeight="1">
      <c r="A92" s="145"/>
      <c r="B92" s="148" t="s">
        <v>349</v>
      </c>
      <c r="C92" s="149" t="s">
        <v>901</v>
      </c>
      <c r="D92" s="147" t="s">
        <v>12</v>
      </c>
      <c r="E92" s="148" t="s">
        <v>183</v>
      </c>
      <c r="F92" s="148" t="s">
        <v>88</v>
      </c>
      <c r="G92" s="150" t="s">
        <v>902</v>
      </c>
      <c r="H92" s="150" t="s">
        <v>903</v>
      </c>
      <c r="I92" s="148" t="s">
        <v>156</v>
      </c>
      <c r="J92" s="151"/>
      <c r="K92" s="135"/>
      <c r="L92" s="135"/>
      <c r="M92" s="135"/>
      <c r="N92" s="135"/>
      <c r="O92" s="135"/>
      <c r="P92" s="135"/>
      <c r="Q92" s="135"/>
      <c r="R92" s="135"/>
      <c r="S92" s="135"/>
      <c r="T92" s="135"/>
      <c r="U92" s="134"/>
      <c r="V92" s="134"/>
      <c r="W92" s="134"/>
      <c r="X92" s="134"/>
      <c r="Y92" s="134"/>
      <c r="Z92" s="134"/>
      <c r="AA92" s="134"/>
      <c r="AB92" s="134"/>
      <c r="AC92" s="134"/>
    </row>
    <row r="93" ht="25.5" customHeight="1">
      <c r="A93" s="145"/>
      <c r="B93" s="145"/>
      <c r="C93" s="145"/>
      <c r="D93" s="145"/>
      <c r="E93" s="145"/>
      <c r="F93" s="145"/>
      <c r="G93" s="150" t="s">
        <v>904</v>
      </c>
      <c r="H93" s="150" t="s">
        <v>905</v>
      </c>
      <c r="I93" s="145"/>
      <c r="J93" s="151"/>
      <c r="K93" s="135"/>
      <c r="L93" s="135"/>
      <c r="M93" s="135"/>
      <c r="N93" s="135"/>
      <c r="O93" s="135"/>
      <c r="P93" s="135"/>
      <c r="Q93" s="135"/>
      <c r="R93" s="135"/>
      <c r="S93" s="135"/>
      <c r="T93" s="135"/>
      <c r="U93" s="134"/>
      <c r="V93" s="134"/>
      <c r="W93" s="134"/>
      <c r="X93" s="134"/>
      <c r="Y93" s="134"/>
      <c r="Z93" s="134"/>
      <c r="AA93" s="134"/>
      <c r="AB93" s="134"/>
      <c r="AC93" s="134"/>
    </row>
    <row r="94" ht="25.5" customHeight="1">
      <c r="A94" s="145"/>
      <c r="B94" s="146"/>
      <c r="C94" s="146"/>
      <c r="D94" s="146"/>
      <c r="E94" s="146"/>
      <c r="F94" s="146"/>
      <c r="G94" s="150" t="s">
        <v>906</v>
      </c>
      <c r="H94" s="150" t="s">
        <v>907</v>
      </c>
      <c r="I94" s="146"/>
      <c r="J94" s="151"/>
      <c r="K94" s="135"/>
      <c r="L94" s="135"/>
      <c r="M94" s="135"/>
      <c r="N94" s="135"/>
      <c r="O94" s="135"/>
      <c r="P94" s="135"/>
      <c r="Q94" s="135"/>
      <c r="R94" s="135"/>
      <c r="S94" s="135"/>
      <c r="T94" s="135"/>
      <c r="U94" s="134"/>
      <c r="V94" s="134"/>
      <c r="W94" s="134"/>
      <c r="X94" s="134"/>
      <c r="Y94" s="134"/>
      <c r="Z94" s="134"/>
      <c r="AA94" s="134"/>
      <c r="AB94" s="134"/>
      <c r="AC94" s="134"/>
    </row>
    <row r="95" ht="25.5" customHeight="1">
      <c r="A95" s="145"/>
      <c r="B95" s="148" t="s">
        <v>353</v>
      </c>
      <c r="C95" s="149" t="s">
        <v>908</v>
      </c>
      <c r="D95" s="147" t="s">
        <v>12</v>
      </c>
      <c r="E95" s="148" t="s">
        <v>183</v>
      </c>
      <c r="F95" s="148" t="s">
        <v>88</v>
      </c>
      <c r="G95" s="150" t="s">
        <v>909</v>
      </c>
      <c r="H95" s="150" t="s">
        <v>910</v>
      </c>
      <c r="I95" s="148" t="s">
        <v>156</v>
      </c>
      <c r="J95" s="151"/>
      <c r="K95" s="135"/>
      <c r="L95" s="135"/>
      <c r="M95" s="135"/>
      <c r="N95" s="135"/>
      <c r="O95" s="135"/>
      <c r="P95" s="135"/>
      <c r="Q95" s="135"/>
      <c r="R95" s="135"/>
      <c r="S95" s="135"/>
      <c r="T95" s="135"/>
      <c r="U95" s="134"/>
      <c r="V95" s="134"/>
      <c r="W95" s="134"/>
      <c r="X95" s="134"/>
      <c r="Y95" s="134"/>
      <c r="Z95" s="134"/>
      <c r="AA95" s="134"/>
      <c r="AB95" s="134"/>
      <c r="AC95" s="134"/>
    </row>
    <row r="96" ht="25.5" customHeight="1">
      <c r="A96" s="145"/>
      <c r="B96" s="146"/>
      <c r="C96" s="146"/>
      <c r="D96" s="146"/>
      <c r="E96" s="146"/>
      <c r="F96" s="146"/>
      <c r="G96" s="150" t="s">
        <v>911</v>
      </c>
      <c r="H96" s="150" t="s">
        <v>912</v>
      </c>
      <c r="I96" s="146"/>
      <c r="J96" s="151"/>
      <c r="K96" s="135"/>
      <c r="L96" s="135"/>
      <c r="M96" s="135"/>
      <c r="N96" s="135"/>
      <c r="O96" s="135"/>
      <c r="P96" s="135"/>
      <c r="Q96" s="135"/>
      <c r="R96" s="135"/>
      <c r="S96" s="135"/>
      <c r="T96" s="135"/>
      <c r="U96" s="134"/>
      <c r="V96" s="134"/>
      <c r="W96" s="134"/>
      <c r="X96" s="134"/>
      <c r="Y96" s="134"/>
      <c r="Z96" s="134"/>
      <c r="AA96" s="134"/>
      <c r="AB96" s="134"/>
      <c r="AC96" s="134"/>
    </row>
    <row r="97" ht="25.5" customHeight="1">
      <c r="A97" s="145"/>
      <c r="B97" s="148" t="s">
        <v>357</v>
      </c>
      <c r="C97" s="149" t="s">
        <v>913</v>
      </c>
      <c r="D97" s="147" t="s">
        <v>12</v>
      </c>
      <c r="E97" s="148" t="s">
        <v>183</v>
      </c>
      <c r="F97" s="148" t="s">
        <v>88</v>
      </c>
      <c r="G97" s="150" t="s">
        <v>914</v>
      </c>
      <c r="H97" s="150" t="s">
        <v>915</v>
      </c>
      <c r="I97" s="148" t="s">
        <v>156</v>
      </c>
      <c r="J97" s="151"/>
      <c r="K97" s="135"/>
      <c r="L97" s="135"/>
      <c r="M97" s="135"/>
      <c r="N97" s="135"/>
      <c r="O97" s="135"/>
      <c r="P97" s="135"/>
      <c r="Q97" s="135"/>
      <c r="R97" s="135"/>
      <c r="S97" s="135"/>
      <c r="T97" s="135"/>
      <c r="U97" s="134"/>
      <c r="V97" s="134"/>
      <c r="W97" s="134"/>
      <c r="X97" s="134"/>
      <c r="Y97" s="134"/>
      <c r="Z97" s="134"/>
      <c r="AA97" s="134"/>
      <c r="AB97" s="134"/>
      <c r="AC97" s="134"/>
    </row>
    <row r="98" ht="25.5" customHeight="1">
      <c r="A98" s="145"/>
      <c r="B98" s="145"/>
      <c r="C98" s="145"/>
      <c r="D98" s="145"/>
      <c r="E98" s="145"/>
      <c r="F98" s="145"/>
      <c r="G98" s="150" t="s">
        <v>916</v>
      </c>
      <c r="H98" s="150" t="s">
        <v>917</v>
      </c>
      <c r="I98" s="145"/>
      <c r="J98" s="151"/>
      <c r="K98" s="135"/>
      <c r="L98" s="135"/>
      <c r="M98" s="135"/>
      <c r="N98" s="135"/>
      <c r="O98" s="135"/>
      <c r="P98" s="135"/>
      <c r="Q98" s="135"/>
      <c r="R98" s="135"/>
      <c r="S98" s="135"/>
      <c r="T98" s="135"/>
      <c r="U98" s="134"/>
      <c r="V98" s="134"/>
      <c r="W98" s="134"/>
      <c r="X98" s="134"/>
      <c r="Y98" s="134"/>
      <c r="Z98" s="134"/>
      <c r="AA98" s="134"/>
      <c r="AB98" s="134"/>
      <c r="AC98" s="134"/>
    </row>
    <row r="99" ht="25.5" customHeight="1">
      <c r="A99" s="146"/>
      <c r="B99" s="146"/>
      <c r="C99" s="146"/>
      <c r="D99" s="146"/>
      <c r="E99" s="146"/>
      <c r="F99" s="146"/>
      <c r="G99" s="150" t="s">
        <v>918</v>
      </c>
      <c r="H99" s="150" t="s">
        <v>919</v>
      </c>
      <c r="I99" s="146"/>
      <c r="J99" s="151"/>
      <c r="K99" s="135"/>
      <c r="L99" s="135"/>
      <c r="M99" s="135"/>
      <c r="N99" s="135"/>
      <c r="O99" s="135"/>
      <c r="P99" s="135"/>
      <c r="Q99" s="135"/>
      <c r="R99" s="135"/>
      <c r="S99" s="135"/>
      <c r="T99" s="135"/>
      <c r="U99" s="134"/>
      <c r="V99" s="134"/>
      <c r="W99" s="134"/>
      <c r="X99" s="134"/>
      <c r="Y99" s="134"/>
      <c r="Z99" s="134"/>
      <c r="AA99" s="134"/>
      <c r="AB99" s="134"/>
      <c r="AC99" s="134"/>
    </row>
    <row r="100" ht="25.5" customHeight="1">
      <c r="A100" s="139" t="s">
        <v>360</v>
      </c>
      <c r="B100" s="140" t="s">
        <v>363</v>
      </c>
      <c r="C100" s="141" t="s">
        <v>920</v>
      </c>
      <c r="D100" s="139" t="s">
        <v>12</v>
      </c>
      <c r="E100" s="140" t="s">
        <v>183</v>
      </c>
      <c r="F100" s="140" t="s">
        <v>88</v>
      </c>
      <c r="G100" s="143" t="s">
        <v>921</v>
      </c>
      <c r="H100" s="143" t="s">
        <v>922</v>
      </c>
      <c r="I100" s="140" t="s">
        <v>156</v>
      </c>
      <c r="J100" s="144"/>
      <c r="K100" s="135"/>
      <c r="L100" s="135"/>
      <c r="M100" s="135"/>
      <c r="N100" s="135"/>
      <c r="O100" s="135"/>
      <c r="P100" s="135"/>
      <c r="Q100" s="135"/>
      <c r="R100" s="135"/>
      <c r="S100" s="135"/>
      <c r="T100" s="135"/>
      <c r="U100" s="134"/>
      <c r="V100" s="134"/>
      <c r="W100" s="134"/>
      <c r="X100" s="134"/>
      <c r="Y100" s="134"/>
      <c r="Z100" s="134"/>
      <c r="AA100" s="134"/>
      <c r="AB100" s="134"/>
      <c r="AC100" s="134"/>
    </row>
    <row r="101" ht="25.5" customHeight="1">
      <c r="A101" s="145"/>
      <c r="B101" s="146"/>
      <c r="C101" s="146"/>
      <c r="D101" s="146"/>
      <c r="E101" s="146"/>
      <c r="F101" s="146"/>
      <c r="G101" s="143" t="s">
        <v>923</v>
      </c>
      <c r="H101" s="143" t="s">
        <v>924</v>
      </c>
      <c r="I101" s="146"/>
      <c r="J101" s="144"/>
      <c r="K101" s="135"/>
      <c r="L101" s="135"/>
      <c r="M101" s="135"/>
      <c r="N101" s="135"/>
      <c r="O101" s="135"/>
      <c r="P101" s="135"/>
      <c r="Q101" s="135"/>
      <c r="R101" s="135"/>
      <c r="S101" s="135"/>
      <c r="T101" s="135"/>
      <c r="U101" s="134"/>
      <c r="V101" s="134"/>
      <c r="W101" s="134"/>
      <c r="X101" s="134"/>
      <c r="Y101" s="134"/>
      <c r="Z101" s="134"/>
      <c r="AA101" s="134"/>
      <c r="AB101" s="134"/>
      <c r="AC101" s="134"/>
    </row>
    <row r="102" ht="25.5" customHeight="1">
      <c r="A102" s="145"/>
      <c r="B102" s="140" t="s">
        <v>367</v>
      </c>
      <c r="C102" s="141" t="s">
        <v>925</v>
      </c>
      <c r="D102" s="139" t="s">
        <v>58</v>
      </c>
      <c r="E102" s="140" t="s">
        <v>183</v>
      </c>
      <c r="F102" s="140" t="s">
        <v>88</v>
      </c>
      <c r="G102" s="143" t="s">
        <v>926</v>
      </c>
      <c r="H102" s="143" t="s">
        <v>927</v>
      </c>
      <c r="I102" s="140" t="s">
        <v>156</v>
      </c>
      <c r="J102" s="144"/>
      <c r="K102" s="135"/>
      <c r="L102" s="135"/>
      <c r="M102" s="135"/>
      <c r="N102" s="135"/>
      <c r="O102" s="135"/>
      <c r="P102" s="135"/>
      <c r="Q102" s="135"/>
      <c r="R102" s="135"/>
      <c r="S102" s="135"/>
      <c r="T102" s="135"/>
      <c r="U102" s="134"/>
      <c r="V102" s="134"/>
      <c r="W102" s="134"/>
      <c r="X102" s="134"/>
      <c r="Y102" s="134"/>
      <c r="Z102" s="134"/>
      <c r="AA102" s="134"/>
      <c r="AB102" s="134"/>
      <c r="AC102" s="134"/>
    </row>
    <row r="103" ht="25.5" customHeight="1">
      <c r="A103" s="145"/>
      <c r="B103" s="145"/>
      <c r="C103" s="145"/>
      <c r="D103" s="145"/>
      <c r="E103" s="145"/>
      <c r="F103" s="145"/>
      <c r="G103" s="143" t="s">
        <v>928</v>
      </c>
      <c r="H103" s="143" t="s">
        <v>929</v>
      </c>
      <c r="I103" s="145"/>
      <c r="J103" s="144"/>
      <c r="K103" s="135"/>
      <c r="L103" s="135"/>
      <c r="M103" s="135"/>
      <c r="N103" s="135"/>
      <c r="O103" s="135"/>
      <c r="P103" s="135"/>
      <c r="Q103" s="135"/>
      <c r="R103" s="135"/>
      <c r="S103" s="135"/>
      <c r="T103" s="135"/>
      <c r="U103" s="134"/>
      <c r="V103" s="134"/>
      <c r="W103" s="134"/>
      <c r="X103" s="134"/>
      <c r="Y103" s="134"/>
      <c r="Z103" s="134"/>
      <c r="AA103" s="134"/>
      <c r="AB103" s="134"/>
      <c r="AC103" s="134"/>
    </row>
    <row r="104" ht="25.5" customHeight="1">
      <c r="A104" s="145"/>
      <c r="B104" s="146"/>
      <c r="C104" s="146"/>
      <c r="D104" s="146"/>
      <c r="E104" s="146"/>
      <c r="F104" s="146"/>
      <c r="G104" s="143" t="s">
        <v>930</v>
      </c>
      <c r="H104" s="143" t="s">
        <v>931</v>
      </c>
      <c r="I104" s="146"/>
      <c r="J104" s="144"/>
      <c r="K104" s="135"/>
      <c r="L104" s="135"/>
      <c r="M104" s="135"/>
      <c r="N104" s="135"/>
      <c r="O104" s="135"/>
      <c r="P104" s="135"/>
      <c r="Q104" s="135"/>
      <c r="R104" s="135"/>
      <c r="S104" s="135"/>
      <c r="T104" s="135"/>
      <c r="U104" s="134"/>
      <c r="V104" s="134"/>
      <c r="W104" s="134"/>
      <c r="X104" s="134"/>
      <c r="Y104" s="134"/>
      <c r="Z104" s="134"/>
      <c r="AA104" s="134"/>
      <c r="AB104" s="134"/>
      <c r="AC104" s="134"/>
    </row>
    <row r="105" ht="25.5" customHeight="1">
      <c r="A105" s="145"/>
      <c r="B105" s="140" t="s">
        <v>371</v>
      </c>
      <c r="C105" s="141" t="s">
        <v>932</v>
      </c>
      <c r="D105" s="139" t="s">
        <v>58</v>
      </c>
      <c r="E105" s="140" t="s">
        <v>183</v>
      </c>
      <c r="F105" s="140" t="s">
        <v>88</v>
      </c>
      <c r="G105" s="143" t="s">
        <v>933</v>
      </c>
      <c r="H105" s="143" t="s">
        <v>934</v>
      </c>
      <c r="I105" s="140" t="s">
        <v>156</v>
      </c>
      <c r="J105" s="144"/>
      <c r="K105" s="135"/>
      <c r="L105" s="135"/>
      <c r="M105" s="135"/>
      <c r="N105" s="135"/>
      <c r="O105" s="135"/>
      <c r="P105" s="135"/>
      <c r="Q105" s="135"/>
      <c r="R105" s="135"/>
      <c r="S105" s="135"/>
      <c r="T105" s="135"/>
      <c r="U105" s="134"/>
      <c r="V105" s="134"/>
      <c r="W105" s="134"/>
      <c r="X105" s="134"/>
      <c r="Y105" s="134"/>
      <c r="Z105" s="134"/>
      <c r="AA105" s="134"/>
      <c r="AB105" s="134"/>
      <c r="AC105" s="134"/>
    </row>
    <row r="106" ht="25.5" customHeight="1">
      <c r="A106" s="145"/>
      <c r="B106" s="145"/>
      <c r="C106" s="145"/>
      <c r="D106" s="145"/>
      <c r="E106" s="145"/>
      <c r="F106" s="145"/>
      <c r="G106" s="143" t="s">
        <v>935</v>
      </c>
      <c r="H106" s="143" t="s">
        <v>936</v>
      </c>
      <c r="I106" s="145"/>
      <c r="J106" s="144"/>
      <c r="K106" s="135"/>
      <c r="L106" s="135"/>
      <c r="M106" s="135"/>
      <c r="N106" s="135"/>
      <c r="O106" s="135"/>
      <c r="P106" s="135"/>
      <c r="Q106" s="135"/>
      <c r="R106" s="135"/>
      <c r="S106" s="135"/>
      <c r="T106" s="135"/>
      <c r="U106" s="134"/>
      <c r="V106" s="134"/>
      <c r="W106" s="134"/>
      <c r="X106" s="134"/>
      <c r="Y106" s="134"/>
      <c r="Z106" s="134"/>
      <c r="AA106" s="134"/>
      <c r="AB106" s="134"/>
      <c r="AC106" s="134"/>
    </row>
    <row r="107" ht="25.5" customHeight="1">
      <c r="A107" s="145"/>
      <c r="B107" s="146"/>
      <c r="C107" s="146"/>
      <c r="D107" s="146"/>
      <c r="E107" s="146"/>
      <c r="F107" s="146"/>
      <c r="G107" s="143" t="s">
        <v>937</v>
      </c>
      <c r="H107" s="143" t="s">
        <v>938</v>
      </c>
      <c r="I107" s="146"/>
      <c r="J107" s="144"/>
      <c r="K107" s="135"/>
      <c r="L107" s="135"/>
      <c r="M107" s="135"/>
      <c r="N107" s="135"/>
      <c r="O107" s="135"/>
      <c r="P107" s="135"/>
      <c r="Q107" s="135"/>
      <c r="R107" s="135"/>
      <c r="S107" s="135"/>
      <c r="T107" s="135"/>
      <c r="U107" s="134"/>
      <c r="V107" s="134"/>
      <c r="W107" s="134"/>
      <c r="X107" s="134"/>
      <c r="Y107" s="134"/>
      <c r="Z107" s="134"/>
      <c r="AA107" s="134"/>
      <c r="AB107" s="134"/>
      <c r="AC107" s="134"/>
    </row>
    <row r="108" ht="25.5" customHeight="1">
      <c r="A108" s="145"/>
      <c r="B108" s="140" t="s">
        <v>375</v>
      </c>
      <c r="C108" s="141" t="s">
        <v>939</v>
      </c>
      <c r="D108" s="139" t="s">
        <v>58</v>
      </c>
      <c r="E108" s="140" t="s">
        <v>183</v>
      </c>
      <c r="F108" s="140" t="s">
        <v>88</v>
      </c>
      <c r="G108" s="143" t="s">
        <v>940</v>
      </c>
      <c r="H108" s="143" t="s">
        <v>941</v>
      </c>
      <c r="I108" s="140" t="s">
        <v>156</v>
      </c>
      <c r="J108" s="144"/>
      <c r="K108" s="135"/>
      <c r="L108" s="135"/>
      <c r="M108" s="135"/>
      <c r="N108" s="135"/>
      <c r="O108" s="135"/>
      <c r="P108" s="135"/>
      <c r="Q108" s="135"/>
      <c r="R108" s="135"/>
      <c r="S108" s="135"/>
      <c r="T108" s="135"/>
      <c r="U108" s="134"/>
      <c r="V108" s="134"/>
      <c r="W108" s="134"/>
      <c r="X108" s="134"/>
      <c r="Y108" s="134"/>
      <c r="Z108" s="134"/>
      <c r="AA108" s="134"/>
      <c r="AB108" s="134"/>
      <c r="AC108" s="134"/>
    </row>
    <row r="109" ht="25.5" customHeight="1">
      <c r="A109" s="145"/>
      <c r="B109" s="145"/>
      <c r="C109" s="145"/>
      <c r="D109" s="145"/>
      <c r="E109" s="145"/>
      <c r="F109" s="145"/>
      <c r="G109" s="143" t="s">
        <v>942</v>
      </c>
      <c r="H109" s="143" t="s">
        <v>943</v>
      </c>
      <c r="I109" s="145"/>
      <c r="J109" s="144"/>
      <c r="K109" s="135"/>
      <c r="L109" s="135"/>
      <c r="M109" s="135"/>
      <c r="N109" s="135"/>
      <c r="O109" s="135"/>
      <c r="P109" s="135"/>
      <c r="Q109" s="135"/>
      <c r="R109" s="135"/>
      <c r="S109" s="135"/>
      <c r="T109" s="135"/>
      <c r="U109" s="134"/>
      <c r="V109" s="134"/>
      <c r="W109" s="134"/>
      <c r="X109" s="134"/>
      <c r="Y109" s="134"/>
      <c r="Z109" s="134"/>
      <c r="AA109" s="134"/>
      <c r="AB109" s="134"/>
      <c r="AC109" s="134"/>
    </row>
    <row r="110" ht="25.5" customHeight="1">
      <c r="A110" s="145"/>
      <c r="B110" s="146"/>
      <c r="C110" s="146"/>
      <c r="D110" s="146"/>
      <c r="E110" s="146"/>
      <c r="F110" s="146"/>
      <c r="G110" s="143" t="s">
        <v>944</v>
      </c>
      <c r="H110" s="143" t="s">
        <v>945</v>
      </c>
      <c r="I110" s="146"/>
      <c r="J110" s="144"/>
      <c r="K110" s="135"/>
      <c r="L110" s="135"/>
      <c r="M110" s="135"/>
      <c r="N110" s="135"/>
      <c r="O110" s="135"/>
      <c r="P110" s="135"/>
      <c r="Q110" s="135"/>
      <c r="R110" s="135"/>
      <c r="S110" s="135"/>
      <c r="T110" s="135"/>
      <c r="U110" s="134"/>
      <c r="V110" s="134"/>
      <c r="W110" s="134"/>
      <c r="X110" s="134"/>
      <c r="Y110" s="134"/>
      <c r="Z110" s="134"/>
      <c r="AA110" s="134"/>
      <c r="AB110" s="134"/>
      <c r="AC110" s="134"/>
    </row>
    <row r="111" ht="25.5" customHeight="1">
      <c r="A111" s="145"/>
      <c r="B111" s="140" t="s">
        <v>379</v>
      </c>
      <c r="C111" s="141" t="s">
        <v>946</v>
      </c>
      <c r="D111" s="139" t="s">
        <v>58</v>
      </c>
      <c r="E111" s="140" t="s">
        <v>183</v>
      </c>
      <c r="F111" s="140" t="s">
        <v>88</v>
      </c>
      <c r="G111" s="143" t="s">
        <v>947</v>
      </c>
      <c r="H111" s="143" t="s">
        <v>948</v>
      </c>
      <c r="I111" s="140" t="s">
        <v>156</v>
      </c>
      <c r="J111" s="144"/>
      <c r="K111" s="135"/>
      <c r="L111" s="135"/>
      <c r="M111" s="135"/>
      <c r="N111" s="135"/>
      <c r="O111" s="135"/>
      <c r="P111" s="135"/>
      <c r="Q111" s="135"/>
      <c r="R111" s="135"/>
      <c r="S111" s="135"/>
      <c r="T111" s="135"/>
      <c r="U111" s="134"/>
      <c r="V111" s="134"/>
      <c r="W111" s="134"/>
      <c r="X111" s="134"/>
      <c r="Y111" s="134"/>
      <c r="Z111" s="134"/>
      <c r="AA111" s="134"/>
      <c r="AB111" s="134"/>
      <c r="AC111" s="134"/>
    </row>
    <row r="112" ht="25.5" customHeight="1">
      <c r="A112" s="145"/>
      <c r="B112" s="146"/>
      <c r="C112" s="146"/>
      <c r="D112" s="146"/>
      <c r="E112" s="146"/>
      <c r="F112" s="146"/>
      <c r="G112" s="143" t="s">
        <v>949</v>
      </c>
      <c r="H112" s="143" t="s">
        <v>950</v>
      </c>
      <c r="I112" s="146"/>
      <c r="J112" s="144"/>
      <c r="K112" s="135"/>
      <c r="L112" s="135"/>
      <c r="M112" s="135"/>
      <c r="N112" s="135"/>
      <c r="O112" s="135"/>
      <c r="P112" s="135"/>
      <c r="Q112" s="135"/>
      <c r="R112" s="135"/>
      <c r="S112" s="135"/>
      <c r="T112" s="135"/>
      <c r="U112" s="134"/>
      <c r="V112" s="134"/>
      <c r="W112" s="134"/>
      <c r="X112" s="134"/>
      <c r="Y112" s="134"/>
      <c r="Z112" s="134"/>
      <c r="AA112" s="134"/>
      <c r="AB112" s="134"/>
      <c r="AC112" s="134"/>
    </row>
    <row r="113" ht="25.5" customHeight="1">
      <c r="A113" s="145"/>
      <c r="B113" s="140" t="s">
        <v>383</v>
      </c>
      <c r="C113" s="141" t="s">
        <v>951</v>
      </c>
      <c r="D113" s="139" t="s">
        <v>12</v>
      </c>
      <c r="E113" s="140" t="s">
        <v>183</v>
      </c>
      <c r="F113" s="140" t="s">
        <v>88</v>
      </c>
      <c r="G113" s="143" t="s">
        <v>952</v>
      </c>
      <c r="H113" s="143" t="s">
        <v>953</v>
      </c>
      <c r="I113" s="140" t="s">
        <v>156</v>
      </c>
      <c r="J113" s="144"/>
      <c r="K113" s="135"/>
      <c r="L113" s="135"/>
      <c r="M113" s="135"/>
      <c r="N113" s="135"/>
      <c r="O113" s="135"/>
      <c r="P113" s="135"/>
      <c r="Q113" s="135"/>
      <c r="R113" s="135"/>
      <c r="S113" s="135"/>
      <c r="T113" s="135"/>
      <c r="U113" s="134"/>
      <c r="V113" s="134"/>
      <c r="W113" s="134"/>
      <c r="X113" s="134"/>
      <c r="Y113" s="134"/>
      <c r="Z113" s="134"/>
      <c r="AA113" s="134"/>
      <c r="AB113" s="134"/>
      <c r="AC113" s="134"/>
    </row>
    <row r="114" ht="25.5" customHeight="1">
      <c r="A114" s="145"/>
      <c r="B114" s="145"/>
      <c r="C114" s="145"/>
      <c r="D114" s="145"/>
      <c r="E114" s="145"/>
      <c r="F114" s="145"/>
      <c r="G114" s="143" t="s">
        <v>954</v>
      </c>
      <c r="H114" s="143" t="s">
        <v>955</v>
      </c>
      <c r="I114" s="145"/>
      <c r="J114" s="144"/>
      <c r="K114" s="135"/>
      <c r="L114" s="135"/>
      <c r="M114" s="135"/>
      <c r="N114" s="135"/>
      <c r="O114" s="135"/>
      <c r="P114" s="135"/>
      <c r="Q114" s="135"/>
      <c r="R114" s="135"/>
      <c r="S114" s="135"/>
      <c r="T114" s="135"/>
      <c r="U114" s="134"/>
      <c r="V114" s="134"/>
      <c r="W114" s="134"/>
      <c r="X114" s="134"/>
      <c r="Y114" s="134"/>
      <c r="Z114" s="134"/>
      <c r="AA114" s="134"/>
      <c r="AB114" s="134"/>
      <c r="AC114" s="134"/>
    </row>
    <row r="115" ht="25.5" customHeight="1">
      <c r="A115" s="146"/>
      <c r="B115" s="146"/>
      <c r="C115" s="146"/>
      <c r="D115" s="146"/>
      <c r="E115" s="146"/>
      <c r="F115" s="146"/>
      <c r="G115" s="143" t="s">
        <v>956</v>
      </c>
      <c r="H115" s="143" t="s">
        <v>957</v>
      </c>
      <c r="I115" s="146"/>
      <c r="J115" s="144"/>
      <c r="K115" s="135"/>
      <c r="L115" s="135"/>
      <c r="M115" s="135"/>
      <c r="N115" s="135"/>
      <c r="O115" s="135"/>
      <c r="P115" s="135"/>
      <c r="Q115" s="135"/>
      <c r="R115" s="135"/>
      <c r="S115" s="135"/>
      <c r="T115" s="135"/>
      <c r="U115" s="134"/>
      <c r="V115" s="134"/>
      <c r="W115" s="134"/>
      <c r="X115" s="134"/>
      <c r="Y115" s="134"/>
      <c r="Z115" s="134"/>
      <c r="AA115" s="134"/>
      <c r="AB115" s="134"/>
      <c r="AC115" s="134"/>
    </row>
    <row r="116" ht="25.5" customHeight="1">
      <c r="A116" s="147" t="s">
        <v>385</v>
      </c>
      <c r="B116" s="148" t="s">
        <v>388</v>
      </c>
      <c r="C116" s="149" t="s">
        <v>958</v>
      </c>
      <c r="D116" s="147" t="s">
        <v>194</v>
      </c>
      <c r="E116" s="148" t="s">
        <v>183</v>
      </c>
      <c r="F116" s="148" t="s">
        <v>94</v>
      </c>
      <c r="G116" s="150" t="s">
        <v>959</v>
      </c>
      <c r="H116" s="150" t="s">
        <v>960</v>
      </c>
      <c r="I116" s="148" t="s">
        <v>156</v>
      </c>
      <c r="J116" s="151"/>
      <c r="K116" s="135"/>
      <c r="L116" s="135"/>
      <c r="M116" s="135"/>
      <c r="N116" s="135"/>
      <c r="O116" s="135"/>
      <c r="P116" s="135"/>
      <c r="Q116" s="135"/>
      <c r="R116" s="135"/>
      <c r="S116" s="135"/>
      <c r="T116" s="135"/>
      <c r="U116" s="134"/>
      <c r="V116" s="134"/>
      <c r="W116" s="134"/>
      <c r="X116" s="134"/>
      <c r="Y116" s="134"/>
      <c r="Z116" s="134"/>
      <c r="AA116" s="134"/>
      <c r="AB116" s="134"/>
      <c r="AC116" s="134"/>
    </row>
    <row r="117" ht="25.5" customHeight="1">
      <c r="A117" s="145"/>
      <c r="B117" s="145"/>
      <c r="C117" s="145"/>
      <c r="D117" s="145"/>
      <c r="E117" s="145"/>
      <c r="F117" s="145"/>
      <c r="G117" s="150" t="s">
        <v>961</v>
      </c>
      <c r="H117" s="150" t="s">
        <v>962</v>
      </c>
      <c r="I117" s="145"/>
      <c r="J117" s="151"/>
      <c r="K117" s="135"/>
      <c r="L117" s="135"/>
      <c r="M117" s="135"/>
      <c r="N117" s="135"/>
      <c r="O117" s="135"/>
      <c r="P117" s="135"/>
      <c r="Q117" s="135"/>
      <c r="R117" s="135"/>
      <c r="S117" s="135"/>
      <c r="T117" s="135"/>
      <c r="U117" s="134"/>
      <c r="V117" s="134"/>
      <c r="W117" s="134"/>
      <c r="X117" s="134"/>
      <c r="Y117" s="134"/>
      <c r="Z117" s="134"/>
      <c r="AA117" s="134"/>
      <c r="AB117" s="134"/>
      <c r="AC117" s="134"/>
    </row>
    <row r="118" ht="25.5" customHeight="1">
      <c r="A118" s="145"/>
      <c r="B118" s="146"/>
      <c r="C118" s="146"/>
      <c r="D118" s="146"/>
      <c r="E118" s="146"/>
      <c r="F118" s="146"/>
      <c r="G118" s="150" t="s">
        <v>963</v>
      </c>
      <c r="H118" s="150" t="s">
        <v>964</v>
      </c>
      <c r="I118" s="146"/>
      <c r="J118" s="151"/>
      <c r="K118" s="135"/>
      <c r="L118" s="135"/>
      <c r="M118" s="135"/>
      <c r="N118" s="135"/>
      <c r="O118" s="135"/>
      <c r="P118" s="135"/>
      <c r="Q118" s="135"/>
      <c r="R118" s="135"/>
      <c r="S118" s="135"/>
      <c r="T118" s="135"/>
      <c r="U118" s="134"/>
      <c r="V118" s="134"/>
      <c r="W118" s="134"/>
      <c r="X118" s="134"/>
      <c r="Y118" s="134"/>
      <c r="Z118" s="134"/>
      <c r="AA118" s="134"/>
      <c r="AB118" s="134"/>
      <c r="AC118" s="134"/>
    </row>
    <row r="119" ht="25.5" customHeight="1">
      <c r="A119" s="145"/>
      <c r="B119" s="148" t="s">
        <v>392</v>
      </c>
      <c r="C119" s="149" t="s">
        <v>965</v>
      </c>
      <c r="D119" s="147" t="s">
        <v>58</v>
      </c>
      <c r="E119" s="148" t="s">
        <v>183</v>
      </c>
      <c r="F119" s="148" t="s">
        <v>94</v>
      </c>
      <c r="G119" s="150" t="s">
        <v>966</v>
      </c>
      <c r="H119" s="150" t="s">
        <v>967</v>
      </c>
      <c r="I119" s="148" t="s">
        <v>156</v>
      </c>
      <c r="J119" s="151"/>
      <c r="K119" s="135"/>
      <c r="L119" s="135"/>
      <c r="M119" s="135"/>
      <c r="N119" s="135"/>
      <c r="O119" s="135"/>
      <c r="P119" s="135"/>
      <c r="Q119" s="135"/>
      <c r="R119" s="135"/>
      <c r="S119" s="135"/>
      <c r="T119" s="135"/>
      <c r="U119" s="134"/>
      <c r="V119" s="134"/>
      <c r="W119" s="134"/>
      <c r="X119" s="134"/>
      <c r="Y119" s="134"/>
      <c r="Z119" s="134"/>
      <c r="AA119" s="134"/>
      <c r="AB119" s="134"/>
      <c r="AC119" s="134"/>
    </row>
    <row r="120" ht="25.5" customHeight="1">
      <c r="A120" s="145"/>
      <c r="B120" s="146"/>
      <c r="C120" s="146"/>
      <c r="D120" s="146"/>
      <c r="E120" s="146"/>
      <c r="F120" s="146"/>
      <c r="G120" s="150" t="s">
        <v>968</v>
      </c>
      <c r="H120" s="150" t="s">
        <v>969</v>
      </c>
      <c r="I120" s="146"/>
      <c r="J120" s="151"/>
      <c r="K120" s="135"/>
      <c r="L120" s="135"/>
      <c r="M120" s="135"/>
      <c r="N120" s="135"/>
      <c r="O120" s="135"/>
      <c r="P120" s="135"/>
      <c r="Q120" s="135"/>
      <c r="R120" s="135"/>
      <c r="S120" s="135"/>
      <c r="T120" s="135"/>
      <c r="U120" s="134"/>
      <c r="V120" s="134"/>
      <c r="W120" s="134"/>
      <c r="X120" s="134"/>
      <c r="Y120" s="134"/>
      <c r="Z120" s="134"/>
      <c r="AA120" s="134"/>
      <c r="AB120" s="134"/>
      <c r="AC120" s="134"/>
    </row>
    <row r="121" ht="25.5" customHeight="1">
      <c r="A121" s="145"/>
      <c r="B121" s="148" t="s">
        <v>396</v>
      </c>
      <c r="C121" s="149" t="s">
        <v>970</v>
      </c>
      <c r="D121" s="147" t="s">
        <v>58</v>
      </c>
      <c r="E121" s="148" t="s">
        <v>183</v>
      </c>
      <c r="F121" s="148" t="s">
        <v>94</v>
      </c>
      <c r="G121" s="150" t="s">
        <v>971</v>
      </c>
      <c r="H121" s="150" t="s">
        <v>972</v>
      </c>
      <c r="I121" s="148" t="s">
        <v>156</v>
      </c>
      <c r="J121" s="151"/>
      <c r="K121" s="135"/>
      <c r="L121" s="135"/>
      <c r="M121" s="135"/>
      <c r="N121" s="135"/>
      <c r="O121" s="135"/>
      <c r="P121" s="135"/>
      <c r="Q121" s="135"/>
      <c r="R121" s="135"/>
      <c r="S121" s="135"/>
      <c r="T121" s="135"/>
      <c r="U121" s="134"/>
      <c r="V121" s="134"/>
      <c r="W121" s="134"/>
      <c r="X121" s="134"/>
      <c r="Y121" s="134"/>
      <c r="Z121" s="134"/>
      <c r="AA121" s="134"/>
      <c r="AB121" s="134"/>
      <c r="AC121" s="134"/>
    </row>
    <row r="122" ht="25.5" customHeight="1">
      <c r="A122" s="145"/>
      <c r="B122" s="145"/>
      <c r="C122" s="145"/>
      <c r="D122" s="145"/>
      <c r="E122" s="145"/>
      <c r="F122" s="145"/>
      <c r="G122" s="150" t="s">
        <v>973</v>
      </c>
      <c r="H122" s="150" t="s">
        <v>974</v>
      </c>
      <c r="I122" s="145"/>
      <c r="J122" s="151"/>
      <c r="K122" s="135"/>
      <c r="L122" s="135"/>
      <c r="M122" s="135"/>
      <c r="N122" s="135"/>
      <c r="O122" s="135"/>
      <c r="P122" s="135"/>
      <c r="Q122" s="135"/>
      <c r="R122" s="135"/>
      <c r="S122" s="135"/>
      <c r="T122" s="135"/>
      <c r="U122" s="134"/>
      <c r="V122" s="134"/>
      <c r="W122" s="134"/>
      <c r="X122" s="134"/>
      <c r="Y122" s="134"/>
      <c r="Z122" s="134"/>
      <c r="AA122" s="134"/>
      <c r="AB122" s="134"/>
      <c r="AC122" s="134"/>
    </row>
    <row r="123" ht="25.5" customHeight="1">
      <c r="A123" s="146"/>
      <c r="B123" s="146"/>
      <c r="C123" s="146"/>
      <c r="D123" s="146"/>
      <c r="E123" s="146"/>
      <c r="F123" s="146"/>
      <c r="G123" s="150" t="s">
        <v>975</v>
      </c>
      <c r="H123" s="150" t="s">
        <v>976</v>
      </c>
      <c r="I123" s="146"/>
      <c r="J123" s="151"/>
      <c r="K123" s="135"/>
      <c r="L123" s="135"/>
      <c r="M123" s="135"/>
      <c r="N123" s="135"/>
      <c r="O123" s="135"/>
      <c r="P123" s="135"/>
      <c r="Q123" s="135"/>
      <c r="R123" s="135"/>
      <c r="S123" s="135"/>
      <c r="T123" s="135"/>
      <c r="U123" s="134"/>
      <c r="V123" s="134"/>
      <c r="W123" s="134"/>
      <c r="X123" s="134"/>
      <c r="Y123" s="134"/>
      <c r="Z123" s="134"/>
      <c r="AA123" s="134"/>
      <c r="AB123" s="134"/>
      <c r="AC123" s="134"/>
    </row>
    <row r="124" ht="25.5" customHeight="1">
      <c r="A124" s="139" t="s">
        <v>399</v>
      </c>
      <c r="B124" s="140" t="s">
        <v>402</v>
      </c>
      <c r="C124" s="141" t="s">
        <v>977</v>
      </c>
      <c r="D124" s="139" t="s">
        <v>58</v>
      </c>
      <c r="E124" s="140" t="s">
        <v>183</v>
      </c>
      <c r="F124" s="140" t="s">
        <v>94</v>
      </c>
      <c r="G124" s="143" t="s">
        <v>978</v>
      </c>
      <c r="H124" s="143" t="s">
        <v>979</v>
      </c>
      <c r="I124" s="140" t="s">
        <v>156</v>
      </c>
      <c r="J124" s="144"/>
      <c r="K124" s="135"/>
      <c r="L124" s="135"/>
      <c r="M124" s="135"/>
      <c r="N124" s="135"/>
      <c r="O124" s="135"/>
      <c r="P124" s="135"/>
      <c r="Q124" s="135"/>
      <c r="R124" s="135"/>
      <c r="S124" s="135"/>
      <c r="T124" s="135"/>
      <c r="U124" s="134"/>
      <c r="V124" s="134"/>
      <c r="W124" s="134"/>
      <c r="X124" s="134"/>
      <c r="Y124" s="134"/>
      <c r="Z124" s="134"/>
      <c r="AA124" s="134"/>
      <c r="AB124" s="134"/>
      <c r="AC124" s="134"/>
    </row>
    <row r="125" ht="25.5" customHeight="1">
      <c r="A125" s="145"/>
      <c r="B125" s="146"/>
      <c r="C125" s="146"/>
      <c r="D125" s="146"/>
      <c r="E125" s="146"/>
      <c r="F125" s="146"/>
      <c r="G125" s="143" t="s">
        <v>980</v>
      </c>
      <c r="H125" s="143" t="s">
        <v>981</v>
      </c>
      <c r="I125" s="146"/>
      <c r="J125" s="144"/>
      <c r="K125" s="135"/>
      <c r="L125" s="135"/>
      <c r="M125" s="135"/>
      <c r="N125" s="135"/>
      <c r="O125" s="135"/>
      <c r="P125" s="135"/>
      <c r="Q125" s="135"/>
      <c r="R125" s="135"/>
      <c r="S125" s="135"/>
      <c r="T125" s="135"/>
      <c r="U125" s="134"/>
      <c r="V125" s="134"/>
      <c r="W125" s="134"/>
      <c r="X125" s="134"/>
      <c r="Y125" s="134"/>
      <c r="Z125" s="134"/>
      <c r="AA125" s="134"/>
      <c r="AB125" s="134"/>
      <c r="AC125" s="134"/>
    </row>
    <row r="126" ht="25.5" customHeight="1">
      <c r="A126" s="145"/>
      <c r="B126" s="140" t="s">
        <v>406</v>
      </c>
      <c r="C126" s="141" t="s">
        <v>982</v>
      </c>
      <c r="D126" s="139" t="s">
        <v>58</v>
      </c>
      <c r="E126" s="140" t="s">
        <v>183</v>
      </c>
      <c r="F126" s="140" t="s">
        <v>94</v>
      </c>
      <c r="G126" s="143" t="s">
        <v>983</v>
      </c>
      <c r="H126" s="143" t="s">
        <v>984</v>
      </c>
      <c r="I126" s="140" t="s">
        <v>156</v>
      </c>
      <c r="J126" s="144"/>
      <c r="K126" s="135"/>
      <c r="L126" s="135"/>
      <c r="M126" s="135"/>
      <c r="N126" s="135"/>
      <c r="O126" s="135"/>
      <c r="P126" s="135"/>
      <c r="Q126" s="135"/>
      <c r="R126" s="135"/>
      <c r="S126" s="135"/>
      <c r="T126" s="135"/>
      <c r="U126" s="134"/>
      <c r="V126" s="134"/>
      <c r="W126" s="134"/>
      <c r="X126" s="134"/>
      <c r="Y126" s="134"/>
      <c r="Z126" s="134"/>
      <c r="AA126" s="134"/>
      <c r="AB126" s="134"/>
      <c r="AC126" s="134"/>
    </row>
    <row r="127" ht="25.5" customHeight="1">
      <c r="A127" s="145"/>
      <c r="B127" s="145"/>
      <c r="C127" s="145"/>
      <c r="D127" s="145"/>
      <c r="E127" s="145"/>
      <c r="F127" s="145"/>
      <c r="G127" s="143" t="s">
        <v>985</v>
      </c>
      <c r="H127" s="143" t="s">
        <v>986</v>
      </c>
      <c r="I127" s="145"/>
      <c r="J127" s="144"/>
      <c r="K127" s="135"/>
      <c r="L127" s="135"/>
      <c r="M127" s="135"/>
      <c r="N127" s="135"/>
      <c r="O127" s="135"/>
      <c r="P127" s="135"/>
      <c r="Q127" s="135"/>
      <c r="R127" s="135"/>
      <c r="S127" s="135"/>
      <c r="T127" s="135"/>
      <c r="U127" s="134"/>
      <c r="V127" s="134"/>
      <c r="W127" s="134"/>
      <c r="X127" s="134"/>
      <c r="Y127" s="134"/>
      <c r="Z127" s="134"/>
      <c r="AA127" s="134"/>
      <c r="AB127" s="134"/>
      <c r="AC127" s="134"/>
    </row>
    <row r="128" ht="25.5" customHeight="1">
      <c r="A128" s="145"/>
      <c r="B128" s="146"/>
      <c r="C128" s="146"/>
      <c r="D128" s="146"/>
      <c r="E128" s="146"/>
      <c r="F128" s="146"/>
      <c r="G128" s="143" t="s">
        <v>987</v>
      </c>
      <c r="H128" s="143" t="s">
        <v>988</v>
      </c>
      <c r="I128" s="146"/>
      <c r="J128" s="144"/>
      <c r="K128" s="135"/>
      <c r="L128" s="135"/>
      <c r="M128" s="135"/>
      <c r="N128" s="135"/>
      <c r="O128" s="135"/>
      <c r="P128" s="135"/>
      <c r="Q128" s="135"/>
      <c r="R128" s="135"/>
      <c r="S128" s="135"/>
      <c r="T128" s="135"/>
      <c r="U128" s="134"/>
      <c r="V128" s="134"/>
      <c r="W128" s="134"/>
      <c r="X128" s="134"/>
      <c r="Y128" s="134"/>
      <c r="Z128" s="134"/>
      <c r="AA128" s="134"/>
      <c r="AB128" s="134"/>
      <c r="AC128" s="134"/>
    </row>
    <row r="129" ht="25.5" customHeight="1">
      <c r="A129" s="145"/>
      <c r="B129" s="140" t="s">
        <v>410</v>
      </c>
      <c r="C129" s="141" t="s">
        <v>989</v>
      </c>
      <c r="D129" s="139" t="s">
        <v>58</v>
      </c>
      <c r="E129" s="140" t="s">
        <v>183</v>
      </c>
      <c r="F129" s="140" t="s">
        <v>94</v>
      </c>
      <c r="G129" s="143" t="s">
        <v>990</v>
      </c>
      <c r="H129" s="143" t="s">
        <v>991</v>
      </c>
      <c r="I129" s="140" t="s">
        <v>156</v>
      </c>
      <c r="J129" s="144"/>
      <c r="K129" s="135"/>
      <c r="L129" s="135"/>
      <c r="M129" s="135"/>
      <c r="N129" s="135"/>
      <c r="O129" s="135"/>
      <c r="P129" s="135"/>
      <c r="Q129" s="135"/>
      <c r="R129" s="135"/>
      <c r="S129" s="135"/>
      <c r="T129" s="135"/>
      <c r="U129" s="134"/>
      <c r="V129" s="134"/>
      <c r="W129" s="134"/>
      <c r="X129" s="134"/>
      <c r="Y129" s="134"/>
      <c r="Z129" s="134"/>
      <c r="AA129" s="134"/>
      <c r="AB129" s="134"/>
      <c r="AC129" s="134"/>
    </row>
    <row r="130" ht="25.5" customHeight="1">
      <c r="A130" s="145"/>
      <c r="B130" s="146"/>
      <c r="C130" s="146"/>
      <c r="D130" s="146"/>
      <c r="E130" s="146"/>
      <c r="F130" s="146"/>
      <c r="G130" s="143" t="s">
        <v>992</v>
      </c>
      <c r="H130" s="143" t="s">
        <v>993</v>
      </c>
      <c r="I130" s="146"/>
      <c r="J130" s="144"/>
      <c r="K130" s="135"/>
      <c r="L130" s="135"/>
      <c r="M130" s="135"/>
      <c r="N130" s="135"/>
      <c r="O130" s="135"/>
      <c r="P130" s="135"/>
      <c r="Q130" s="135"/>
      <c r="R130" s="135"/>
      <c r="S130" s="135"/>
      <c r="T130" s="135"/>
      <c r="U130" s="134"/>
      <c r="V130" s="134"/>
      <c r="W130" s="134"/>
      <c r="X130" s="134"/>
      <c r="Y130" s="134"/>
      <c r="Z130" s="134"/>
      <c r="AA130" s="134"/>
      <c r="AB130" s="134"/>
      <c r="AC130" s="134"/>
    </row>
    <row r="131" ht="25.5" customHeight="1">
      <c r="A131" s="145"/>
      <c r="B131" s="140" t="s">
        <v>414</v>
      </c>
      <c r="C131" s="141" t="s">
        <v>994</v>
      </c>
      <c r="D131" s="139" t="s">
        <v>58</v>
      </c>
      <c r="E131" s="140" t="s">
        <v>183</v>
      </c>
      <c r="F131" s="140" t="s">
        <v>94</v>
      </c>
      <c r="G131" s="143" t="s">
        <v>995</v>
      </c>
      <c r="H131" s="143" t="s">
        <v>996</v>
      </c>
      <c r="I131" s="140" t="s">
        <v>156</v>
      </c>
      <c r="J131" s="144"/>
      <c r="K131" s="135"/>
      <c r="L131" s="135"/>
      <c r="M131" s="135"/>
      <c r="N131" s="135"/>
      <c r="O131" s="135"/>
      <c r="P131" s="135"/>
      <c r="Q131" s="135"/>
      <c r="R131" s="135"/>
      <c r="S131" s="135"/>
      <c r="T131" s="135"/>
      <c r="U131" s="134"/>
      <c r="V131" s="134"/>
      <c r="W131" s="134"/>
      <c r="X131" s="134"/>
      <c r="Y131" s="134"/>
      <c r="Z131" s="134"/>
      <c r="AA131" s="134"/>
      <c r="AB131" s="134"/>
      <c r="AC131" s="134"/>
    </row>
    <row r="132" ht="25.5" customHeight="1">
      <c r="A132" s="145"/>
      <c r="B132" s="145"/>
      <c r="C132" s="145"/>
      <c r="D132" s="145"/>
      <c r="E132" s="145"/>
      <c r="F132" s="145"/>
      <c r="G132" s="143" t="s">
        <v>997</v>
      </c>
      <c r="H132" s="143" t="s">
        <v>998</v>
      </c>
      <c r="I132" s="145"/>
      <c r="J132" s="144"/>
      <c r="K132" s="135"/>
      <c r="L132" s="135"/>
      <c r="M132" s="135"/>
      <c r="N132" s="135"/>
      <c r="O132" s="135"/>
      <c r="P132" s="135"/>
      <c r="Q132" s="135"/>
      <c r="R132" s="135"/>
      <c r="S132" s="135"/>
      <c r="T132" s="135"/>
      <c r="U132" s="134"/>
      <c r="V132" s="134"/>
      <c r="W132" s="134"/>
      <c r="X132" s="134"/>
      <c r="Y132" s="134"/>
      <c r="Z132" s="134"/>
      <c r="AA132" s="134"/>
      <c r="AB132" s="134"/>
      <c r="AC132" s="134"/>
    </row>
    <row r="133" ht="25.5" customHeight="1">
      <c r="A133" s="145"/>
      <c r="B133" s="146"/>
      <c r="C133" s="146"/>
      <c r="D133" s="146"/>
      <c r="E133" s="146"/>
      <c r="F133" s="146"/>
      <c r="G133" s="143" t="s">
        <v>999</v>
      </c>
      <c r="H133" s="143" t="s">
        <v>1000</v>
      </c>
      <c r="I133" s="146"/>
      <c r="J133" s="144"/>
      <c r="K133" s="135"/>
      <c r="L133" s="135"/>
      <c r="M133" s="135"/>
      <c r="N133" s="135"/>
      <c r="O133" s="135"/>
      <c r="P133" s="135"/>
      <c r="Q133" s="135"/>
      <c r="R133" s="135"/>
      <c r="S133" s="135"/>
      <c r="T133" s="135"/>
      <c r="U133" s="134"/>
      <c r="V133" s="134"/>
      <c r="W133" s="134"/>
      <c r="X133" s="134"/>
      <c r="Y133" s="134"/>
      <c r="Z133" s="134"/>
      <c r="AA133" s="134"/>
      <c r="AB133" s="134"/>
      <c r="AC133" s="134"/>
    </row>
    <row r="134" ht="25.5" customHeight="1">
      <c r="A134" s="145"/>
      <c r="B134" s="140" t="s">
        <v>418</v>
      </c>
      <c r="C134" s="141" t="s">
        <v>1001</v>
      </c>
      <c r="D134" s="139" t="s">
        <v>12</v>
      </c>
      <c r="E134" s="140" t="s">
        <v>183</v>
      </c>
      <c r="F134" s="140" t="s">
        <v>94</v>
      </c>
      <c r="G134" s="143" t="s">
        <v>1002</v>
      </c>
      <c r="H134" s="143" t="s">
        <v>1003</v>
      </c>
      <c r="I134" s="140" t="s">
        <v>156</v>
      </c>
      <c r="J134" s="144"/>
      <c r="K134" s="135"/>
      <c r="L134" s="135"/>
      <c r="M134" s="135"/>
      <c r="N134" s="135"/>
      <c r="O134" s="135"/>
      <c r="P134" s="135"/>
      <c r="Q134" s="135"/>
      <c r="R134" s="135"/>
      <c r="S134" s="135"/>
      <c r="T134" s="135"/>
      <c r="U134" s="134"/>
      <c r="V134" s="134"/>
      <c r="W134" s="134"/>
      <c r="X134" s="134"/>
      <c r="Y134" s="134"/>
      <c r="Z134" s="134"/>
      <c r="AA134" s="134"/>
      <c r="AB134" s="134"/>
      <c r="AC134" s="134"/>
    </row>
    <row r="135" ht="25.5" customHeight="1">
      <c r="A135" s="146"/>
      <c r="B135" s="146"/>
      <c r="C135" s="146"/>
      <c r="D135" s="146"/>
      <c r="E135" s="146"/>
      <c r="F135" s="146"/>
      <c r="G135" s="143" t="s">
        <v>1004</v>
      </c>
      <c r="H135" s="143" t="s">
        <v>1005</v>
      </c>
      <c r="I135" s="146"/>
      <c r="J135" s="144"/>
      <c r="K135" s="135"/>
      <c r="L135" s="135"/>
      <c r="M135" s="135"/>
      <c r="N135" s="135"/>
      <c r="O135" s="135"/>
      <c r="P135" s="135"/>
      <c r="Q135" s="135"/>
      <c r="R135" s="135"/>
      <c r="S135" s="135"/>
      <c r="T135" s="135"/>
      <c r="U135" s="134"/>
      <c r="V135" s="134"/>
      <c r="W135" s="134"/>
      <c r="X135" s="134"/>
      <c r="Y135" s="134"/>
      <c r="Z135" s="134"/>
      <c r="AA135" s="134"/>
      <c r="AB135" s="134"/>
      <c r="AC135" s="134"/>
    </row>
    <row r="136" ht="25.5" customHeight="1">
      <c r="A136" s="147" t="s">
        <v>421</v>
      </c>
      <c r="B136" s="148" t="s">
        <v>424</v>
      </c>
      <c r="C136" s="149" t="s">
        <v>1006</v>
      </c>
      <c r="D136" s="147" t="s">
        <v>194</v>
      </c>
      <c r="E136" s="148" t="s">
        <v>183</v>
      </c>
      <c r="F136" s="148" t="s">
        <v>94</v>
      </c>
      <c r="G136" s="152" t="s">
        <v>1007</v>
      </c>
      <c r="H136" s="153" t="s">
        <v>1008</v>
      </c>
      <c r="I136" s="148" t="s">
        <v>156</v>
      </c>
      <c r="J136" s="151"/>
      <c r="K136" s="135"/>
      <c r="L136" s="135"/>
      <c r="M136" s="135"/>
      <c r="N136" s="135"/>
      <c r="O136" s="135"/>
      <c r="P136" s="135"/>
      <c r="Q136" s="135"/>
      <c r="R136" s="135"/>
      <c r="S136" s="135"/>
      <c r="T136" s="135"/>
      <c r="U136" s="134"/>
      <c r="V136" s="134"/>
      <c r="W136" s="134"/>
      <c r="X136" s="134"/>
      <c r="Y136" s="134"/>
      <c r="Z136" s="134"/>
      <c r="AA136" s="134"/>
      <c r="AB136" s="134"/>
      <c r="AC136" s="134"/>
    </row>
    <row r="137" ht="25.5" customHeight="1">
      <c r="A137" s="145"/>
      <c r="B137" s="145"/>
      <c r="C137" s="145"/>
      <c r="D137" s="145"/>
      <c r="E137" s="145"/>
      <c r="F137" s="145"/>
      <c r="G137" s="152" t="s">
        <v>1009</v>
      </c>
      <c r="H137" s="153" t="s">
        <v>1010</v>
      </c>
      <c r="I137" s="145"/>
      <c r="J137" s="151"/>
      <c r="K137" s="135"/>
      <c r="L137" s="135"/>
      <c r="M137" s="135"/>
      <c r="N137" s="135"/>
      <c r="O137" s="135"/>
      <c r="P137" s="135"/>
      <c r="Q137" s="135"/>
      <c r="R137" s="135"/>
      <c r="S137" s="135"/>
      <c r="T137" s="135"/>
      <c r="U137" s="134"/>
      <c r="V137" s="134"/>
      <c r="W137" s="134"/>
      <c r="X137" s="134"/>
      <c r="Y137" s="134"/>
      <c r="Z137" s="134"/>
      <c r="AA137" s="134"/>
      <c r="AB137" s="134"/>
      <c r="AC137" s="134"/>
    </row>
    <row r="138" ht="25.5" customHeight="1">
      <c r="A138" s="145"/>
      <c r="B138" s="146"/>
      <c r="C138" s="146"/>
      <c r="D138" s="146"/>
      <c r="E138" s="146"/>
      <c r="F138" s="146"/>
      <c r="G138" s="152" t="s">
        <v>1011</v>
      </c>
      <c r="H138" s="153" t="s">
        <v>1012</v>
      </c>
      <c r="I138" s="146"/>
      <c r="J138" s="151"/>
      <c r="K138" s="135"/>
      <c r="L138" s="135"/>
      <c r="M138" s="135"/>
      <c r="N138" s="135"/>
      <c r="O138" s="135"/>
      <c r="P138" s="135"/>
      <c r="Q138" s="135"/>
      <c r="R138" s="135"/>
      <c r="S138" s="135"/>
      <c r="T138" s="135"/>
      <c r="U138" s="134"/>
      <c r="V138" s="134"/>
      <c r="W138" s="134"/>
      <c r="X138" s="134"/>
      <c r="Y138" s="134"/>
      <c r="Z138" s="134"/>
      <c r="AA138" s="134"/>
      <c r="AB138" s="134"/>
      <c r="AC138" s="134"/>
    </row>
    <row r="139" ht="25.5" customHeight="1">
      <c r="A139" s="145"/>
      <c r="B139" s="148" t="s">
        <v>428</v>
      </c>
      <c r="C139" s="149" t="s">
        <v>1013</v>
      </c>
      <c r="D139" s="147" t="s">
        <v>194</v>
      </c>
      <c r="E139" s="148" t="s">
        <v>183</v>
      </c>
      <c r="F139" s="148" t="s">
        <v>94</v>
      </c>
      <c r="G139" s="150" t="s">
        <v>1014</v>
      </c>
      <c r="H139" s="150" t="s">
        <v>1015</v>
      </c>
      <c r="I139" s="148" t="s">
        <v>156</v>
      </c>
      <c r="J139" s="151"/>
      <c r="K139" s="135"/>
      <c r="L139" s="135"/>
      <c r="M139" s="135"/>
      <c r="N139" s="135"/>
      <c r="O139" s="135"/>
      <c r="P139" s="135"/>
      <c r="Q139" s="135"/>
      <c r="R139" s="135"/>
      <c r="S139" s="135"/>
      <c r="T139" s="135"/>
      <c r="U139" s="134"/>
      <c r="V139" s="134"/>
      <c r="W139" s="134"/>
      <c r="X139" s="134"/>
      <c r="Y139" s="134"/>
      <c r="Z139" s="134"/>
      <c r="AA139" s="134"/>
      <c r="AB139" s="134"/>
      <c r="AC139" s="134"/>
    </row>
    <row r="140" ht="25.5" customHeight="1">
      <c r="A140" s="145"/>
      <c r="B140" s="145"/>
      <c r="C140" s="145"/>
      <c r="D140" s="145"/>
      <c r="E140" s="145"/>
      <c r="F140" s="145"/>
      <c r="G140" s="150" t="s">
        <v>1016</v>
      </c>
      <c r="H140" s="150" t="s">
        <v>1017</v>
      </c>
      <c r="I140" s="145"/>
      <c r="J140" s="151"/>
      <c r="K140" s="135"/>
      <c r="L140" s="135"/>
      <c r="M140" s="135"/>
      <c r="N140" s="135"/>
      <c r="O140" s="135"/>
      <c r="P140" s="135"/>
      <c r="Q140" s="135"/>
      <c r="R140" s="135"/>
      <c r="S140" s="135"/>
      <c r="T140" s="135"/>
      <c r="U140" s="134"/>
      <c r="V140" s="134"/>
      <c r="W140" s="134"/>
      <c r="X140" s="134"/>
      <c r="Y140" s="134"/>
      <c r="Z140" s="134"/>
      <c r="AA140" s="134"/>
      <c r="AB140" s="134"/>
      <c r="AC140" s="134"/>
    </row>
    <row r="141" ht="25.5" customHeight="1">
      <c r="A141" s="145"/>
      <c r="B141" s="146"/>
      <c r="C141" s="146"/>
      <c r="D141" s="146"/>
      <c r="E141" s="146"/>
      <c r="F141" s="146"/>
      <c r="G141" s="150" t="s">
        <v>1018</v>
      </c>
      <c r="H141" s="150" t="s">
        <v>1019</v>
      </c>
      <c r="I141" s="146"/>
      <c r="J141" s="151"/>
      <c r="K141" s="135"/>
      <c r="L141" s="135"/>
      <c r="M141" s="135"/>
      <c r="N141" s="135"/>
      <c r="O141" s="135"/>
      <c r="P141" s="135"/>
      <c r="Q141" s="135"/>
      <c r="R141" s="135"/>
      <c r="S141" s="135"/>
      <c r="T141" s="135"/>
      <c r="U141" s="134"/>
      <c r="V141" s="134"/>
      <c r="W141" s="134"/>
      <c r="X141" s="134"/>
      <c r="Y141" s="134"/>
      <c r="Z141" s="134"/>
      <c r="AA141" s="134"/>
      <c r="AB141" s="134"/>
      <c r="AC141" s="134"/>
    </row>
    <row r="142" ht="25.5" customHeight="1">
      <c r="A142" s="145"/>
      <c r="B142" s="148" t="s">
        <v>432</v>
      </c>
      <c r="C142" s="149" t="s">
        <v>1020</v>
      </c>
      <c r="D142" s="147" t="s">
        <v>194</v>
      </c>
      <c r="E142" s="148" t="s">
        <v>183</v>
      </c>
      <c r="F142" s="148" t="s">
        <v>94</v>
      </c>
      <c r="G142" s="150" t="s">
        <v>1021</v>
      </c>
      <c r="H142" s="150" t="s">
        <v>1022</v>
      </c>
      <c r="I142" s="148" t="s">
        <v>156</v>
      </c>
      <c r="J142" s="151"/>
      <c r="K142" s="135"/>
      <c r="L142" s="135"/>
      <c r="M142" s="135"/>
      <c r="N142" s="135"/>
      <c r="O142" s="135"/>
      <c r="P142" s="135"/>
      <c r="Q142" s="135"/>
      <c r="R142" s="135"/>
      <c r="S142" s="135"/>
      <c r="T142" s="135"/>
      <c r="U142" s="134"/>
      <c r="V142" s="134"/>
      <c r="W142" s="134"/>
      <c r="X142" s="134"/>
      <c r="Y142" s="134"/>
      <c r="Z142" s="134"/>
      <c r="AA142" s="134"/>
      <c r="AB142" s="134"/>
      <c r="AC142" s="134"/>
    </row>
    <row r="143" ht="25.5" customHeight="1">
      <c r="A143" s="145"/>
      <c r="B143" s="146"/>
      <c r="C143" s="146"/>
      <c r="D143" s="146"/>
      <c r="E143" s="146"/>
      <c r="F143" s="146"/>
      <c r="G143" s="150" t="s">
        <v>1023</v>
      </c>
      <c r="H143" s="150" t="s">
        <v>1024</v>
      </c>
      <c r="I143" s="146"/>
      <c r="J143" s="151"/>
      <c r="K143" s="135"/>
      <c r="L143" s="135"/>
      <c r="M143" s="135"/>
      <c r="N143" s="135"/>
      <c r="O143" s="135"/>
      <c r="P143" s="135"/>
      <c r="Q143" s="135"/>
      <c r="R143" s="135"/>
      <c r="S143" s="135"/>
      <c r="T143" s="135"/>
      <c r="U143" s="134"/>
      <c r="V143" s="134"/>
      <c r="W143" s="134"/>
      <c r="X143" s="134"/>
      <c r="Y143" s="134"/>
      <c r="Z143" s="134"/>
      <c r="AA143" s="134"/>
      <c r="AB143" s="134"/>
      <c r="AC143" s="134"/>
    </row>
    <row r="144" ht="25.5" customHeight="1">
      <c r="A144" s="145"/>
      <c r="B144" s="148" t="s">
        <v>436</v>
      </c>
      <c r="C144" s="149" t="s">
        <v>1025</v>
      </c>
      <c r="D144" s="147" t="s">
        <v>58</v>
      </c>
      <c r="E144" s="148" t="s">
        <v>183</v>
      </c>
      <c r="F144" s="148" t="s">
        <v>94</v>
      </c>
      <c r="G144" s="150" t="s">
        <v>1026</v>
      </c>
      <c r="H144" s="150" t="s">
        <v>1027</v>
      </c>
      <c r="I144" s="148" t="s">
        <v>156</v>
      </c>
      <c r="J144" s="151"/>
      <c r="K144" s="135"/>
      <c r="L144" s="135"/>
      <c r="M144" s="135"/>
      <c r="N144" s="135"/>
      <c r="O144" s="135"/>
      <c r="P144" s="135"/>
      <c r="Q144" s="135"/>
      <c r="R144" s="135"/>
      <c r="S144" s="135"/>
      <c r="T144" s="135"/>
      <c r="U144" s="134"/>
      <c r="V144" s="134"/>
      <c r="W144" s="134"/>
      <c r="X144" s="134"/>
      <c r="Y144" s="134"/>
      <c r="Z144" s="134"/>
      <c r="AA144" s="134"/>
      <c r="AB144" s="134"/>
      <c r="AC144" s="134"/>
    </row>
    <row r="145" ht="25.5" customHeight="1">
      <c r="A145" s="145"/>
      <c r="B145" s="145"/>
      <c r="C145" s="145"/>
      <c r="D145" s="145"/>
      <c r="E145" s="145"/>
      <c r="F145" s="145"/>
      <c r="G145" s="150" t="s">
        <v>1028</v>
      </c>
      <c r="H145" s="150" t="s">
        <v>1029</v>
      </c>
      <c r="I145" s="145"/>
      <c r="J145" s="151"/>
      <c r="K145" s="135"/>
      <c r="L145" s="135"/>
      <c r="M145" s="135"/>
      <c r="N145" s="135"/>
      <c r="O145" s="135"/>
      <c r="P145" s="135"/>
      <c r="Q145" s="135"/>
      <c r="R145" s="135"/>
      <c r="S145" s="135"/>
      <c r="T145" s="135"/>
      <c r="U145" s="134"/>
      <c r="V145" s="134"/>
      <c r="W145" s="134"/>
      <c r="X145" s="134"/>
      <c r="Y145" s="134"/>
      <c r="Z145" s="134"/>
      <c r="AA145" s="134"/>
      <c r="AB145" s="134"/>
      <c r="AC145" s="134"/>
    </row>
    <row r="146" ht="25.5" customHeight="1">
      <c r="A146" s="145"/>
      <c r="B146" s="146"/>
      <c r="C146" s="146"/>
      <c r="D146" s="146"/>
      <c r="E146" s="146"/>
      <c r="F146" s="146"/>
      <c r="G146" s="150" t="s">
        <v>1030</v>
      </c>
      <c r="H146" s="150" t="s">
        <v>1031</v>
      </c>
      <c r="I146" s="146"/>
      <c r="J146" s="151"/>
      <c r="K146" s="135"/>
      <c r="L146" s="135"/>
      <c r="M146" s="135"/>
      <c r="N146" s="135"/>
      <c r="O146" s="135"/>
      <c r="P146" s="135"/>
      <c r="Q146" s="135"/>
      <c r="R146" s="135"/>
      <c r="S146" s="135"/>
      <c r="T146" s="135"/>
      <c r="U146" s="134"/>
      <c r="V146" s="134"/>
      <c r="W146" s="134"/>
      <c r="X146" s="134"/>
      <c r="Y146" s="134"/>
      <c r="Z146" s="134"/>
      <c r="AA146" s="134"/>
      <c r="AB146" s="134"/>
      <c r="AC146" s="134"/>
    </row>
    <row r="147" ht="25.5" customHeight="1">
      <c r="A147" s="145"/>
      <c r="B147" s="148" t="s">
        <v>440</v>
      </c>
      <c r="C147" s="149" t="s">
        <v>1032</v>
      </c>
      <c r="D147" s="147" t="s">
        <v>194</v>
      </c>
      <c r="E147" s="148" t="s">
        <v>183</v>
      </c>
      <c r="F147" s="148" t="s">
        <v>94</v>
      </c>
      <c r="G147" s="150" t="s">
        <v>1033</v>
      </c>
      <c r="H147" s="150" t="s">
        <v>1034</v>
      </c>
      <c r="I147" s="148" t="s">
        <v>156</v>
      </c>
      <c r="J147" s="151"/>
      <c r="K147" s="135"/>
      <c r="L147" s="135"/>
      <c r="M147" s="135"/>
      <c r="N147" s="135"/>
      <c r="O147" s="135"/>
      <c r="P147" s="135"/>
      <c r="Q147" s="135"/>
      <c r="R147" s="135"/>
      <c r="S147" s="135"/>
      <c r="T147" s="135"/>
      <c r="U147" s="134"/>
      <c r="V147" s="134"/>
      <c r="W147" s="134"/>
      <c r="X147" s="134"/>
      <c r="Y147" s="134"/>
      <c r="Z147" s="134"/>
      <c r="AA147" s="134"/>
      <c r="AB147" s="134"/>
      <c r="AC147" s="134"/>
    </row>
    <row r="148" ht="25.5" customHeight="1">
      <c r="A148" s="145"/>
      <c r="B148" s="145"/>
      <c r="C148" s="145"/>
      <c r="D148" s="145"/>
      <c r="E148" s="145"/>
      <c r="F148" s="145"/>
      <c r="G148" s="150" t="s">
        <v>1035</v>
      </c>
      <c r="H148" s="150" t="s">
        <v>1036</v>
      </c>
      <c r="I148" s="145"/>
      <c r="J148" s="151"/>
      <c r="K148" s="135"/>
      <c r="L148" s="135"/>
      <c r="M148" s="135"/>
      <c r="N148" s="135"/>
      <c r="O148" s="135"/>
      <c r="P148" s="135"/>
      <c r="Q148" s="135"/>
      <c r="R148" s="135"/>
      <c r="S148" s="135"/>
      <c r="T148" s="135"/>
      <c r="U148" s="134"/>
      <c r="V148" s="134"/>
      <c r="W148" s="134"/>
      <c r="X148" s="134"/>
      <c r="Y148" s="134"/>
      <c r="Z148" s="134"/>
      <c r="AA148" s="134"/>
      <c r="AB148" s="134"/>
      <c r="AC148" s="134"/>
    </row>
    <row r="149" ht="25.5" customHeight="1">
      <c r="A149" s="145"/>
      <c r="B149" s="146"/>
      <c r="C149" s="146"/>
      <c r="D149" s="146"/>
      <c r="E149" s="146"/>
      <c r="F149" s="146"/>
      <c r="G149" s="150" t="s">
        <v>1037</v>
      </c>
      <c r="H149" s="150" t="s">
        <v>1038</v>
      </c>
      <c r="I149" s="146"/>
      <c r="J149" s="151"/>
      <c r="K149" s="135"/>
      <c r="L149" s="135"/>
      <c r="M149" s="135"/>
      <c r="N149" s="135"/>
      <c r="O149" s="135"/>
      <c r="P149" s="135"/>
      <c r="Q149" s="135"/>
      <c r="R149" s="135"/>
      <c r="S149" s="135"/>
      <c r="T149" s="135"/>
      <c r="U149" s="134"/>
      <c r="V149" s="134"/>
      <c r="W149" s="134"/>
      <c r="X149" s="134"/>
      <c r="Y149" s="134"/>
      <c r="Z149" s="134"/>
      <c r="AA149" s="134"/>
      <c r="AB149" s="134"/>
      <c r="AC149" s="134"/>
    </row>
    <row r="150" ht="25.5" customHeight="1">
      <c r="A150" s="145"/>
      <c r="B150" s="148" t="s">
        <v>444</v>
      </c>
      <c r="C150" s="149" t="s">
        <v>1039</v>
      </c>
      <c r="D150" s="147" t="s">
        <v>194</v>
      </c>
      <c r="E150" s="148" t="s">
        <v>183</v>
      </c>
      <c r="F150" s="148" t="s">
        <v>94</v>
      </c>
      <c r="G150" s="150" t="s">
        <v>1040</v>
      </c>
      <c r="H150" s="150" t="s">
        <v>1041</v>
      </c>
      <c r="I150" s="148" t="s">
        <v>156</v>
      </c>
      <c r="J150" s="151"/>
      <c r="K150" s="135"/>
      <c r="L150" s="135"/>
      <c r="M150" s="135"/>
      <c r="N150" s="135"/>
      <c r="O150" s="135"/>
      <c r="P150" s="135"/>
      <c r="Q150" s="135"/>
      <c r="R150" s="135"/>
      <c r="S150" s="135"/>
      <c r="T150" s="135"/>
      <c r="U150" s="134"/>
      <c r="V150" s="134"/>
      <c r="W150" s="134"/>
      <c r="X150" s="134"/>
      <c r="Y150" s="134"/>
      <c r="Z150" s="134"/>
      <c r="AA150" s="134"/>
      <c r="AB150" s="134"/>
      <c r="AC150" s="134"/>
    </row>
    <row r="151" ht="25.5" customHeight="1">
      <c r="A151" s="145"/>
      <c r="B151" s="145"/>
      <c r="C151" s="145"/>
      <c r="D151" s="145"/>
      <c r="E151" s="145"/>
      <c r="F151" s="145"/>
      <c r="G151" s="150" t="s">
        <v>1042</v>
      </c>
      <c r="H151" s="150" t="s">
        <v>1043</v>
      </c>
      <c r="I151" s="145"/>
      <c r="J151" s="151"/>
      <c r="K151" s="135"/>
      <c r="L151" s="135"/>
      <c r="M151" s="135"/>
      <c r="N151" s="135"/>
      <c r="O151" s="135"/>
      <c r="P151" s="135"/>
      <c r="Q151" s="135"/>
      <c r="R151" s="135"/>
      <c r="S151" s="135"/>
      <c r="T151" s="135"/>
      <c r="U151" s="134"/>
      <c r="V151" s="134"/>
      <c r="W151" s="134"/>
      <c r="X151" s="134"/>
      <c r="Y151" s="134"/>
      <c r="Z151" s="134"/>
      <c r="AA151" s="134"/>
      <c r="AB151" s="134"/>
      <c r="AC151" s="134"/>
    </row>
    <row r="152" ht="25.5" customHeight="1">
      <c r="A152" s="145"/>
      <c r="B152" s="146"/>
      <c r="C152" s="146"/>
      <c r="D152" s="146"/>
      <c r="E152" s="146"/>
      <c r="F152" s="146"/>
      <c r="G152" s="150" t="s">
        <v>1044</v>
      </c>
      <c r="H152" s="150" t="s">
        <v>1045</v>
      </c>
      <c r="I152" s="146"/>
      <c r="J152" s="151"/>
      <c r="K152" s="135"/>
      <c r="L152" s="135"/>
      <c r="M152" s="135"/>
      <c r="N152" s="135"/>
      <c r="O152" s="135"/>
      <c r="P152" s="135"/>
      <c r="Q152" s="135"/>
      <c r="R152" s="135"/>
      <c r="S152" s="135"/>
      <c r="T152" s="135"/>
      <c r="U152" s="134"/>
      <c r="V152" s="134"/>
      <c r="W152" s="134"/>
      <c r="X152" s="134"/>
      <c r="Y152" s="134"/>
      <c r="Z152" s="134"/>
      <c r="AA152" s="134"/>
      <c r="AB152" s="134"/>
      <c r="AC152" s="134"/>
    </row>
    <row r="153" ht="25.5" customHeight="1">
      <c r="A153" s="145"/>
      <c r="B153" s="148" t="s">
        <v>448</v>
      </c>
      <c r="C153" s="149" t="s">
        <v>1046</v>
      </c>
      <c r="D153" s="147" t="s">
        <v>58</v>
      </c>
      <c r="E153" s="148" t="s">
        <v>183</v>
      </c>
      <c r="F153" s="148" t="s">
        <v>94</v>
      </c>
      <c r="G153" s="150" t="s">
        <v>1047</v>
      </c>
      <c r="H153" s="150" t="s">
        <v>1048</v>
      </c>
      <c r="I153" s="148" t="s">
        <v>156</v>
      </c>
      <c r="J153" s="151"/>
      <c r="K153" s="135"/>
      <c r="L153" s="135"/>
      <c r="M153" s="135"/>
      <c r="N153" s="135"/>
      <c r="O153" s="135"/>
      <c r="P153" s="135"/>
      <c r="Q153" s="135"/>
      <c r="R153" s="135"/>
      <c r="S153" s="135"/>
      <c r="T153" s="135"/>
      <c r="U153" s="134"/>
      <c r="V153" s="134"/>
      <c r="W153" s="134"/>
      <c r="X153" s="134"/>
      <c r="Y153" s="134"/>
      <c r="Z153" s="134"/>
      <c r="AA153" s="134"/>
      <c r="AB153" s="134"/>
      <c r="AC153" s="134"/>
    </row>
    <row r="154" ht="25.5" customHeight="1">
      <c r="A154" s="145"/>
      <c r="B154" s="145"/>
      <c r="C154" s="145"/>
      <c r="D154" s="145"/>
      <c r="E154" s="145"/>
      <c r="F154" s="145"/>
      <c r="G154" s="150" t="s">
        <v>1049</v>
      </c>
      <c r="H154" s="150" t="s">
        <v>1050</v>
      </c>
      <c r="I154" s="145"/>
      <c r="J154" s="151"/>
      <c r="K154" s="135"/>
      <c r="L154" s="135"/>
      <c r="M154" s="135"/>
      <c r="N154" s="135"/>
      <c r="O154" s="135"/>
      <c r="P154" s="135"/>
      <c r="Q154" s="135"/>
      <c r="R154" s="135"/>
      <c r="S154" s="135"/>
      <c r="T154" s="135"/>
      <c r="U154" s="134"/>
      <c r="V154" s="134"/>
      <c r="W154" s="134"/>
      <c r="X154" s="134"/>
      <c r="Y154" s="134"/>
      <c r="Z154" s="134"/>
      <c r="AA154" s="134"/>
      <c r="AB154" s="134"/>
      <c r="AC154" s="134"/>
    </row>
    <row r="155" ht="25.5" customHeight="1">
      <c r="A155" s="146"/>
      <c r="B155" s="146"/>
      <c r="C155" s="146"/>
      <c r="D155" s="146"/>
      <c r="E155" s="146"/>
      <c r="F155" s="146"/>
      <c r="G155" s="150" t="s">
        <v>1051</v>
      </c>
      <c r="H155" s="150" t="s">
        <v>1052</v>
      </c>
      <c r="I155" s="146"/>
      <c r="J155" s="151"/>
      <c r="K155" s="135"/>
      <c r="L155" s="135"/>
      <c r="M155" s="135"/>
      <c r="N155" s="135"/>
      <c r="O155" s="135"/>
      <c r="P155" s="135"/>
      <c r="Q155" s="135"/>
      <c r="R155" s="135"/>
      <c r="S155" s="135"/>
      <c r="T155" s="135"/>
      <c r="U155" s="134"/>
      <c r="V155" s="134"/>
      <c r="W155" s="134"/>
      <c r="X155" s="134"/>
      <c r="Y155" s="134"/>
      <c r="Z155" s="134"/>
      <c r="AA155" s="134"/>
      <c r="AB155" s="134"/>
      <c r="AC155" s="134"/>
    </row>
    <row r="156" ht="25.5" customHeight="1">
      <c r="A156" s="139" t="s">
        <v>451</v>
      </c>
      <c r="B156" s="140" t="s">
        <v>455</v>
      </c>
      <c r="C156" s="141" t="s">
        <v>1053</v>
      </c>
      <c r="D156" s="139" t="s">
        <v>58</v>
      </c>
      <c r="E156" s="140" t="s">
        <v>183</v>
      </c>
      <c r="F156" s="140" t="s">
        <v>90</v>
      </c>
      <c r="G156" s="143" t="s">
        <v>1054</v>
      </c>
      <c r="H156" s="143" t="s">
        <v>1055</v>
      </c>
      <c r="I156" s="140" t="s">
        <v>156</v>
      </c>
      <c r="J156" s="144"/>
      <c r="K156" s="135"/>
      <c r="L156" s="135"/>
      <c r="M156" s="135"/>
      <c r="N156" s="135"/>
      <c r="O156" s="135"/>
      <c r="P156" s="135"/>
      <c r="Q156" s="135"/>
      <c r="R156" s="135"/>
      <c r="S156" s="135"/>
      <c r="T156" s="135"/>
      <c r="U156" s="134"/>
      <c r="V156" s="134"/>
      <c r="W156" s="134"/>
      <c r="X156" s="134"/>
      <c r="Y156" s="134"/>
      <c r="Z156" s="134"/>
      <c r="AA156" s="134"/>
      <c r="AB156" s="134"/>
      <c r="AC156" s="134"/>
    </row>
    <row r="157" ht="25.5" customHeight="1">
      <c r="A157" s="145"/>
      <c r="B157" s="145"/>
      <c r="C157" s="145"/>
      <c r="D157" s="145"/>
      <c r="E157" s="145"/>
      <c r="F157" s="145"/>
      <c r="G157" s="143" t="s">
        <v>1056</v>
      </c>
      <c r="H157" s="143" t="s">
        <v>1057</v>
      </c>
      <c r="I157" s="145"/>
      <c r="J157" s="144"/>
      <c r="K157" s="135"/>
      <c r="L157" s="135"/>
      <c r="M157" s="135"/>
      <c r="N157" s="135"/>
      <c r="O157" s="135"/>
      <c r="P157" s="135"/>
      <c r="Q157" s="135"/>
      <c r="R157" s="135"/>
      <c r="S157" s="135"/>
      <c r="T157" s="135"/>
      <c r="U157" s="134"/>
      <c r="V157" s="134"/>
      <c r="W157" s="134"/>
      <c r="X157" s="134"/>
      <c r="Y157" s="134"/>
      <c r="Z157" s="134"/>
      <c r="AA157" s="134"/>
      <c r="AB157" s="134"/>
      <c r="AC157" s="134"/>
    </row>
    <row r="158" ht="25.5" customHeight="1">
      <c r="A158" s="145"/>
      <c r="B158" s="146"/>
      <c r="C158" s="146"/>
      <c r="D158" s="146"/>
      <c r="E158" s="146"/>
      <c r="F158" s="146"/>
      <c r="G158" s="143" t="s">
        <v>1058</v>
      </c>
      <c r="H158" s="143" t="s">
        <v>1059</v>
      </c>
      <c r="I158" s="146"/>
      <c r="J158" s="144"/>
      <c r="K158" s="135"/>
      <c r="L158" s="135"/>
      <c r="M158" s="135"/>
      <c r="N158" s="135"/>
      <c r="O158" s="135"/>
      <c r="P158" s="135"/>
      <c r="Q158" s="135"/>
      <c r="R158" s="135"/>
      <c r="S158" s="135"/>
      <c r="T158" s="135"/>
      <c r="U158" s="134"/>
      <c r="V158" s="134"/>
      <c r="W158" s="134"/>
      <c r="X158" s="134"/>
      <c r="Y158" s="134"/>
      <c r="Z158" s="134"/>
      <c r="AA158" s="134"/>
      <c r="AB158" s="134"/>
      <c r="AC158" s="134"/>
    </row>
    <row r="159" ht="25.5" customHeight="1">
      <c r="A159" s="145"/>
      <c r="B159" s="140" t="s">
        <v>459</v>
      </c>
      <c r="C159" s="141" t="s">
        <v>1060</v>
      </c>
      <c r="D159" s="139" t="s">
        <v>12</v>
      </c>
      <c r="E159" s="140" t="s">
        <v>183</v>
      </c>
      <c r="F159" s="140" t="s">
        <v>90</v>
      </c>
      <c r="G159" s="143" t="s">
        <v>1061</v>
      </c>
      <c r="H159" s="143" t="s">
        <v>1062</v>
      </c>
      <c r="I159" s="140" t="s">
        <v>156</v>
      </c>
      <c r="J159" s="144"/>
      <c r="K159" s="135"/>
      <c r="L159" s="135"/>
      <c r="M159" s="135"/>
      <c r="N159" s="135"/>
      <c r="O159" s="135"/>
      <c r="P159" s="135"/>
      <c r="Q159" s="135"/>
      <c r="R159" s="135"/>
      <c r="S159" s="135"/>
      <c r="T159" s="135"/>
      <c r="U159" s="134"/>
      <c r="V159" s="134"/>
      <c r="W159" s="134"/>
      <c r="X159" s="134"/>
      <c r="Y159" s="134"/>
      <c r="Z159" s="134"/>
      <c r="AA159" s="134"/>
      <c r="AB159" s="134"/>
      <c r="AC159" s="134"/>
    </row>
    <row r="160" ht="25.5" customHeight="1">
      <c r="A160" s="145"/>
      <c r="B160" s="146"/>
      <c r="C160" s="146"/>
      <c r="D160" s="146"/>
      <c r="E160" s="146"/>
      <c r="F160" s="146"/>
      <c r="G160" s="143" t="s">
        <v>1063</v>
      </c>
      <c r="H160" s="143" t="s">
        <v>1064</v>
      </c>
      <c r="I160" s="146"/>
      <c r="J160" s="144"/>
      <c r="K160" s="135"/>
      <c r="L160" s="135"/>
      <c r="M160" s="135"/>
      <c r="N160" s="135"/>
      <c r="O160" s="135"/>
      <c r="P160" s="135"/>
      <c r="Q160" s="135"/>
      <c r="R160" s="135"/>
      <c r="S160" s="135"/>
      <c r="T160" s="135"/>
      <c r="U160" s="134"/>
      <c r="V160" s="134"/>
      <c r="W160" s="134"/>
      <c r="X160" s="134"/>
      <c r="Y160" s="134"/>
      <c r="Z160" s="134"/>
      <c r="AA160" s="134"/>
      <c r="AB160" s="134"/>
      <c r="AC160" s="134"/>
    </row>
    <row r="161" ht="25.5" customHeight="1">
      <c r="A161" s="145"/>
      <c r="B161" s="140" t="s">
        <v>463</v>
      </c>
      <c r="C161" s="141" t="s">
        <v>1065</v>
      </c>
      <c r="D161" s="139" t="s">
        <v>58</v>
      </c>
      <c r="E161" s="140" t="s">
        <v>183</v>
      </c>
      <c r="F161" s="140" t="s">
        <v>90</v>
      </c>
      <c r="G161" s="143" t="s">
        <v>1066</v>
      </c>
      <c r="H161" s="143" t="s">
        <v>1067</v>
      </c>
      <c r="I161" s="140" t="s">
        <v>156</v>
      </c>
      <c r="J161" s="144"/>
      <c r="K161" s="135"/>
      <c r="L161" s="135"/>
      <c r="M161" s="135"/>
      <c r="N161" s="135"/>
      <c r="O161" s="135"/>
      <c r="P161" s="135"/>
      <c r="Q161" s="135"/>
      <c r="R161" s="135"/>
      <c r="S161" s="135"/>
      <c r="T161" s="135"/>
      <c r="U161" s="134"/>
      <c r="V161" s="134"/>
      <c r="W161" s="134"/>
      <c r="X161" s="134"/>
      <c r="Y161" s="134"/>
      <c r="Z161" s="134"/>
      <c r="AA161" s="134"/>
      <c r="AB161" s="134"/>
      <c r="AC161" s="134"/>
    </row>
    <row r="162" ht="25.5" customHeight="1">
      <c r="A162" s="145"/>
      <c r="B162" s="145"/>
      <c r="C162" s="145"/>
      <c r="D162" s="145"/>
      <c r="E162" s="145"/>
      <c r="F162" s="145"/>
      <c r="G162" s="143" t="s">
        <v>1068</v>
      </c>
      <c r="H162" s="143" t="s">
        <v>1069</v>
      </c>
      <c r="I162" s="145"/>
      <c r="J162" s="144"/>
      <c r="K162" s="135"/>
      <c r="L162" s="135"/>
      <c r="M162" s="135"/>
      <c r="N162" s="135"/>
      <c r="O162" s="135"/>
      <c r="P162" s="135"/>
      <c r="Q162" s="135"/>
      <c r="R162" s="135"/>
      <c r="S162" s="135"/>
      <c r="T162" s="135"/>
      <c r="U162" s="134"/>
      <c r="V162" s="134"/>
      <c r="W162" s="134"/>
      <c r="X162" s="134"/>
      <c r="Y162" s="134"/>
      <c r="Z162" s="134"/>
      <c r="AA162" s="134"/>
      <c r="AB162" s="134"/>
      <c r="AC162" s="134"/>
    </row>
    <row r="163" ht="25.5" customHeight="1">
      <c r="A163" s="145"/>
      <c r="B163" s="146"/>
      <c r="C163" s="146"/>
      <c r="D163" s="146"/>
      <c r="E163" s="146"/>
      <c r="F163" s="146"/>
      <c r="G163" s="143" t="s">
        <v>1070</v>
      </c>
      <c r="H163" s="143" t="s">
        <v>1071</v>
      </c>
      <c r="I163" s="146"/>
      <c r="J163" s="144"/>
      <c r="K163" s="135"/>
      <c r="L163" s="135"/>
      <c r="M163" s="135"/>
      <c r="N163" s="135"/>
      <c r="O163" s="135"/>
      <c r="P163" s="135"/>
      <c r="Q163" s="135"/>
      <c r="R163" s="135"/>
      <c r="S163" s="135"/>
      <c r="T163" s="135"/>
      <c r="U163" s="134"/>
      <c r="V163" s="134"/>
      <c r="W163" s="134"/>
      <c r="X163" s="134"/>
      <c r="Y163" s="134"/>
      <c r="Z163" s="134"/>
      <c r="AA163" s="134"/>
      <c r="AB163" s="134"/>
      <c r="AC163" s="134"/>
    </row>
    <row r="164" ht="25.5" customHeight="1">
      <c r="A164" s="145"/>
      <c r="B164" s="140" t="s">
        <v>467</v>
      </c>
      <c r="C164" s="141" t="s">
        <v>1072</v>
      </c>
      <c r="D164" s="139" t="s">
        <v>58</v>
      </c>
      <c r="E164" s="140" t="s">
        <v>183</v>
      </c>
      <c r="F164" s="140" t="s">
        <v>90</v>
      </c>
      <c r="G164" s="143" t="s">
        <v>1073</v>
      </c>
      <c r="H164" s="143" t="s">
        <v>1074</v>
      </c>
      <c r="I164" s="140" t="s">
        <v>156</v>
      </c>
      <c r="J164" s="144"/>
      <c r="K164" s="135"/>
      <c r="L164" s="135"/>
      <c r="M164" s="135"/>
      <c r="N164" s="135"/>
      <c r="O164" s="135"/>
      <c r="P164" s="135"/>
      <c r="Q164" s="135"/>
      <c r="R164" s="135"/>
      <c r="S164" s="135"/>
      <c r="T164" s="135"/>
      <c r="U164" s="134"/>
      <c r="V164" s="134"/>
      <c r="W164" s="134"/>
      <c r="X164" s="134"/>
      <c r="Y164" s="134"/>
      <c r="Z164" s="134"/>
      <c r="AA164" s="134"/>
      <c r="AB164" s="134"/>
      <c r="AC164" s="134"/>
    </row>
    <row r="165" ht="25.5" customHeight="1">
      <c r="A165" s="145"/>
      <c r="B165" s="146"/>
      <c r="C165" s="146"/>
      <c r="D165" s="146"/>
      <c r="E165" s="146"/>
      <c r="F165" s="146"/>
      <c r="G165" s="143" t="s">
        <v>1075</v>
      </c>
      <c r="H165" s="143" t="s">
        <v>1076</v>
      </c>
      <c r="I165" s="146"/>
      <c r="J165" s="144"/>
      <c r="K165" s="135"/>
      <c r="L165" s="135"/>
      <c r="M165" s="135"/>
      <c r="N165" s="135"/>
      <c r="O165" s="135"/>
      <c r="P165" s="135"/>
      <c r="Q165" s="135"/>
      <c r="R165" s="135"/>
      <c r="S165" s="135"/>
      <c r="T165" s="135"/>
      <c r="U165" s="134"/>
      <c r="V165" s="134"/>
      <c r="W165" s="134"/>
      <c r="X165" s="134"/>
      <c r="Y165" s="134"/>
      <c r="Z165" s="134"/>
      <c r="AA165" s="134"/>
      <c r="AB165" s="134"/>
      <c r="AC165" s="134"/>
    </row>
    <row r="166" ht="25.5" customHeight="1">
      <c r="A166" s="145"/>
      <c r="B166" s="140" t="s">
        <v>471</v>
      </c>
      <c r="C166" s="141" t="s">
        <v>1077</v>
      </c>
      <c r="D166" s="139" t="s">
        <v>58</v>
      </c>
      <c r="E166" s="140" t="s">
        <v>183</v>
      </c>
      <c r="F166" s="140" t="s">
        <v>90</v>
      </c>
      <c r="G166" s="143" t="s">
        <v>1078</v>
      </c>
      <c r="H166" s="143" t="s">
        <v>1079</v>
      </c>
      <c r="I166" s="140" t="s">
        <v>156</v>
      </c>
      <c r="J166" s="144"/>
      <c r="K166" s="135"/>
      <c r="L166" s="135"/>
      <c r="M166" s="135"/>
      <c r="N166" s="135"/>
      <c r="O166" s="135"/>
      <c r="P166" s="135"/>
      <c r="Q166" s="135"/>
      <c r="R166" s="135"/>
      <c r="S166" s="135"/>
      <c r="T166" s="135"/>
      <c r="U166" s="134"/>
      <c r="V166" s="134"/>
      <c r="W166" s="134"/>
      <c r="X166" s="134"/>
      <c r="Y166" s="134"/>
      <c r="Z166" s="134"/>
      <c r="AA166" s="134"/>
      <c r="AB166" s="134"/>
      <c r="AC166" s="134"/>
    </row>
    <row r="167" ht="25.5" customHeight="1">
      <c r="A167" s="145"/>
      <c r="B167" s="145"/>
      <c r="C167" s="145"/>
      <c r="D167" s="145"/>
      <c r="E167" s="145"/>
      <c r="F167" s="145"/>
      <c r="G167" s="143" t="s">
        <v>1080</v>
      </c>
      <c r="H167" s="143" t="s">
        <v>1081</v>
      </c>
      <c r="I167" s="145"/>
      <c r="J167" s="144"/>
      <c r="K167" s="135"/>
      <c r="L167" s="135"/>
      <c r="M167" s="135"/>
      <c r="N167" s="135"/>
      <c r="O167" s="135"/>
      <c r="P167" s="135"/>
      <c r="Q167" s="135"/>
      <c r="R167" s="135"/>
      <c r="S167" s="135"/>
      <c r="T167" s="135"/>
      <c r="U167" s="134"/>
      <c r="V167" s="134"/>
      <c r="W167" s="134"/>
      <c r="X167" s="134"/>
      <c r="Y167" s="134"/>
      <c r="Z167" s="134"/>
      <c r="AA167" s="134"/>
      <c r="AB167" s="134"/>
      <c r="AC167" s="134"/>
    </row>
    <row r="168" ht="25.5" customHeight="1">
      <c r="A168" s="145"/>
      <c r="B168" s="146"/>
      <c r="C168" s="146"/>
      <c r="D168" s="146"/>
      <c r="E168" s="146"/>
      <c r="F168" s="146"/>
      <c r="G168" s="143" t="s">
        <v>1082</v>
      </c>
      <c r="H168" s="143" t="s">
        <v>1083</v>
      </c>
      <c r="I168" s="146"/>
      <c r="J168" s="144"/>
      <c r="K168" s="135"/>
      <c r="L168" s="135"/>
      <c r="M168" s="135"/>
      <c r="N168" s="135"/>
      <c r="O168" s="135"/>
      <c r="P168" s="135"/>
      <c r="Q168" s="135"/>
      <c r="R168" s="135"/>
      <c r="S168" s="135"/>
      <c r="T168" s="135"/>
      <c r="U168" s="134"/>
      <c r="V168" s="134"/>
      <c r="W168" s="134"/>
      <c r="X168" s="134"/>
      <c r="Y168" s="134"/>
      <c r="Z168" s="134"/>
      <c r="AA168" s="134"/>
      <c r="AB168" s="134"/>
      <c r="AC168" s="134"/>
    </row>
    <row r="169" ht="25.5" customHeight="1">
      <c r="A169" s="145"/>
      <c r="B169" s="140" t="s">
        <v>475</v>
      </c>
      <c r="C169" s="141" t="s">
        <v>1084</v>
      </c>
      <c r="D169" s="139" t="s">
        <v>58</v>
      </c>
      <c r="E169" s="140" t="s">
        <v>183</v>
      </c>
      <c r="F169" s="140" t="s">
        <v>90</v>
      </c>
      <c r="G169" s="143" t="s">
        <v>1085</v>
      </c>
      <c r="H169" s="143" t="s">
        <v>1086</v>
      </c>
      <c r="I169" s="140" t="s">
        <v>156</v>
      </c>
      <c r="J169" s="144"/>
      <c r="K169" s="135"/>
      <c r="L169" s="135"/>
      <c r="M169" s="135"/>
      <c r="N169" s="135"/>
      <c r="O169" s="135"/>
      <c r="P169" s="135"/>
      <c r="Q169" s="135"/>
      <c r="R169" s="135"/>
      <c r="S169" s="135"/>
      <c r="T169" s="135"/>
      <c r="U169" s="134"/>
      <c r="V169" s="134"/>
      <c r="W169" s="134"/>
      <c r="X169" s="134"/>
      <c r="Y169" s="134"/>
      <c r="Z169" s="134"/>
      <c r="AA169" s="134"/>
      <c r="AB169" s="134"/>
      <c r="AC169" s="134"/>
    </row>
    <row r="170" ht="25.5" customHeight="1">
      <c r="A170" s="145"/>
      <c r="B170" s="145"/>
      <c r="C170" s="145"/>
      <c r="D170" s="145"/>
      <c r="E170" s="145"/>
      <c r="F170" s="145"/>
      <c r="G170" s="143" t="s">
        <v>1087</v>
      </c>
      <c r="H170" s="143" t="s">
        <v>1088</v>
      </c>
      <c r="I170" s="145"/>
      <c r="J170" s="144"/>
      <c r="K170" s="135"/>
      <c r="L170" s="135"/>
      <c r="M170" s="135"/>
      <c r="N170" s="135"/>
      <c r="O170" s="135"/>
      <c r="P170" s="135"/>
      <c r="Q170" s="135"/>
      <c r="R170" s="135"/>
      <c r="S170" s="135"/>
      <c r="T170" s="135"/>
      <c r="U170" s="134"/>
      <c r="V170" s="134"/>
      <c r="W170" s="134"/>
      <c r="X170" s="134"/>
      <c r="Y170" s="134"/>
      <c r="Z170" s="134"/>
      <c r="AA170" s="134"/>
      <c r="AB170" s="134"/>
      <c r="AC170" s="134"/>
    </row>
    <row r="171" ht="25.5" customHeight="1">
      <c r="A171" s="145"/>
      <c r="B171" s="146"/>
      <c r="C171" s="146"/>
      <c r="D171" s="146"/>
      <c r="E171" s="146"/>
      <c r="F171" s="146"/>
      <c r="G171" s="143" t="s">
        <v>1089</v>
      </c>
      <c r="H171" s="143" t="s">
        <v>1090</v>
      </c>
      <c r="I171" s="146"/>
      <c r="J171" s="144"/>
      <c r="K171" s="135"/>
      <c r="L171" s="135"/>
      <c r="M171" s="135"/>
      <c r="N171" s="135"/>
      <c r="O171" s="135"/>
      <c r="P171" s="135"/>
      <c r="Q171" s="135"/>
      <c r="R171" s="135"/>
      <c r="S171" s="135"/>
      <c r="T171" s="135"/>
      <c r="U171" s="134"/>
      <c r="V171" s="134"/>
      <c r="W171" s="134"/>
      <c r="X171" s="134"/>
      <c r="Y171" s="134"/>
      <c r="Z171" s="134"/>
      <c r="AA171" s="134"/>
      <c r="AB171" s="134"/>
      <c r="AC171" s="134"/>
    </row>
    <row r="172" ht="25.5" customHeight="1">
      <c r="A172" s="145"/>
      <c r="B172" s="140" t="s">
        <v>479</v>
      </c>
      <c r="C172" s="141" t="s">
        <v>1091</v>
      </c>
      <c r="D172" s="139" t="s">
        <v>58</v>
      </c>
      <c r="E172" s="140" t="s">
        <v>183</v>
      </c>
      <c r="F172" s="140" t="s">
        <v>90</v>
      </c>
      <c r="G172" s="143" t="s">
        <v>1092</v>
      </c>
      <c r="H172" s="143" t="s">
        <v>1093</v>
      </c>
      <c r="I172" s="140" t="s">
        <v>156</v>
      </c>
      <c r="J172" s="144"/>
      <c r="K172" s="135"/>
      <c r="L172" s="135"/>
      <c r="M172" s="135"/>
      <c r="N172" s="135"/>
      <c r="O172" s="135"/>
      <c r="P172" s="135"/>
      <c r="Q172" s="135"/>
      <c r="R172" s="135"/>
      <c r="S172" s="135"/>
      <c r="T172" s="135"/>
      <c r="U172" s="134"/>
      <c r="V172" s="134"/>
      <c r="W172" s="134"/>
      <c r="X172" s="134"/>
      <c r="Y172" s="134"/>
      <c r="Z172" s="134"/>
      <c r="AA172" s="134"/>
      <c r="AB172" s="134"/>
      <c r="AC172" s="134"/>
    </row>
    <row r="173" ht="25.5" customHeight="1">
      <c r="A173" s="145"/>
      <c r="B173" s="145"/>
      <c r="C173" s="145"/>
      <c r="D173" s="145"/>
      <c r="E173" s="145"/>
      <c r="F173" s="145"/>
      <c r="G173" s="143" t="s">
        <v>1094</v>
      </c>
      <c r="H173" s="143" t="s">
        <v>1095</v>
      </c>
      <c r="I173" s="145"/>
      <c r="J173" s="144"/>
      <c r="K173" s="135"/>
      <c r="L173" s="135"/>
      <c r="M173" s="135"/>
      <c r="N173" s="135"/>
      <c r="O173" s="135"/>
      <c r="P173" s="135"/>
      <c r="Q173" s="135"/>
      <c r="R173" s="135"/>
      <c r="S173" s="135"/>
      <c r="T173" s="135"/>
      <c r="U173" s="134"/>
      <c r="V173" s="134"/>
      <c r="W173" s="134"/>
      <c r="X173" s="134"/>
      <c r="Y173" s="134"/>
      <c r="Z173" s="134"/>
      <c r="AA173" s="134"/>
      <c r="AB173" s="134"/>
      <c r="AC173" s="134"/>
    </row>
    <row r="174" ht="25.5" customHeight="1">
      <c r="A174" s="145"/>
      <c r="B174" s="146"/>
      <c r="C174" s="146"/>
      <c r="D174" s="146"/>
      <c r="E174" s="146"/>
      <c r="F174" s="146"/>
      <c r="G174" s="143" t="s">
        <v>1096</v>
      </c>
      <c r="H174" s="143" t="s">
        <v>1097</v>
      </c>
      <c r="I174" s="146"/>
      <c r="J174" s="144"/>
      <c r="K174" s="135"/>
      <c r="L174" s="135"/>
      <c r="M174" s="135"/>
      <c r="N174" s="135"/>
      <c r="O174" s="135"/>
      <c r="P174" s="135"/>
      <c r="Q174" s="135"/>
      <c r="R174" s="135"/>
      <c r="S174" s="135"/>
      <c r="T174" s="135"/>
      <c r="U174" s="134"/>
      <c r="V174" s="134"/>
      <c r="W174" s="134"/>
      <c r="X174" s="134"/>
      <c r="Y174" s="134"/>
      <c r="Z174" s="134"/>
      <c r="AA174" s="134"/>
      <c r="AB174" s="134"/>
      <c r="AC174" s="134"/>
    </row>
    <row r="175" ht="25.5" customHeight="1">
      <c r="A175" s="145"/>
      <c r="B175" s="140" t="s">
        <v>483</v>
      </c>
      <c r="C175" s="141" t="s">
        <v>1098</v>
      </c>
      <c r="D175" s="139" t="s">
        <v>58</v>
      </c>
      <c r="E175" s="140" t="s">
        <v>183</v>
      </c>
      <c r="F175" s="140" t="s">
        <v>90</v>
      </c>
      <c r="G175" s="143" t="s">
        <v>1099</v>
      </c>
      <c r="H175" s="143" t="s">
        <v>1100</v>
      </c>
      <c r="I175" s="140" t="s">
        <v>156</v>
      </c>
      <c r="J175" s="144"/>
      <c r="K175" s="135"/>
      <c r="L175" s="135"/>
      <c r="M175" s="135"/>
      <c r="N175" s="135"/>
      <c r="O175" s="135"/>
      <c r="P175" s="135"/>
      <c r="Q175" s="135"/>
      <c r="R175" s="135"/>
      <c r="S175" s="135"/>
      <c r="T175" s="135"/>
      <c r="U175" s="134"/>
      <c r="V175" s="134"/>
      <c r="W175" s="134"/>
      <c r="X175" s="134"/>
      <c r="Y175" s="134"/>
      <c r="Z175" s="134"/>
      <c r="AA175" s="134"/>
      <c r="AB175" s="134"/>
      <c r="AC175" s="134"/>
    </row>
    <row r="176" ht="25.5" customHeight="1">
      <c r="A176" s="145"/>
      <c r="B176" s="146"/>
      <c r="C176" s="146"/>
      <c r="D176" s="146"/>
      <c r="E176" s="146"/>
      <c r="F176" s="146"/>
      <c r="G176" s="143" t="s">
        <v>1101</v>
      </c>
      <c r="H176" s="143" t="s">
        <v>1102</v>
      </c>
      <c r="I176" s="146"/>
      <c r="J176" s="144"/>
      <c r="K176" s="135"/>
      <c r="L176" s="135"/>
      <c r="M176" s="135"/>
      <c r="N176" s="135"/>
      <c r="O176" s="135"/>
      <c r="P176" s="135"/>
      <c r="Q176" s="135"/>
      <c r="R176" s="135"/>
      <c r="S176" s="135"/>
      <c r="T176" s="135"/>
      <c r="U176" s="134"/>
      <c r="V176" s="134"/>
      <c r="W176" s="134"/>
      <c r="X176" s="134"/>
      <c r="Y176" s="134"/>
      <c r="Z176" s="134"/>
      <c r="AA176" s="134"/>
      <c r="AB176" s="134"/>
      <c r="AC176" s="134"/>
    </row>
    <row r="177" ht="25.5" customHeight="1">
      <c r="A177" s="145"/>
      <c r="B177" s="140" t="s">
        <v>487</v>
      </c>
      <c r="C177" s="141" t="s">
        <v>1103</v>
      </c>
      <c r="D177" s="139" t="s">
        <v>58</v>
      </c>
      <c r="E177" s="140" t="s">
        <v>183</v>
      </c>
      <c r="F177" s="140" t="s">
        <v>90</v>
      </c>
      <c r="G177" s="143" t="s">
        <v>1104</v>
      </c>
      <c r="H177" s="143" t="s">
        <v>1105</v>
      </c>
      <c r="I177" s="140" t="s">
        <v>156</v>
      </c>
      <c r="J177" s="144"/>
      <c r="K177" s="135"/>
      <c r="L177" s="135"/>
      <c r="M177" s="135"/>
      <c r="N177" s="135"/>
      <c r="O177" s="135"/>
      <c r="P177" s="135"/>
      <c r="Q177" s="135"/>
      <c r="R177" s="135"/>
      <c r="S177" s="135"/>
      <c r="T177" s="135"/>
      <c r="U177" s="134"/>
      <c r="V177" s="134"/>
      <c r="W177" s="134"/>
      <c r="X177" s="134"/>
      <c r="Y177" s="134"/>
      <c r="Z177" s="134"/>
      <c r="AA177" s="134"/>
      <c r="AB177" s="134"/>
      <c r="AC177" s="134"/>
    </row>
    <row r="178" ht="25.5" customHeight="1">
      <c r="A178" s="145"/>
      <c r="B178" s="145"/>
      <c r="C178" s="145"/>
      <c r="D178" s="145"/>
      <c r="E178" s="145"/>
      <c r="F178" s="145"/>
      <c r="G178" s="143" t="s">
        <v>1106</v>
      </c>
      <c r="H178" s="143" t="s">
        <v>1107</v>
      </c>
      <c r="I178" s="145"/>
      <c r="J178" s="144"/>
      <c r="K178" s="135"/>
      <c r="L178" s="135"/>
      <c r="M178" s="135"/>
      <c r="N178" s="135"/>
      <c r="O178" s="135"/>
      <c r="P178" s="135"/>
      <c r="Q178" s="135"/>
      <c r="R178" s="135"/>
      <c r="S178" s="135"/>
      <c r="T178" s="135"/>
      <c r="U178" s="134"/>
      <c r="V178" s="134"/>
      <c r="W178" s="134"/>
      <c r="X178" s="134"/>
      <c r="Y178" s="134"/>
      <c r="Z178" s="134"/>
      <c r="AA178" s="134"/>
      <c r="AB178" s="134"/>
      <c r="AC178" s="134"/>
    </row>
    <row r="179" ht="25.5" customHeight="1">
      <c r="A179" s="146"/>
      <c r="B179" s="146"/>
      <c r="C179" s="146"/>
      <c r="D179" s="146"/>
      <c r="E179" s="146"/>
      <c r="F179" s="146"/>
      <c r="G179" s="143" t="s">
        <v>1108</v>
      </c>
      <c r="H179" s="143" t="s">
        <v>945</v>
      </c>
      <c r="I179" s="146"/>
      <c r="J179" s="144"/>
      <c r="K179" s="135"/>
      <c r="L179" s="135"/>
      <c r="M179" s="135"/>
      <c r="N179" s="135"/>
      <c r="O179" s="135"/>
      <c r="P179" s="135"/>
      <c r="Q179" s="135"/>
      <c r="R179" s="135"/>
      <c r="S179" s="135"/>
      <c r="T179" s="135"/>
      <c r="U179" s="134"/>
      <c r="V179" s="134"/>
      <c r="W179" s="134"/>
      <c r="X179" s="134"/>
      <c r="Y179" s="134"/>
      <c r="Z179" s="134"/>
      <c r="AA179" s="134"/>
      <c r="AB179" s="134"/>
      <c r="AC179" s="134"/>
    </row>
    <row r="180" ht="25.5" customHeight="1">
      <c r="A180" s="147" t="s">
        <v>490</v>
      </c>
      <c r="B180" s="148" t="s">
        <v>493</v>
      </c>
      <c r="C180" s="149" t="s">
        <v>1109</v>
      </c>
      <c r="D180" s="147" t="s">
        <v>58</v>
      </c>
      <c r="E180" s="148" t="s">
        <v>183</v>
      </c>
      <c r="F180" s="148" t="s">
        <v>90</v>
      </c>
      <c r="G180" s="150" t="s">
        <v>1110</v>
      </c>
      <c r="H180" s="150" t="s">
        <v>1111</v>
      </c>
      <c r="I180" s="148" t="s">
        <v>156</v>
      </c>
      <c r="J180" s="151"/>
      <c r="K180" s="135"/>
      <c r="L180" s="135"/>
      <c r="M180" s="135"/>
      <c r="N180" s="135"/>
      <c r="O180" s="135"/>
      <c r="P180" s="135"/>
      <c r="Q180" s="135"/>
      <c r="R180" s="135"/>
      <c r="S180" s="135"/>
      <c r="T180" s="135"/>
      <c r="U180" s="134"/>
      <c r="V180" s="134"/>
      <c r="W180" s="134"/>
      <c r="X180" s="134"/>
      <c r="Y180" s="134"/>
      <c r="Z180" s="134"/>
      <c r="AA180" s="134"/>
      <c r="AB180" s="134"/>
      <c r="AC180" s="134"/>
    </row>
    <row r="181" ht="25.5" customHeight="1">
      <c r="A181" s="145"/>
      <c r="B181" s="146"/>
      <c r="C181" s="146"/>
      <c r="D181" s="146"/>
      <c r="E181" s="146"/>
      <c r="F181" s="146"/>
      <c r="G181" s="150" t="s">
        <v>1112</v>
      </c>
      <c r="H181" s="150" t="s">
        <v>1113</v>
      </c>
      <c r="I181" s="146"/>
      <c r="J181" s="151"/>
      <c r="K181" s="135"/>
      <c r="L181" s="135"/>
      <c r="M181" s="135"/>
      <c r="N181" s="135"/>
      <c r="O181" s="135"/>
      <c r="P181" s="135"/>
      <c r="Q181" s="135"/>
      <c r="R181" s="135"/>
      <c r="S181" s="135"/>
      <c r="T181" s="135"/>
      <c r="U181" s="134"/>
      <c r="V181" s="134"/>
      <c r="W181" s="134"/>
      <c r="X181" s="134"/>
      <c r="Y181" s="134"/>
      <c r="Z181" s="134"/>
      <c r="AA181" s="134"/>
      <c r="AB181" s="134"/>
      <c r="AC181" s="134"/>
    </row>
    <row r="182" ht="25.5" customHeight="1">
      <c r="A182" s="145"/>
      <c r="B182" s="154" t="s">
        <v>497</v>
      </c>
      <c r="C182" s="150" t="s">
        <v>1114</v>
      </c>
      <c r="D182" s="155" t="s">
        <v>58</v>
      </c>
      <c r="E182" s="154" t="s">
        <v>183</v>
      </c>
      <c r="F182" s="154" t="s">
        <v>90</v>
      </c>
      <c r="G182" s="150" t="s">
        <v>1115</v>
      </c>
      <c r="H182" s="150" t="s">
        <v>1116</v>
      </c>
      <c r="I182" s="154" t="s">
        <v>156</v>
      </c>
      <c r="J182" s="151"/>
      <c r="K182" s="135"/>
      <c r="L182" s="135"/>
      <c r="M182" s="135"/>
      <c r="N182" s="135"/>
      <c r="O182" s="135"/>
      <c r="P182" s="135"/>
      <c r="Q182" s="135"/>
      <c r="R182" s="135"/>
      <c r="S182" s="135"/>
      <c r="T182" s="135"/>
      <c r="U182" s="134"/>
      <c r="V182" s="134"/>
      <c r="W182" s="134"/>
      <c r="X182" s="134"/>
      <c r="Y182" s="134"/>
      <c r="Z182" s="134"/>
      <c r="AA182" s="134"/>
      <c r="AB182" s="134"/>
      <c r="AC182" s="134"/>
    </row>
    <row r="183" ht="25.5" customHeight="1">
      <c r="A183" s="145"/>
      <c r="B183" s="148" t="s">
        <v>501</v>
      </c>
      <c r="C183" s="149" t="s">
        <v>1117</v>
      </c>
      <c r="D183" s="147" t="s">
        <v>58</v>
      </c>
      <c r="E183" s="148" t="s">
        <v>183</v>
      </c>
      <c r="F183" s="148" t="s">
        <v>90</v>
      </c>
      <c r="G183" s="150" t="s">
        <v>1118</v>
      </c>
      <c r="H183" s="150" t="s">
        <v>1119</v>
      </c>
      <c r="I183" s="148" t="s">
        <v>156</v>
      </c>
      <c r="J183" s="151"/>
      <c r="K183" s="135"/>
      <c r="L183" s="135"/>
      <c r="M183" s="135"/>
      <c r="N183" s="135"/>
      <c r="O183" s="135"/>
      <c r="P183" s="135"/>
      <c r="Q183" s="135"/>
      <c r="R183" s="135"/>
      <c r="S183" s="135"/>
      <c r="T183" s="135"/>
      <c r="U183" s="134"/>
      <c r="V183" s="134"/>
      <c r="W183" s="134"/>
      <c r="X183" s="134"/>
      <c r="Y183" s="134"/>
      <c r="Z183" s="134"/>
      <c r="AA183" s="134"/>
      <c r="AB183" s="134"/>
      <c r="AC183" s="134"/>
    </row>
    <row r="184" ht="25.5" customHeight="1">
      <c r="A184" s="145"/>
      <c r="B184" s="145"/>
      <c r="C184" s="145"/>
      <c r="D184" s="145"/>
      <c r="E184" s="145"/>
      <c r="F184" s="145"/>
      <c r="G184" s="150" t="s">
        <v>1120</v>
      </c>
      <c r="H184" s="150" t="s">
        <v>1121</v>
      </c>
      <c r="I184" s="145"/>
      <c r="J184" s="151"/>
      <c r="K184" s="135"/>
      <c r="L184" s="135"/>
      <c r="M184" s="135"/>
      <c r="N184" s="135"/>
      <c r="O184" s="135"/>
      <c r="P184" s="135"/>
      <c r="Q184" s="135"/>
      <c r="R184" s="135"/>
      <c r="S184" s="135"/>
      <c r="T184" s="135"/>
      <c r="U184" s="134"/>
      <c r="V184" s="134"/>
      <c r="W184" s="134"/>
      <c r="X184" s="134"/>
      <c r="Y184" s="134"/>
      <c r="Z184" s="134"/>
      <c r="AA184" s="134"/>
      <c r="AB184" s="134"/>
      <c r="AC184" s="134"/>
    </row>
    <row r="185" ht="25.5" customHeight="1">
      <c r="A185" s="145"/>
      <c r="B185" s="146"/>
      <c r="C185" s="146"/>
      <c r="D185" s="146"/>
      <c r="E185" s="146"/>
      <c r="F185" s="146"/>
      <c r="G185" s="150" t="s">
        <v>1122</v>
      </c>
      <c r="H185" s="150" t="s">
        <v>1123</v>
      </c>
      <c r="I185" s="146"/>
      <c r="J185" s="151"/>
      <c r="K185" s="135"/>
      <c r="L185" s="135"/>
      <c r="M185" s="135"/>
      <c r="N185" s="135"/>
      <c r="O185" s="135"/>
      <c r="P185" s="135"/>
      <c r="Q185" s="135"/>
      <c r="R185" s="135"/>
      <c r="S185" s="135"/>
      <c r="T185" s="135"/>
      <c r="U185" s="134"/>
      <c r="V185" s="134"/>
      <c r="W185" s="134"/>
      <c r="X185" s="134"/>
      <c r="Y185" s="134"/>
      <c r="Z185" s="134"/>
      <c r="AA185" s="134"/>
      <c r="AB185" s="134"/>
      <c r="AC185" s="134"/>
    </row>
    <row r="186" ht="25.5" customHeight="1">
      <c r="A186" s="145"/>
      <c r="B186" s="148" t="s">
        <v>505</v>
      </c>
      <c r="C186" s="149" t="s">
        <v>1124</v>
      </c>
      <c r="D186" s="147" t="s">
        <v>58</v>
      </c>
      <c r="E186" s="148" t="s">
        <v>183</v>
      </c>
      <c r="F186" s="148" t="s">
        <v>90</v>
      </c>
      <c r="G186" s="150" t="s">
        <v>1125</v>
      </c>
      <c r="H186" s="150" t="s">
        <v>1126</v>
      </c>
      <c r="I186" s="148" t="s">
        <v>156</v>
      </c>
      <c r="J186" s="151"/>
      <c r="K186" s="135"/>
      <c r="L186" s="135"/>
      <c r="M186" s="135"/>
      <c r="N186" s="135"/>
      <c r="O186" s="135"/>
      <c r="P186" s="135"/>
      <c r="Q186" s="135"/>
      <c r="R186" s="135"/>
      <c r="S186" s="135"/>
      <c r="T186" s="135"/>
      <c r="U186" s="134"/>
      <c r="V186" s="134"/>
      <c r="W186" s="134"/>
      <c r="X186" s="134"/>
      <c r="Y186" s="134"/>
      <c r="Z186" s="134"/>
      <c r="AA186" s="134"/>
      <c r="AB186" s="134"/>
      <c r="AC186" s="134"/>
    </row>
    <row r="187" ht="25.5" customHeight="1">
      <c r="A187" s="145"/>
      <c r="B187" s="145"/>
      <c r="C187" s="145"/>
      <c r="D187" s="145"/>
      <c r="E187" s="145"/>
      <c r="F187" s="145"/>
      <c r="G187" s="150" t="s">
        <v>1127</v>
      </c>
      <c r="H187" s="150" t="s">
        <v>1128</v>
      </c>
      <c r="I187" s="145"/>
      <c r="J187" s="151"/>
      <c r="K187" s="135"/>
      <c r="L187" s="135"/>
      <c r="M187" s="135"/>
      <c r="N187" s="135"/>
      <c r="O187" s="135"/>
      <c r="P187" s="135"/>
      <c r="Q187" s="135"/>
      <c r="R187" s="135"/>
      <c r="S187" s="135"/>
      <c r="T187" s="135"/>
      <c r="U187" s="134"/>
      <c r="V187" s="134"/>
      <c r="W187" s="134"/>
      <c r="X187" s="134"/>
      <c r="Y187" s="134"/>
      <c r="Z187" s="134"/>
      <c r="AA187" s="134"/>
      <c r="AB187" s="134"/>
      <c r="AC187" s="134"/>
    </row>
    <row r="188" ht="25.5" customHeight="1">
      <c r="A188" s="145"/>
      <c r="B188" s="146"/>
      <c r="C188" s="146"/>
      <c r="D188" s="146"/>
      <c r="E188" s="146"/>
      <c r="F188" s="146"/>
      <c r="G188" s="150" t="s">
        <v>1129</v>
      </c>
      <c r="H188" s="150" t="s">
        <v>1130</v>
      </c>
      <c r="I188" s="146"/>
      <c r="J188" s="151"/>
      <c r="K188" s="135"/>
      <c r="L188" s="135"/>
      <c r="M188" s="135"/>
      <c r="N188" s="135"/>
      <c r="O188" s="135"/>
      <c r="P188" s="135"/>
      <c r="Q188" s="135"/>
      <c r="R188" s="135"/>
      <c r="S188" s="135"/>
      <c r="T188" s="135"/>
      <c r="U188" s="134"/>
      <c r="V188" s="134"/>
      <c r="W188" s="134"/>
      <c r="X188" s="134"/>
      <c r="Y188" s="134"/>
      <c r="Z188" s="134"/>
      <c r="AA188" s="134"/>
      <c r="AB188" s="134"/>
      <c r="AC188" s="134"/>
    </row>
    <row r="189" ht="25.5" customHeight="1">
      <c r="A189" s="145"/>
      <c r="B189" s="148" t="s">
        <v>509</v>
      </c>
      <c r="C189" s="149" t="s">
        <v>1131</v>
      </c>
      <c r="D189" s="147" t="s">
        <v>58</v>
      </c>
      <c r="E189" s="148" t="s">
        <v>183</v>
      </c>
      <c r="F189" s="148" t="s">
        <v>90</v>
      </c>
      <c r="G189" s="150" t="s">
        <v>1132</v>
      </c>
      <c r="H189" s="150" t="s">
        <v>1133</v>
      </c>
      <c r="I189" s="148" t="s">
        <v>156</v>
      </c>
      <c r="J189" s="151"/>
      <c r="K189" s="135"/>
      <c r="L189" s="135"/>
      <c r="M189" s="135"/>
      <c r="N189" s="135"/>
      <c r="O189" s="135"/>
      <c r="P189" s="135"/>
      <c r="Q189" s="135"/>
      <c r="R189" s="135"/>
      <c r="S189" s="135"/>
      <c r="T189" s="135"/>
      <c r="U189" s="134"/>
      <c r="V189" s="134"/>
      <c r="W189" s="134"/>
      <c r="X189" s="134"/>
      <c r="Y189" s="134"/>
      <c r="Z189" s="134"/>
      <c r="AA189" s="134"/>
      <c r="AB189" s="134"/>
      <c r="AC189" s="134"/>
    </row>
    <row r="190" ht="25.5" customHeight="1">
      <c r="A190" s="145"/>
      <c r="B190" s="146"/>
      <c r="C190" s="146"/>
      <c r="D190" s="146"/>
      <c r="E190" s="146"/>
      <c r="F190" s="146"/>
      <c r="G190" s="150" t="s">
        <v>1134</v>
      </c>
      <c r="H190" s="150" t="s">
        <v>1135</v>
      </c>
      <c r="I190" s="146"/>
      <c r="J190" s="151"/>
      <c r="K190" s="135"/>
      <c r="L190" s="135"/>
      <c r="M190" s="135"/>
      <c r="N190" s="135"/>
      <c r="O190" s="135"/>
      <c r="P190" s="135"/>
      <c r="Q190" s="135"/>
      <c r="R190" s="135"/>
      <c r="S190" s="135"/>
      <c r="T190" s="135"/>
      <c r="U190" s="134"/>
      <c r="V190" s="134"/>
      <c r="W190" s="134"/>
      <c r="X190" s="134"/>
      <c r="Y190" s="134"/>
      <c r="Z190" s="134"/>
      <c r="AA190" s="134"/>
      <c r="AB190" s="134"/>
      <c r="AC190" s="134"/>
    </row>
    <row r="191" ht="25.5" customHeight="1">
      <c r="A191" s="145"/>
      <c r="B191" s="148" t="s">
        <v>513</v>
      </c>
      <c r="C191" s="149" t="s">
        <v>1136</v>
      </c>
      <c r="D191" s="147" t="s">
        <v>58</v>
      </c>
      <c r="E191" s="148" t="s">
        <v>183</v>
      </c>
      <c r="F191" s="148" t="s">
        <v>90</v>
      </c>
      <c r="G191" s="150" t="s">
        <v>1137</v>
      </c>
      <c r="H191" s="150" t="s">
        <v>1138</v>
      </c>
      <c r="I191" s="148" t="s">
        <v>156</v>
      </c>
      <c r="J191" s="151"/>
      <c r="K191" s="135"/>
      <c r="L191" s="135"/>
      <c r="M191" s="135"/>
      <c r="N191" s="135"/>
      <c r="O191" s="135"/>
      <c r="P191" s="135"/>
      <c r="Q191" s="135"/>
      <c r="R191" s="135"/>
      <c r="S191" s="135"/>
      <c r="T191" s="135"/>
      <c r="U191" s="134"/>
      <c r="V191" s="134"/>
      <c r="W191" s="134"/>
      <c r="X191" s="134"/>
      <c r="Y191" s="134"/>
      <c r="Z191" s="134"/>
      <c r="AA191" s="134"/>
      <c r="AB191" s="134"/>
      <c r="AC191" s="134"/>
    </row>
    <row r="192" ht="25.5" customHeight="1">
      <c r="A192" s="145"/>
      <c r="B192" s="146"/>
      <c r="C192" s="146"/>
      <c r="D192" s="146"/>
      <c r="E192" s="146"/>
      <c r="F192" s="146"/>
      <c r="G192" s="150" t="s">
        <v>1139</v>
      </c>
      <c r="H192" s="150" t="s">
        <v>1140</v>
      </c>
      <c r="I192" s="146"/>
      <c r="J192" s="151"/>
      <c r="K192" s="135"/>
      <c r="L192" s="135"/>
      <c r="M192" s="135"/>
      <c r="N192" s="135"/>
      <c r="O192" s="135"/>
      <c r="P192" s="135"/>
      <c r="Q192" s="135"/>
      <c r="R192" s="135"/>
      <c r="S192" s="135"/>
      <c r="T192" s="135"/>
      <c r="U192" s="134"/>
      <c r="V192" s="134"/>
      <c r="W192" s="134"/>
      <c r="X192" s="134"/>
      <c r="Y192" s="134"/>
      <c r="Z192" s="134"/>
      <c r="AA192" s="134"/>
      <c r="AB192" s="134"/>
      <c r="AC192" s="134"/>
    </row>
    <row r="193" ht="25.5" customHeight="1">
      <c r="A193" s="145"/>
      <c r="B193" s="148" t="s">
        <v>517</v>
      </c>
      <c r="C193" s="149" t="s">
        <v>1141</v>
      </c>
      <c r="D193" s="147" t="s">
        <v>58</v>
      </c>
      <c r="E193" s="148" t="s">
        <v>183</v>
      </c>
      <c r="F193" s="148" t="s">
        <v>90</v>
      </c>
      <c r="G193" s="150" t="s">
        <v>1142</v>
      </c>
      <c r="H193" s="150" t="s">
        <v>1143</v>
      </c>
      <c r="I193" s="148" t="s">
        <v>156</v>
      </c>
      <c r="J193" s="151"/>
      <c r="K193" s="135"/>
      <c r="L193" s="135"/>
      <c r="M193" s="135"/>
      <c r="N193" s="135"/>
      <c r="O193" s="135"/>
      <c r="P193" s="135"/>
      <c r="Q193" s="135"/>
      <c r="R193" s="135"/>
      <c r="S193" s="135"/>
      <c r="T193" s="135"/>
      <c r="U193" s="134"/>
      <c r="V193" s="134"/>
      <c r="W193" s="134"/>
      <c r="X193" s="134"/>
      <c r="Y193" s="134"/>
      <c r="Z193" s="134"/>
      <c r="AA193" s="134"/>
      <c r="AB193" s="134"/>
      <c r="AC193" s="134"/>
    </row>
    <row r="194" ht="25.5" customHeight="1">
      <c r="A194" s="145"/>
      <c r="B194" s="145"/>
      <c r="C194" s="145"/>
      <c r="D194" s="145"/>
      <c r="E194" s="145"/>
      <c r="F194" s="145"/>
      <c r="G194" s="150" t="s">
        <v>1144</v>
      </c>
      <c r="H194" s="150" t="s">
        <v>1145</v>
      </c>
      <c r="I194" s="145"/>
      <c r="J194" s="151"/>
      <c r="K194" s="135"/>
      <c r="L194" s="135"/>
      <c r="M194" s="135"/>
      <c r="N194" s="135"/>
      <c r="O194" s="135"/>
      <c r="P194" s="135"/>
      <c r="Q194" s="135"/>
      <c r="R194" s="135"/>
      <c r="S194" s="135"/>
      <c r="T194" s="135"/>
      <c r="U194" s="134"/>
      <c r="V194" s="134"/>
      <c r="W194" s="134"/>
      <c r="X194" s="134"/>
      <c r="Y194" s="134"/>
      <c r="Z194" s="134"/>
      <c r="AA194" s="134"/>
      <c r="AB194" s="134"/>
      <c r="AC194" s="134"/>
    </row>
    <row r="195" ht="25.5" customHeight="1">
      <c r="A195" s="145"/>
      <c r="B195" s="146"/>
      <c r="C195" s="146"/>
      <c r="D195" s="146"/>
      <c r="E195" s="146"/>
      <c r="F195" s="146"/>
      <c r="G195" s="150" t="s">
        <v>1146</v>
      </c>
      <c r="H195" s="150" t="s">
        <v>1147</v>
      </c>
      <c r="I195" s="146"/>
      <c r="J195" s="151"/>
      <c r="K195" s="135"/>
      <c r="L195" s="135"/>
      <c r="M195" s="135"/>
      <c r="N195" s="135"/>
      <c r="O195" s="135"/>
      <c r="P195" s="135"/>
      <c r="Q195" s="135"/>
      <c r="R195" s="135"/>
      <c r="S195" s="135"/>
      <c r="T195" s="135"/>
      <c r="U195" s="134"/>
      <c r="V195" s="134"/>
      <c r="W195" s="134"/>
      <c r="X195" s="134"/>
      <c r="Y195" s="134"/>
      <c r="Z195" s="134"/>
      <c r="AA195" s="134"/>
      <c r="AB195" s="134"/>
      <c r="AC195" s="134"/>
    </row>
    <row r="196" ht="25.5" customHeight="1">
      <c r="A196" s="145"/>
      <c r="B196" s="148" t="s">
        <v>521</v>
      </c>
      <c r="C196" s="149" t="s">
        <v>1148</v>
      </c>
      <c r="D196" s="147" t="s">
        <v>58</v>
      </c>
      <c r="E196" s="148" t="s">
        <v>183</v>
      </c>
      <c r="F196" s="148" t="s">
        <v>90</v>
      </c>
      <c r="G196" s="150" t="s">
        <v>1149</v>
      </c>
      <c r="H196" s="150" t="s">
        <v>1150</v>
      </c>
      <c r="I196" s="148" t="s">
        <v>156</v>
      </c>
      <c r="J196" s="151"/>
      <c r="K196" s="135"/>
      <c r="L196" s="135"/>
      <c r="M196" s="135"/>
      <c r="N196" s="135"/>
      <c r="O196" s="135"/>
      <c r="P196" s="135"/>
      <c r="Q196" s="135"/>
      <c r="R196" s="135"/>
      <c r="S196" s="135"/>
      <c r="T196" s="135"/>
      <c r="U196" s="134"/>
      <c r="V196" s="134"/>
      <c r="W196" s="134"/>
      <c r="X196" s="134"/>
      <c r="Y196" s="134"/>
      <c r="Z196" s="134"/>
      <c r="AA196" s="134"/>
      <c r="AB196" s="134"/>
      <c r="AC196" s="134"/>
    </row>
    <row r="197" ht="25.5" customHeight="1">
      <c r="A197" s="146"/>
      <c r="B197" s="146"/>
      <c r="C197" s="146"/>
      <c r="D197" s="146"/>
      <c r="E197" s="146"/>
      <c r="F197" s="146"/>
      <c r="G197" s="150" t="s">
        <v>1151</v>
      </c>
      <c r="H197" s="150" t="s">
        <v>1152</v>
      </c>
      <c r="I197" s="146"/>
      <c r="J197" s="151"/>
      <c r="K197" s="135"/>
      <c r="L197" s="135"/>
      <c r="M197" s="135"/>
      <c r="N197" s="135"/>
      <c r="O197" s="135"/>
      <c r="P197" s="135"/>
      <c r="Q197" s="135"/>
      <c r="R197" s="135"/>
      <c r="S197" s="135"/>
      <c r="T197" s="135"/>
      <c r="U197" s="134"/>
      <c r="V197" s="134"/>
      <c r="W197" s="134"/>
      <c r="X197" s="134"/>
      <c r="Y197" s="134"/>
      <c r="Z197" s="134"/>
      <c r="AA197" s="134"/>
      <c r="AB197" s="134"/>
      <c r="AC197" s="134"/>
    </row>
    <row r="198" ht="25.5" customHeight="1">
      <c r="A198" s="139" t="s">
        <v>524</v>
      </c>
      <c r="B198" s="140" t="s">
        <v>527</v>
      </c>
      <c r="C198" s="141" t="s">
        <v>1153</v>
      </c>
      <c r="D198" s="139" t="s">
        <v>58</v>
      </c>
      <c r="E198" s="140" t="s">
        <v>183</v>
      </c>
      <c r="F198" s="140" t="s">
        <v>92</v>
      </c>
      <c r="G198" s="143" t="s">
        <v>1154</v>
      </c>
      <c r="H198" s="143" t="s">
        <v>1155</v>
      </c>
      <c r="I198" s="140" t="s">
        <v>156</v>
      </c>
      <c r="J198" s="144"/>
      <c r="K198" s="135"/>
      <c r="L198" s="135"/>
      <c r="M198" s="135"/>
      <c r="N198" s="135"/>
      <c r="O198" s="135"/>
      <c r="P198" s="135"/>
      <c r="Q198" s="135"/>
      <c r="R198" s="135"/>
      <c r="S198" s="135"/>
      <c r="T198" s="135"/>
      <c r="U198" s="134"/>
      <c r="V198" s="134"/>
      <c r="W198" s="134"/>
      <c r="X198" s="134"/>
      <c r="Y198" s="134"/>
      <c r="Z198" s="134"/>
      <c r="AA198" s="134"/>
      <c r="AB198" s="134"/>
      <c r="AC198" s="134"/>
    </row>
    <row r="199" ht="25.5" customHeight="1">
      <c r="A199" s="145"/>
      <c r="B199" s="146"/>
      <c r="C199" s="146"/>
      <c r="D199" s="146"/>
      <c r="E199" s="146"/>
      <c r="F199" s="146"/>
      <c r="G199" s="143" t="s">
        <v>1156</v>
      </c>
      <c r="H199" s="143" t="s">
        <v>1157</v>
      </c>
      <c r="I199" s="146"/>
      <c r="J199" s="144"/>
      <c r="K199" s="135"/>
      <c r="L199" s="135"/>
      <c r="M199" s="135"/>
      <c r="N199" s="135"/>
      <c r="O199" s="135"/>
      <c r="P199" s="135"/>
      <c r="Q199" s="135"/>
      <c r="R199" s="135"/>
      <c r="S199" s="135"/>
      <c r="T199" s="135"/>
      <c r="U199" s="134"/>
      <c r="V199" s="134"/>
      <c r="W199" s="134"/>
      <c r="X199" s="134"/>
      <c r="Y199" s="134"/>
      <c r="Z199" s="134"/>
      <c r="AA199" s="134"/>
      <c r="AB199" s="134"/>
      <c r="AC199" s="134"/>
    </row>
    <row r="200" ht="25.5" customHeight="1">
      <c r="A200" s="145"/>
      <c r="B200" s="140" t="s">
        <v>531</v>
      </c>
      <c r="C200" s="141" t="s">
        <v>1158</v>
      </c>
      <c r="D200" s="139" t="s">
        <v>58</v>
      </c>
      <c r="E200" s="140" t="s">
        <v>183</v>
      </c>
      <c r="F200" s="140" t="s">
        <v>92</v>
      </c>
      <c r="G200" s="143" t="s">
        <v>1159</v>
      </c>
      <c r="H200" s="143" t="s">
        <v>1160</v>
      </c>
      <c r="I200" s="140" t="s">
        <v>156</v>
      </c>
      <c r="J200" s="144"/>
      <c r="K200" s="135"/>
      <c r="L200" s="135"/>
      <c r="M200" s="135"/>
      <c r="N200" s="135"/>
      <c r="O200" s="135"/>
      <c r="P200" s="135"/>
      <c r="Q200" s="135"/>
      <c r="R200" s="135"/>
      <c r="S200" s="135"/>
      <c r="T200" s="135"/>
      <c r="U200" s="134"/>
      <c r="V200" s="134"/>
      <c r="W200" s="134"/>
      <c r="X200" s="134"/>
      <c r="Y200" s="134"/>
      <c r="Z200" s="134"/>
      <c r="AA200" s="134"/>
      <c r="AB200" s="134"/>
      <c r="AC200" s="134"/>
    </row>
    <row r="201" ht="25.5" customHeight="1">
      <c r="A201" s="145"/>
      <c r="B201" s="145"/>
      <c r="C201" s="145"/>
      <c r="D201" s="145"/>
      <c r="E201" s="145"/>
      <c r="F201" s="145"/>
      <c r="G201" s="143" t="s">
        <v>1161</v>
      </c>
      <c r="H201" s="143" t="s">
        <v>1162</v>
      </c>
      <c r="I201" s="145"/>
      <c r="J201" s="144"/>
      <c r="K201" s="135"/>
      <c r="L201" s="135"/>
      <c r="M201" s="135"/>
      <c r="N201" s="135"/>
      <c r="O201" s="135"/>
      <c r="P201" s="135"/>
      <c r="Q201" s="135"/>
      <c r="R201" s="135"/>
      <c r="S201" s="135"/>
      <c r="T201" s="135"/>
      <c r="U201" s="134"/>
      <c r="V201" s="134"/>
      <c r="W201" s="134"/>
      <c r="X201" s="134"/>
      <c r="Y201" s="134"/>
      <c r="Z201" s="134"/>
      <c r="AA201" s="134"/>
      <c r="AB201" s="134"/>
      <c r="AC201" s="134"/>
    </row>
    <row r="202" ht="25.5" customHeight="1">
      <c r="A202" s="145"/>
      <c r="B202" s="146"/>
      <c r="C202" s="146"/>
      <c r="D202" s="146"/>
      <c r="E202" s="146"/>
      <c r="F202" s="146"/>
      <c r="G202" s="143" t="s">
        <v>1163</v>
      </c>
      <c r="H202" s="143" t="s">
        <v>1164</v>
      </c>
      <c r="I202" s="146"/>
      <c r="J202" s="144"/>
      <c r="K202" s="135"/>
      <c r="L202" s="135"/>
      <c r="M202" s="135"/>
      <c r="N202" s="135"/>
      <c r="O202" s="135"/>
      <c r="P202" s="135"/>
      <c r="Q202" s="135"/>
      <c r="R202" s="135"/>
      <c r="S202" s="135"/>
      <c r="T202" s="135"/>
      <c r="U202" s="134"/>
      <c r="V202" s="134"/>
      <c r="W202" s="134"/>
      <c r="X202" s="134"/>
      <c r="Y202" s="134"/>
      <c r="Z202" s="134"/>
      <c r="AA202" s="134"/>
      <c r="AB202" s="134"/>
      <c r="AC202" s="134"/>
    </row>
    <row r="203" ht="25.5" customHeight="1">
      <c r="A203" s="145"/>
      <c r="B203" s="140" t="s">
        <v>535</v>
      </c>
      <c r="C203" s="141" t="s">
        <v>1165</v>
      </c>
      <c r="D203" s="139" t="s">
        <v>58</v>
      </c>
      <c r="E203" s="140" t="s">
        <v>183</v>
      </c>
      <c r="F203" s="140" t="s">
        <v>92</v>
      </c>
      <c r="G203" s="143" t="s">
        <v>1166</v>
      </c>
      <c r="H203" s="143" t="s">
        <v>1167</v>
      </c>
      <c r="I203" s="140" t="s">
        <v>156</v>
      </c>
      <c r="J203" s="144"/>
      <c r="K203" s="135"/>
      <c r="L203" s="135"/>
      <c r="M203" s="135"/>
      <c r="N203" s="135"/>
      <c r="O203" s="135"/>
      <c r="P203" s="135"/>
      <c r="Q203" s="135"/>
      <c r="R203" s="135"/>
      <c r="S203" s="135"/>
      <c r="T203" s="135"/>
      <c r="U203" s="134"/>
      <c r="V203" s="134"/>
      <c r="W203" s="134"/>
      <c r="X203" s="134"/>
      <c r="Y203" s="134"/>
      <c r="Z203" s="134"/>
      <c r="AA203" s="134"/>
      <c r="AB203" s="134"/>
      <c r="AC203" s="134"/>
    </row>
    <row r="204" ht="25.5" customHeight="1">
      <c r="A204" s="145"/>
      <c r="B204" s="145"/>
      <c r="C204" s="145"/>
      <c r="D204" s="145"/>
      <c r="E204" s="145"/>
      <c r="F204" s="145"/>
      <c r="G204" s="143" t="s">
        <v>1168</v>
      </c>
      <c r="H204" s="143" t="s">
        <v>1169</v>
      </c>
      <c r="I204" s="145"/>
      <c r="J204" s="144"/>
      <c r="K204" s="135"/>
      <c r="L204" s="135"/>
      <c r="M204" s="135"/>
      <c r="N204" s="135"/>
      <c r="O204" s="135"/>
      <c r="P204" s="135"/>
      <c r="Q204" s="135"/>
      <c r="R204" s="135"/>
      <c r="S204" s="135"/>
      <c r="T204" s="135"/>
      <c r="U204" s="134"/>
      <c r="V204" s="134"/>
      <c r="W204" s="134"/>
      <c r="X204" s="134"/>
      <c r="Y204" s="134"/>
      <c r="Z204" s="134"/>
      <c r="AA204" s="134"/>
      <c r="AB204" s="134"/>
      <c r="AC204" s="134"/>
    </row>
    <row r="205" ht="25.5" customHeight="1">
      <c r="A205" s="145"/>
      <c r="B205" s="146"/>
      <c r="C205" s="146"/>
      <c r="D205" s="146"/>
      <c r="E205" s="146"/>
      <c r="F205" s="146"/>
      <c r="G205" s="143" t="s">
        <v>1170</v>
      </c>
      <c r="H205" s="143" t="s">
        <v>1171</v>
      </c>
      <c r="I205" s="146"/>
      <c r="J205" s="144"/>
      <c r="K205" s="135"/>
      <c r="L205" s="135"/>
      <c r="M205" s="135"/>
      <c r="N205" s="135"/>
      <c r="O205" s="135"/>
      <c r="P205" s="135"/>
      <c r="Q205" s="135"/>
      <c r="R205" s="135"/>
      <c r="S205" s="135"/>
      <c r="T205" s="135"/>
      <c r="U205" s="134"/>
      <c r="V205" s="134"/>
      <c r="W205" s="134"/>
      <c r="X205" s="134"/>
      <c r="Y205" s="134"/>
      <c r="Z205" s="134"/>
      <c r="AA205" s="134"/>
      <c r="AB205" s="134"/>
      <c r="AC205" s="134"/>
    </row>
    <row r="206" ht="25.5" customHeight="1">
      <c r="A206" s="145"/>
      <c r="B206" s="140" t="s">
        <v>539</v>
      </c>
      <c r="C206" s="141" t="s">
        <v>1172</v>
      </c>
      <c r="D206" s="139" t="s">
        <v>58</v>
      </c>
      <c r="E206" s="140" t="s">
        <v>183</v>
      </c>
      <c r="F206" s="140" t="s">
        <v>92</v>
      </c>
      <c r="G206" s="143" t="s">
        <v>1173</v>
      </c>
      <c r="H206" s="143" t="s">
        <v>1174</v>
      </c>
      <c r="I206" s="140" t="s">
        <v>156</v>
      </c>
      <c r="J206" s="144"/>
      <c r="K206" s="135"/>
      <c r="L206" s="135"/>
      <c r="M206" s="135"/>
      <c r="N206" s="135"/>
      <c r="O206" s="135"/>
      <c r="P206" s="135"/>
      <c r="Q206" s="135"/>
      <c r="R206" s="135"/>
      <c r="S206" s="135"/>
      <c r="T206" s="135"/>
      <c r="U206" s="134"/>
      <c r="V206" s="134"/>
      <c r="W206" s="134"/>
      <c r="X206" s="134"/>
      <c r="Y206" s="134"/>
      <c r="Z206" s="134"/>
      <c r="AA206" s="134"/>
      <c r="AB206" s="134"/>
      <c r="AC206" s="134"/>
    </row>
    <row r="207" ht="25.5" customHeight="1">
      <c r="A207" s="145"/>
      <c r="B207" s="146"/>
      <c r="C207" s="146"/>
      <c r="D207" s="146"/>
      <c r="E207" s="146"/>
      <c r="F207" s="146"/>
      <c r="G207" s="143" t="s">
        <v>1175</v>
      </c>
      <c r="H207" s="143" t="s">
        <v>1176</v>
      </c>
      <c r="I207" s="146"/>
      <c r="J207" s="144"/>
      <c r="K207" s="135"/>
      <c r="L207" s="135"/>
      <c r="M207" s="135"/>
      <c r="N207" s="135"/>
      <c r="O207" s="135"/>
      <c r="P207" s="135"/>
      <c r="Q207" s="135"/>
      <c r="R207" s="135"/>
      <c r="S207" s="135"/>
      <c r="T207" s="135"/>
      <c r="U207" s="134"/>
      <c r="V207" s="134"/>
      <c r="W207" s="134"/>
      <c r="X207" s="134"/>
      <c r="Y207" s="134"/>
      <c r="Z207" s="134"/>
      <c r="AA207" s="134"/>
      <c r="AB207" s="134"/>
      <c r="AC207" s="134"/>
    </row>
    <row r="208" ht="25.5" customHeight="1">
      <c r="A208" s="145"/>
      <c r="B208" s="140" t="s">
        <v>543</v>
      </c>
      <c r="C208" s="141" t="s">
        <v>1177</v>
      </c>
      <c r="D208" s="139" t="s">
        <v>58</v>
      </c>
      <c r="E208" s="140" t="s">
        <v>183</v>
      </c>
      <c r="F208" s="140" t="s">
        <v>92</v>
      </c>
      <c r="G208" s="143" t="s">
        <v>1178</v>
      </c>
      <c r="H208" s="143" t="s">
        <v>1179</v>
      </c>
      <c r="I208" s="140" t="s">
        <v>156</v>
      </c>
      <c r="J208" s="144"/>
      <c r="K208" s="135"/>
      <c r="L208" s="135"/>
      <c r="M208" s="135"/>
      <c r="N208" s="135"/>
      <c r="O208" s="135"/>
      <c r="P208" s="135"/>
      <c r="Q208" s="135"/>
      <c r="R208" s="135"/>
      <c r="S208" s="135"/>
      <c r="T208" s="135"/>
      <c r="U208" s="134"/>
      <c r="V208" s="134"/>
      <c r="W208" s="134"/>
      <c r="X208" s="134"/>
      <c r="Y208" s="134"/>
      <c r="Z208" s="134"/>
      <c r="AA208" s="134"/>
      <c r="AB208" s="134"/>
      <c r="AC208" s="134"/>
    </row>
    <row r="209" ht="25.5" customHeight="1">
      <c r="A209" s="145"/>
      <c r="B209" s="146"/>
      <c r="C209" s="146"/>
      <c r="D209" s="146"/>
      <c r="E209" s="146"/>
      <c r="F209" s="146"/>
      <c r="G209" s="143" t="s">
        <v>1180</v>
      </c>
      <c r="H209" s="143" t="s">
        <v>1181</v>
      </c>
      <c r="I209" s="146"/>
      <c r="J209" s="144"/>
      <c r="K209" s="135"/>
      <c r="L209" s="135"/>
      <c r="M209" s="135"/>
      <c r="N209" s="135"/>
      <c r="O209" s="135"/>
      <c r="P209" s="135"/>
      <c r="Q209" s="135"/>
      <c r="R209" s="135"/>
      <c r="S209" s="135"/>
      <c r="T209" s="135"/>
      <c r="U209" s="134"/>
      <c r="V209" s="134"/>
      <c r="W209" s="134"/>
      <c r="X209" s="134"/>
      <c r="Y209" s="134"/>
      <c r="Z209" s="134"/>
      <c r="AA209" s="134"/>
      <c r="AB209" s="134"/>
      <c r="AC209" s="134"/>
    </row>
    <row r="210" ht="25.5" customHeight="1">
      <c r="A210" s="145"/>
      <c r="B210" s="140" t="s">
        <v>547</v>
      </c>
      <c r="C210" s="141" t="s">
        <v>1182</v>
      </c>
      <c r="D210" s="139" t="s">
        <v>58</v>
      </c>
      <c r="E210" s="140" t="s">
        <v>183</v>
      </c>
      <c r="F210" s="140" t="s">
        <v>92</v>
      </c>
      <c r="G210" s="143" t="s">
        <v>1183</v>
      </c>
      <c r="H210" s="143" t="s">
        <v>1184</v>
      </c>
      <c r="I210" s="140" t="s">
        <v>156</v>
      </c>
      <c r="J210" s="144"/>
      <c r="K210" s="135"/>
      <c r="L210" s="135"/>
      <c r="M210" s="135"/>
      <c r="N210" s="135"/>
      <c r="O210" s="135"/>
      <c r="P210" s="135"/>
      <c r="Q210" s="135"/>
      <c r="R210" s="135"/>
      <c r="S210" s="135"/>
      <c r="T210" s="135"/>
      <c r="U210" s="134"/>
      <c r="V210" s="134"/>
      <c r="W210" s="134"/>
      <c r="X210" s="134"/>
      <c r="Y210" s="134"/>
      <c r="Z210" s="134"/>
      <c r="AA210" s="134"/>
      <c r="AB210" s="134"/>
      <c r="AC210" s="134"/>
    </row>
    <row r="211" ht="25.5" customHeight="1">
      <c r="A211" s="145"/>
      <c r="B211" s="146"/>
      <c r="C211" s="146"/>
      <c r="D211" s="146"/>
      <c r="E211" s="146"/>
      <c r="F211" s="146"/>
      <c r="G211" s="143" t="s">
        <v>1185</v>
      </c>
      <c r="H211" s="143" t="s">
        <v>1186</v>
      </c>
      <c r="I211" s="146"/>
      <c r="J211" s="144"/>
      <c r="K211" s="135"/>
      <c r="L211" s="135"/>
      <c r="M211" s="135"/>
      <c r="N211" s="135"/>
      <c r="O211" s="135"/>
      <c r="P211" s="135"/>
      <c r="Q211" s="135"/>
      <c r="R211" s="135"/>
      <c r="S211" s="135"/>
      <c r="T211" s="135"/>
      <c r="U211" s="134"/>
      <c r="V211" s="134"/>
      <c r="W211" s="134"/>
      <c r="X211" s="134"/>
      <c r="Y211" s="134"/>
      <c r="Z211" s="134"/>
      <c r="AA211" s="134"/>
      <c r="AB211" s="134"/>
      <c r="AC211" s="134"/>
    </row>
    <row r="212" ht="25.5" customHeight="1">
      <c r="A212" s="145"/>
      <c r="B212" s="140" t="s">
        <v>551</v>
      </c>
      <c r="C212" s="141" t="s">
        <v>1187</v>
      </c>
      <c r="D212" s="139" t="s">
        <v>58</v>
      </c>
      <c r="E212" s="140" t="s">
        <v>183</v>
      </c>
      <c r="F212" s="140" t="s">
        <v>92</v>
      </c>
      <c r="G212" s="143" t="s">
        <v>1188</v>
      </c>
      <c r="H212" s="143" t="s">
        <v>1189</v>
      </c>
      <c r="I212" s="140" t="s">
        <v>156</v>
      </c>
      <c r="J212" s="144"/>
      <c r="K212" s="135"/>
      <c r="L212" s="135"/>
      <c r="M212" s="135"/>
      <c r="N212" s="135"/>
      <c r="O212" s="135"/>
      <c r="P212" s="135"/>
      <c r="Q212" s="135"/>
      <c r="R212" s="135"/>
      <c r="S212" s="135"/>
      <c r="T212" s="135"/>
      <c r="U212" s="134"/>
      <c r="V212" s="134"/>
      <c r="W212" s="134"/>
      <c r="X212" s="134"/>
      <c r="Y212" s="134"/>
      <c r="Z212" s="134"/>
      <c r="AA212" s="134"/>
      <c r="AB212" s="134"/>
      <c r="AC212" s="134"/>
    </row>
    <row r="213" ht="25.5" customHeight="1">
      <c r="A213" s="145"/>
      <c r="B213" s="145"/>
      <c r="C213" s="145"/>
      <c r="D213" s="145"/>
      <c r="E213" s="145"/>
      <c r="F213" s="145"/>
      <c r="G213" s="143" t="s">
        <v>1190</v>
      </c>
      <c r="H213" s="143" t="s">
        <v>1191</v>
      </c>
      <c r="I213" s="145"/>
      <c r="J213" s="144"/>
      <c r="K213" s="135"/>
      <c r="L213" s="135"/>
      <c r="M213" s="135"/>
      <c r="N213" s="135"/>
      <c r="O213" s="135"/>
      <c r="P213" s="135"/>
      <c r="Q213" s="135"/>
      <c r="R213" s="135"/>
      <c r="S213" s="135"/>
      <c r="T213" s="135"/>
      <c r="U213" s="134"/>
      <c r="V213" s="134"/>
      <c r="W213" s="134"/>
      <c r="X213" s="134"/>
      <c r="Y213" s="134"/>
      <c r="Z213" s="134"/>
      <c r="AA213" s="134"/>
      <c r="AB213" s="134"/>
      <c r="AC213" s="134"/>
    </row>
    <row r="214" ht="25.5" customHeight="1">
      <c r="A214" s="145"/>
      <c r="B214" s="146"/>
      <c r="C214" s="146"/>
      <c r="D214" s="146"/>
      <c r="E214" s="146"/>
      <c r="F214" s="146"/>
      <c r="G214" s="143" t="s">
        <v>1192</v>
      </c>
      <c r="H214" s="143" t="s">
        <v>1193</v>
      </c>
      <c r="I214" s="146"/>
      <c r="J214" s="144"/>
      <c r="K214" s="135"/>
      <c r="L214" s="135"/>
      <c r="M214" s="135"/>
      <c r="N214" s="135"/>
      <c r="O214" s="135"/>
      <c r="P214" s="135"/>
      <c r="Q214" s="135"/>
      <c r="R214" s="135"/>
      <c r="S214" s="135"/>
      <c r="T214" s="135"/>
      <c r="U214" s="134"/>
      <c r="V214" s="134"/>
      <c r="W214" s="134"/>
      <c r="X214" s="134"/>
      <c r="Y214" s="134"/>
      <c r="Z214" s="134"/>
      <c r="AA214" s="134"/>
      <c r="AB214" s="134"/>
      <c r="AC214" s="134"/>
    </row>
    <row r="215" ht="25.5" customHeight="1">
      <c r="A215" s="145"/>
      <c r="B215" s="140" t="s">
        <v>555</v>
      </c>
      <c r="C215" s="141" t="s">
        <v>1194</v>
      </c>
      <c r="D215" s="139" t="s">
        <v>58</v>
      </c>
      <c r="E215" s="140" t="s">
        <v>183</v>
      </c>
      <c r="F215" s="140" t="s">
        <v>92</v>
      </c>
      <c r="G215" s="143" t="s">
        <v>1195</v>
      </c>
      <c r="H215" s="143" t="s">
        <v>1196</v>
      </c>
      <c r="I215" s="140" t="s">
        <v>156</v>
      </c>
      <c r="J215" s="144"/>
      <c r="K215" s="135"/>
      <c r="L215" s="135"/>
      <c r="M215" s="135"/>
      <c r="N215" s="135"/>
      <c r="O215" s="135"/>
      <c r="P215" s="135"/>
      <c r="Q215" s="135"/>
      <c r="R215" s="135"/>
      <c r="S215" s="135"/>
      <c r="T215" s="135"/>
      <c r="U215" s="134"/>
      <c r="V215" s="134"/>
      <c r="W215" s="134"/>
      <c r="X215" s="134"/>
      <c r="Y215" s="134"/>
      <c r="Z215" s="134"/>
      <c r="AA215" s="134"/>
      <c r="AB215" s="134"/>
      <c r="AC215" s="134"/>
    </row>
    <row r="216" ht="25.5" customHeight="1">
      <c r="A216" s="146"/>
      <c r="B216" s="146"/>
      <c r="C216" s="146"/>
      <c r="D216" s="146"/>
      <c r="E216" s="146"/>
      <c r="F216" s="146"/>
      <c r="G216" s="143" t="s">
        <v>1197</v>
      </c>
      <c r="H216" s="143" t="s">
        <v>1198</v>
      </c>
      <c r="I216" s="146"/>
      <c r="J216" s="144"/>
      <c r="K216" s="135"/>
      <c r="L216" s="135"/>
      <c r="M216" s="135"/>
      <c r="N216" s="135"/>
      <c r="O216" s="135"/>
      <c r="P216" s="135"/>
      <c r="Q216" s="135"/>
      <c r="R216" s="135"/>
      <c r="S216" s="135"/>
      <c r="T216" s="135"/>
      <c r="U216" s="134"/>
      <c r="V216" s="134"/>
      <c r="W216" s="134"/>
      <c r="X216" s="134"/>
      <c r="Y216" s="134"/>
      <c r="Z216" s="134"/>
      <c r="AA216" s="134"/>
      <c r="AB216" s="134"/>
      <c r="AC216" s="134"/>
    </row>
    <row r="217" ht="25.5" customHeight="1">
      <c r="A217" s="147" t="s">
        <v>558</v>
      </c>
      <c r="B217" s="148" t="s">
        <v>561</v>
      </c>
      <c r="C217" s="149" t="s">
        <v>562</v>
      </c>
      <c r="D217" s="147" t="s">
        <v>12</v>
      </c>
      <c r="E217" s="148" t="s">
        <v>183</v>
      </c>
      <c r="F217" s="148" t="s">
        <v>92</v>
      </c>
      <c r="G217" s="150" t="s">
        <v>1199</v>
      </c>
      <c r="H217" s="150" t="s">
        <v>1200</v>
      </c>
      <c r="I217" s="148" t="s">
        <v>156</v>
      </c>
      <c r="J217" s="151"/>
      <c r="K217" s="135"/>
      <c r="L217" s="135"/>
      <c r="M217" s="135"/>
      <c r="N217" s="135"/>
      <c r="O217" s="135"/>
      <c r="P217" s="135"/>
      <c r="Q217" s="135"/>
      <c r="R217" s="135"/>
      <c r="S217" s="135"/>
      <c r="T217" s="135"/>
      <c r="U217" s="134"/>
      <c r="V217" s="134"/>
      <c r="W217" s="134"/>
      <c r="X217" s="134"/>
      <c r="Y217" s="134"/>
      <c r="Z217" s="134"/>
      <c r="AA217" s="134"/>
      <c r="AB217" s="134"/>
      <c r="AC217" s="134"/>
    </row>
    <row r="218" ht="25.5" customHeight="1">
      <c r="A218" s="145"/>
      <c r="B218" s="146"/>
      <c r="C218" s="146"/>
      <c r="D218" s="146"/>
      <c r="E218" s="146"/>
      <c r="F218" s="146"/>
      <c r="G218" s="150" t="s">
        <v>1201</v>
      </c>
      <c r="H218" s="150" t="s">
        <v>1202</v>
      </c>
      <c r="I218" s="146"/>
      <c r="J218" s="151"/>
      <c r="K218" s="135"/>
      <c r="L218" s="135"/>
      <c r="M218" s="135"/>
      <c r="N218" s="135"/>
      <c r="O218" s="135"/>
      <c r="P218" s="135"/>
      <c r="Q218" s="135"/>
      <c r="R218" s="135"/>
      <c r="S218" s="135"/>
      <c r="T218" s="135"/>
      <c r="U218" s="134"/>
      <c r="V218" s="134"/>
      <c r="W218" s="134"/>
      <c r="X218" s="134"/>
      <c r="Y218" s="134"/>
      <c r="Z218" s="134"/>
      <c r="AA218" s="134"/>
      <c r="AB218" s="134"/>
      <c r="AC218" s="134"/>
    </row>
    <row r="219" ht="25.5" customHeight="1">
      <c r="A219" s="145"/>
      <c r="B219" s="148" t="s">
        <v>565</v>
      </c>
      <c r="C219" s="149" t="s">
        <v>1203</v>
      </c>
      <c r="D219" s="147" t="s">
        <v>12</v>
      </c>
      <c r="E219" s="148" t="s">
        <v>183</v>
      </c>
      <c r="F219" s="148" t="s">
        <v>92</v>
      </c>
      <c r="G219" s="150" t="s">
        <v>1204</v>
      </c>
      <c r="H219" s="150" t="s">
        <v>1205</v>
      </c>
      <c r="I219" s="148" t="s">
        <v>156</v>
      </c>
      <c r="J219" s="151"/>
      <c r="K219" s="135"/>
      <c r="L219" s="135"/>
      <c r="M219" s="135"/>
      <c r="N219" s="135"/>
      <c r="O219" s="135"/>
      <c r="P219" s="135"/>
      <c r="Q219" s="135"/>
      <c r="R219" s="135"/>
      <c r="S219" s="135"/>
      <c r="T219" s="135"/>
      <c r="U219" s="134"/>
      <c r="V219" s="134"/>
      <c r="W219" s="134"/>
      <c r="X219" s="134"/>
      <c r="Y219" s="134"/>
      <c r="Z219" s="134"/>
      <c r="AA219" s="134"/>
      <c r="AB219" s="134"/>
      <c r="AC219" s="134"/>
    </row>
    <row r="220" ht="25.5" customHeight="1">
      <c r="A220" s="145"/>
      <c r="B220" s="145"/>
      <c r="C220" s="145"/>
      <c r="D220" s="145"/>
      <c r="E220" s="145"/>
      <c r="F220" s="145"/>
      <c r="G220" s="150" t="s">
        <v>1206</v>
      </c>
      <c r="H220" s="150" t="s">
        <v>1207</v>
      </c>
      <c r="I220" s="145"/>
      <c r="J220" s="151"/>
      <c r="K220" s="135"/>
      <c r="L220" s="135"/>
      <c r="M220" s="135"/>
      <c r="N220" s="135"/>
      <c r="O220" s="135"/>
      <c r="P220" s="135"/>
      <c r="Q220" s="135"/>
      <c r="R220" s="135"/>
      <c r="S220" s="135"/>
      <c r="T220" s="135"/>
      <c r="U220" s="134"/>
      <c r="V220" s="134"/>
      <c r="W220" s="134"/>
      <c r="X220" s="134"/>
      <c r="Y220" s="134"/>
      <c r="Z220" s="134"/>
      <c r="AA220" s="134"/>
      <c r="AB220" s="134"/>
      <c r="AC220" s="134"/>
    </row>
    <row r="221" ht="25.5" customHeight="1">
      <c r="A221" s="145"/>
      <c r="B221" s="146"/>
      <c r="C221" s="146"/>
      <c r="D221" s="146"/>
      <c r="E221" s="146"/>
      <c r="F221" s="146"/>
      <c r="G221" s="150" t="s">
        <v>1208</v>
      </c>
      <c r="H221" s="150" t="s">
        <v>1209</v>
      </c>
      <c r="I221" s="146"/>
      <c r="J221" s="151"/>
      <c r="K221" s="135"/>
      <c r="L221" s="135"/>
      <c r="M221" s="135"/>
      <c r="N221" s="135"/>
      <c r="O221" s="135"/>
      <c r="P221" s="135"/>
      <c r="Q221" s="135"/>
      <c r="R221" s="135"/>
      <c r="S221" s="135"/>
      <c r="T221" s="135"/>
      <c r="U221" s="134"/>
      <c r="V221" s="134"/>
      <c r="W221" s="134"/>
      <c r="X221" s="134"/>
      <c r="Y221" s="134"/>
      <c r="Z221" s="134"/>
      <c r="AA221" s="134"/>
      <c r="AB221" s="134"/>
      <c r="AC221" s="134"/>
    </row>
    <row r="222" ht="25.5" customHeight="1">
      <c r="A222" s="145"/>
      <c r="B222" s="148" t="s">
        <v>569</v>
      </c>
      <c r="C222" s="149" t="s">
        <v>1210</v>
      </c>
      <c r="D222" s="147" t="s">
        <v>12</v>
      </c>
      <c r="E222" s="148" t="s">
        <v>183</v>
      </c>
      <c r="F222" s="148" t="s">
        <v>92</v>
      </c>
      <c r="G222" s="150" t="s">
        <v>1211</v>
      </c>
      <c r="H222" s="150" t="s">
        <v>1212</v>
      </c>
      <c r="I222" s="148" t="s">
        <v>156</v>
      </c>
      <c r="J222" s="151"/>
      <c r="K222" s="135"/>
      <c r="L222" s="135"/>
      <c r="M222" s="135"/>
      <c r="N222" s="135"/>
      <c r="O222" s="135"/>
      <c r="P222" s="135"/>
      <c r="Q222" s="135"/>
      <c r="R222" s="135"/>
      <c r="S222" s="135"/>
      <c r="T222" s="135"/>
      <c r="U222" s="134"/>
      <c r="V222" s="134"/>
      <c r="W222" s="134"/>
      <c r="X222" s="134"/>
      <c r="Y222" s="134"/>
      <c r="Z222" s="134"/>
      <c r="AA222" s="134"/>
      <c r="AB222" s="134"/>
      <c r="AC222" s="134"/>
    </row>
    <row r="223" ht="25.5" customHeight="1">
      <c r="A223" s="145"/>
      <c r="B223" s="145"/>
      <c r="C223" s="145"/>
      <c r="D223" s="145"/>
      <c r="E223" s="145"/>
      <c r="F223" s="145"/>
      <c r="G223" s="150" t="s">
        <v>1213</v>
      </c>
      <c r="H223" s="150" t="s">
        <v>1214</v>
      </c>
      <c r="I223" s="145"/>
      <c r="J223" s="151"/>
      <c r="K223" s="135"/>
      <c r="L223" s="135"/>
      <c r="M223" s="135"/>
      <c r="N223" s="135"/>
      <c r="O223" s="135"/>
      <c r="P223" s="135"/>
      <c r="Q223" s="135"/>
      <c r="R223" s="135"/>
      <c r="S223" s="135"/>
      <c r="T223" s="135"/>
      <c r="U223" s="134"/>
      <c r="V223" s="134"/>
      <c r="W223" s="134"/>
      <c r="X223" s="134"/>
      <c r="Y223" s="134"/>
      <c r="Z223" s="134"/>
      <c r="AA223" s="134"/>
      <c r="AB223" s="134"/>
      <c r="AC223" s="134"/>
    </row>
    <row r="224" ht="25.5" customHeight="1">
      <c r="A224" s="145"/>
      <c r="B224" s="146"/>
      <c r="C224" s="146"/>
      <c r="D224" s="146"/>
      <c r="E224" s="146"/>
      <c r="F224" s="146"/>
      <c r="G224" s="150" t="s">
        <v>1215</v>
      </c>
      <c r="H224" s="150" t="s">
        <v>1216</v>
      </c>
      <c r="I224" s="146"/>
      <c r="J224" s="151"/>
      <c r="K224" s="135"/>
      <c r="L224" s="135"/>
      <c r="M224" s="135"/>
      <c r="N224" s="135"/>
      <c r="O224" s="135"/>
      <c r="P224" s="135"/>
      <c r="Q224" s="135"/>
      <c r="R224" s="135"/>
      <c r="S224" s="135"/>
      <c r="T224" s="135"/>
      <c r="U224" s="134"/>
      <c r="V224" s="134"/>
      <c r="W224" s="134"/>
      <c r="X224" s="134"/>
      <c r="Y224" s="134"/>
      <c r="Z224" s="134"/>
      <c r="AA224" s="134"/>
      <c r="AB224" s="134"/>
      <c r="AC224" s="134"/>
    </row>
    <row r="225" ht="25.5" customHeight="1">
      <c r="A225" s="145"/>
      <c r="B225" s="148" t="s">
        <v>573</v>
      </c>
      <c r="C225" s="149" t="s">
        <v>1217</v>
      </c>
      <c r="D225" s="147" t="s">
        <v>12</v>
      </c>
      <c r="E225" s="148" t="s">
        <v>183</v>
      </c>
      <c r="F225" s="148" t="s">
        <v>92</v>
      </c>
      <c r="G225" s="150" t="s">
        <v>1218</v>
      </c>
      <c r="H225" s="150" t="s">
        <v>1219</v>
      </c>
      <c r="I225" s="148" t="s">
        <v>156</v>
      </c>
      <c r="J225" s="151"/>
      <c r="K225" s="135"/>
      <c r="L225" s="135"/>
      <c r="M225" s="135"/>
      <c r="N225" s="135"/>
      <c r="O225" s="135"/>
      <c r="P225" s="135"/>
      <c r="Q225" s="135"/>
      <c r="R225" s="135"/>
      <c r="S225" s="135"/>
      <c r="T225" s="135"/>
      <c r="U225" s="134"/>
      <c r="V225" s="134"/>
      <c r="W225" s="134"/>
      <c r="X225" s="134"/>
      <c r="Y225" s="134"/>
      <c r="Z225" s="134"/>
      <c r="AA225" s="134"/>
      <c r="AB225" s="134"/>
      <c r="AC225" s="134"/>
    </row>
    <row r="226" ht="25.5" customHeight="1">
      <c r="A226" s="145"/>
      <c r="B226" s="146"/>
      <c r="C226" s="146"/>
      <c r="D226" s="146"/>
      <c r="E226" s="146"/>
      <c r="F226" s="146"/>
      <c r="G226" s="150" t="s">
        <v>1220</v>
      </c>
      <c r="H226" s="150" t="s">
        <v>1221</v>
      </c>
      <c r="I226" s="146"/>
      <c r="J226" s="151"/>
      <c r="K226" s="135"/>
      <c r="L226" s="135"/>
      <c r="M226" s="135"/>
      <c r="N226" s="135"/>
      <c r="O226" s="135"/>
      <c r="P226" s="135"/>
      <c r="Q226" s="135"/>
      <c r="R226" s="135"/>
      <c r="S226" s="135"/>
      <c r="T226" s="135"/>
      <c r="U226" s="134"/>
      <c r="V226" s="134"/>
      <c r="W226" s="134"/>
      <c r="X226" s="134"/>
      <c r="Y226" s="134"/>
      <c r="Z226" s="134"/>
      <c r="AA226" s="134"/>
      <c r="AB226" s="134"/>
      <c r="AC226" s="134"/>
    </row>
    <row r="227" ht="25.5" customHeight="1">
      <c r="A227" s="145"/>
      <c r="B227" s="148" t="s">
        <v>577</v>
      </c>
      <c r="C227" s="149" t="s">
        <v>1222</v>
      </c>
      <c r="D227" s="147" t="s">
        <v>12</v>
      </c>
      <c r="E227" s="148" t="s">
        <v>183</v>
      </c>
      <c r="F227" s="148" t="s">
        <v>92</v>
      </c>
      <c r="G227" s="150" t="s">
        <v>1223</v>
      </c>
      <c r="H227" s="150" t="s">
        <v>1224</v>
      </c>
      <c r="I227" s="148" t="s">
        <v>156</v>
      </c>
      <c r="J227" s="151"/>
      <c r="K227" s="135"/>
      <c r="L227" s="135"/>
      <c r="M227" s="135"/>
      <c r="N227" s="135"/>
      <c r="O227" s="135"/>
      <c r="P227" s="135"/>
      <c r="Q227" s="135"/>
      <c r="R227" s="135"/>
      <c r="S227" s="135"/>
      <c r="T227" s="135"/>
      <c r="U227" s="134"/>
      <c r="V227" s="134"/>
      <c r="W227" s="134"/>
      <c r="X227" s="134"/>
      <c r="Y227" s="134"/>
      <c r="Z227" s="134"/>
      <c r="AA227" s="134"/>
      <c r="AB227" s="134"/>
      <c r="AC227" s="134"/>
    </row>
    <row r="228" ht="25.5" customHeight="1">
      <c r="A228" s="145"/>
      <c r="B228" s="146"/>
      <c r="C228" s="146"/>
      <c r="D228" s="146"/>
      <c r="E228" s="146"/>
      <c r="F228" s="146"/>
      <c r="G228" s="150" t="s">
        <v>1225</v>
      </c>
      <c r="H228" s="150" t="s">
        <v>1226</v>
      </c>
      <c r="I228" s="146"/>
      <c r="J228" s="151"/>
      <c r="K228" s="135"/>
      <c r="L228" s="135"/>
      <c r="M228" s="135"/>
      <c r="N228" s="135"/>
      <c r="O228" s="135"/>
      <c r="P228" s="135"/>
      <c r="Q228" s="135"/>
      <c r="R228" s="135"/>
      <c r="S228" s="135"/>
      <c r="T228" s="135"/>
      <c r="U228" s="134"/>
      <c r="V228" s="134"/>
      <c r="W228" s="134"/>
      <c r="X228" s="134"/>
      <c r="Y228" s="134"/>
      <c r="Z228" s="134"/>
      <c r="AA228" s="134"/>
      <c r="AB228" s="134"/>
      <c r="AC228" s="134"/>
    </row>
    <row r="229" ht="25.5" customHeight="1">
      <c r="A229" s="145"/>
      <c r="B229" s="148" t="s">
        <v>581</v>
      </c>
      <c r="C229" s="149" t="s">
        <v>1227</v>
      </c>
      <c r="D229" s="147" t="s">
        <v>12</v>
      </c>
      <c r="E229" s="148" t="s">
        <v>183</v>
      </c>
      <c r="F229" s="148" t="s">
        <v>92</v>
      </c>
      <c r="G229" s="150" t="s">
        <v>1228</v>
      </c>
      <c r="H229" s="150" t="s">
        <v>1229</v>
      </c>
      <c r="I229" s="148" t="s">
        <v>156</v>
      </c>
      <c r="J229" s="151"/>
      <c r="K229" s="135"/>
      <c r="L229" s="135"/>
      <c r="M229" s="135"/>
      <c r="N229" s="135"/>
      <c r="O229" s="135"/>
      <c r="P229" s="135"/>
      <c r="Q229" s="135"/>
      <c r="R229" s="135"/>
      <c r="S229" s="135"/>
      <c r="T229" s="135"/>
      <c r="U229" s="134"/>
      <c r="V229" s="134"/>
      <c r="W229" s="134"/>
      <c r="X229" s="134"/>
      <c r="Y229" s="134"/>
      <c r="Z229" s="134"/>
      <c r="AA229" s="134"/>
      <c r="AB229" s="134"/>
      <c r="AC229" s="134"/>
    </row>
    <row r="230" ht="25.5" customHeight="1">
      <c r="A230" s="145"/>
      <c r="B230" s="146"/>
      <c r="C230" s="146"/>
      <c r="D230" s="146"/>
      <c r="E230" s="146"/>
      <c r="F230" s="146"/>
      <c r="G230" s="150" t="s">
        <v>1230</v>
      </c>
      <c r="H230" s="150" t="s">
        <v>1231</v>
      </c>
      <c r="I230" s="146"/>
      <c r="J230" s="151"/>
      <c r="K230" s="135"/>
      <c r="L230" s="135"/>
      <c r="M230" s="135"/>
      <c r="N230" s="135"/>
      <c r="O230" s="135"/>
      <c r="P230" s="135"/>
      <c r="Q230" s="135"/>
      <c r="R230" s="135"/>
      <c r="S230" s="135"/>
      <c r="T230" s="135"/>
      <c r="U230" s="134"/>
      <c r="V230" s="134"/>
      <c r="W230" s="134"/>
      <c r="X230" s="134"/>
      <c r="Y230" s="134"/>
      <c r="Z230" s="134"/>
      <c r="AA230" s="134"/>
      <c r="AB230" s="134"/>
      <c r="AC230" s="134"/>
    </row>
    <row r="231" ht="25.5" customHeight="1">
      <c r="A231" s="145"/>
      <c r="B231" s="148" t="s">
        <v>585</v>
      </c>
      <c r="C231" s="149" t="s">
        <v>1232</v>
      </c>
      <c r="D231" s="147" t="s">
        <v>12</v>
      </c>
      <c r="E231" s="148" t="s">
        <v>183</v>
      </c>
      <c r="F231" s="148" t="s">
        <v>92</v>
      </c>
      <c r="G231" s="150" t="s">
        <v>1233</v>
      </c>
      <c r="H231" s="150" t="s">
        <v>1234</v>
      </c>
      <c r="I231" s="148" t="s">
        <v>156</v>
      </c>
      <c r="J231" s="151"/>
      <c r="K231" s="135"/>
      <c r="L231" s="135"/>
      <c r="M231" s="135"/>
      <c r="N231" s="135"/>
      <c r="O231" s="135"/>
      <c r="P231" s="135"/>
      <c r="Q231" s="135"/>
      <c r="R231" s="135"/>
      <c r="S231" s="135"/>
      <c r="T231" s="135"/>
      <c r="U231" s="134"/>
      <c r="V231" s="134"/>
      <c r="W231" s="134"/>
      <c r="X231" s="134"/>
      <c r="Y231" s="134"/>
      <c r="Z231" s="134"/>
      <c r="AA231" s="134"/>
      <c r="AB231" s="134"/>
      <c r="AC231" s="134"/>
    </row>
    <row r="232" ht="25.5" customHeight="1">
      <c r="A232" s="145"/>
      <c r="B232" s="146"/>
      <c r="C232" s="146"/>
      <c r="D232" s="146"/>
      <c r="E232" s="146"/>
      <c r="F232" s="146"/>
      <c r="G232" s="150" t="s">
        <v>1235</v>
      </c>
      <c r="H232" s="150" t="s">
        <v>1236</v>
      </c>
      <c r="I232" s="146"/>
      <c r="J232" s="151"/>
      <c r="K232" s="135"/>
      <c r="L232" s="135"/>
      <c r="M232" s="135"/>
      <c r="N232" s="135"/>
      <c r="O232" s="135"/>
      <c r="P232" s="135"/>
      <c r="Q232" s="135"/>
      <c r="R232" s="135"/>
      <c r="S232" s="135"/>
      <c r="T232" s="135"/>
      <c r="U232" s="134"/>
      <c r="V232" s="134"/>
      <c r="W232" s="134"/>
      <c r="X232" s="134"/>
      <c r="Y232" s="134"/>
      <c r="Z232" s="134"/>
      <c r="AA232" s="134"/>
      <c r="AB232" s="134"/>
      <c r="AC232" s="134"/>
    </row>
    <row r="233" ht="25.5" customHeight="1">
      <c r="A233" s="145"/>
      <c r="B233" s="148" t="s">
        <v>589</v>
      </c>
      <c r="C233" s="149" t="s">
        <v>1237</v>
      </c>
      <c r="D233" s="147" t="s">
        <v>12</v>
      </c>
      <c r="E233" s="148" t="s">
        <v>183</v>
      </c>
      <c r="F233" s="148" t="s">
        <v>92</v>
      </c>
      <c r="G233" s="150" t="s">
        <v>1238</v>
      </c>
      <c r="H233" s="150" t="s">
        <v>1239</v>
      </c>
      <c r="I233" s="148" t="s">
        <v>156</v>
      </c>
      <c r="J233" s="151"/>
      <c r="K233" s="135"/>
      <c r="L233" s="135"/>
      <c r="M233" s="135"/>
      <c r="N233" s="135"/>
      <c r="O233" s="135"/>
      <c r="P233" s="135"/>
      <c r="Q233" s="135"/>
      <c r="R233" s="135"/>
      <c r="S233" s="135"/>
      <c r="T233" s="135"/>
      <c r="U233" s="134"/>
      <c r="V233" s="134"/>
      <c r="W233" s="134"/>
      <c r="X233" s="134"/>
      <c r="Y233" s="134"/>
      <c r="Z233" s="134"/>
      <c r="AA233" s="134"/>
      <c r="AB233" s="134"/>
      <c r="AC233" s="134"/>
    </row>
    <row r="234" ht="25.5" customHeight="1">
      <c r="A234" s="145"/>
      <c r="B234" s="145"/>
      <c r="C234" s="145"/>
      <c r="D234" s="145"/>
      <c r="E234" s="145"/>
      <c r="F234" s="145"/>
      <c r="G234" s="150" t="s">
        <v>1240</v>
      </c>
      <c r="H234" s="150" t="s">
        <v>1241</v>
      </c>
      <c r="I234" s="145"/>
      <c r="J234" s="151"/>
      <c r="K234" s="135"/>
      <c r="L234" s="135"/>
      <c r="M234" s="135"/>
      <c r="N234" s="135"/>
      <c r="O234" s="135"/>
      <c r="P234" s="135"/>
      <c r="Q234" s="135"/>
      <c r="R234" s="135"/>
      <c r="S234" s="135"/>
      <c r="T234" s="135"/>
      <c r="U234" s="134"/>
      <c r="V234" s="134"/>
      <c r="W234" s="134"/>
      <c r="X234" s="134"/>
      <c r="Y234" s="134"/>
      <c r="Z234" s="134"/>
      <c r="AA234" s="134"/>
      <c r="AB234" s="134"/>
      <c r="AC234" s="134"/>
    </row>
    <row r="235" ht="25.5" customHeight="1">
      <c r="A235" s="146"/>
      <c r="B235" s="146"/>
      <c r="C235" s="146"/>
      <c r="D235" s="146"/>
      <c r="E235" s="146"/>
      <c r="F235" s="146"/>
      <c r="G235" s="150" t="s">
        <v>1242</v>
      </c>
      <c r="H235" s="150" t="s">
        <v>1243</v>
      </c>
      <c r="I235" s="146"/>
      <c r="J235" s="151"/>
      <c r="K235" s="135"/>
      <c r="L235" s="135"/>
      <c r="M235" s="135"/>
      <c r="N235" s="135"/>
      <c r="O235" s="135"/>
      <c r="P235" s="135"/>
      <c r="Q235" s="135"/>
      <c r="R235" s="135"/>
      <c r="S235" s="135"/>
      <c r="T235" s="135"/>
      <c r="U235" s="134"/>
      <c r="V235" s="134"/>
      <c r="W235" s="134"/>
      <c r="X235" s="134"/>
      <c r="Y235" s="134"/>
      <c r="Z235" s="134"/>
      <c r="AA235" s="134"/>
      <c r="AB235" s="134"/>
      <c r="AC235" s="134"/>
    </row>
    <row r="236" ht="25.5" customHeight="1">
      <c r="A236" s="139" t="s">
        <v>592</v>
      </c>
      <c r="B236" s="140" t="s">
        <v>595</v>
      </c>
      <c r="C236" s="141" t="s">
        <v>1244</v>
      </c>
      <c r="D236" s="139" t="s">
        <v>194</v>
      </c>
      <c r="E236" s="140" t="s">
        <v>183</v>
      </c>
      <c r="F236" s="140" t="s">
        <v>88</v>
      </c>
      <c r="G236" s="143" t="s">
        <v>1245</v>
      </c>
      <c r="H236" s="143" t="s">
        <v>1246</v>
      </c>
      <c r="I236" s="140" t="s">
        <v>156</v>
      </c>
      <c r="J236" s="144"/>
      <c r="K236" s="135"/>
      <c r="L236" s="135"/>
      <c r="M236" s="135"/>
      <c r="N236" s="135"/>
      <c r="O236" s="135"/>
      <c r="P236" s="135"/>
      <c r="Q236" s="135"/>
      <c r="R236" s="135"/>
      <c r="S236" s="135"/>
      <c r="T236" s="135"/>
      <c r="U236" s="134"/>
      <c r="V236" s="134"/>
      <c r="W236" s="134"/>
      <c r="X236" s="134"/>
      <c r="Y236" s="134"/>
      <c r="Z236" s="134"/>
      <c r="AA236" s="134"/>
      <c r="AB236" s="134"/>
      <c r="AC236" s="134"/>
    </row>
    <row r="237" ht="25.5" customHeight="1">
      <c r="A237" s="145"/>
      <c r="B237" s="145"/>
      <c r="C237" s="145"/>
      <c r="D237" s="145"/>
      <c r="E237" s="145"/>
      <c r="F237" s="145"/>
      <c r="G237" s="143" t="s">
        <v>1247</v>
      </c>
      <c r="H237" s="143" t="s">
        <v>1248</v>
      </c>
      <c r="I237" s="145"/>
      <c r="J237" s="144"/>
      <c r="K237" s="135"/>
      <c r="L237" s="135"/>
      <c r="M237" s="135"/>
      <c r="N237" s="135"/>
      <c r="O237" s="135"/>
      <c r="P237" s="135"/>
      <c r="Q237" s="135"/>
      <c r="R237" s="135"/>
      <c r="S237" s="135"/>
      <c r="T237" s="135"/>
      <c r="U237" s="134"/>
      <c r="V237" s="134"/>
      <c r="W237" s="134"/>
      <c r="X237" s="134"/>
      <c r="Y237" s="134"/>
      <c r="Z237" s="134"/>
      <c r="AA237" s="134"/>
      <c r="AB237" s="134"/>
      <c r="AC237" s="134"/>
    </row>
    <row r="238" ht="25.5" customHeight="1">
      <c r="A238" s="145"/>
      <c r="B238" s="146"/>
      <c r="C238" s="146"/>
      <c r="D238" s="146"/>
      <c r="E238" s="146"/>
      <c r="F238" s="146"/>
      <c r="G238" s="143" t="s">
        <v>1249</v>
      </c>
      <c r="H238" s="143" t="s">
        <v>1250</v>
      </c>
      <c r="I238" s="146"/>
      <c r="J238" s="144"/>
      <c r="K238" s="135"/>
      <c r="L238" s="135"/>
      <c r="M238" s="135"/>
      <c r="N238" s="135"/>
      <c r="O238" s="135"/>
      <c r="P238" s="135"/>
      <c r="Q238" s="135"/>
      <c r="R238" s="135"/>
      <c r="S238" s="135"/>
      <c r="T238" s="135"/>
      <c r="U238" s="134"/>
      <c r="V238" s="134"/>
      <c r="W238" s="134"/>
      <c r="X238" s="134"/>
      <c r="Y238" s="134"/>
      <c r="Z238" s="134"/>
      <c r="AA238" s="134"/>
      <c r="AB238" s="134"/>
      <c r="AC238" s="134"/>
    </row>
    <row r="239" ht="25.5" customHeight="1">
      <c r="A239" s="145"/>
      <c r="B239" s="140" t="s">
        <v>599</v>
      </c>
      <c r="C239" s="141" t="s">
        <v>1251</v>
      </c>
      <c r="D239" s="139" t="s">
        <v>194</v>
      </c>
      <c r="E239" s="140" t="s">
        <v>183</v>
      </c>
      <c r="F239" s="140" t="s">
        <v>88</v>
      </c>
      <c r="G239" s="143" t="s">
        <v>1252</v>
      </c>
      <c r="H239" s="143" t="s">
        <v>1253</v>
      </c>
      <c r="I239" s="140" t="s">
        <v>156</v>
      </c>
      <c r="J239" s="144"/>
      <c r="K239" s="135"/>
      <c r="L239" s="135"/>
      <c r="M239" s="135"/>
      <c r="N239" s="135"/>
      <c r="O239" s="135"/>
      <c r="P239" s="135"/>
      <c r="Q239" s="135"/>
      <c r="R239" s="135"/>
      <c r="S239" s="135"/>
      <c r="T239" s="135"/>
      <c r="U239" s="134"/>
      <c r="V239" s="134"/>
      <c r="W239" s="134"/>
      <c r="X239" s="134"/>
      <c r="Y239" s="134"/>
      <c r="Z239" s="134"/>
      <c r="AA239" s="134"/>
      <c r="AB239" s="134"/>
      <c r="AC239" s="134"/>
    </row>
    <row r="240" ht="25.5" customHeight="1">
      <c r="A240" s="145"/>
      <c r="B240" s="145"/>
      <c r="C240" s="145"/>
      <c r="D240" s="145"/>
      <c r="E240" s="145"/>
      <c r="F240" s="145"/>
      <c r="G240" s="143" t="s">
        <v>1254</v>
      </c>
      <c r="H240" s="143" t="s">
        <v>1255</v>
      </c>
      <c r="I240" s="145"/>
      <c r="J240" s="144"/>
      <c r="K240" s="135"/>
      <c r="L240" s="135"/>
      <c r="M240" s="135"/>
      <c r="N240" s="135"/>
      <c r="O240" s="135"/>
      <c r="P240" s="135"/>
      <c r="Q240" s="135"/>
      <c r="R240" s="135"/>
      <c r="S240" s="135"/>
      <c r="T240" s="135"/>
      <c r="U240" s="134"/>
      <c r="V240" s="134"/>
      <c r="W240" s="134"/>
      <c r="X240" s="134"/>
      <c r="Y240" s="134"/>
      <c r="Z240" s="134"/>
      <c r="AA240" s="134"/>
      <c r="AB240" s="134"/>
      <c r="AC240" s="134"/>
    </row>
    <row r="241" ht="25.5" customHeight="1">
      <c r="A241" s="145"/>
      <c r="B241" s="146"/>
      <c r="C241" s="146"/>
      <c r="D241" s="146"/>
      <c r="E241" s="146"/>
      <c r="F241" s="146"/>
      <c r="G241" s="143" t="s">
        <v>1256</v>
      </c>
      <c r="H241" s="143" t="s">
        <v>1257</v>
      </c>
      <c r="I241" s="146"/>
      <c r="J241" s="144"/>
      <c r="K241" s="135"/>
      <c r="L241" s="135"/>
      <c r="M241" s="135"/>
      <c r="N241" s="135"/>
      <c r="O241" s="135"/>
      <c r="P241" s="135"/>
      <c r="Q241" s="135"/>
      <c r="R241" s="135"/>
      <c r="S241" s="135"/>
      <c r="T241" s="135"/>
      <c r="U241" s="134"/>
      <c r="V241" s="134"/>
      <c r="W241" s="134"/>
      <c r="X241" s="134"/>
      <c r="Y241" s="134"/>
      <c r="Z241" s="134"/>
      <c r="AA241" s="134"/>
      <c r="AB241" s="134"/>
      <c r="AC241" s="134"/>
    </row>
    <row r="242" ht="25.5" customHeight="1">
      <c r="A242" s="145"/>
      <c r="B242" s="140" t="s">
        <v>603</v>
      </c>
      <c r="C242" s="141" t="s">
        <v>1258</v>
      </c>
      <c r="D242" s="139" t="s">
        <v>58</v>
      </c>
      <c r="E242" s="140" t="s">
        <v>183</v>
      </c>
      <c r="F242" s="140" t="s">
        <v>88</v>
      </c>
      <c r="G242" s="143" t="s">
        <v>1259</v>
      </c>
      <c r="H242" s="143" t="s">
        <v>1260</v>
      </c>
      <c r="I242" s="140" t="s">
        <v>156</v>
      </c>
      <c r="J242" s="144"/>
      <c r="K242" s="135"/>
      <c r="L242" s="135"/>
      <c r="M242" s="135"/>
      <c r="N242" s="135"/>
      <c r="O242" s="135"/>
      <c r="P242" s="135"/>
      <c r="Q242" s="135"/>
      <c r="R242" s="135"/>
      <c r="S242" s="135"/>
      <c r="T242" s="135"/>
      <c r="U242" s="134"/>
      <c r="V242" s="134"/>
      <c r="W242" s="134"/>
      <c r="X242" s="134"/>
      <c r="Y242" s="134"/>
      <c r="Z242" s="134"/>
      <c r="AA242" s="134"/>
      <c r="AB242" s="134"/>
      <c r="AC242" s="134"/>
    </row>
    <row r="243" ht="25.5" customHeight="1">
      <c r="A243" s="145"/>
      <c r="B243" s="145"/>
      <c r="C243" s="145"/>
      <c r="D243" s="145"/>
      <c r="E243" s="145"/>
      <c r="F243" s="145"/>
      <c r="G243" s="143" t="s">
        <v>1261</v>
      </c>
      <c r="H243" s="143" t="s">
        <v>1262</v>
      </c>
      <c r="I243" s="145"/>
      <c r="J243" s="144"/>
      <c r="K243" s="135"/>
      <c r="L243" s="135"/>
      <c r="M243" s="135"/>
      <c r="N243" s="135"/>
      <c r="O243" s="135"/>
      <c r="P243" s="135"/>
      <c r="Q243" s="135"/>
      <c r="R243" s="135"/>
      <c r="S243" s="135"/>
      <c r="T243" s="135"/>
      <c r="U243" s="134"/>
      <c r="V243" s="134"/>
      <c r="W243" s="134"/>
      <c r="X243" s="134"/>
      <c r="Y243" s="134"/>
      <c r="Z243" s="134"/>
      <c r="AA243" s="134"/>
      <c r="AB243" s="134"/>
      <c r="AC243" s="134"/>
    </row>
    <row r="244" ht="25.5" customHeight="1">
      <c r="A244" s="145"/>
      <c r="B244" s="146"/>
      <c r="C244" s="146"/>
      <c r="D244" s="146"/>
      <c r="E244" s="146"/>
      <c r="F244" s="146"/>
      <c r="G244" s="143" t="s">
        <v>1263</v>
      </c>
      <c r="H244" s="143" t="s">
        <v>1264</v>
      </c>
      <c r="I244" s="146"/>
      <c r="J244" s="144"/>
      <c r="K244" s="135"/>
      <c r="L244" s="135"/>
      <c r="M244" s="135"/>
      <c r="N244" s="135"/>
      <c r="O244" s="135"/>
      <c r="P244" s="135"/>
      <c r="Q244" s="135"/>
      <c r="R244" s="135"/>
      <c r="S244" s="135"/>
      <c r="T244" s="135"/>
      <c r="U244" s="134"/>
      <c r="V244" s="134"/>
      <c r="W244" s="134"/>
      <c r="X244" s="134"/>
      <c r="Y244" s="134"/>
      <c r="Z244" s="134"/>
      <c r="AA244" s="134"/>
      <c r="AB244" s="134"/>
      <c r="AC244" s="134"/>
    </row>
    <row r="245" ht="25.5" customHeight="1">
      <c r="A245" s="145"/>
      <c r="B245" s="140" t="s">
        <v>607</v>
      </c>
      <c r="C245" s="141" t="s">
        <v>1265</v>
      </c>
      <c r="D245" s="139" t="s">
        <v>58</v>
      </c>
      <c r="E245" s="140" t="s">
        <v>183</v>
      </c>
      <c r="F245" s="140" t="s">
        <v>88</v>
      </c>
      <c r="G245" s="143" t="s">
        <v>1266</v>
      </c>
      <c r="H245" s="143" t="s">
        <v>1267</v>
      </c>
      <c r="I245" s="140" t="s">
        <v>156</v>
      </c>
      <c r="J245" s="144"/>
      <c r="K245" s="135"/>
      <c r="L245" s="135"/>
      <c r="M245" s="135"/>
      <c r="N245" s="135"/>
      <c r="O245" s="135"/>
      <c r="P245" s="135"/>
      <c r="Q245" s="135"/>
      <c r="R245" s="135"/>
      <c r="S245" s="135"/>
      <c r="T245" s="135"/>
      <c r="U245" s="134"/>
      <c r="V245" s="134"/>
      <c r="W245" s="134"/>
      <c r="X245" s="134"/>
      <c r="Y245" s="134"/>
      <c r="Z245" s="134"/>
      <c r="AA245" s="134"/>
      <c r="AB245" s="134"/>
      <c r="AC245" s="134"/>
    </row>
    <row r="246" ht="25.5" customHeight="1">
      <c r="A246" s="145"/>
      <c r="B246" s="146"/>
      <c r="C246" s="146"/>
      <c r="D246" s="146"/>
      <c r="E246" s="146"/>
      <c r="F246" s="146"/>
      <c r="G246" s="143" t="s">
        <v>1268</v>
      </c>
      <c r="H246" s="143" t="s">
        <v>1269</v>
      </c>
      <c r="I246" s="146"/>
      <c r="J246" s="144"/>
      <c r="K246" s="135"/>
      <c r="L246" s="135"/>
      <c r="M246" s="135"/>
      <c r="N246" s="135"/>
      <c r="O246" s="135"/>
      <c r="P246" s="135"/>
      <c r="Q246" s="135"/>
      <c r="R246" s="135"/>
      <c r="S246" s="135"/>
      <c r="T246" s="135"/>
      <c r="U246" s="134"/>
      <c r="V246" s="134"/>
      <c r="W246" s="134"/>
      <c r="X246" s="134"/>
      <c r="Y246" s="134"/>
      <c r="Z246" s="134"/>
      <c r="AA246" s="134"/>
      <c r="AB246" s="134"/>
      <c r="AC246" s="134"/>
    </row>
    <row r="247" ht="25.5" customHeight="1">
      <c r="A247" s="145"/>
      <c r="B247" s="140" t="s">
        <v>611</v>
      </c>
      <c r="C247" s="141" t="s">
        <v>1270</v>
      </c>
      <c r="D247" s="139" t="s">
        <v>58</v>
      </c>
      <c r="E247" s="140" t="s">
        <v>183</v>
      </c>
      <c r="F247" s="140" t="s">
        <v>88</v>
      </c>
      <c r="G247" s="143" t="s">
        <v>1271</v>
      </c>
      <c r="H247" s="143" t="s">
        <v>1272</v>
      </c>
      <c r="I247" s="140" t="s">
        <v>156</v>
      </c>
      <c r="J247" s="144"/>
      <c r="K247" s="135"/>
      <c r="L247" s="135"/>
      <c r="M247" s="135"/>
      <c r="N247" s="135"/>
      <c r="O247" s="135"/>
      <c r="P247" s="135"/>
      <c r="Q247" s="135"/>
      <c r="R247" s="135"/>
      <c r="S247" s="135"/>
      <c r="T247" s="135"/>
      <c r="U247" s="134"/>
      <c r="V247" s="134"/>
      <c r="W247" s="134"/>
      <c r="X247" s="134"/>
      <c r="Y247" s="134"/>
      <c r="Z247" s="134"/>
      <c r="AA247" s="134"/>
      <c r="AB247" s="134"/>
      <c r="AC247" s="134"/>
    </row>
    <row r="248" ht="25.5" customHeight="1">
      <c r="A248" s="145"/>
      <c r="B248" s="146"/>
      <c r="C248" s="146"/>
      <c r="D248" s="146"/>
      <c r="E248" s="146"/>
      <c r="F248" s="146"/>
      <c r="G248" s="143" t="s">
        <v>1273</v>
      </c>
      <c r="H248" s="143" t="s">
        <v>1274</v>
      </c>
      <c r="I248" s="146"/>
      <c r="J248" s="144"/>
      <c r="K248" s="135"/>
      <c r="L248" s="135"/>
      <c r="M248" s="135"/>
      <c r="N248" s="135"/>
      <c r="O248" s="135"/>
      <c r="P248" s="135"/>
      <c r="Q248" s="135"/>
      <c r="R248" s="135"/>
      <c r="S248" s="135"/>
      <c r="T248" s="135"/>
      <c r="U248" s="134"/>
      <c r="V248" s="134"/>
      <c r="W248" s="134"/>
      <c r="X248" s="134"/>
      <c r="Y248" s="134"/>
      <c r="Z248" s="134"/>
      <c r="AA248" s="134"/>
      <c r="AB248" s="134"/>
      <c r="AC248" s="134"/>
    </row>
    <row r="249" ht="25.5" customHeight="1">
      <c r="A249" s="145"/>
      <c r="B249" s="140" t="s">
        <v>615</v>
      </c>
      <c r="C249" s="141" t="s">
        <v>1275</v>
      </c>
      <c r="D249" s="139" t="s">
        <v>58</v>
      </c>
      <c r="E249" s="140" t="s">
        <v>183</v>
      </c>
      <c r="F249" s="140" t="s">
        <v>88</v>
      </c>
      <c r="G249" s="143" t="s">
        <v>1276</v>
      </c>
      <c r="H249" s="143" t="s">
        <v>1277</v>
      </c>
      <c r="I249" s="140" t="s">
        <v>156</v>
      </c>
      <c r="J249" s="144"/>
      <c r="K249" s="135"/>
      <c r="L249" s="135"/>
      <c r="M249" s="135"/>
      <c r="N249" s="135"/>
      <c r="O249" s="135"/>
      <c r="P249" s="135"/>
      <c r="Q249" s="135"/>
      <c r="R249" s="135"/>
      <c r="S249" s="135"/>
      <c r="T249" s="135"/>
      <c r="U249" s="134"/>
      <c r="V249" s="134"/>
      <c r="W249" s="134"/>
      <c r="X249" s="134"/>
      <c r="Y249" s="134"/>
      <c r="Z249" s="134"/>
      <c r="AA249" s="134"/>
      <c r="AB249" s="134"/>
      <c r="AC249" s="134"/>
    </row>
    <row r="250" ht="25.5" customHeight="1">
      <c r="A250" s="145"/>
      <c r="B250" s="145"/>
      <c r="C250" s="145"/>
      <c r="D250" s="145"/>
      <c r="E250" s="145"/>
      <c r="F250" s="145"/>
      <c r="G250" s="143" t="s">
        <v>1278</v>
      </c>
      <c r="H250" s="143" t="s">
        <v>1279</v>
      </c>
      <c r="I250" s="145"/>
      <c r="J250" s="144"/>
      <c r="K250" s="135"/>
      <c r="L250" s="135"/>
      <c r="M250" s="135"/>
      <c r="N250" s="135"/>
      <c r="O250" s="135"/>
      <c r="P250" s="135"/>
      <c r="Q250" s="135"/>
      <c r="R250" s="135"/>
      <c r="S250" s="135"/>
      <c r="T250" s="135"/>
      <c r="U250" s="134"/>
      <c r="V250" s="134"/>
      <c r="W250" s="134"/>
      <c r="X250" s="134"/>
      <c r="Y250" s="134"/>
      <c r="Z250" s="134"/>
      <c r="AA250" s="134"/>
      <c r="AB250" s="134"/>
      <c r="AC250" s="134"/>
    </row>
    <row r="251" ht="25.5" customHeight="1">
      <c r="A251" s="146"/>
      <c r="B251" s="146"/>
      <c r="C251" s="146"/>
      <c r="D251" s="146"/>
      <c r="E251" s="146"/>
      <c r="F251" s="146"/>
      <c r="G251" s="143" t="s">
        <v>1280</v>
      </c>
      <c r="H251" s="143" t="s">
        <v>1281</v>
      </c>
      <c r="I251" s="146"/>
      <c r="J251" s="144"/>
      <c r="K251" s="135"/>
      <c r="L251" s="135"/>
      <c r="M251" s="135"/>
      <c r="N251" s="135"/>
      <c r="O251" s="135"/>
      <c r="P251" s="135"/>
      <c r="Q251" s="135"/>
      <c r="R251" s="135"/>
      <c r="S251" s="135"/>
      <c r="T251" s="135"/>
      <c r="U251" s="134"/>
      <c r="V251" s="134"/>
      <c r="W251" s="134"/>
      <c r="X251" s="134"/>
      <c r="Y251" s="134"/>
      <c r="Z251" s="134"/>
      <c r="AA251" s="134"/>
      <c r="AB251" s="134"/>
      <c r="AC251" s="134"/>
    </row>
    <row r="252" ht="25.5" customHeight="1">
      <c r="A252" s="147" t="s">
        <v>618</v>
      </c>
      <c r="B252" s="148" t="s">
        <v>621</v>
      </c>
      <c r="C252" s="149" t="s">
        <v>1282</v>
      </c>
      <c r="D252" s="147" t="s">
        <v>58</v>
      </c>
      <c r="E252" s="148" t="s">
        <v>183</v>
      </c>
      <c r="F252" s="148" t="s">
        <v>88</v>
      </c>
      <c r="G252" s="150" t="s">
        <v>1283</v>
      </c>
      <c r="H252" s="150" t="s">
        <v>1284</v>
      </c>
      <c r="I252" s="148" t="s">
        <v>156</v>
      </c>
      <c r="J252" s="151"/>
      <c r="K252" s="135"/>
      <c r="L252" s="135"/>
      <c r="M252" s="135"/>
      <c r="N252" s="135"/>
      <c r="O252" s="135"/>
      <c r="P252" s="135"/>
      <c r="Q252" s="135"/>
      <c r="R252" s="135"/>
      <c r="S252" s="135"/>
      <c r="T252" s="135"/>
      <c r="U252" s="134"/>
      <c r="V252" s="134"/>
      <c r="W252" s="134"/>
      <c r="X252" s="134"/>
      <c r="Y252" s="134"/>
      <c r="Z252" s="134"/>
      <c r="AA252" s="134"/>
      <c r="AB252" s="134"/>
      <c r="AC252" s="134"/>
    </row>
    <row r="253" ht="25.5" customHeight="1">
      <c r="A253" s="145"/>
      <c r="B253" s="146"/>
      <c r="C253" s="146"/>
      <c r="D253" s="146"/>
      <c r="E253" s="146"/>
      <c r="F253" s="146"/>
      <c r="G253" s="150" t="s">
        <v>1285</v>
      </c>
      <c r="H253" s="150" t="s">
        <v>1286</v>
      </c>
      <c r="I253" s="146"/>
      <c r="J253" s="151"/>
      <c r="K253" s="135"/>
      <c r="L253" s="135"/>
      <c r="M253" s="135"/>
      <c r="N253" s="135"/>
      <c r="O253" s="135"/>
      <c r="P253" s="135"/>
      <c r="Q253" s="135"/>
      <c r="R253" s="135"/>
      <c r="S253" s="135"/>
      <c r="T253" s="135"/>
      <c r="U253" s="134"/>
      <c r="V253" s="134"/>
      <c r="W253" s="134"/>
      <c r="X253" s="134"/>
      <c r="Y253" s="134"/>
      <c r="Z253" s="134"/>
      <c r="AA253" s="134"/>
      <c r="AB253" s="134"/>
      <c r="AC253" s="134"/>
    </row>
    <row r="254" ht="25.5" customHeight="1">
      <c r="A254" s="145"/>
      <c r="B254" s="148" t="s">
        <v>625</v>
      </c>
      <c r="C254" s="149" t="s">
        <v>1287</v>
      </c>
      <c r="D254" s="147" t="s">
        <v>58</v>
      </c>
      <c r="E254" s="148" t="s">
        <v>183</v>
      </c>
      <c r="F254" s="148" t="s">
        <v>88</v>
      </c>
      <c r="G254" s="150" t="s">
        <v>1288</v>
      </c>
      <c r="H254" s="150" t="s">
        <v>1289</v>
      </c>
      <c r="I254" s="148" t="s">
        <v>156</v>
      </c>
      <c r="J254" s="151"/>
      <c r="K254" s="135"/>
      <c r="L254" s="135"/>
      <c r="M254" s="135"/>
      <c r="N254" s="135"/>
      <c r="O254" s="135"/>
      <c r="P254" s="135"/>
      <c r="Q254" s="135"/>
      <c r="R254" s="135"/>
      <c r="S254" s="135"/>
      <c r="T254" s="135"/>
      <c r="U254" s="134"/>
      <c r="V254" s="134"/>
      <c r="W254" s="134"/>
      <c r="X254" s="134"/>
      <c r="Y254" s="134"/>
      <c r="Z254" s="134"/>
      <c r="AA254" s="134"/>
      <c r="AB254" s="134"/>
      <c r="AC254" s="134"/>
    </row>
    <row r="255" ht="25.5" customHeight="1">
      <c r="A255" s="145"/>
      <c r="B255" s="145"/>
      <c r="C255" s="145"/>
      <c r="D255" s="145"/>
      <c r="E255" s="145"/>
      <c r="F255" s="145"/>
      <c r="G255" s="150" t="s">
        <v>1290</v>
      </c>
      <c r="H255" s="150" t="s">
        <v>1291</v>
      </c>
      <c r="I255" s="145"/>
      <c r="J255" s="151"/>
      <c r="K255" s="135"/>
      <c r="L255" s="135"/>
      <c r="M255" s="135"/>
      <c r="N255" s="135"/>
      <c r="O255" s="135"/>
      <c r="P255" s="135"/>
      <c r="Q255" s="135"/>
      <c r="R255" s="135"/>
      <c r="S255" s="135"/>
      <c r="T255" s="135"/>
      <c r="U255" s="134"/>
      <c r="V255" s="134"/>
      <c r="W255" s="134"/>
      <c r="X255" s="134"/>
      <c r="Y255" s="134"/>
      <c r="Z255" s="134"/>
      <c r="AA255" s="134"/>
      <c r="AB255" s="134"/>
      <c r="AC255" s="134"/>
    </row>
    <row r="256" ht="25.5" customHeight="1">
      <c r="A256" s="145"/>
      <c r="B256" s="146"/>
      <c r="C256" s="146"/>
      <c r="D256" s="146"/>
      <c r="E256" s="146"/>
      <c r="F256" s="146"/>
      <c r="G256" s="150" t="s">
        <v>1292</v>
      </c>
      <c r="H256" s="150" t="s">
        <v>1293</v>
      </c>
      <c r="I256" s="146"/>
      <c r="J256" s="151"/>
      <c r="K256" s="135"/>
      <c r="L256" s="135"/>
      <c r="M256" s="135"/>
      <c r="N256" s="135"/>
      <c r="O256" s="135"/>
      <c r="P256" s="135"/>
      <c r="Q256" s="135"/>
      <c r="R256" s="135"/>
      <c r="S256" s="135"/>
      <c r="T256" s="135"/>
      <c r="U256" s="134"/>
      <c r="V256" s="134"/>
      <c r="W256" s="134"/>
      <c r="X256" s="134"/>
      <c r="Y256" s="134"/>
      <c r="Z256" s="134"/>
      <c r="AA256" s="134"/>
      <c r="AB256" s="134"/>
      <c r="AC256" s="134"/>
    </row>
    <row r="257" ht="25.5" customHeight="1">
      <c r="A257" s="145"/>
      <c r="B257" s="148" t="s">
        <v>629</v>
      </c>
      <c r="C257" s="149" t="s">
        <v>1294</v>
      </c>
      <c r="D257" s="147" t="s">
        <v>58</v>
      </c>
      <c r="E257" s="148" t="s">
        <v>183</v>
      </c>
      <c r="F257" s="148" t="s">
        <v>88</v>
      </c>
      <c r="G257" s="150" t="s">
        <v>1295</v>
      </c>
      <c r="H257" s="150" t="s">
        <v>1296</v>
      </c>
      <c r="I257" s="148" t="s">
        <v>156</v>
      </c>
      <c r="J257" s="151"/>
      <c r="K257" s="135"/>
      <c r="L257" s="135"/>
      <c r="M257" s="135"/>
      <c r="N257" s="135"/>
      <c r="O257" s="135"/>
      <c r="P257" s="135"/>
      <c r="Q257" s="135"/>
      <c r="R257" s="135"/>
      <c r="S257" s="135"/>
      <c r="T257" s="135"/>
      <c r="U257" s="134"/>
      <c r="V257" s="134"/>
      <c r="W257" s="134"/>
      <c r="X257" s="134"/>
      <c r="Y257" s="134"/>
      <c r="Z257" s="134"/>
      <c r="AA257" s="134"/>
      <c r="AB257" s="134"/>
      <c r="AC257" s="134"/>
    </row>
    <row r="258" ht="25.5" customHeight="1">
      <c r="A258" s="145"/>
      <c r="B258" s="145"/>
      <c r="C258" s="145"/>
      <c r="D258" s="145"/>
      <c r="E258" s="145"/>
      <c r="F258" s="145"/>
      <c r="G258" s="150" t="s">
        <v>1297</v>
      </c>
      <c r="H258" s="150" t="s">
        <v>1298</v>
      </c>
      <c r="I258" s="145"/>
      <c r="J258" s="151"/>
      <c r="K258" s="135"/>
      <c r="L258" s="135"/>
      <c r="M258" s="135"/>
      <c r="N258" s="135"/>
      <c r="O258" s="135"/>
      <c r="P258" s="135"/>
      <c r="Q258" s="135"/>
      <c r="R258" s="135"/>
      <c r="S258" s="135"/>
      <c r="T258" s="135"/>
      <c r="U258" s="134"/>
      <c r="V258" s="134"/>
      <c r="W258" s="134"/>
      <c r="X258" s="134"/>
      <c r="Y258" s="134"/>
      <c r="Z258" s="134"/>
      <c r="AA258" s="134"/>
      <c r="AB258" s="134"/>
      <c r="AC258" s="134"/>
    </row>
    <row r="259" ht="25.5" customHeight="1">
      <c r="A259" s="145"/>
      <c r="B259" s="146"/>
      <c r="C259" s="146"/>
      <c r="D259" s="146"/>
      <c r="E259" s="146"/>
      <c r="F259" s="146"/>
      <c r="G259" s="150" t="s">
        <v>1299</v>
      </c>
      <c r="H259" s="150" t="s">
        <v>1300</v>
      </c>
      <c r="I259" s="146"/>
      <c r="J259" s="151"/>
      <c r="K259" s="135"/>
      <c r="L259" s="135"/>
      <c r="M259" s="135"/>
      <c r="N259" s="135"/>
      <c r="O259" s="135"/>
      <c r="P259" s="135"/>
      <c r="Q259" s="135"/>
      <c r="R259" s="135"/>
      <c r="S259" s="135"/>
      <c r="T259" s="135"/>
      <c r="U259" s="134"/>
      <c r="V259" s="134"/>
      <c r="W259" s="134"/>
      <c r="X259" s="134"/>
      <c r="Y259" s="134"/>
      <c r="Z259" s="134"/>
      <c r="AA259" s="134"/>
      <c r="AB259" s="134"/>
      <c r="AC259" s="134"/>
    </row>
    <row r="260" ht="25.5" customHeight="1">
      <c r="A260" s="145"/>
      <c r="B260" s="148" t="s">
        <v>633</v>
      </c>
      <c r="C260" s="149" t="s">
        <v>1301</v>
      </c>
      <c r="D260" s="147" t="s">
        <v>12</v>
      </c>
      <c r="E260" s="148" t="s">
        <v>183</v>
      </c>
      <c r="F260" s="148" t="s">
        <v>88</v>
      </c>
      <c r="G260" s="150" t="s">
        <v>1302</v>
      </c>
      <c r="H260" s="150" t="s">
        <v>1303</v>
      </c>
      <c r="I260" s="148" t="s">
        <v>156</v>
      </c>
      <c r="J260" s="151"/>
      <c r="K260" s="135"/>
      <c r="L260" s="135"/>
      <c r="M260" s="135"/>
      <c r="N260" s="135"/>
      <c r="O260" s="135"/>
      <c r="P260" s="135"/>
      <c r="Q260" s="135"/>
      <c r="R260" s="135"/>
      <c r="S260" s="135"/>
      <c r="T260" s="135"/>
      <c r="U260" s="134"/>
      <c r="V260" s="134"/>
      <c r="W260" s="134"/>
      <c r="X260" s="134"/>
      <c r="Y260" s="134"/>
      <c r="Z260" s="134"/>
      <c r="AA260" s="134"/>
      <c r="AB260" s="134"/>
      <c r="AC260" s="134"/>
    </row>
    <row r="261" ht="25.5" customHeight="1">
      <c r="A261" s="146"/>
      <c r="B261" s="146"/>
      <c r="C261" s="146"/>
      <c r="D261" s="146"/>
      <c r="E261" s="146"/>
      <c r="F261" s="146"/>
      <c r="G261" s="150" t="s">
        <v>1304</v>
      </c>
      <c r="H261" s="150" t="s">
        <v>1305</v>
      </c>
      <c r="I261" s="146"/>
      <c r="J261" s="151"/>
      <c r="K261" s="135"/>
      <c r="L261" s="135"/>
      <c r="M261" s="135"/>
      <c r="N261" s="135"/>
      <c r="O261" s="135"/>
      <c r="P261" s="135"/>
      <c r="Q261" s="135"/>
      <c r="R261" s="135"/>
      <c r="S261" s="135"/>
      <c r="T261" s="135"/>
      <c r="U261" s="134"/>
      <c r="V261" s="134"/>
      <c r="W261" s="134"/>
      <c r="X261" s="134"/>
      <c r="Y261" s="134"/>
      <c r="Z261" s="134"/>
      <c r="AA261" s="134"/>
      <c r="AB261" s="134"/>
      <c r="AC261" s="134"/>
    </row>
    <row r="262" ht="25.5" customHeight="1">
      <c r="A262" s="139" t="s">
        <v>636</v>
      </c>
      <c r="B262" s="140" t="s">
        <v>639</v>
      </c>
      <c r="C262" s="141" t="s">
        <v>1306</v>
      </c>
      <c r="D262" s="139" t="s">
        <v>58</v>
      </c>
      <c r="E262" s="140" t="s">
        <v>183</v>
      </c>
      <c r="F262" s="140" t="s">
        <v>94</v>
      </c>
      <c r="G262" s="143" t="s">
        <v>1307</v>
      </c>
      <c r="H262" s="143" t="s">
        <v>1308</v>
      </c>
      <c r="I262" s="140" t="s">
        <v>156</v>
      </c>
      <c r="J262" s="144"/>
      <c r="K262" s="135"/>
      <c r="L262" s="135"/>
      <c r="M262" s="135"/>
      <c r="N262" s="135"/>
      <c r="O262" s="135"/>
      <c r="P262" s="135"/>
      <c r="Q262" s="135"/>
      <c r="R262" s="135"/>
      <c r="S262" s="135"/>
      <c r="T262" s="135"/>
      <c r="U262" s="134"/>
      <c r="V262" s="134"/>
      <c r="W262" s="134"/>
      <c r="X262" s="134"/>
      <c r="Y262" s="134"/>
      <c r="Z262" s="134"/>
      <c r="AA262" s="134"/>
      <c r="AB262" s="134"/>
      <c r="AC262" s="134"/>
    </row>
    <row r="263" ht="25.5" customHeight="1">
      <c r="A263" s="145"/>
      <c r="B263" s="145"/>
      <c r="C263" s="145"/>
      <c r="D263" s="145"/>
      <c r="E263" s="145"/>
      <c r="F263" s="145"/>
      <c r="G263" s="143" t="s">
        <v>1309</v>
      </c>
      <c r="H263" s="143" t="s">
        <v>1310</v>
      </c>
      <c r="I263" s="145"/>
      <c r="J263" s="144"/>
      <c r="K263" s="135"/>
      <c r="L263" s="135"/>
      <c r="M263" s="135"/>
      <c r="N263" s="135"/>
      <c r="O263" s="135"/>
      <c r="P263" s="135"/>
      <c r="Q263" s="135"/>
      <c r="R263" s="135"/>
      <c r="S263" s="135"/>
      <c r="T263" s="135"/>
      <c r="U263" s="134"/>
      <c r="V263" s="134"/>
      <c r="W263" s="134"/>
      <c r="X263" s="134"/>
      <c r="Y263" s="134"/>
      <c r="Z263" s="134"/>
      <c r="AA263" s="134"/>
      <c r="AB263" s="134"/>
      <c r="AC263" s="134"/>
    </row>
    <row r="264" ht="25.5" customHeight="1">
      <c r="A264" s="145"/>
      <c r="B264" s="146"/>
      <c r="C264" s="146"/>
      <c r="D264" s="146"/>
      <c r="E264" s="146"/>
      <c r="F264" s="146"/>
      <c r="G264" s="143" t="s">
        <v>1311</v>
      </c>
      <c r="H264" s="143" t="s">
        <v>1312</v>
      </c>
      <c r="I264" s="146"/>
      <c r="J264" s="144"/>
      <c r="K264" s="135"/>
      <c r="L264" s="135"/>
      <c r="M264" s="135"/>
      <c r="N264" s="135"/>
      <c r="O264" s="135"/>
      <c r="P264" s="135"/>
      <c r="Q264" s="135"/>
      <c r="R264" s="135"/>
      <c r="S264" s="135"/>
      <c r="T264" s="135"/>
      <c r="U264" s="134"/>
      <c r="V264" s="134"/>
      <c r="W264" s="134"/>
      <c r="X264" s="134"/>
      <c r="Y264" s="134"/>
      <c r="Z264" s="134"/>
      <c r="AA264" s="134"/>
      <c r="AB264" s="134"/>
      <c r="AC264" s="134"/>
    </row>
    <row r="265" ht="25.5" customHeight="1">
      <c r="A265" s="145"/>
      <c r="B265" s="140" t="s">
        <v>643</v>
      </c>
      <c r="C265" s="141" t="s">
        <v>1313</v>
      </c>
      <c r="D265" s="139" t="s">
        <v>58</v>
      </c>
      <c r="E265" s="140" t="s">
        <v>183</v>
      </c>
      <c r="F265" s="140" t="s">
        <v>94</v>
      </c>
      <c r="G265" s="143" t="s">
        <v>1314</v>
      </c>
      <c r="H265" s="143" t="s">
        <v>1315</v>
      </c>
      <c r="I265" s="140" t="s">
        <v>156</v>
      </c>
      <c r="J265" s="144"/>
      <c r="K265" s="135"/>
      <c r="L265" s="135"/>
      <c r="M265" s="135"/>
      <c r="N265" s="135"/>
      <c r="O265" s="135"/>
      <c r="P265" s="135"/>
      <c r="Q265" s="135"/>
      <c r="R265" s="135"/>
      <c r="S265" s="135"/>
      <c r="T265" s="135"/>
      <c r="U265" s="134"/>
      <c r="V265" s="134"/>
      <c r="W265" s="134"/>
      <c r="X265" s="134"/>
      <c r="Y265" s="134"/>
      <c r="Z265" s="134"/>
      <c r="AA265" s="134"/>
      <c r="AB265" s="134"/>
      <c r="AC265" s="134"/>
    </row>
    <row r="266" ht="25.5" customHeight="1">
      <c r="A266" s="145"/>
      <c r="B266" s="146"/>
      <c r="C266" s="146"/>
      <c r="D266" s="146"/>
      <c r="E266" s="146"/>
      <c r="F266" s="146"/>
      <c r="G266" s="143" t="s">
        <v>1316</v>
      </c>
      <c r="H266" s="143" t="s">
        <v>1317</v>
      </c>
      <c r="I266" s="146"/>
      <c r="J266" s="144"/>
      <c r="K266" s="135"/>
      <c r="L266" s="135"/>
      <c r="M266" s="135"/>
      <c r="N266" s="135"/>
      <c r="O266" s="135"/>
      <c r="P266" s="135"/>
      <c r="Q266" s="135"/>
      <c r="R266" s="135"/>
      <c r="S266" s="135"/>
      <c r="T266" s="135"/>
      <c r="U266" s="134"/>
      <c r="V266" s="134"/>
      <c r="W266" s="134"/>
      <c r="X266" s="134"/>
      <c r="Y266" s="134"/>
      <c r="Z266" s="134"/>
      <c r="AA266" s="134"/>
      <c r="AB266" s="134"/>
      <c r="AC266" s="134"/>
    </row>
    <row r="267" ht="25.5" customHeight="1">
      <c r="A267" s="145"/>
      <c r="B267" s="140" t="s">
        <v>647</v>
      </c>
      <c r="C267" s="141" t="s">
        <v>1318</v>
      </c>
      <c r="D267" s="139" t="s">
        <v>58</v>
      </c>
      <c r="E267" s="140" t="s">
        <v>183</v>
      </c>
      <c r="F267" s="140" t="s">
        <v>94</v>
      </c>
      <c r="G267" s="143" t="s">
        <v>1319</v>
      </c>
      <c r="H267" s="143" t="s">
        <v>1320</v>
      </c>
      <c r="I267" s="140" t="s">
        <v>156</v>
      </c>
      <c r="J267" s="144"/>
      <c r="K267" s="135"/>
      <c r="L267" s="135"/>
      <c r="M267" s="135"/>
      <c r="N267" s="135"/>
      <c r="O267" s="135"/>
      <c r="P267" s="135"/>
      <c r="Q267" s="135"/>
      <c r="R267" s="135"/>
      <c r="S267" s="135"/>
      <c r="T267" s="135"/>
      <c r="U267" s="134"/>
      <c r="V267" s="134"/>
      <c r="W267" s="134"/>
      <c r="X267" s="134"/>
      <c r="Y267" s="134"/>
      <c r="Z267" s="134"/>
      <c r="AA267" s="134"/>
      <c r="AB267" s="134"/>
      <c r="AC267" s="134"/>
    </row>
    <row r="268" ht="25.5" customHeight="1">
      <c r="A268" s="145"/>
      <c r="B268" s="145"/>
      <c r="C268" s="145"/>
      <c r="D268" s="145"/>
      <c r="E268" s="145"/>
      <c r="F268" s="145"/>
      <c r="G268" s="143" t="s">
        <v>1321</v>
      </c>
      <c r="H268" s="143" t="s">
        <v>1322</v>
      </c>
      <c r="I268" s="145"/>
      <c r="J268" s="144"/>
      <c r="K268" s="135"/>
      <c r="L268" s="135"/>
      <c r="M268" s="135"/>
      <c r="N268" s="135"/>
      <c r="O268" s="135"/>
      <c r="P268" s="135"/>
      <c r="Q268" s="135"/>
      <c r="R268" s="135"/>
      <c r="S268" s="135"/>
      <c r="T268" s="135"/>
      <c r="U268" s="134"/>
      <c r="V268" s="134"/>
      <c r="W268" s="134"/>
      <c r="X268" s="134"/>
      <c r="Y268" s="134"/>
      <c r="Z268" s="134"/>
      <c r="AA268" s="134"/>
      <c r="AB268" s="134"/>
      <c r="AC268" s="134"/>
    </row>
    <row r="269" ht="25.5" customHeight="1">
      <c r="A269" s="145"/>
      <c r="B269" s="146"/>
      <c r="C269" s="146"/>
      <c r="D269" s="146"/>
      <c r="E269" s="146"/>
      <c r="F269" s="146"/>
      <c r="G269" s="143" t="s">
        <v>1323</v>
      </c>
      <c r="H269" s="143" t="s">
        <v>1324</v>
      </c>
      <c r="I269" s="146"/>
      <c r="J269" s="144"/>
      <c r="K269" s="135"/>
      <c r="L269" s="135"/>
      <c r="M269" s="135"/>
      <c r="N269" s="135"/>
      <c r="O269" s="135"/>
      <c r="P269" s="135"/>
      <c r="Q269" s="135"/>
      <c r="R269" s="135"/>
      <c r="S269" s="135"/>
      <c r="T269" s="135"/>
      <c r="U269" s="134"/>
      <c r="V269" s="134"/>
      <c r="W269" s="134"/>
      <c r="X269" s="134"/>
      <c r="Y269" s="134"/>
      <c r="Z269" s="134"/>
      <c r="AA269" s="134"/>
      <c r="AB269" s="134"/>
      <c r="AC269" s="134"/>
    </row>
    <row r="270" ht="25.5" customHeight="1">
      <c r="A270" s="145"/>
      <c r="B270" s="140" t="s">
        <v>651</v>
      </c>
      <c r="C270" s="141" t="s">
        <v>1325</v>
      </c>
      <c r="D270" s="139" t="s">
        <v>58</v>
      </c>
      <c r="E270" s="140" t="s">
        <v>183</v>
      </c>
      <c r="F270" s="140" t="s">
        <v>94</v>
      </c>
      <c r="G270" s="143" t="s">
        <v>1326</v>
      </c>
      <c r="H270" s="143" t="s">
        <v>1327</v>
      </c>
      <c r="I270" s="140" t="s">
        <v>156</v>
      </c>
      <c r="J270" s="144"/>
      <c r="K270" s="135"/>
      <c r="L270" s="135"/>
      <c r="M270" s="135"/>
      <c r="N270" s="135"/>
      <c r="O270" s="135"/>
      <c r="P270" s="135"/>
      <c r="Q270" s="135"/>
      <c r="R270" s="135"/>
      <c r="S270" s="135"/>
      <c r="T270" s="135"/>
      <c r="U270" s="134"/>
      <c r="V270" s="134"/>
      <c r="W270" s="134"/>
      <c r="X270" s="134"/>
      <c r="Y270" s="134"/>
      <c r="Z270" s="134"/>
      <c r="AA270" s="134"/>
      <c r="AB270" s="134"/>
      <c r="AC270" s="134"/>
    </row>
    <row r="271" ht="25.5" customHeight="1">
      <c r="A271" s="145"/>
      <c r="B271" s="145"/>
      <c r="C271" s="145"/>
      <c r="D271" s="145"/>
      <c r="E271" s="145"/>
      <c r="F271" s="145"/>
      <c r="G271" s="143" t="s">
        <v>1328</v>
      </c>
      <c r="H271" s="143" t="s">
        <v>1329</v>
      </c>
      <c r="I271" s="145"/>
      <c r="J271" s="144"/>
      <c r="K271" s="135"/>
      <c r="L271" s="135"/>
      <c r="M271" s="135"/>
      <c r="N271" s="135"/>
      <c r="O271" s="135"/>
      <c r="P271" s="135"/>
      <c r="Q271" s="135"/>
      <c r="R271" s="135"/>
      <c r="S271" s="135"/>
      <c r="T271" s="135"/>
      <c r="U271" s="134"/>
      <c r="V271" s="134"/>
      <c r="W271" s="134"/>
      <c r="X271" s="134"/>
      <c r="Y271" s="134"/>
      <c r="Z271" s="134"/>
      <c r="AA271" s="134"/>
      <c r="AB271" s="134"/>
      <c r="AC271" s="134"/>
    </row>
    <row r="272" ht="25.5" customHeight="1">
      <c r="A272" s="145"/>
      <c r="B272" s="146"/>
      <c r="C272" s="146"/>
      <c r="D272" s="146"/>
      <c r="E272" s="146"/>
      <c r="F272" s="146"/>
      <c r="G272" s="143" t="s">
        <v>1330</v>
      </c>
      <c r="H272" s="143" t="s">
        <v>1331</v>
      </c>
      <c r="I272" s="146"/>
      <c r="J272" s="144"/>
      <c r="K272" s="135"/>
      <c r="L272" s="135"/>
      <c r="M272" s="135"/>
      <c r="N272" s="135"/>
      <c r="O272" s="135"/>
      <c r="P272" s="135"/>
      <c r="Q272" s="135"/>
      <c r="R272" s="135"/>
      <c r="S272" s="135"/>
      <c r="T272" s="135"/>
      <c r="U272" s="134"/>
      <c r="V272" s="134"/>
      <c r="W272" s="134"/>
      <c r="X272" s="134"/>
      <c r="Y272" s="134"/>
      <c r="Z272" s="134"/>
      <c r="AA272" s="134"/>
      <c r="AB272" s="134"/>
      <c r="AC272" s="134"/>
    </row>
    <row r="273" ht="25.5" customHeight="1">
      <c r="A273" s="145"/>
      <c r="B273" s="140" t="s">
        <v>655</v>
      </c>
      <c r="C273" s="141" t="s">
        <v>1332</v>
      </c>
      <c r="D273" s="139" t="s">
        <v>58</v>
      </c>
      <c r="E273" s="140" t="s">
        <v>183</v>
      </c>
      <c r="F273" s="140" t="s">
        <v>94</v>
      </c>
      <c r="G273" s="143" t="s">
        <v>1333</v>
      </c>
      <c r="H273" s="143" t="s">
        <v>1334</v>
      </c>
      <c r="I273" s="140" t="s">
        <v>156</v>
      </c>
      <c r="J273" s="144"/>
      <c r="K273" s="135"/>
      <c r="L273" s="135"/>
      <c r="M273" s="135"/>
      <c r="N273" s="135"/>
      <c r="O273" s="135"/>
      <c r="P273" s="135"/>
      <c r="Q273" s="135"/>
      <c r="R273" s="135"/>
      <c r="S273" s="135"/>
      <c r="T273" s="135"/>
      <c r="U273" s="134"/>
      <c r="V273" s="134"/>
      <c r="W273" s="134"/>
      <c r="X273" s="134"/>
      <c r="Y273" s="134"/>
      <c r="Z273" s="134"/>
      <c r="AA273" s="134"/>
      <c r="AB273" s="134"/>
      <c r="AC273" s="134"/>
    </row>
    <row r="274" ht="25.5" customHeight="1">
      <c r="A274" s="145"/>
      <c r="B274" s="145"/>
      <c r="C274" s="145"/>
      <c r="D274" s="145"/>
      <c r="E274" s="145"/>
      <c r="F274" s="145"/>
      <c r="G274" s="143" t="s">
        <v>1335</v>
      </c>
      <c r="H274" s="143" t="s">
        <v>1336</v>
      </c>
      <c r="I274" s="145"/>
      <c r="J274" s="144"/>
      <c r="K274" s="135"/>
      <c r="L274" s="135"/>
      <c r="M274" s="135"/>
      <c r="N274" s="135"/>
      <c r="O274" s="135"/>
      <c r="P274" s="135"/>
      <c r="Q274" s="135"/>
      <c r="R274" s="135"/>
      <c r="S274" s="135"/>
      <c r="T274" s="135"/>
      <c r="U274" s="134"/>
      <c r="V274" s="134"/>
      <c r="W274" s="134"/>
      <c r="X274" s="134"/>
      <c r="Y274" s="134"/>
      <c r="Z274" s="134"/>
      <c r="AA274" s="134"/>
      <c r="AB274" s="134"/>
      <c r="AC274" s="134"/>
    </row>
    <row r="275" ht="25.5" customHeight="1">
      <c r="A275" s="145"/>
      <c r="B275" s="146"/>
      <c r="C275" s="146"/>
      <c r="D275" s="146"/>
      <c r="E275" s="146"/>
      <c r="F275" s="146"/>
      <c r="G275" s="143" t="s">
        <v>1337</v>
      </c>
      <c r="H275" s="143" t="s">
        <v>1338</v>
      </c>
      <c r="I275" s="146"/>
      <c r="J275" s="144"/>
      <c r="K275" s="135"/>
      <c r="L275" s="135"/>
      <c r="M275" s="135"/>
      <c r="N275" s="135"/>
      <c r="O275" s="135"/>
      <c r="P275" s="135"/>
      <c r="Q275" s="135"/>
      <c r="R275" s="135"/>
      <c r="S275" s="135"/>
      <c r="T275" s="135"/>
      <c r="U275" s="134"/>
      <c r="V275" s="134"/>
      <c r="W275" s="134"/>
      <c r="X275" s="134"/>
      <c r="Y275" s="134"/>
      <c r="Z275" s="134"/>
      <c r="AA275" s="134"/>
      <c r="AB275" s="134"/>
      <c r="AC275" s="134"/>
    </row>
    <row r="276" ht="25.5" customHeight="1">
      <c r="A276" s="145"/>
      <c r="B276" s="140" t="s">
        <v>659</v>
      </c>
      <c r="C276" s="141" t="s">
        <v>1339</v>
      </c>
      <c r="D276" s="139" t="s">
        <v>58</v>
      </c>
      <c r="E276" s="140" t="s">
        <v>183</v>
      </c>
      <c r="F276" s="140" t="s">
        <v>94</v>
      </c>
      <c r="G276" s="143" t="s">
        <v>1340</v>
      </c>
      <c r="H276" s="143" t="s">
        <v>1341</v>
      </c>
      <c r="I276" s="140" t="s">
        <v>156</v>
      </c>
      <c r="J276" s="144"/>
      <c r="K276" s="135"/>
      <c r="L276" s="135"/>
      <c r="M276" s="135"/>
      <c r="N276" s="135"/>
      <c r="O276" s="135"/>
      <c r="P276" s="135"/>
      <c r="Q276" s="135"/>
      <c r="R276" s="135"/>
      <c r="S276" s="135"/>
      <c r="T276" s="135"/>
      <c r="U276" s="134"/>
      <c r="V276" s="134"/>
      <c r="W276" s="134"/>
      <c r="X276" s="134"/>
      <c r="Y276" s="134"/>
      <c r="Z276" s="134"/>
      <c r="AA276" s="134"/>
      <c r="AB276" s="134"/>
      <c r="AC276" s="134"/>
    </row>
    <row r="277" ht="25.5" customHeight="1">
      <c r="A277" s="146"/>
      <c r="B277" s="146"/>
      <c r="C277" s="146"/>
      <c r="D277" s="146"/>
      <c r="E277" s="146"/>
      <c r="F277" s="146"/>
      <c r="G277" s="143" t="s">
        <v>1342</v>
      </c>
      <c r="H277" s="143" t="s">
        <v>1343</v>
      </c>
      <c r="I277" s="146"/>
      <c r="J277" s="144"/>
      <c r="K277" s="135"/>
      <c r="L277" s="135"/>
      <c r="M277" s="135"/>
      <c r="N277" s="135"/>
      <c r="O277" s="135"/>
      <c r="P277" s="135"/>
      <c r="Q277" s="135"/>
      <c r="R277" s="135"/>
      <c r="S277" s="135"/>
      <c r="T277" s="135"/>
      <c r="U277" s="134"/>
      <c r="V277" s="134"/>
      <c r="W277" s="134"/>
      <c r="X277" s="134"/>
      <c r="Y277" s="134"/>
      <c r="Z277" s="134"/>
      <c r="AA277" s="134"/>
      <c r="AB277" s="134"/>
      <c r="AC277" s="134"/>
    </row>
    <row r="278" ht="25.5" customHeight="1">
      <c r="A278" s="147" t="s">
        <v>662</v>
      </c>
      <c r="B278" s="148" t="s">
        <v>665</v>
      </c>
      <c r="C278" s="149" t="s">
        <v>1344</v>
      </c>
      <c r="D278" s="147" t="s">
        <v>12</v>
      </c>
      <c r="E278" s="148" t="s">
        <v>183</v>
      </c>
      <c r="F278" s="148" t="s">
        <v>94</v>
      </c>
      <c r="G278" s="150" t="s">
        <v>1345</v>
      </c>
      <c r="H278" s="150" t="s">
        <v>1346</v>
      </c>
      <c r="I278" s="148" t="s">
        <v>156</v>
      </c>
      <c r="J278" s="151"/>
      <c r="K278" s="135"/>
      <c r="L278" s="135"/>
      <c r="M278" s="135"/>
      <c r="N278" s="135"/>
      <c r="O278" s="135"/>
      <c r="P278" s="135"/>
      <c r="Q278" s="135"/>
      <c r="R278" s="135"/>
      <c r="S278" s="135"/>
      <c r="T278" s="135"/>
      <c r="U278" s="134"/>
      <c r="V278" s="134"/>
      <c r="W278" s="134"/>
      <c r="X278" s="134"/>
      <c r="Y278" s="134"/>
      <c r="Z278" s="134"/>
      <c r="AA278" s="134"/>
      <c r="AB278" s="134"/>
      <c r="AC278" s="134"/>
    </row>
    <row r="279" ht="25.5" customHeight="1">
      <c r="A279" s="145"/>
      <c r="B279" s="146"/>
      <c r="C279" s="146"/>
      <c r="D279" s="146"/>
      <c r="E279" s="146"/>
      <c r="F279" s="146"/>
      <c r="G279" s="150" t="s">
        <v>1347</v>
      </c>
      <c r="H279" s="150" t="s">
        <v>1348</v>
      </c>
      <c r="I279" s="146"/>
      <c r="J279" s="151"/>
      <c r="K279" s="135"/>
      <c r="L279" s="135"/>
      <c r="M279" s="135"/>
      <c r="N279" s="135"/>
      <c r="O279" s="135"/>
      <c r="P279" s="135"/>
      <c r="Q279" s="135"/>
      <c r="R279" s="135"/>
      <c r="S279" s="135"/>
      <c r="T279" s="135"/>
      <c r="U279" s="134"/>
      <c r="V279" s="134"/>
      <c r="W279" s="134"/>
      <c r="X279" s="134"/>
      <c r="Y279" s="134"/>
      <c r="Z279" s="134"/>
      <c r="AA279" s="134"/>
      <c r="AB279" s="134"/>
      <c r="AC279" s="134"/>
    </row>
    <row r="280" ht="25.5" customHeight="1">
      <c r="A280" s="145"/>
      <c r="B280" s="148" t="s">
        <v>669</v>
      </c>
      <c r="C280" s="149" t="s">
        <v>1349</v>
      </c>
      <c r="D280" s="147" t="s">
        <v>12</v>
      </c>
      <c r="E280" s="148" t="s">
        <v>183</v>
      </c>
      <c r="F280" s="148" t="s">
        <v>94</v>
      </c>
      <c r="G280" s="150" t="s">
        <v>1350</v>
      </c>
      <c r="H280" s="150" t="s">
        <v>1351</v>
      </c>
      <c r="I280" s="148" t="s">
        <v>156</v>
      </c>
      <c r="J280" s="151"/>
      <c r="K280" s="135"/>
      <c r="L280" s="135"/>
      <c r="M280" s="135"/>
      <c r="N280" s="135"/>
      <c r="O280" s="135"/>
      <c r="P280" s="135"/>
      <c r="Q280" s="135"/>
      <c r="R280" s="135"/>
      <c r="S280" s="135"/>
      <c r="T280" s="135"/>
      <c r="U280" s="134"/>
      <c r="V280" s="134"/>
      <c r="W280" s="134"/>
      <c r="X280" s="134"/>
      <c r="Y280" s="134"/>
      <c r="Z280" s="134"/>
      <c r="AA280" s="134"/>
      <c r="AB280" s="134"/>
      <c r="AC280" s="134"/>
    </row>
    <row r="281" ht="25.5" customHeight="1">
      <c r="A281" s="145"/>
      <c r="B281" s="145"/>
      <c r="C281" s="145"/>
      <c r="D281" s="145"/>
      <c r="E281" s="145"/>
      <c r="F281" s="145"/>
      <c r="G281" s="150" t="s">
        <v>1352</v>
      </c>
      <c r="H281" s="150" t="s">
        <v>1353</v>
      </c>
      <c r="I281" s="145"/>
      <c r="J281" s="151"/>
      <c r="K281" s="135"/>
      <c r="L281" s="135"/>
      <c r="M281" s="135"/>
      <c r="N281" s="135"/>
      <c r="O281" s="135"/>
      <c r="P281" s="135"/>
      <c r="Q281" s="135"/>
      <c r="R281" s="135"/>
      <c r="S281" s="135"/>
      <c r="T281" s="135"/>
      <c r="U281" s="134"/>
      <c r="V281" s="134"/>
      <c r="W281" s="134"/>
      <c r="X281" s="134"/>
      <c r="Y281" s="134"/>
      <c r="Z281" s="134"/>
      <c r="AA281" s="134"/>
      <c r="AB281" s="134"/>
      <c r="AC281" s="134"/>
    </row>
    <row r="282" ht="25.5" customHeight="1">
      <c r="A282" s="145"/>
      <c r="B282" s="146"/>
      <c r="C282" s="146"/>
      <c r="D282" s="146"/>
      <c r="E282" s="146"/>
      <c r="F282" s="146"/>
      <c r="G282" s="150" t="s">
        <v>1354</v>
      </c>
      <c r="H282" s="150" t="s">
        <v>1355</v>
      </c>
      <c r="I282" s="146"/>
      <c r="J282" s="151"/>
      <c r="K282" s="135"/>
      <c r="L282" s="135"/>
      <c r="M282" s="135"/>
      <c r="N282" s="135"/>
      <c r="O282" s="135"/>
      <c r="P282" s="135"/>
      <c r="Q282" s="135"/>
      <c r="R282" s="135"/>
      <c r="S282" s="135"/>
      <c r="T282" s="135"/>
      <c r="U282" s="134"/>
      <c r="V282" s="134"/>
      <c r="W282" s="134"/>
      <c r="X282" s="134"/>
      <c r="Y282" s="134"/>
      <c r="Z282" s="134"/>
      <c r="AA282" s="134"/>
      <c r="AB282" s="134"/>
      <c r="AC282" s="134"/>
    </row>
    <row r="283" ht="25.5" customHeight="1">
      <c r="A283" s="145"/>
      <c r="B283" s="148" t="s">
        <v>673</v>
      </c>
      <c r="C283" s="149" t="s">
        <v>1356</v>
      </c>
      <c r="D283" s="147" t="s">
        <v>12</v>
      </c>
      <c r="E283" s="148" t="s">
        <v>183</v>
      </c>
      <c r="F283" s="148" t="s">
        <v>94</v>
      </c>
      <c r="G283" s="150" t="s">
        <v>1357</v>
      </c>
      <c r="H283" s="150" t="s">
        <v>1358</v>
      </c>
      <c r="I283" s="148" t="s">
        <v>156</v>
      </c>
      <c r="J283" s="151"/>
      <c r="K283" s="135"/>
      <c r="L283" s="135"/>
      <c r="M283" s="135"/>
      <c r="N283" s="135"/>
      <c r="O283" s="135"/>
      <c r="P283" s="135"/>
      <c r="Q283" s="135"/>
      <c r="R283" s="135"/>
      <c r="S283" s="135"/>
      <c r="T283" s="135"/>
      <c r="U283" s="134"/>
      <c r="V283" s="134"/>
      <c r="W283" s="134"/>
      <c r="X283" s="134"/>
      <c r="Y283" s="134"/>
      <c r="Z283" s="134"/>
      <c r="AA283" s="134"/>
      <c r="AB283" s="134"/>
      <c r="AC283" s="134"/>
    </row>
    <row r="284" ht="25.5" customHeight="1">
      <c r="A284" s="145"/>
      <c r="B284" s="146"/>
      <c r="C284" s="146"/>
      <c r="D284" s="146"/>
      <c r="E284" s="146"/>
      <c r="F284" s="146"/>
      <c r="G284" s="150" t="s">
        <v>1359</v>
      </c>
      <c r="H284" s="156" t="s">
        <v>1360</v>
      </c>
      <c r="I284" s="146"/>
      <c r="J284" s="151"/>
      <c r="K284" s="135"/>
      <c r="L284" s="135"/>
      <c r="M284" s="135"/>
      <c r="N284" s="135"/>
      <c r="O284" s="135"/>
      <c r="P284" s="135"/>
      <c r="Q284" s="135"/>
      <c r="R284" s="135"/>
      <c r="S284" s="135"/>
      <c r="T284" s="135"/>
      <c r="U284" s="134"/>
      <c r="V284" s="134"/>
      <c r="W284" s="134"/>
      <c r="X284" s="134"/>
      <c r="Y284" s="134"/>
      <c r="Z284" s="134"/>
      <c r="AA284" s="134"/>
      <c r="AB284" s="134"/>
      <c r="AC284" s="134"/>
    </row>
    <row r="285" ht="25.5" customHeight="1">
      <c r="A285" s="145"/>
      <c r="B285" s="148" t="s">
        <v>677</v>
      </c>
      <c r="C285" s="149" t="s">
        <v>1361</v>
      </c>
      <c r="D285" s="147" t="s">
        <v>12</v>
      </c>
      <c r="E285" s="148" t="s">
        <v>183</v>
      </c>
      <c r="F285" s="148" t="s">
        <v>94</v>
      </c>
      <c r="G285" s="150" t="s">
        <v>1362</v>
      </c>
      <c r="H285" s="150" t="s">
        <v>1363</v>
      </c>
      <c r="I285" s="148" t="s">
        <v>156</v>
      </c>
      <c r="J285" s="151"/>
      <c r="K285" s="135"/>
      <c r="L285" s="135"/>
      <c r="M285" s="135"/>
      <c r="N285" s="135"/>
      <c r="O285" s="135"/>
      <c r="P285" s="135"/>
      <c r="Q285" s="135"/>
      <c r="R285" s="135"/>
      <c r="S285" s="135"/>
      <c r="T285" s="135"/>
      <c r="U285" s="134"/>
      <c r="V285" s="134"/>
      <c r="W285" s="134"/>
      <c r="X285" s="134"/>
      <c r="Y285" s="134"/>
      <c r="Z285" s="134"/>
      <c r="AA285" s="134"/>
      <c r="AB285" s="134"/>
      <c r="AC285" s="134"/>
    </row>
    <row r="286" ht="25.5" customHeight="1">
      <c r="A286" s="145"/>
      <c r="B286" s="146"/>
      <c r="C286" s="146"/>
      <c r="D286" s="146"/>
      <c r="E286" s="146"/>
      <c r="F286" s="146"/>
      <c r="G286" s="150" t="s">
        <v>1364</v>
      </c>
      <c r="H286" s="150" t="s">
        <v>1365</v>
      </c>
      <c r="I286" s="146"/>
      <c r="J286" s="151"/>
      <c r="K286" s="135"/>
      <c r="L286" s="135"/>
      <c r="M286" s="135"/>
      <c r="N286" s="135"/>
      <c r="O286" s="135"/>
      <c r="P286" s="135"/>
      <c r="Q286" s="135"/>
      <c r="R286" s="135"/>
      <c r="S286" s="135"/>
      <c r="T286" s="135"/>
      <c r="U286" s="134"/>
      <c r="V286" s="134"/>
      <c r="W286" s="134"/>
      <c r="X286" s="134"/>
      <c r="Y286" s="134"/>
      <c r="Z286" s="134"/>
      <c r="AA286" s="134"/>
      <c r="AB286" s="134"/>
      <c r="AC286" s="134"/>
    </row>
    <row r="287" ht="25.5" customHeight="1">
      <c r="A287" s="145"/>
      <c r="B287" s="148" t="s">
        <v>681</v>
      </c>
      <c r="C287" s="149" t="s">
        <v>1366</v>
      </c>
      <c r="D287" s="147" t="s">
        <v>12</v>
      </c>
      <c r="E287" s="148" t="s">
        <v>183</v>
      </c>
      <c r="F287" s="148" t="s">
        <v>94</v>
      </c>
      <c r="G287" s="150" t="s">
        <v>1367</v>
      </c>
      <c r="H287" s="150" t="s">
        <v>1368</v>
      </c>
      <c r="I287" s="148" t="s">
        <v>156</v>
      </c>
      <c r="J287" s="151"/>
      <c r="K287" s="135"/>
      <c r="L287" s="135"/>
      <c r="M287" s="135"/>
      <c r="N287" s="135"/>
      <c r="O287" s="135"/>
      <c r="P287" s="135"/>
      <c r="Q287" s="135"/>
      <c r="R287" s="135"/>
      <c r="S287" s="135"/>
      <c r="T287" s="135"/>
      <c r="U287" s="134"/>
      <c r="V287" s="134"/>
      <c r="W287" s="134"/>
      <c r="X287" s="134"/>
      <c r="Y287" s="134"/>
      <c r="Z287" s="134"/>
      <c r="AA287" s="134"/>
      <c r="AB287" s="134"/>
      <c r="AC287" s="134"/>
    </row>
    <row r="288" ht="25.5" customHeight="1">
      <c r="A288" s="145"/>
      <c r="B288" s="146"/>
      <c r="C288" s="146"/>
      <c r="D288" s="146"/>
      <c r="E288" s="146"/>
      <c r="F288" s="146"/>
      <c r="G288" s="150" t="s">
        <v>1369</v>
      </c>
      <c r="H288" s="150" t="s">
        <v>1370</v>
      </c>
      <c r="I288" s="146"/>
      <c r="J288" s="151"/>
      <c r="K288" s="135"/>
      <c r="L288" s="135"/>
      <c r="M288" s="135"/>
      <c r="N288" s="135"/>
      <c r="O288" s="135"/>
      <c r="P288" s="135"/>
      <c r="Q288" s="135"/>
      <c r="R288" s="135"/>
      <c r="S288" s="135"/>
      <c r="T288" s="135"/>
      <c r="U288" s="134"/>
      <c r="V288" s="134"/>
      <c r="W288" s="134"/>
      <c r="X288" s="134"/>
      <c r="Y288" s="134"/>
      <c r="Z288" s="134"/>
      <c r="AA288" s="134"/>
      <c r="AB288" s="134"/>
      <c r="AC288" s="134"/>
    </row>
    <row r="289" ht="25.5" customHeight="1">
      <c r="A289" s="145"/>
      <c r="B289" s="148" t="s">
        <v>685</v>
      </c>
      <c r="C289" s="149" t="s">
        <v>1371</v>
      </c>
      <c r="D289" s="147" t="s">
        <v>12</v>
      </c>
      <c r="E289" s="148" t="s">
        <v>183</v>
      </c>
      <c r="F289" s="148" t="s">
        <v>94</v>
      </c>
      <c r="G289" s="150" t="s">
        <v>1372</v>
      </c>
      <c r="H289" s="150" t="s">
        <v>1373</v>
      </c>
      <c r="I289" s="148" t="s">
        <v>156</v>
      </c>
      <c r="J289" s="151"/>
      <c r="K289" s="135"/>
      <c r="L289" s="135"/>
      <c r="M289" s="135"/>
      <c r="N289" s="135"/>
      <c r="O289" s="135"/>
      <c r="P289" s="135"/>
      <c r="Q289" s="135"/>
      <c r="R289" s="135"/>
      <c r="S289" s="135"/>
      <c r="T289" s="135"/>
      <c r="U289" s="134"/>
      <c r="V289" s="134"/>
      <c r="W289" s="134"/>
      <c r="X289" s="134"/>
      <c r="Y289" s="134"/>
      <c r="Z289" s="134"/>
      <c r="AA289" s="134"/>
      <c r="AB289" s="134"/>
      <c r="AC289" s="134"/>
    </row>
    <row r="290" ht="25.5" customHeight="1">
      <c r="A290" s="145"/>
      <c r="B290" s="145"/>
      <c r="C290" s="145"/>
      <c r="D290" s="145"/>
      <c r="E290" s="145"/>
      <c r="F290" s="145"/>
      <c r="G290" s="150" t="s">
        <v>1374</v>
      </c>
      <c r="H290" s="150" t="s">
        <v>1375</v>
      </c>
      <c r="I290" s="145"/>
      <c r="J290" s="151"/>
      <c r="K290" s="135"/>
      <c r="L290" s="135"/>
      <c r="M290" s="135"/>
      <c r="N290" s="135"/>
      <c r="O290" s="135"/>
      <c r="P290" s="135"/>
      <c r="Q290" s="135"/>
      <c r="R290" s="135"/>
      <c r="S290" s="135"/>
      <c r="T290" s="135"/>
      <c r="U290" s="134"/>
      <c r="V290" s="134"/>
      <c r="W290" s="134"/>
      <c r="X290" s="134"/>
      <c r="Y290" s="134"/>
      <c r="Z290" s="134"/>
      <c r="AA290" s="134"/>
      <c r="AB290" s="134"/>
      <c r="AC290" s="134"/>
    </row>
    <row r="291" ht="25.5" customHeight="1">
      <c r="A291" s="145"/>
      <c r="B291" s="146"/>
      <c r="C291" s="146"/>
      <c r="D291" s="146"/>
      <c r="E291" s="146"/>
      <c r="F291" s="146"/>
      <c r="G291" s="150" t="s">
        <v>1376</v>
      </c>
      <c r="H291" s="150" t="s">
        <v>1377</v>
      </c>
      <c r="I291" s="146"/>
      <c r="J291" s="151"/>
      <c r="K291" s="135"/>
      <c r="L291" s="135"/>
      <c r="M291" s="135"/>
      <c r="N291" s="135"/>
      <c r="O291" s="135"/>
      <c r="P291" s="135"/>
      <c r="Q291" s="135"/>
      <c r="R291" s="135"/>
      <c r="S291" s="135"/>
      <c r="T291" s="135"/>
      <c r="U291" s="134"/>
      <c r="V291" s="134"/>
      <c r="W291" s="134"/>
      <c r="X291" s="134"/>
      <c r="Y291" s="134"/>
      <c r="Z291" s="134"/>
      <c r="AA291" s="134"/>
      <c r="AB291" s="134"/>
      <c r="AC291" s="134"/>
    </row>
    <row r="292" ht="25.5" customHeight="1">
      <c r="A292" s="145"/>
      <c r="B292" s="148" t="s">
        <v>689</v>
      </c>
      <c r="C292" s="149" t="s">
        <v>1378</v>
      </c>
      <c r="D292" s="147" t="s">
        <v>58</v>
      </c>
      <c r="E292" s="148" t="s">
        <v>183</v>
      </c>
      <c r="F292" s="148" t="s">
        <v>94</v>
      </c>
      <c r="G292" s="150" t="s">
        <v>1379</v>
      </c>
      <c r="H292" s="150" t="s">
        <v>1380</v>
      </c>
      <c r="I292" s="148" t="s">
        <v>156</v>
      </c>
      <c r="J292" s="151"/>
      <c r="K292" s="135"/>
      <c r="L292" s="135"/>
      <c r="M292" s="135"/>
      <c r="N292" s="135"/>
      <c r="O292" s="135"/>
      <c r="P292" s="135"/>
      <c r="Q292" s="135"/>
      <c r="R292" s="135"/>
      <c r="S292" s="135"/>
      <c r="T292" s="135"/>
      <c r="U292" s="134"/>
      <c r="V292" s="134"/>
      <c r="W292" s="134"/>
      <c r="X292" s="134"/>
      <c r="Y292" s="134"/>
      <c r="Z292" s="134"/>
      <c r="AA292" s="134"/>
      <c r="AB292" s="134"/>
      <c r="AC292" s="134"/>
    </row>
    <row r="293" ht="25.5" customHeight="1">
      <c r="A293" s="146"/>
      <c r="B293" s="146"/>
      <c r="C293" s="146"/>
      <c r="D293" s="146"/>
      <c r="E293" s="146"/>
      <c r="F293" s="146"/>
      <c r="G293" s="150" t="s">
        <v>1381</v>
      </c>
      <c r="H293" s="150" t="s">
        <v>1382</v>
      </c>
      <c r="I293" s="146"/>
      <c r="J293" s="151"/>
      <c r="K293" s="135"/>
      <c r="L293" s="135"/>
      <c r="M293" s="135"/>
      <c r="N293" s="135"/>
      <c r="O293" s="135"/>
      <c r="P293" s="135"/>
      <c r="Q293" s="135"/>
      <c r="R293" s="135"/>
      <c r="S293" s="135"/>
      <c r="T293" s="135"/>
      <c r="U293" s="134"/>
      <c r="V293" s="134"/>
      <c r="W293" s="134"/>
      <c r="X293" s="134"/>
      <c r="Y293" s="134"/>
      <c r="Z293" s="134"/>
      <c r="AA293" s="134"/>
      <c r="AB293" s="134"/>
      <c r="AC293" s="134"/>
    </row>
    <row r="294">
      <c r="A294" s="137"/>
      <c r="B294" s="137"/>
      <c r="C294" s="137"/>
      <c r="D294" s="137"/>
      <c r="E294" s="137"/>
      <c r="F294" s="137"/>
      <c r="G294" s="137"/>
      <c r="H294" s="137"/>
      <c r="I294" s="137"/>
      <c r="J294" s="134"/>
      <c r="K294" s="135"/>
      <c r="L294" s="135"/>
      <c r="M294" s="135"/>
      <c r="N294" s="135"/>
      <c r="O294" s="135"/>
      <c r="P294" s="135"/>
      <c r="Q294" s="135"/>
      <c r="R294" s="135"/>
      <c r="S294" s="135"/>
      <c r="T294" s="135"/>
      <c r="U294" s="134"/>
      <c r="V294" s="134"/>
      <c r="W294" s="134"/>
      <c r="X294" s="134"/>
      <c r="Y294" s="134"/>
      <c r="Z294" s="134"/>
      <c r="AA294" s="134"/>
      <c r="AB294" s="134"/>
      <c r="AC294" s="134"/>
    </row>
    <row r="295">
      <c r="A295" s="137"/>
      <c r="B295" s="137"/>
      <c r="C295" s="137"/>
      <c r="D295" s="137"/>
      <c r="E295" s="137"/>
      <c r="F295" s="137"/>
      <c r="G295" s="137"/>
      <c r="H295" s="137"/>
      <c r="I295" s="137"/>
      <c r="J295" s="134"/>
      <c r="K295" s="135"/>
      <c r="L295" s="135"/>
      <c r="M295" s="135"/>
      <c r="N295" s="135"/>
      <c r="O295" s="135"/>
      <c r="P295" s="135"/>
      <c r="Q295" s="135"/>
      <c r="R295" s="135"/>
      <c r="S295" s="135"/>
      <c r="T295" s="135"/>
      <c r="U295" s="134"/>
      <c r="V295" s="134"/>
      <c r="W295" s="134"/>
      <c r="X295" s="134"/>
      <c r="Y295" s="134"/>
      <c r="Z295" s="134"/>
      <c r="AA295" s="134"/>
      <c r="AB295" s="134"/>
      <c r="AC295" s="134"/>
    </row>
    <row r="296">
      <c r="A296" s="157" t="s">
        <v>1383</v>
      </c>
      <c r="B296" s="158"/>
      <c r="C296" s="159"/>
      <c r="D296" s="160"/>
      <c r="E296" s="161"/>
      <c r="F296" s="161"/>
      <c r="G296" s="161"/>
      <c r="H296" s="161"/>
      <c r="I296" s="138"/>
      <c r="J296" s="138"/>
      <c r="K296" s="137"/>
      <c r="L296" s="137"/>
      <c r="M296" s="137"/>
      <c r="N296" s="137"/>
      <c r="O296" s="137"/>
      <c r="P296" s="137"/>
      <c r="Q296" s="137"/>
      <c r="R296" s="137"/>
      <c r="S296" s="137"/>
      <c r="T296" s="137"/>
      <c r="U296" s="138"/>
      <c r="V296" s="138"/>
      <c r="W296" s="138"/>
      <c r="X296" s="138"/>
      <c r="Y296" s="138"/>
      <c r="Z296" s="138"/>
      <c r="AA296" s="138"/>
      <c r="AB296" s="138"/>
      <c r="AC296" s="138"/>
    </row>
    <row r="297">
      <c r="A297" s="162" t="s">
        <v>1384</v>
      </c>
      <c r="B297" s="158"/>
      <c r="C297" s="163">
        <f>COUNTA(I8:I293)</f>
        <v>111</v>
      </c>
      <c r="D297" s="160"/>
      <c r="E297" s="161"/>
      <c r="F297" s="161"/>
      <c r="G297" s="161"/>
      <c r="H297" s="161"/>
      <c r="I297" s="138"/>
      <c r="J297" s="138"/>
      <c r="K297" s="137"/>
      <c r="L297" s="137"/>
      <c r="M297" s="137"/>
      <c r="N297" s="137"/>
      <c r="O297" s="137"/>
      <c r="P297" s="137"/>
      <c r="Q297" s="137"/>
      <c r="R297" s="137"/>
      <c r="S297" s="137"/>
      <c r="T297" s="137"/>
      <c r="U297" s="138"/>
      <c r="V297" s="138"/>
      <c r="W297" s="138"/>
      <c r="X297" s="138"/>
      <c r="Y297" s="138"/>
      <c r="Z297" s="138"/>
      <c r="AA297" s="138"/>
      <c r="AB297" s="138"/>
      <c r="AC297" s="138"/>
    </row>
    <row r="298">
      <c r="A298" s="162" t="s">
        <v>156</v>
      </c>
      <c r="B298" s="158"/>
      <c r="C298" s="164">
        <f>COUNTIF(I8:I293, "Đã hoàn thành")</f>
        <v>111</v>
      </c>
      <c r="D298" s="160"/>
      <c r="E298" s="161"/>
      <c r="F298" s="161"/>
      <c r="G298" s="161"/>
      <c r="H298" s="161"/>
      <c r="I298" s="138"/>
      <c r="J298" s="138"/>
      <c r="K298" s="137"/>
      <c r="L298" s="137"/>
      <c r="M298" s="137"/>
      <c r="N298" s="137"/>
      <c r="O298" s="137"/>
      <c r="P298" s="137"/>
      <c r="Q298" s="137"/>
      <c r="R298" s="137"/>
      <c r="S298" s="137"/>
      <c r="T298" s="137"/>
      <c r="U298" s="138"/>
      <c r="V298" s="138"/>
      <c r="W298" s="138"/>
      <c r="X298" s="138"/>
      <c r="Y298" s="138"/>
      <c r="Z298" s="138"/>
      <c r="AA298" s="138"/>
      <c r="AB298" s="138"/>
      <c r="AC298" s="138"/>
    </row>
    <row r="299">
      <c r="A299" s="162" t="s">
        <v>1385</v>
      </c>
      <c r="B299" s="158"/>
      <c r="C299" s="164">
        <f>COUNTIF(I8:I293, "Đang thực hiện")</f>
        <v>0</v>
      </c>
      <c r="D299" s="160"/>
      <c r="E299" s="161"/>
      <c r="F299" s="161"/>
      <c r="G299" s="161"/>
      <c r="H299" s="161"/>
      <c r="I299" s="138"/>
      <c r="J299" s="138"/>
      <c r="K299" s="137"/>
      <c r="L299" s="137"/>
      <c r="M299" s="137"/>
      <c r="N299" s="137"/>
      <c r="O299" s="137"/>
      <c r="P299" s="137"/>
      <c r="Q299" s="137"/>
      <c r="R299" s="137"/>
      <c r="S299" s="137"/>
      <c r="T299" s="137"/>
      <c r="U299" s="138"/>
      <c r="V299" s="138"/>
      <c r="W299" s="138"/>
      <c r="X299" s="138"/>
      <c r="Y299" s="138"/>
      <c r="Z299" s="138"/>
      <c r="AA299" s="138"/>
      <c r="AB299" s="138"/>
      <c r="AC299" s="138"/>
    </row>
    <row r="300">
      <c r="A300" s="162" t="s">
        <v>1386</v>
      </c>
      <c r="B300" s="158"/>
      <c r="C300" s="163">
        <f>COUNTIF(I8:I293, "Chưa bắt đầu")</f>
        <v>0</v>
      </c>
      <c r="D300" s="160"/>
      <c r="E300" s="161"/>
      <c r="F300" s="161"/>
      <c r="G300" s="161"/>
      <c r="H300" s="161"/>
      <c r="I300" s="138"/>
      <c r="J300" s="138"/>
      <c r="K300" s="137"/>
      <c r="L300" s="137"/>
      <c r="M300" s="137"/>
      <c r="N300" s="137"/>
      <c r="O300" s="137"/>
      <c r="P300" s="137"/>
      <c r="Q300" s="137"/>
      <c r="R300" s="137"/>
      <c r="S300" s="137"/>
      <c r="T300" s="137"/>
      <c r="U300" s="138"/>
      <c r="V300" s="138"/>
      <c r="W300" s="138"/>
      <c r="X300" s="138"/>
      <c r="Y300" s="138"/>
      <c r="Z300" s="138"/>
      <c r="AA300" s="138"/>
      <c r="AB300" s="138"/>
      <c r="AC300" s="138"/>
    </row>
    <row r="301">
      <c r="A301" s="162" t="s">
        <v>1387</v>
      </c>
      <c r="B301" s="158"/>
      <c r="C301" s="165">
        <f>C298/$C$297</f>
        <v>1</v>
      </c>
      <c r="D301" s="160"/>
      <c r="E301" s="161"/>
      <c r="F301" s="161"/>
      <c r="G301" s="161"/>
      <c r="H301" s="161"/>
      <c r="I301" s="138"/>
      <c r="J301" s="138"/>
      <c r="K301" s="137"/>
      <c r="L301" s="137"/>
      <c r="M301" s="137"/>
      <c r="N301" s="137"/>
      <c r="O301" s="137"/>
      <c r="P301" s="137"/>
      <c r="Q301" s="137"/>
      <c r="R301" s="137"/>
      <c r="S301" s="137"/>
      <c r="T301" s="137"/>
      <c r="U301" s="138"/>
      <c r="V301" s="138"/>
      <c r="W301" s="138"/>
      <c r="X301" s="138"/>
      <c r="Y301" s="138"/>
      <c r="Z301" s="138"/>
      <c r="AA301" s="138"/>
      <c r="AB301" s="138"/>
      <c r="AC301" s="138"/>
    </row>
    <row r="302">
      <c r="A302" s="161"/>
      <c r="B302" s="161"/>
      <c r="C302" s="138"/>
      <c r="D302" s="160"/>
      <c r="E302" s="161"/>
      <c r="F302" s="161"/>
      <c r="G302" s="161"/>
      <c r="H302" s="161"/>
      <c r="I302" s="138"/>
      <c r="J302" s="138"/>
      <c r="K302" s="137"/>
      <c r="L302" s="137"/>
      <c r="M302" s="137"/>
      <c r="N302" s="137"/>
      <c r="O302" s="137"/>
      <c r="P302" s="137"/>
      <c r="Q302" s="137"/>
      <c r="R302" s="137"/>
      <c r="S302" s="137"/>
      <c r="T302" s="137"/>
      <c r="U302" s="138"/>
      <c r="V302" s="138"/>
      <c r="W302" s="138"/>
      <c r="X302" s="138"/>
      <c r="Y302" s="138"/>
      <c r="Z302" s="138"/>
      <c r="AA302" s="138"/>
      <c r="AB302" s="138"/>
      <c r="AC302" s="138"/>
    </row>
    <row r="303">
      <c r="A303" s="161"/>
      <c r="B303" s="161"/>
      <c r="C303" s="138"/>
      <c r="D303" s="160"/>
      <c r="E303" s="161"/>
      <c r="F303" s="161"/>
      <c r="G303" s="161"/>
      <c r="H303" s="161"/>
      <c r="I303" s="138"/>
      <c r="J303" s="138"/>
      <c r="K303" s="137"/>
      <c r="L303" s="137"/>
      <c r="M303" s="137"/>
      <c r="N303" s="137"/>
      <c r="O303" s="137"/>
      <c r="P303" s="137"/>
      <c r="Q303" s="137"/>
      <c r="R303" s="137"/>
      <c r="S303" s="137"/>
      <c r="T303" s="137"/>
      <c r="U303" s="138"/>
      <c r="V303" s="138"/>
      <c r="W303" s="138"/>
      <c r="X303" s="138"/>
      <c r="Y303" s="138"/>
      <c r="Z303" s="138"/>
      <c r="AA303" s="138"/>
      <c r="AB303" s="138"/>
      <c r="AC303" s="138"/>
    </row>
    <row r="304">
      <c r="A304" s="161"/>
      <c r="B304" s="161"/>
      <c r="C304" s="138"/>
      <c r="D304" s="160"/>
      <c r="E304" s="161"/>
      <c r="F304" s="161"/>
      <c r="G304" s="161"/>
      <c r="H304" s="161"/>
      <c r="I304" s="138"/>
      <c r="J304" s="138"/>
      <c r="K304" s="137"/>
      <c r="L304" s="137"/>
      <c r="M304" s="137"/>
      <c r="N304" s="137"/>
      <c r="O304" s="137"/>
      <c r="P304" s="137"/>
      <c r="Q304" s="137"/>
      <c r="R304" s="137"/>
      <c r="S304" s="137"/>
      <c r="T304" s="137"/>
      <c r="U304" s="138"/>
      <c r="V304" s="138"/>
      <c r="W304" s="138"/>
      <c r="X304" s="138"/>
      <c r="Y304" s="138"/>
      <c r="Z304" s="138"/>
      <c r="AA304" s="138"/>
      <c r="AB304" s="138"/>
      <c r="AC304" s="138"/>
    </row>
    <row r="305">
      <c r="A305" s="161"/>
      <c r="B305" s="161"/>
      <c r="C305" s="138"/>
      <c r="D305" s="160"/>
      <c r="E305" s="161"/>
      <c r="F305" s="161"/>
      <c r="G305" s="161"/>
      <c r="H305" s="161"/>
      <c r="I305" s="138"/>
      <c r="J305" s="138"/>
      <c r="K305" s="137"/>
      <c r="L305" s="137"/>
      <c r="M305" s="137"/>
      <c r="N305" s="137"/>
      <c r="O305" s="137"/>
      <c r="P305" s="137"/>
      <c r="Q305" s="137"/>
      <c r="R305" s="137"/>
      <c r="S305" s="137"/>
      <c r="T305" s="137"/>
      <c r="U305" s="138"/>
      <c r="V305" s="138"/>
      <c r="W305" s="138"/>
      <c r="X305" s="138"/>
      <c r="Y305" s="138"/>
      <c r="Z305" s="138"/>
      <c r="AA305" s="138"/>
      <c r="AB305" s="138"/>
      <c r="AC305" s="138"/>
    </row>
    <row r="306">
      <c r="A306" s="161"/>
      <c r="B306" s="161"/>
      <c r="C306" s="138"/>
      <c r="D306" s="160"/>
      <c r="E306" s="161"/>
      <c r="F306" s="161"/>
      <c r="G306" s="161"/>
      <c r="H306" s="161"/>
      <c r="I306" s="138"/>
      <c r="J306" s="138"/>
      <c r="K306" s="137"/>
      <c r="L306" s="137"/>
      <c r="M306" s="137"/>
      <c r="N306" s="137"/>
      <c r="O306" s="137"/>
      <c r="P306" s="137"/>
      <c r="Q306" s="137"/>
      <c r="R306" s="137"/>
      <c r="S306" s="137"/>
      <c r="T306" s="137"/>
      <c r="U306" s="138"/>
      <c r="V306" s="138"/>
      <c r="W306" s="138"/>
      <c r="X306" s="138"/>
      <c r="Y306" s="138"/>
      <c r="Z306" s="138"/>
      <c r="AA306" s="138"/>
      <c r="AB306" s="138"/>
      <c r="AC306" s="138"/>
    </row>
    <row r="307">
      <c r="A307" s="161"/>
      <c r="B307" s="161"/>
      <c r="C307" s="138"/>
      <c r="D307" s="160"/>
      <c r="E307" s="161"/>
      <c r="F307" s="161"/>
      <c r="G307" s="161"/>
      <c r="H307" s="161"/>
      <c r="I307" s="138"/>
      <c r="J307" s="138"/>
      <c r="K307" s="137"/>
      <c r="L307" s="137"/>
      <c r="M307" s="137"/>
      <c r="N307" s="137"/>
      <c r="O307" s="137"/>
      <c r="P307" s="137"/>
      <c r="Q307" s="137"/>
      <c r="R307" s="137"/>
      <c r="S307" s="137"/>
      <c r="T307" s="137"/>
      <c r="U307" s="138"/>
      <c r="V307" s="138"/>
      <c r="W307" s="138"/>
      <c r="X307" s="138"/>
      <c r="Y307" s="138"/>
      <c r="Z307" s="138"/>
      <c r="AA307" s="138"/>
      <c r="AB307" s="138"/>
      <c r="AC307" s="138"/>
    </row>
    <row r="308">
      <c r="A308" s="161"/>
      <c r="B308" s="161"/>
      <c r="C308" s="138"/>
      <c r="D308" s="160"/>
      <c r="E308" s="161"/>
      <c r="F308" s="161"/>
      <c r="G308" s="161"/>
      <c r="H308" s="161"/>
      <c r="I308" s="138"/>
      <c r="J308" s="138"/>
      <c r="K308" s="137"/>
      <c r="L308" s="137"/>
      <c r="M308" s="137"/>
      <c r="N308" s="137"/>
      <c r="O308" s="137"/>
      <c r="P308" s="137"/>
      <c r="Q308" s="137"/>
      <c r="R308" s="137"/>
      <c r="S308" s="137"/>
      <c r="T308" s="137"/>
      <c r="U308" s="138"/>
      <c r="V308" s="138"/>
      <c r="W308" s="138"/>
      <c r="X308" s="138"/>
      <c r="Y308" s="138"/>
      <c r="Z308" s="138"/>
      <c r="AA308" s="138"/>
      <c r="AB308" s="138"/>
      <c r="AC308" s="138"/>
    </row>
    <row r="309">
      <c r="A309" s="161"/>
      <c r="B309" s="161"/>
      <c r="C309" s="138"/>
      <c r="D309" s="160"/>
      <c r="E309" s="161"/>
      <c r="F309" s="161"/>
      <c r="G309" s="161"/>
      <c r="H309" s="161"/>
      <c r="I309" s="138"/>
      <c r="J309" s="138"/>
      <c r="K309" s="137"/>
      <c r="L309" s="137"/>
      <c r="M309" s="137"/>
      <c r="N309" s="137"/>
      <c r="O309" s="137"/>
      <c r="P309" s="137"/>
      <c r="Q309" s="137"/>
      <c r="R309" s="137"/>
      <c r="S309" s="137"/>
      <c r="T309" s="137"/>
      <c r="U309" s="138"/>
      <c r="V309" s="138"/>
      <c r="W309" s="138"/>
      <c r="X309" s="138"/>
      <c r="Y309" s="138"/>
      <c r="Z309" s="138"/>
      <c r="AA309" s="138"/>
      <c r="AB309" s="138"/>
      <c r="AC309" s="138"/>
    </row>
    <row r="310">
      <c r="A310" s="161"/>
      <c r="B310" s="161"/>
      <c r="C310" s="138"/>
      <c r="D310" s="160"/>
      <c r="E310" s="161"/>
      <c r="F310" s="161"/>
      <c r="G310" s="161"/>
      <c r="H310" s="161"/>
      <c r="I310" s="138"/>
      <c r="J310" s="138"/>
      <c r="K310" s="137"/>
      <c r="L310" s="137"/>
      <c r="M310" s="137"/>
      <c r="N310" s="137"/>
      <c r="O310" s="137"/>
      <c r="P310" s="137"/>
      <c r="Q310" s="137"/>
      <c r="R310" s="137"/>
      <c r="S310" s="137"/>
      <c r="T310" s="137"/>
      <c r="U310" s="138"/>
      <c r="V310" s="138"/>
      <c r="W310" s="138"/>
      <c r="X310" s="138"/>
      <c r="Y310" s="138"/>
      <c r="Z310" s="138"/>
      <c r="AA310" s="138"/>
      <c r="AB310" s="138"/>
      <c r="AC310" s="138"/>
    </row>
    <row r="311">
      <c r="A311" s="161"/>
      <c r="B311" s="161"/>
      <c r="C311" s="138"/>
      <c r="D311" s="160"/>
      <c r="E311" s="161"/>
      <c r="F311" s="161"/>
      <c r="G311" s="161"/>
      <c r="H311" s="161"/>
      <c r="I311" s="138"/>
      <c r="J311" s="138"/>
      <c r="K311" s="137"/>
      <c r="L311" s="137"/>
      <c r="M311" s="137"/>
      <c r="N311" s="137"/>
      <c r="O311" s="137"/>
      <c r="P311" s="137"/>
      <c r="Q311" s="137"/>
      <c r="R311" s="137"/>
      <c r="S311" s="137"/>
      <c r="T311" s="137"/>
      <c r="U311" s="138"/>
      <c r="V311" s="138"/>
      <c r="W311" s="138"/>
      <c r="X311" s="138"/>
      <c r="Y311" s="138"/>
      <c r="Z311" s="138"/>
      <c r="AA311" s="138"/>
      <c r="AB311" s="138"/>
      <c r="AC311" s="138"/>
    </row>
    <row r="312">
      <c r="A312" s="161"/>
      <c r="B312" s="161"/>
      <c r="C312" s="138"/>
      <c r="D312" s="160"/>
      <c r="E312" s="161"/>
      <c r="F312" s="161"/>
      <c r="G312" s="161"/>
      <c r="H312" s="161"/>
      <c r="I312" s="138"/>
      <c r="J312" s="138"/>
      <c r="K312" s="137"/>
      <c r="L312" s="137"/>
      <c r="M312" s="137"/>
      <c r="N312" s="137"/>
      <c r="O312" s="137"/>
      <c r="P312" s="137"/>
      <c r="Q312" s="137"/>
      <c r="R312" s="137"/>
      <c r="S312" s="137"/>
      <c r="T312" s="137"/>
      <c r="U312" s="138"/>
      <c r="V312" s="138"/>
      <c r="W312" s="138"/>
      <c r="X312" s="138"/>
      <c r="Y312" s="138"/>
      <c r="Z312" s="138"/>
      <c r="AA312" s="138"/>
      <c r="AB312" s="138"/>
      <c r="AC312" s="138"/>
    </row>
    <row r="313">
      <c r="A313" s="161"/>
      <c r="B313" s="161"/>
      <c r="C313" s="138"/>
      <c r="D313" s="160"/>
      <c r="E313" s="161"/>
      <c r="F313" s="161"/>
      <c r="G313" s="161"/>
      <c r="H313" s="161"/>
      <c r="I313" s="138"/>
      <c r="J313" s="138"/>
      <c r="K313" s="137"/>
      <c r="L313" s="137"/>
      <c r="M313" s="137"/>
      <c r="N313" s="137"/>
      <c r="O313" s="137"/>
      <c r="P313" s="137"/>
      <c r="Q313" s="137"/>
      <c r="R313" s="137"/>
      <c r="S313" s="137"/>
      <c r="T313" s="137"/>
      <c r="U313" s="138"/>
      <c r="V313" s="138"/>
      <c r="W313" s="138"/>
      <c r="X313" s="138"/>
      <c r="Y313" s="138"/>
      <c r="Z313" s="138"/>
      <c r="AA313" s="138"/>
      <c r="AB313" s="138"/>
      <c r="AC313" s="138"/>
    </row>
    <row r="314">
      <c r="A314" s="161"/>
      <c r="B314" s="161"/>
      <c r="C314" s="138"/>
      <c r="D314" s="160"/>
      <c r="E314" s="161"/>
      <c r="F314" s="161"/>
      <c r="G314" s="161"/>
      <c r="H314" s="161"/>
      <c r="I314" s="138"/>
      <c r="J314" s="138"/>
      <c r="K314" s="137"/>
      <c r="L314" s="137"/>
      <c r="M314" s="137"/>
      <c r="N314" s="137"/>
      <c r="O314" s="137"/>
      <c r="P314" s="137"/>
      <c r="Q314" s="137"/>
      <c r="R314" s="137"/>
      <c r="S314" s="137"/>
      <c r="T314" s="137"/>
      <c r="U314" s="138"/>
      <c r="V314" s="138"/>
      <c r="W314" s="138"/>
      <c r="X314" s="138"/>
      <c r="Y314" s="138"/>
      <c r="Z314" s="138"/>
      <c r="AA314" s="138"/>
      <c r="AB314" s="138"/>
      <c r="AC314" s="138"/>
    </row>
    <row r="315">
      <c r="A315" s="161"/>
      <c r="B315" s="161"/>
      <c r="C315" s="138"/>
      <c r="D315" s="160"/>
      <c r="E315" s="161"/>
      <c r="F315" s="161"/>
      <c r="G315" s="161"/>
      <c r="H315" s="161"/>
      <c r="I315" s="138"/>
      <c r="J315" s="138"/>
      <c r="K315" s="137"/>
      <c r="L315" s="137"/>
      <c r="M315" s="137"/>
      <c r="N315" s="137"/>
      <c r="O315" s="137"/>
      <c r="P315" s="137"/>
      <c r="Q315" s="137"/>
      <c r="R315" s="137"/>
      <c r="S315" s="137"/>
      <c r="T315" s="137"/>
      <c r="U315" s="138"/>
      <c r="V315" s="138"/>
      <c r="W315" s="138"/>
      <c r="X315" s="138"/>
      <c r="Y315" s="138"/>
      <c r="Z315" s="138"/>
      <c r="AA315" s="138"/>
      <c r="AB315" s="138"/>
      <c r="AC315" s="138"/>
    </row>
    <row r="316">
      <c r="A316" s="161"/>
      <c r="B316" s="161"/>
      <c r="C316" s="138"/>
      <c r="D316" s="160"/>
      <c r="E316" s="161"/>
      <c r="F316" s="161"/>
      <c r="G316" s="161"/>
      <c r="H316" s="161"/>
      <c r="I316" s="138"/>
      <c r="J316" s="138"/>
      <c r="K316" s="137"/>
      <c r="L316" s="137"/>
      <c r="M316" s="137"/>
      <c r="N316" s="137"/>
      <c r="O316" s="137"/>
      <c r="P316" s="137"/>
      <c r="Q316" s="137"/>
      <c r="R316" s="137"/>
      <c r="S316" s="137"/>
      <c r="T316" s="137"/>
      <c r="U316" s="138"/>
      <c r="V316" s="138"/>
      <c r="W316" s="138"/>
      <c r="X316" s="138"/>
      <c r="Y316" s="138"/>
      <c r="Z316" s="138"/>
      <c r="AA316" s="138"/>
      <c r="AB316" s="138"/>
      <c r="AC316" s="138"/>
    </row>
    <row r="317">
      <c r="A317" s="161"/>
      <c r="B317" s="161"/>
      <c r="C317" s="138"/>
      <c r="D317" s="160"/>
      <c r="E317" s="161"/>
      <c r="F317" s="161"/>
      <c r="G317" s="161"/>
      <c r="H317" s="161"/>
      <c r="I317" s="138"/>
      <c r="J317" s="138"/>
      <c r="K317" s="137"/>
      <c r="L317" s="137"/>
      <c r="M317" s="137"/>
      <c r="N317" s="137"/>
      <c r="O317" s="137"/>
      <c r="P317" s="137"/>
      <c r="Q317" s="137"/>
      <c r="R317" s="137"/>
      <c r="S317" s="137"/>
      <c r="T317" s="137"/>
      <c r="U317" s="138"/>
      <c r="V317" s="138"/>
      <c r="W317" s="138"/>
      <c r="X317" s="138"/>
      <c r="Y317" s="138"/>
      <c r="Z317" s="138"/>
      <c r="AA317" s="138"/>
      <c r="AB317" s="138"/>
      <c r="AC317" s="138"/>
    </row>
    <row r="318">
      <c r="A318" s="161"/>
      <c r="B318" s="161"/>
      <c r="C318" s="138"/>
      <c r="D318" s="160"/>
      <c r="E318" s="161"/>
      <c r="F318" s="161"/>
      <c r="G318" s="161"/>
      <c r="H318" s="161"/>
      <c r="I318" s="138"/>
      <c r="J318" s="138"/>
      <c r="K318" s="137"/>
      <c r="L318" s="137"/>
      <c r="M318" s="137"/>
      <c r="N318" s="137"/>
      <c r="O318" s="137"/>
      <c r="P318" s="137"/>
      <c r="Q318" s="137"/>
      <c r="R318" s="137"/>
      <c r="S318" s="137"/>
      <c r="T318" s="137"/>
      <c r="U318" s="138"/>
      <c r="V318" s="138"/>
      <c r="W318" s="138"/>
      <c r="X318" s="138"/>
      <c r="Y318" s="138"/>
      <c r="Z318" s="138"/>
      <c r="AA318" s="138"/>
      <c r="AB318" s="138"/>
      <c r="AC318" s="138"/>
    </row>
    <row r="319">
      <c r="A319" s="161"/>
      <c r="B319" s="161"/>
      <c r="C319" s="138"/>
      <c r="D319" s="160"/>
      <c r="E319" s="161"/>
      <c r="F319" s="161"/>
      <c r="G319" s="161"/>
      <c r="H319" s="161"/>
      <c r="I319" s="138"/>
      <c r="J319" s="138"/>
      <c r="K319" s="137"/>
      <c r="L319" s="137"/>
      <c r="M319" s="137"/>
      <c r="N319" s="137"/>
      <c r="O319" s="137"/>
      <c r="P319" s="137"/>
      <c r="Q319" s="137"/>
      <c r="R319" s="137"/>
      <c r="S319" s="137"/>
      <c r="T319" s="137"/>
      <c r="U319" s="138"/>
      <c r="V319" s="138"/>
      <c r="W319" s="138"/>
      <c r="X319" s="138"/>
      <c r="Y319" s="138"/>
      <c r="Z319" s="138"/>
      <c r="AA319" s="138"/>
      <c r="AB319" s="138"/>
      <c r="AC319" s="138"/>
    </row>
    <row r="320">
      <c r="A320" s="161"/>
      <c r="B320" s="161"/>
      <c r="C320" s="138"/>
      <c r="D320" s="160"/>
      <c r="E320" s="161"/>
      <c r="F320" s="161"/>
      <c r="G320" s="161"/>
      <c r="H320" s="161"/>
      <c r="I320" s="138"/>
      <c r="J320" s="138"/>
      <c r="K320" s="137"/>
      <c r="L320" s="137"/>
      <c r="M320" s="137"/>
      <c r="N320" s="137"/>
      <c r="O320" s="137"/>
      <c r="P320" s="137"/>
      <c r="Q320" s="137"/>
      <c r="R320" s="137"/>
      <c r="S320" s="137"/>
      <c r="T320" s="137"/>
      <c r="U320" s="138"/>
      <c r="V320" s="138"/>
      <c r="W320" s="138"/>
      <c r="X320" s="138"/>
      <c r="Y320" s="138"/>
      <c r="Z320" s="138"/>
      <c r="AA320" s="138"/>
      <c r="AB320" s="138"/>
      <c r="AC320" s="138"/>
    </row>
    <row r="321">
      <c r="A321" s="161"/>
      <c r="B321" s="161"/>
      <c r="C321" s="138"/>
      <c r="D321" s="160"/>
      <c r="E321" s="161"/>
      <c r="F321" s="161"/>
      <c r="G321" s="161"/>
      <c r="H321" s="161"/>
      <c r="I321" s="138"/>
      <c r="J321" s="138"/>
      <c r="K321" s="137"/>
      <c r="L321" s="137"/>
      <c r="M321" s="137"/>
      <c r="N321" s="137"/>
      <c r="O321" s="137"/>
      <c r="P321" s="137"/>
      <c r="Q321" s="137"/>
      <c r="R321" s="137"/>
      <c r="S321" s="137"/>
      <c r="T321" s="137"/>
      <c r="U321" s="138"/>
      <c r="V321" s="138"/>
      <c r="W321" s="138"/>
      <c r="X321" s="138"/>
      <c r="Y321" s="138"/>
      <c r="Z321" s="138"/>
      <c r="AA321" s="138"/>
      <c r="AB321" s="138"/>
      <c r="AC321" s="138"/>
    </row>
    <row r="322">
      <c r="A322" s="161"/>
      <c r="B322" s="161"/>
      <c r="C322" s="138"/>
      <c r="D322" s="160"/>
      <c r="E322" s="161"/>
      <c r="F322" s="161"/>
      <c r="G322" s="161"/>
      <c r="H322" s="161"/>
      <c r="I322" s="138"/>
      <c r="J322" s="138"/>
      <c r="K322" s="137"/>
      <c r="L322" s="137"/>
      <c r="M322" s="137"/>
      <c r="N322" s="137"/>
      <c r="O322" s="137"/>
      <c r="P322" s="137"/>
      <c r="Q322" s="137"/>
      <c r="R322" s="137"/>
      <c r="S322" s="137"/>
      <c r="T322" s="137"/>
      <c r="U322" s="138"/>
      <c r="V322" s="138"/>
      <c r="W322" s="138"/>
      <c r="X322" s="138"/>
      <c r="Y322" s="138"/>
      <c r="Z322" s="138"/>
      <c r="AA322" s="138"/>
      <c r="AB322" s="138"/>
      <c r="AC322" s="138"/>
    </row>
    <row r="323">
      <c r="A323" s="161"/>
      <c r="B323" s="161"/>
      <c r="C323" s="138"/>
      <c r="D323" s="160"/>
      <c r="E323" s="161"/>
      <c r="F323" s="161"/>
      <c r="G323" s="161"/>
      <c r="H323" s="161"/>
      <c r="I323" s="138"/>
      <c r="J323" s="138"/>
      <c r="K323" s="137"/>
      <c r="L323" s="137"/>
      <c r="M323" s="137"/>
      <c r="N323" s="137"/>
      <c r="O323" s="137"/>
      <c r="P323" s="137"/>
      <c r="Q323" s="137"/>
      <c r="R323" s="137"/>
      <c r="S323" s="137"/>
      <c r="T323" s="137"/>
      <c r="U323" s="138"/>
      <c r="V323" s="138"/>
      <c r="W323" s="138"/>
      <c r="X323" s="138"/>
      <c r="Y323" s="138"/>
      <c r="Z323" s="138"/>
      <c r="AA323" s="138"/>
      <c r="AB323" s="138"/>
      <c r="AC323" s="138"/>
    </row>
    <row r="324">
      <c r="A324" s="161"/>
      <c r="B324" s="161"/>
      <c r="C324" s="138"/>
      <c r="D324" s="160"/>
      <c r="E324" s="161"/>
      <c r="F324" s="161"/>
      <c r="G324" s="161"/>
      <c r="H324" s="161"/>
      <c r="I324" s="138"/>
      <c r="J324" s="138"/>
      <c r="K324" s="137"/>
      <c r="L324" s="137"/>
      <c r="M324" s="137"/>
      <c r="N324" s="137"/>
      <c r="O324" s="137"/>
      <c r="P324" s="137"/>
      <c r="Q324" s="137"/>
      <c r="R324" s="137"/>
      <c r="S324" s="137"/>
      <c r="T324" s="137"/>
      <c r="U324" s="138"/>
      <c r="V324" s="138"/>
      <c r="W324" s="138"/>
      <c r="X324" s="138"/>
      <c r="Y324" s="138"/>
      <c r="Z324" s="138"/>
      <c r="AA324" s="138"/>
      <c r="AB324" s="138"/>
      <c r="AC324" s="138"/>
    </row>
    <row r="325">
      <c r="A325" s="161"/>
      <c r="B325" s="161"/>
      <c r="C325" s="138"/>
      <c r="D325" s="160"/>
      <c r="E325" s="161"/>
      <c r="F325" s="161"/>
      <c r="G325" s="161"/>
      <c r="H325" s="161"/>
      <c r="I325" s="138"/>
      <c r="J325" s="138"/>
      <c r="K325" s="137"/>
      <c r="L325" s="137"/>
      <c r="M325" s="137"/>
      <c r="N325" s="137"/>
      <c r="O325" s="137"/>
      <c r="P325" s="137"/>
      <c r="Q325" s="137"/>
      <c r="R325" s="137"/>
      <c r="S325" s="137"/>
      <c r="T325" s="137"/>
      <c r="U325" s="138"/>
      <c r="V325" s="138"/>
      <c r="W325" s="138"/>
      <c r="X325" s="138"/>
      <c r="Y325" s="138"/>
      <c r="Z325" s="138"/>
      <c r="AA325" s="138"/>
      <c r="AB325" s="138"/>
      <c r="AC325" s="138"/>
    </row>
    <row r="326">
      <c r="A326" s="161"/>
      <c r="B326" s="161"/>
      <c r="C326" s="138"/>
      <c r="D326" s="160"/>
      <c r="E326" s="161"/>
      <c r="F326" s="161"/>
      <c r="G326" s="161"/>
      <c r="H326" s="161"/>
      <c r="I326" s="138"/>
      <c r="J326" s="138"/>
      <c r="K326" s="137"/>
      <c r="L326" s="137"/>
      <c r="M326" s="137"/>
      <c r="N326" s="137"/>
      <c r="O326" s="137"/>
      <c r="P326" s="137"/>
      <c r="Q326" s="137"/>
      <c r="R326" s="137"/>
      <c r="S326" s="137"/>
      <c r="T326" s="137"/>
      <c r="U326" s="138"/>
      <c r="V326" s="138"/>
      <c r="W326" s="138"/>
      <c r="X326" s="138"/>
      <c r="Y326" s="138"/>
      <c r="Z326" s="138"/>
      <c r="AA326" s="138"/>
      <c r="AB326" s="138"/>
      <c r="AC326" s="138"/>
    </row>
    <row r="327">
      <c r="A327" s="161"/>
      <c r="B327" s="161"/>
      <c r="C327" s="138"/>
      <c r="D327" s="160"/>
      <c r="E327" s="161"/>
      <c r="F327" s="161"/>
      <c r="G327" s="161"/>
      <c r="H327" s="161"/>
      <c r="I327" s="138"/>
      <c r="J327" s="138"/>
      <c r="K327" s="137"/>
      <c r="L327" s="137"/>
      <c r="M327" s="137"/>
      <c r="N327" s="137"/>
      <c r="O327" s="137"/>
      <c r="P327" s="137"/>
      <c r="Q327" s="137"/>
      <c r="R327" s="137"/>
      <c r="S327" s="137"/>
      <c r="T327" s="137"/>
      <c r="U327" s="138"/>
      <c r="V327" s="138"/>
      <c r="W327" s="138"/>
      <c r="X327" s="138"/>
      <c r="Y327" s="138"/>
      <c r="Z327" s="138"/>
      <c r="AA327" s="138"/>
      <c r="AB327" s="138"/>
      <c r="AC327" s="138"/>
    </row>
    <row r="328">
      <c r="A328" s="161"/>
      <c r="B328" s="161"/>
      <c r="C328" s="138"/>
      <c r="D328" s="160"/>
      <c r="E328" s="161"/>
      <c r="F328" s="161"/>
      <c r="G328" s="161"/>
      <c r="H328" s="161"/>
      <c r="I328" s="138"/>
      <c r="J328" s="138"/>
      <c r="K328" s="137"/>
      <c r="L328" s="137"/>
      <c r="M328" s="137"/>
      <c r="N328" s="137"/>
      <c r="O328" s="137"/>
      <c r="P328" s="137"/>
      <c r="Q328" s="137"/>
      <c r="R328" s="137"/>
      <c r="S328" s="137"/>
      <c r="T328" s="137"/>
      <c r="U328" s="138"/>
      <c r="V328" s="138"/>
      <c r="W328" s="138"/>
      <c r="X328" s="138"/>
      <c r="Y328" s="138"/>
      <c r="Z328" s="138"/>
      <c r="AA328" s="138"/>
      <c r="AB328" s="138"/>
      <c r="AC328" s="138"/>
    </row>
    <row r="329">
      <c r="A329" s="161"/>
      <c r="B329" s="161"/>
      <c r="C329" s="138"/>
      <c r="D329" s="160"/>
      <c r="E329" s="161"/>
      <c r="F329" s="161"/>
      <c r="G329" s="161"/>
      <c r="H329" s="161"/>
      <c r="I329" s="138"/>
      <c r="J329" s="138"/>
      <c r="K329" s="137"/>
      <c r="L329" s="137"/>
      <c r="M329" s="137"/>
      <c r="N329" s="137"/>
      <c r="O329" s="137"/>
      <c r="P329" s="137"/>
      <c r="Q329" s="137"/>
      <c r="R329" s="137"/>
      <c r="S329" s="137"/>
      <c r="T329" s="137"/>
      <c r="U329" s="138"/>
      <c r="V329" s="138"/>
      <c r="W329" s="138"/>
      <c r="X329" s="138"/>
      <c r="Y329" s="138"/>
      <c r="Z329" s="138"/>
      <c r="AA329" s="138"/>
      <c r="AB329" s="138"/>
      <c r="AC329" s="138"/>
    </row>
    <row r="330">
      <c r="A330" s="161"/>
      <c r="B330" s="161"/>
      <c r="C330" s="138"/>
      <c r="D330" s="160"/>
      <c r="E330" s="161"/>
      <c r="F330" s="161"/>
      <c r="G330" s="161"/>
      <c r="H330" s="161"/>
      <c r="I330" s="138"/>
      <c r="J330" s="138"/>
      <c r="K330" s="137"/>
      <c r="L330" s="137"/>
      <c r="M330" s="137"/>
      <c r="N330" s="137"/>
      <c r="O330" s="137"/>
      <c r="P330" s="137"/>
      <c r="Q330" s="137"/>
      <c r="R330" s="137"/>
      <c r="S330" s="137"/>
      <c r="T330" s="137"/>
      <c r="U330" s="138"/>
      <c r="V330" s="138"/>
      <c r="W330" s="138"/>
      <c r="X330" s="138"/>
      <c r="Y330" s="138"/>
      <c r="Z330" s="138"/>
      <c r="AA330" s="138"/>
      <c r="AB330" s="138"/>
      <c r="AC330" s="138"/>
    </row>
    <row r="331">
      <c r="A331" s="161"/>
      <c r="B331" s="161"/>
      <c r="C331" s="138"/>
      <c r="D331" s="160"/>
      <c r="E331" s="161"/>
      <c r="F331" s="161"/>
      <c r="G331" s="161"/>
      <c r="H331" s="161"/>
      <c r="I331" s="138"/>
      <c r="J331" s="138"/>
      <c r="K331" s="137"/>
      <c r="L331" s="137"/>
      <c r="M331" s="137"/>
      <c r="N331" s="137"/>
      <c r="O331" s="137"/>
      <c r="P331" s="137"/>
      <c r="Q331" s="137"/>
      <c r="R331" s="137"/>
      <c r="S331" s="137"/>
      <c r="T331" s="137"/>
      <c r="U331" s="138"/>
      <c r="V331" s="138"/>
      <c r="W331" s="138"/>
      <c r="X331" s="138"/>
      <c r="Y331" s="138"/>
      <c r="Z331" s="138"/>
      <c r="AA331" s="138"/>
      <c r="AB331" s="138"/>
      <c r="AC331" s="138"/>
    </row>
    <row r="332">
      <c r="A332" s="161"/>
      <c r="B332" s="161"/>
      <c r="C332" s="138"/>
      <c r="D332" s="160"/>
      <c r="E332" s="161"/>
      <c r="F332" s="161"/>
      <c r="G332" s="161"/>
      <c r="H332" s="161"/>
      <c r="I332" s="138"/>
      <c r="J332" s="138"/>
      <c r="K332" s="137"/>
      <c r="L332" s="137"/>
      <c r="M332" s="137"/>
      <c r="N332" s="137"/>
      <c r="O332" s="137"/>
      <c r="P332" s="137"/>
      <c r="Q332" s="137"/>
      <c r="R332" s="137"/>
      <c r="S332" s="137"/>
      <c r="T332" s="137"/>
      <c r="U332" s="138"/>
      <c r="V332" s="138"/>
      <c r="W332" s="138"/>
      <c r="X332" s="138"/>
      <c r="Y332" s="138"/>
      <c r="Z332" s="138"/>
      <c r="AA332" s="138"/>
      <c r="AB332" s="138"/>
      <c r="AC332" s="138"/>
    </row>
    <row r="333">
      <c r="A333" s="161"/>
      <c r="B333" s="161"/>
      <c r="C333" s="138"/>
      <c r="D333" s="160"/>
      <c r="E333" s="161"/>
      <c r="F333" s="161"/>
      <c r="G333" s="161"/>
      <c r="H333" s="161"/>
      <c r="I333" s="138"/>
      <c r="J333" s="138"/>
      <c r="K333" s="137"/>
      <c r="L333" s="137"/>
      <c r="M333" s="137"/>
      <c r="N333" s="137"/>
      <c r="O333" s="137"/>
      <c r="P333" s="137"/>
      <c r="Q333" s="137"/>
      <c r="R333" s="137"/>
      <c r="S333" s="137"/>
      <c r="T333" s="137"/>
      <c r="U333" s="138"/>
      <c r="V333" s="138"/>
      <c r="W333" s="138"/>
      <c r="X333" s="138"/>
      <c r="Y333" s="138"/>
      <c r="Z333" s="138"/>
      <c r="AA333" s="138"/>
      <c r="AB333" s="138"/>
      <c r="AC333" s="138"/>
    </row>
    <row r="334">
      <c r="A334" s="161"/>
      <c r="B334" s="161"/>
      <c r="C334" s="138"/>
      <c r="D334" s="160"/>
      <c r="E334" s="161"/>
      <c r="F334" s="161"/>
      <c r="G334" s="161"/>
      <c r="H334" s="161"/>
      <c r="I334" s="138"/>
      <c r="J334" s="138"/>
      <c r="K334" s="137"/>
      <c r="L334" s="137"/>
      <c r="M334" s="137"/>
      <c r="N334" s="137"/>
      <c r="O334" s="137"/>
      <c r="P334" s="137"/>
      <c r="Q334" s="137"/>
      <c r="R334" s="137"/>
      <c r="S334" s="137"/>
      <c r="T334" s="137"/>
      <c r="U334" s="138"/>
      <c r="V334" s="138"/>
      <c r="W334" s="138"/>
      <c r="X334" s="138"/>
      <c r="Y334" s="138"/>
      <c r="Z334" s="138"/>
      <c r="AA334" s="138"/>
      <c r="AB334" s="138"/>
      <c r="AC334" s="138"/>
    </row>
    <row r="335">
      <c r="A335" s="161"/>
      <c r="B335" s="161"/>
      <c r="C335" s="138"/>
      <c r="D335" s="160"/>
      <c r="E335" s="161"/>
      <c r="F335" s="161"/>
      <c r="G335" s="161"/>
      <c r="H335" s="161"/>
      <c r="I335" s="138"/>
      <c r="J335" s="138"/>
      <c r="K335" s="137"/>
      <c r="L335" s="137"/>
      <c r="M335" s="137"/>
      <c r="N335" s="137"/>
      <c r="O335" s="137"/>
      <c r="P335" s="137"/>
      <c r="Q335" s="137"/>
      <c r="R335" s="137"/>
      <c r="S335" s="137"/>
      <c r="T335" s="137"/>
      <c r="U335" s="138"/>
      <c r="V335" s="138"/>
      <c r="W335" s="138"/>
      <c r="X335" s="138"/>
      <c r="Y335" s="138"/>
      <c r="Z335" s="138"/>
      <c r="AA335" s="138"/>
      <c r="AB335" s="138"/>
      <c r="AC335" s="138"/>
    </row>
    <row r="336">
      <c r="A336" s="161"/>
      <c r="B336" s="161"/>
      <c r="C336" s="138"/>
      <c r="D336" s="160"/>
      <c r="E336" s="161"/>
      <c r="F336" s="161"/>
      <c r="G336" s="161"/>
      <c r="H336" s="161"/>
      <c r="I336" s="138"/>
      <c r="J336" s="138"/>
      <c r="K336" s="137"/>
      <c r="L336" s="137"/>
      <c r="M336" s="137"/>
      <c r="N336" s="137"/>
      <c r="O336" s="137"/>
      <c r="P336" s="137"/>
      <c r="Q336" s="137"/>
      <c r="R336" s="137"/>
      <c r="S336" s="137"/>
      <c r="T336" s="137"/>
      <c r="U336" s="138"/>
      <c r="V336" s="138"/>
      <c r="W336" s="138"/>
      <c r="X336" s="138"/>
      <c r="Y336" s="138"/>
      <c r="Z336" s="138"/>
      <c r="AA336" s="138"/>
      <c r="AB336" s="138"/>
      <c r="AC336" s="138"/>
    </row>
    <row r="337">
      <c r="A337" s="161"/>
      <c r="B337" s="161"/>
      <c r="C337" s="138"/>
      <c r="D337" s="160"/>
      <c r="E337" s="161"/>
      <c r="F337" s="161"/>
      <c r="G337" s="161"/>
      <c r="H337" s="161"/>
      <c r="I337" s="138"/>
      <c r="J337" s="138"/>
      <c r="K337" s="137"/>
      <c r="L337" s="137"/>
      <c r="M337" s="137"/>
      <c r="N337" s="137"/>
      <c r="O337" s="137"/>
      <c r="P337" s="137"/>
      <c r="Q337" s="137"/>
      <c r="R337" s="137"/>
      <c r="S337" s="137"/>
      <c r="T337" s="137"/>
      <c r="U337" s="138"/>
      <c r="V337" s="138"/>
      <c r="W337" s="138"/>
      <c r="X337" s="138"/>
      <c r="Y337" s="138"/>
      <c r="Z337" s="138"/>
      <c r="AA337" s="138"/>
      <c r="AB337" s="138"/>
      <c r="AC337" s="138"/>
    </row>
    <row r="338">
      <c r="A338" s="161"/>
      <c r="B338" s="161"/>
      <c r="C338" s="138"/>
      <c r="D338" s="160"/>
      <c r="E338" s="161"/>
      <c r="F338" s="161"/>
      <c r="G338" s="161"/>
      <c r="H338" s="161"/>
      <c r="I338" s="138"/>
      <c r="J338" s="138"/>
      <c r="K338" s="137"/>
      <c r="L338" s="137"/>
      <c r="M338" s="137"/>
      <c r="N338" s="137"/>
      <c r="O338" s="137"/>
      <c r="P338" s="137"/>
      <c r="Q338" s="137"/>
      <c r="R338" s="137"/>
      <c r="S338" s="137"/>
      <c r="T338" s="137"/>
      <c r="U338" s="138"/>
      <c r="V338" s="138"/>
      <c r="W338" s="138"/>
      <c r="X338" s="138"/>
      <c r="Y338" s="138"/>
      <c r="Z338" s="138"/>
      <c r="AA338" s="138"/>
      <c r="AB338" s="138"/>
      <c r="AC338" s="138"/>
    </row>
    <row r="339">
      <c r="A339" s="161"/>
      <c r="B339" s="161"/>
      <c r="C339" s="138"/>
      <c r="D339" s="160"/>
      <c r="E339" s="161"/>
      <c r="F339" s="161"/>
      <c r="G339" s="161"/>
      <c r="H339" s="161"/>
      <c r="I339" s="138"/>
      <c r="J339" s="138"/>
      <c r="K339" s="137"/>
      <c r="L339" s="137"/>
      <c r="M339" s="137"/>
      <c r="N339" s="137"/>
      <c r="O339" s="137"/>
      <c r="P339" s="137"/>
      <c r="Q339" s="137"/>
      <c r="R339" s="137"/>
      <c r="S339" s="137"/>
      <c r="T339" s="137"/>
      <c r="U339" s="138"/>
      <c r="V339" s="138"/>
      <c r="W339" s="138"/>
      <c r="X339" s="138"/>
      <c r="Y339" s="138"/>
      <c r="Z339" s="138"/>
      <c r="AA339" s="138"/>
      <c r="AB339" s="138"/>
      <c r="AC339" s="138"/>
    </row>
    <row r="340">
      <c r="A340" s="161"/>
      <c r="B340" s="161"/>
      <c r="C340" s="138"/>
      <c r="D340" s="160"/>
      <c r="E340" s="161"/>
      <c r="F340" s="161"/>
      <c r="G340" s="161"/>
      <c r="H340" s="161"/>
      <c r="I340" s="138"/>
      <c r="J340" s="138"/>
      <c r="K340" s="137"/>
      <c r="L340" s="137"/>
      <c r="M340" s="137"/>
      <c r="N340" s="137"/>
      <c r="O340" s="137"/>
      <c r="P340" s="137"/>
      <c r="Q340" s="137"/>
      <c r="R340" s="137"/>
      <c r="S340" s="137"/>
      <c r="T340" s="137"/>
      <c r="U340" s="138"/>
      <c r="V340" s="138"/>
      <c r="W340" s="138"/>
      <c r="X340" s="138"/>
      <c r="Y340" s="138"/>
      <c r="Z340" s="138"/>
      <c r="AA340" s="138"/>
      <c r="AB340" s="138"/>
      <c r="AC340" s="138"/>
    </row>
    <row r="341">
      <c r="A341" s="161"/>
      <c r="B341" s="161"/>
      <c r="C341" s="138"/>
      <c r="D341" s="160"/>
      <c r="E341" s="161"/>
      <c r="F341" s="161"/>
      <c r="G341" s="161"/>
      <c r="H341" s="161"/>
      <c r="I341" s="138"/>
      <c r="J341" s="138"/>
      <c r="K341" s="137"/>
      <c r="L341" s="137"/>
      <c r="M341" s="137"/>
      <c r="N341" s="137"/>
      <c r="O341" s="137"/>
      <c r="P341" s="137"/>
      <c r="Q341" s="137"/>
      <c r="R341" s="137"/>
      <c r="S341" s="137"/>
      <c r="T341" s="137"/>
      <c r="U341" s="138"/>
      <c r="V341" s="138"/>
      <c r="W341" s="138"/>
      <c r="X341" s="138"/>
      <c r="Y341" s="138"/>
      <c r="Z341" s="138"/>
      <c r="AA341" s="138"/>
      <c r="AB341" s="138"/>
      <c r="AC341" s="138"/>
    </row>
    <row r="342">
      <c r="A342" s="161"/>
      <c r="B342" s="161"/>
      <c r="C342" s="138"/>
      <c r="D342" s="160"/>
      <c r="E342" s="161"/>
      <c r="F342" s="161"/>
      <c r="G342" s="161"/>
      <c r="H342" s="161"/>
      <c r="I342" s="138"/>
      <c r="J342" s="138"/>
      <c r="K342" s="137"/>
      <c r="L342" s="137"/>
      <c r="M342" s="137"/>
      <c r="N342" s="137"/>
      <c r="O342" s="137"/>
      <c r="P342" s="137"/>
      <c r="Q342" s="137"/>
      <c r="R342" s="137"/>
      <c r="S342" s="137"/>
      <c r="T342" s="137"/>
      <c r="U342" s="138"/>
      <c r="V342" s="138"/>
      <c r="W342" s="138"/>
      <c r="X342" s="138"/>
      <c r="Y342" s="138"/>
      <c r="Z342" s="138"/>
      <c r="AA342" s="138"/>
      <c r="AB342" s="138"/>
      <c r="AC342" s="138"/>
    </row>
    <row r="343">
      <c r="A343" s="161"/>
      <c r="B343" s="161"/>
      <c r="C343" s="138"/>
      <c r="D343" s="160"/>
      <c r="E343" s="161"/>
      <c r="F343" s="161"/>
      <c r="G343" s="161"/>
      <c r="H343" s="161"/>
      <c r="I343" s="138"/>
      <c r="J343" s="138"/>
      <c r="K343" s="137"/>
      <c r="L343" s="137"/>
      <c r="M343" s="137"/>
      <c r="N343" s="137"/>
      <c r="O343" s="137"/>
      <c r="P343" s="137"/>
      <c r="Q343" s="137"/>
      <c r="R343" s="137"/>
      <c r="S343" s="137"/>
      <c r="T343" s="137"/>
      <c r="U343" s="138"/>
      <c r="V343" s="138"/>
      <c r="W343" s="138"/>
      <c r="X343" s="138"/>
      <c r="Y343" s="138"/>
      <c r="Z343" s="138"/>
      <c r="AA343" s="138"/>
      <c r="AB343" s="138"/>
      <c r="AC343" s="138"/>
    </row>
    <row r="344">
      <c r="A344" s="161"/>
      <c r="B344" s="161"/>
      <c r="C344" s="138"/>
      <c r="D344" s="160"/>
      <c r="E344" s="161"/>
      <c r="F344" s="161"/>
      <c r="G344" s="161"/>
      <c r="H344" s="161"/>
      <c r="I344" s="138"/>
      <c r="J344" s="138"/>
      <c r="K344" s="137"/>
      <c r="L344" s="137"/>
      <c r="M344" s="137"/>
      <c r="N344" s="137"/>
      <c r="O344" s="137"/>
      <c r="P344" s="137"/>
      <c r="Q344" s="137"/>
      <c r="R344" s="137"/>
      <c r="S344" s="137"/>
      <c r="T344" s="137"/>
      <c r="U344" s="138"/>
      <c r="V344" s="138"/>
      <c r="W344" s="138"/>
      <c r="X344" s="138"/>
      <c r="Y344" s="138"/>
      <c r="Z344" s="138"/>
      <c r="AA344" s="138"/>
      <c r="AB344" s="138"/>
      <c r="AC344" s="138"/>
    </row>
    <row r="345">
      <c r="A345" s="161"/>
      <c r="B345" s="161"/>
      <c r="C345" s="138"/>
      <c r="D345" s="160"/>
      <c r="E345" s="161"/>
      <c r="F345" s="161"/>
      <c r="G345" s="161"/>
      <c r="H345" s="161"/>
      <c r="I345" s="138"/>
      <c r="J345" s="138"/>
      <c r="K345" s="137"/>
      <c r="L345" s="137"/>
      <c r="M345" s="137"/>
      <c r="N345" s="137"/>
      <c r="O345" s="137"/>
      <c r="P345" s="137"/>
      <c r="Q345" s="137"/>
      <c r="R345" s="137"/>
      <c r="S345" s="137"/>
      <c r="T345" s="137"/>
      <c r="U345" s="138"/>
      <c r="V345" s="138"/>
      <c r="W345" s="138"/>
      <c r="X345" s="138"/>
      <c r="Y345" s="138"/>
      <c r="Z345" s="138"/>
      <c r="AA345" s="138"/>
      <c r="AB345" s="138"/>
      <c r="AC345" s="138"/>
    </row>
    <row r="346">
      <c r="A346" s="161"/>
      <c r="B346" s="161"/>
      <c r="C346" s="138"/>
      <c r="D346" s="160"/>
      <c r="E346" s="161"/>
      <c r="F346" s="161"/>
      <c r="G346" s="161"/>
      <c r="H346" s="161"/>
      <c r="I346" s="138"/>
      <c r="J346" s="138"/>
      <c r="K346" s="137"/>
      <c r="L346" s="137"/>
      <c r="M346" s="137"/>
      <c r="N346" s="137"/>
      <c r="O346" s="137"/>
      <c r="P346" s="137"/>
      <c r="Q346" s="137"/>
      <c r="R346" s="137"/>
      <c r="S346" s="137"/>
      <c r="T346" s="137"/>
      <c r="U346" s="138"/>
      <c r="V346" s="138"/>
      <c r="W346" s="138"/>
      <c r="X346" s="138"/>
      <c r="Y346" s="138"/>
      <c r="Z346" s="138"/>
      <c r="AA346" s="138"/>
      <c r="AB346" s="138"/>
      <c r="AC346" s="138"/>
    </row>
    <row r="347">
      <c r="A347" s="161"/>
      <c r="B347" s="161"/>
      <c r="C347" s="138"/>
      <c r="D347" s="160"/>
      <c r="E347" s="161"/>
      <c r="F347" s="161"/>
      <c r="G347" s="161"/>
      <c r="H347" s="161"/>
      <c r="I347" s="138"/>
      <c r="J347" s="138"/>
      <c r="K347" s="137"/>
      <c r="L347" s="137"/>
      <c r="M347" s="137"/>
      <c r="N347" s="137"/>
      <c r="O347" s="137"/>
      <c r="P347" s="137"/>
      <c r="Q347" s="137"/>
      <c r="R347" s="137"/>
      <c r="S347" s="137"/>
      <c r="T347" s="137"/>
      <c r="U347" s="138"/>
      <c r="V347" s="138"/>
      <c r="W347" s="138"/>
      <c r="X347" s="138"/>
      <c r="Y347" s="138"/>
      <c r="Z347" s="138"/>
      <c r="AA347" s="138"/>
      <c r="AB347" s="138"/>
      <c r="AC347" s="138"/>
    </row>
    <row r="348">
      <c r="A348" s="161"/>
      <c r="B348" s="161"/>
      <c r="C348" s="138"/>
      <c r="D348" s="160"/>
      <c r="E348" s="161"/>
      <c r="F348" s="161"/>
      <c r="G348" s="161"/>
      <c r="H348" s="161"/>
      <c r="I348" s="138"/>
      <c r="J348" s="138"/>
      <c r="K348" s="137"/>
      <c r="L348" s="137"/>
      <c r="M348" s="137"/>
      <c r="N348" s="137"/>
      <c r="O348" s="137"/>
      <c r="P348" s="137"/>
      <c r="Q348" s="137"/>
      <c r="R348" s="137"/>
      <c r="S348" s="137"/>
      <c r="T348" s="137"/>
      <c r="U348" s="138"/>
      <c r="V348" s="138"/>
      <c r="W348" s="138"/>
      <c r="X348" s="138"/>
      <c r="Y348" s="138"/>
      <c r="Z348" s="138"/>
      <c r="AA348" s="138"/>
      <c r="AB348" s="138"/>
      <c r="AC348" s="138"/>
    </row>
    <row r="349">
      <c r="A349" s="161"/>
      <c r="B349" s="161"/>
      <c r="C349" s="138"/>
      <c r="D349" s="160"/>
      <c r="E349" s="161"/>
      <c r="F349" s="161"/>
      <c r="G349" s="161"/>
      <c r="H349" s="161"/>
      <c r="I349" s="138"/>
      <c r="J349" s="138"/>
      <c r="K349" s="137"/>
      <c r="L349" s="137"/>
      <c r="M349" s="137"/>
      <c r="N349" s="137"/>
      <c r="O349" s="137"/>
      <c r="P349" s="137"/>
      <c r="Q349" s="137"/>
      <c r="R349" s="137"/>
      <c r="S349" s="137"/>
      <c r="T349" s="137"/>
      <c r="U349" s="138"/>
      <c r="V349" s="138"/>
      <c r="W349" s="138"/>
      <c r="X349" s="138"/>
      <c r="Y349" s="138"/>
      <c r="Z349" s="138"/>
      <c r="AA349" s="138"/>
      <c r="AB349" s="138"/>
      <c r="AC349" s="138"/>
    </row>
    <row r="350">
      <c r="A350" s="161"/>
      <c r="B350" s="161"/>
      <c r="C350" s="138"/>
      <c r="D350" s="160"/>
      <c r="E350" s="161"/>
      <c r="F350" s="161"/>
      <c r="G350" s="161"/>
      <c r="H350" s="161"/>
      <c r="I350" s="138"/>
      <c r="J350" s="138"/>
      <c r="K350" s="137"/>
      <c r="L350" s="137"/>
      <c r="M350" s="137"/>
      <c r="N350" s="137"/>
      <c r="O350" s="137"/>
      <c r="P350" s="137"/>
      <c r="Q350" s="137"/>
      <c r="R350" s="137"/>
      <c r="S350" s="137"/>
      <c r="T350" s="137"/>
      <c r="U350" s="138"/>
      <c r="V350" s="138"/>
      <c r="W350" s="138"/>
      <c r="X350" s="138"/>
      <c r="Y350" s="138"/>
      <c r="Z350" s="138"/>
      <c r="AA350" s="138"/>
      <c r="AB350" s="138"/>
      <c r="AC350" s="138"/>
    </row>
    <row r="351">
      <c r="A351" s="161"/>
      <c r="B351" s="161"/>
      <c r="C351" s="138"/>
      <c r="D351" s="160"/>
      <c r="E351" s="161"/>
      <c r="F351" s="161"/>
      <c r="G351" s="161"/>
      <c r="H351" s="161"/>
      <c r="I351" s="138"/>
      <c r="J351" s="138"/>
      <c r="K351" s="137"/>
      <c r="L351" s="137"/>
      <c r="M351" s="137"/>
      <c r="N351" s="137"/>
      <c r="O351" s="137"/>
      <c r="P351" s="137"/>
      <c r="Q351" s="137"/>
      <c r="R351" s="137"/>
      <c r="S351" s="137"/>
      <c r="T351" s="137"/>
      <c r="U351" s="138"/>
      <c r="V351" s="138"/>
      <c r="W351" s="138"/>
      <c r="X351" s="138"/>
      <c r="Y351" s="138"/>
      <c r="Z351" s="138"/>
      <c r="AA351" s="138"/>
      <c r="AB351" s="138"/>
      <c r="AC351" s="138"/>
    </row>
    <row r="352">
      <c r="A352" s="161"/>
      <c r="B352" s="161"/>
      <c r="C352" s="138"/>
      <c r="D352" s="160"/>
      <c r="E352" s="161"/>
      <c r="F352" s="161"/>
      <c r="G352" s="161"/>
      <c r="H352" s="161"/>
      <c r="I352" s="138"/>
      <c r="J352" s="138"/>
      <c r="K352" s="137"/>
      <c r="L352" s="137"/>
      <c r="M352" s="137"/>
      <c r="N352" s="137"/>
      <c r="O352" s="137"/>
      <c r="P352" s="137"/>
      <c r="Q352" s="137"/>
      <c r="R352" s="137"/>
      <c r="S352" s="137"/>
      <c r="T352" s="137"/>
      <c r="U352" s="138"/>
      <c r="V352" s="138"/>
      <c r="W352" s="138"/>
      <c r="X352" s="138"/>
      <c r="Y352" s="138"/>
      <c r="Z352" s="138"/>
      <c r="AA352" s="138"/>
      <c r="AB352" s="138"/>
      <c r="AC352" s="138"/>
    </row>
    <row r="353">
      <c r="A353" s="161"/>
      <c r="B353" s="161"/>
      <c r="C353" s="138"/>
      <c r="D353" s="160"/>
      <c r="E353" s="161"/>
      <c r="F353" s="161"/>
      <c r="G353" s="161"/>
      <c r="H353" s="161"/>
      <c r="I353" s="138"/>
      <c r="J353" s="138"/>
      <c r="K353" s="137"/>
      <c r="L353" s="137"/>
      <c r="M353" s="137"/>
      <c r="N353" s="137"/>
      <c r="O353" s="137"/>
      <c r="P353" s="137"/>
      <c r="Q353" s="137"/>
      <c r="R353" s="137"/>
      <c r="S353" s="137"/>
      <c r="T353" s="137"/>
      <c r="U353" s="138"/>
      <c r="V353" s="138"/>
      <c r="W353" s="138"/>
      <c r="X353" s="138"/>
      <c r="Y353" s="138"/>
      <c r="Z353" s="138"/>
      <c r="AA353" s="138"/>
      <c r="AB353" s="138"/>
      <c r="AC353" s="138"/>
    </row>
    <row r="354">
      <c r="A354" s="161"/>
      <c r="B354" s="161"/>
      <c r="C354" s="138"/>
      <c r="D354" s="160"/>
      <c r="E354" s="161"/>
      <c r="F354" s="161"/>
      <c r="G354" s="161"/>
      <c r="H354" s="161"/>
      <c r="I354" s="138"/>
      <c r="J354" s="138"/>
      <c r="K354" s="137"/>
      <c r="L354" s="137"/>
      <c r="M354" s="137"/>
      <c r="N354" s="137"/>
      <c r="O354" s="137"/>
      <c r="P354" s="137"/>
      <c r="Q354" s="137"/>
      <c r="R354" s="137"/>
      <c r="S354" s="137"/>
      <c r="T354" s="137"/>
      <c r="U354" s="138"/>
      <c r="V354" s="138"/>
      <c r="W354" s="138"/>
      <c r="X354" s="138"/>
      <c r="Y354" s="138"/>
      <c r="Z354" s="138"/>
      <c r="AA354" s="138"/>
      <c r="AB354" s="138"/>
      <c r="AC354" s="138"/>
    </row>
    <row r="355">
      <c r="A355" s="161"/>
      <c r="B355" s="161"/>
      <c r="C355" s="138"/>
      <c r="D355" s="160"/>
      <c r="E355" s="161"/>
      <c r="F355" s="161"/>
      <c r="G355" s="161"/>
      <c r="H355" s="161"/>
      <c r="I355" s="138"/>
      <c r="J355" s="138"/>
      <c r="K355" s="137"/>
      <c r="L355" s="137"/>
      <c r="M355" s="137"/>
      <c r="N355" s="137"/>
      <c r="O355" s="137"/>
      <c r="P355" s="137"/>
      <c r="Q355" s="137"/>
      <c r="R355" s="137"/>
      <c r="S355" s="137"/>
      <c r="T355" s="137"/>
      <c r="U355" s="138"/>
      <c r="V355" s="138"/>
      <c r="W355" s="138"/>
      <c r="X355" s="138"/>
      <c r="Y355" s="138"/>
      <c r="Z355" s="138"/>
      <c r="AA355" s="138"/>
      <c r="AB355" s="138"/>
      <c r="AC355" s="138"/>
    </row>
    <row r="356">
      <c r="A356" s="161"/>
      <c r="B356" s="161"/>
      <c r="C356" s="138"/>
      <c r="D356" s="160"/>
      <c r="E356" s="161"/>
      <c r="F356" s="161"/>
      <c r="G356" s="161"/>
      <c r="H356" s="161"/>
      <c r="I356" s="138"/>
      <c r="J356" s="138"/>
      <c r="K356" s="137"/>
      <c r="L356" s="137"/>
      <c r="M356" s="137"/>
      <c r="N356" s="137"/>
      <c r="O356" s="137"/>
      <c r="P356" s="137"/>
      <c r="Q356" s="137"/>
      <c r="R356" s="137"/>
      <c r="S356" s="137"/>
      <c r="T356" s="137"/>
      <c r="U356" s="138"/>
      <c r="V356" s="138"/>
      <c r="W356" s="138"/>
      <c r="X356" s="138"/>
      <c r="Y356" s="138"/>
      <c r="Z356" s="138"/>
      <c r="AA356" s="138"/>
      <c r="AB356" s="138"/>
      <c r="AC356" s="138"/>
    </row>
    <row r="357">
      <c r="A357" s="161"/>
      <c r="B357" s="161"/>
      <c r="C357" s="138"/>
      <c r="D357" s="160"/>
      <c r="E357" s="161"/>
      <c r="F357" s="161"/>
      <c r="G357" s="161"/>
      <c r="H357" s="161"/>
      <c r="I357" s="138"/>
      <c r="J357" s="138"/>
      <c r="K357" s="137"/>
      <c r="L357" s="137"/>
      <c r="M357" s="137"/>
      <c r="N357" s="137"/>
      <c r="O357" s="137"/>
      <c r="P357" s="137"/>
      <c r="Q357" s="137"/>
      <c r="R357" s="137"/>
      <c r="S357" s="137"/>
      <c r="T357" s="137"/>
      <c r="U357" s="138"/>
      <c r="V357" s="138"/>
      <c r="W357" s="138"/>
      <c r="X357" s="138"/>
      <c r="Y357" s="138"/>
      <c r="Z357" s="138"/>
      <c r="AA357" s="138"/>
      <c r="AB357" s="138"/>
      <c r="AC357" s="138"/>
    </row>
    <row r="358">
      <c r="A358" s="161"/>
      <c r="B358" s="161"/>
      <c r="C358" s="138"/>
      <c r="D358" s="160"/>
      <c r="E358" s="161"/>
      <c r="F358" s="161"/>
      <c r="G358" s="161"/>
      <c r="H358" s="161"/>
      <c r="I358" s="138"/>
      <c r="J358" s="138"/>
      <c r="K358" s="137"/>
      <c r="L358" s="137"/>
      <c r="M358" s="137"/>
      <c r="N358" s="137"/>
      <c r="O358" s="137"/>
      <c r="P358" s="137"/>
      <c r="Q358" s="137"/>
      <c r="R358" s="137"/>
      <c r="S358" s="137"/>
      <c r="T358" s="137"/>
      <c r="U358" s="138"/>
      <c r="V358" s="138"/>
      <c r="W358" s="138"/>
      <c r="X358" s="138"/>
      <c r="Y358" s="138"/>
      <c r="Z358" s="138"/>
      <c r="AA358" s="138"/>
      <c r="AB358" s="138"/>
      <c r="AC358" s="138"/>
    </row>
    <row r="359">
      <c r="A359" s="161"/>
      <c r="B359" s="161"/>
      <c r="C359" s="138"/>
      <c r="D359" s="160"/>
      <c r="E359" s="161"/>
      <c r="F359" s="161"/>
      <c r="G359" s="161"/>
      <c r="H359" s="161"/>
      <c r="I359" s="138"/>
      <c r="J359" s="138"/>
      <c r="K359" s="137"/>
      <c r="L359" s="137"/>
      <c r="M359" s="137"/>
      <c r="N359" s="137"/>
      <c r="O359" s="137"/>
      <c r="P359" s="137"/>
      <c r="Q359" s="137"/>
      <c r="R359" s="137"/>
      <c r="S359" s="137"/>
      <c r="T359" s="137"/>
      <c r="U359" s="138"/>
      <c r="V359" s="138"/>
      <c r="W359" s="138"/>
      <c r="X359" s="138"/>
      <c r="Y359" s="138"/>
      <c r="Z359" s="138"/>
      <c r="AA359" s="138"/>
      <c r="AB359" s="138"/>
      <c r="AC359" s="138"/>
    </row>
    <row r="360">
      <c r="A360" s="161"/>
      <c r="B360" s="161"/>
      <c r="C360" s="138"/>
      <c r="D360" s="160"/>
      <c r="E360" s="161"/>
      <c r="F360" s="161"/>
      <c r="G360" s="161"/>
      <c r="H360" s="161"/>
      <c r="I360" s="138"/>
      <c r="J360" s="138"/>
      <c r="K360" s="137"/>
      <c r="L360" s="137"/>
      <c r="M360" s="137"/>
      <c r="N360" s="137"/>
      <c r="O360" s="137"/>
      <c r="P360" s="137"/>
      <c r="Q360" s="137"/>
      <c r="R360" s="137"/>
      <c r="S360" s="137"/>
      <c r="T360" s="137"/>
      <c r="U360" s="138"/>
      <c r="V360" s="138"/>
      <c r="W360" s="138"/>
      <c r="X360" s="138"/>
      <c r="Y360" s="138"/>
      <c r="Z360" s="138"/>
      <c r="AA360" s="138"/>
      <c r="AB360" s="138"/>
      <c r="AC360" s="138"/>
    </row>
    <row r="361">
      <c r="A361" s="161"/>
      <c r="B361" s="161"/>
      <c r="C361" s="138"/>
      <c r="D361" s="160"/>
      <c r="E361" s="161"/>
      <c r="F361" s="161"/>
      <c r="G361" s="161"/>
      <c r="H361" s="161"/>
      <c r="I361" s="138"/>
      <c r="J361" s="138"/>
      <c r="K361" s="137"/>
      <c r="L361" s="137"/>
      <c r="M361" s="137"/>
      <c r="N361" s="137"/>
      <c r="O361" s="137"/>
      <c r="P361" s="137"/>
      <c r="Q361" s="137"/>
      <c r="R361" s="137"/>
      <c r="S361" s="137"/>
      <c r="T361" s="137"/>
      <c r="U361" s="138"/>
      <c r="V361" s="138"/>
      <c r="W361" s="138"/>
      <c r="X361" s="138"/>
      <c r="Y361" s="138"/>
      <c r="Z361" s="138"/>
      <c r="AA361" s="138"/>
      <c r="AB361" s="138"/>
      <c r="AC361" s="138"/>
    </row>
    <row r="362">
      <c r="A362" s="161"/>
      <c r="B362" s="161"/>
      <c r="C362" s="138"/>
      <c r="D362" s="160"/>
      <c r="E362" s="161"/>
      <c r="F362" s="161"/>
      <c r="G362" s="161"/>
      <c r="H362" s="161"/>
      <c r="I362" s="138"/>
      <c r="J362" s="138"/>
      <c r="K362" s="137"/>
      <c r="L362" s="137"/>
      <c r="M362" s="137"/>
      <c r="N362" s="137"/>
      <c r="O362" s="137"/>
      <c r="P362" s="137"/>
      <c r="Q362" s="137"/>
      <c r="R362" s="137"/>
      <c r="S362" s="137"/>
      <c r="T362" s="137"/>
      <c r="U362" s="138"/>
      <c r="V362" s="138"/>
      <c r="W362" s="138"/>
      <c r="X362" s="138"/>
      <c r="Y362" s="138"/>
      <c r="Z362" s="138"/>
      <c r="AA362" s="138"/>
      <c r="AB362" s="138"/>
      <c r="AC362" s="138"/>
    </row>
    <row r="363">
      <c r="A363" s="161"/>
      <c r="B363" s="161"/>
      <c r="C363" s="138"/>
      <c r="D363" s="160"/>
      <c r="E363" s="161"/>
      <c r="F363" s="161"/>
      <c r="G363" s="161"/>
      <c r="H363" s="161"/>
      <c r="I363" s="138"/>
      <c r="J363" s="138"/>
      <c r="K363" s="137"/>
      <c r="L363" s="137"/>
      <c r="M363" s="137"/>
      <c r="N363" s="137"/>
      <c r="O363" s="137"/>
      <c r="P363" s="137"/>
      <c r="Q363" s="137"/>
      <c r="R363" s="137"/>
      <c r="S363" s="137"/>
      <c r="T363" s="137"/>
      <c r="U363" s="138"/>
      <c r="V363" s="138"/>
      <c r="W363" s="138"/>
      <c r="X363" s="138"/>
      <c r="Y363" s="138"/>
      <c r="Z363" s="138"/>
      <c r="AA363" s="138"/>
      <c r="AB363" s="138"/>
      <c r="AC363" s="138"/>
    </row>
    <row r="364">
      <c r="A364" s="161"/>
      <c r="B364" s="161"/>
      <c r="C364" s="138"/>
      <c r="D364" s="160"/>
      <c r="E364" s="161"/>
      <c r="F364" s="161"/>
      <c r="G364" s="161"/>
      <c r="H364" s="161"/>
      <c r="I364" s="138"/>
      <c r="J364" s="138"/>
      <c r="K364" s="137"/>
      <c r="L364" s="137"/>
      <c r="M364" s="137"/>
      <c r="N364" s="137"/>
      <c r="O364" s="137"/>
      <c r="P364" s="137"/>
      <c r="Q364" s="137"/>
      <c r="R364" s="137"/>
      <c r="S364" s="137"/>
      <c r="T364" s="137"/>
      <c r="U364" s="138"/>
      <c r="V364" s="138"/>
      <c r="W364" s="138"/>
      <c r="X364" s="138"/>
      <c r="Y364" s="138"/>
      <c r="Z364" s="138"/>
      <c r="AA364" s="138"/>
      <c r="AB364" s="138"/>
      <c r="AC364" s="138"/>
    </row>
    <row r="365">
      <c r="A365" s="161"/>
      <c r="B365" s="161"/>
      <c r="C365" s="138"/>
      <c r="D365" s="160"/>
      <c r="E365" s="161"/>
      <c r="F365" s="161"/>
      <c r="G365" s="161"/>
      <c r="H365" s="161"/>
      <c r="I365" s="138"/>
      <c r="J365" s="138"/>
      <c r="K365" s="137"/>
      <c r="L365" s="137"/>
      <c r="M365" s="137"/>
      <c r="N365" s="137"/>
      <c r="O365" s="137"/>
      <c r="P365" s="137"/>
      <c r="Q365" s="137"/>
      <c r="R365" s="137"/>
      <c r="S365" s="137"/>
      <c r="T365" s="137"/>
      <c r="U365" s="138"/>
      <c r="V365" s="138"/>
      <c r="W365" s="138"/>
      <c r="X365" s="138"/>
      <c r="Y365" s="138"/>
      <c r="Z365" s="138"/>
      <c r="AA365" s="138"/>
      <c r="AB365" s="138"/>
      <c r="AC365" s="138"/>
    </row>
    <row r="366">
      <c r="A366" s="161"/>
      <c r="B366" s="161"/>
      <c r="C366" s="138"/>
      <c r="D366" s="160"/>
      <c r="E366" s="161"/>
      <c r="F366" s="161"/>
      <c r="G366" s="161"/>
      <c r="H366" s="161"/>
      <c r="I366" s="138"/>
      <c r="J366" s="138"/>
      <c r="K366" s="137"/>
      <c r="L366" s="137"/>
      <c r="M366" s="137"/>
      <c r="N366" s="137"/>
      <c r="O366" s="137"/>
      <c r="P366" s="137"/>
      <c r="Q366" s="137"/>
      <c r="R366" s="137"/>
      <c r="S366" s="137"/>
      <c r="T366" s="137"/>
      <c r="U366" s="138"/>
      <c r="V366" s="138"/>
      <c r="W366" s="138"/>
      <c r="X366" s="138"/>
      <c r="Y366" s="138"/>
      <c r="Z366" s="138"/>
      <c r="AA366" s="138"/>
      <c r="AB366" s="138"/>
      <c r="AC366" s="138"/>
    </row>
    <row r="367">
      <c r="A367" s="161"/>
      <c r="B367" s="161"/>
      <c r="C367" s="138"/>
      <c r="D367" s="160"/>
      <c r="E367" s="161"/>
      <c r="F367" s="161"/>
      <c r="G367" s="161"/>
      <c r="H367" s="161"/>
      <c r="I367" s="138"/>
      <c r="J367" s="138"/>
      <c r="K367" s="137"/>
      <c r="L367" s="137"/>
      <c r="M367" s="137"/>
      <c r="N367" s="137"/>
      <c r="O367" s="137"/>
      <c r="P367" s="137"/>
      <c r="Q367" s="137"/>
      <c r="R367" s="137"/>
      <c r="S367" s="137"/>
      <c r="T367" s="137"/>
      <c r="U367" s="138"/>
      <c r="V367" s="138"/>
      <c r="W367" s="138"/>
      <c r="X367" s="138"/>
      <c r="Y367" s="138"/>
      <c r="Z367" s="138"/>
      <c r="AA367" s="138"/>
      <c r="AB367" s="138"/>
      <c r="AC367" s="138"/>
    </row>
    <row r="368">
      <c r="A368" s="161"/>
      <c r="B368" s="161"/>
      <c r="C368" s="138"/>
      <c r="D368" s="160"/>
      <c r="E368" s="161"/>
      <c r="F368" s="161"/>
      <c r="G368" s="161"/>
      <c r="H368" s="161"/>
      <c r="I368" s="138"/>
      <c r="J368" s="138"/>
      <c r="K368" s="137"/>
      <c r="L368" s="137"/>
      <c r="M368" s="137"/>
      <c r="N368" s="137"/>
      <c r="O368" s="137"/>
      <c r="P368" s="137"/>
      <c r="Q368" s="137"/>
      <c r="R368" s="137"/>
      <c r="S368" s="137"/>
      <c r="T368" s="137"/>
      <c r="U368" s="138"/>
      <c r="V368" s="138"/>
      <c r="W368" s="138"/>
      <c r="X368" s="138"/>
      <c r="Y368" s="138"/>
      <c r="Z368" s="138"/>
      <c r="AA368" s="138"/>
      <c r="AB368" s="138"/>
      <c r="AC368" s="138"/>
    </row>
    <row r="369">
      <c r="A369" s="161"/>
      <c r="B369" s="161"/>
      <c r="C369" s="138"/>
      <c r="D369" s="160"/>
      <c r="E369" s="161"/>
      <c r="F369" s="161"/>
      <c r="G369" s="161"/>
      <c r="H369" s="161"/>
      <c r="I369" s="138"/>
      <c r="J369" s="138"/>
      <c r="K369" s="137"/>
      <c r="L369" s="137"/>
      <c r="M369" s="137"/>
      <c r="N369" s="137"/>
      <c r="O369" s="137"/>
      <c r="P369" s="137"/>
      <c r="Q369" s="137"/>
      <c r="R369" s="137"/>
      <c r="S369" s="137"/>
      <c r="T369" s="137"/>
      <c r="U369" s="138"/>
      <c r="V369" s="138"/>
      <c r="W369" s="138"/>
      <c r="X369" s="138"/>
      <c r="Y369" s="138"/>
      <c r="Z369" s="138"/>
      <c r="AA369" s="138"/>
      <c r="AB369" s="138"/>
      <c r="AC369" s="138"/>
    </row>
    <row r="370">
      <c r="A370" s="161"/>
      <c r="B370" s="161"/>
      <c r="C370" s="138"/>
      <c r="D370" s="160"/>
      <c r="E370" s="161"/>
      <c r="F370" s="161"/>
      <c r="G370" s="161"/>
      <c r="H370" s="161"/>
      <c r="I370" s="138"/>
      <c r="J370" s="138"/>
      <c r="K370" s="137"/>
      <c r="L370" s="137"/>
      <c r="M370" s="137"/>
      <c r="N370" s="137"/>
      <c r="O370" s="137"/>
      <c r="P370" s="137"/>
      <c r="Q370" s="137"/>
      <c r="R370" s="137"/>
      <c r="S370" s="137"/>
      <c r="T370" s="137"/>
      <c r="U370" s="138"/>
      <c r="V370" s="138"/>
      <c r="W370" s="138"/>
      <c r="X370" s="138"/>
      <c r="Y370" s="138"/>
      <c r="Z370" s="138"/>
      <c r="AA370" s="138"/>
      <c r="AB370" s="138"/>
      <c r="AC370" s="138"/>
    </row>
    <row r="371">
      <c r="A371" s="161"/>
      <c r="B371" s="161"/>
      <c r="C371" s="138"/>
      <c r="D371" s="160"/>
      <c r="E371" s="161"/>
      <c r="F371" s="161"/>
      <c r="G371" s="161"/>
      <c r="H371" s="161"/>
      <c r="I371" s="138"/>
      <c r="J371" s="138"/>
      <c r="K371" s="137"/>
      <c r="L371" s="137"/>
      <c r="M371" s="137"/>
      <c r="N371" s="137"/>
      <c r="O371" s="137"/>
      <c r="P371" s="137"/>
      <c r="Q371" s="137"/>
      <c r="R371" s="137"/>
      <c r="S371" s="137"/>
      <c r="T371" s="137"/>
      <c r="U371" s="138"/>
      <c r="V371" s="138"/>
      <c r="W371" s="138"/>
      <c r="X371" s="138"/>
      <c r="Y371" s="138"/>
      <c r="Z371" s="138"/>
      <c r="AA371" s="138"/>
      <c r="AB371" s="138"/>
      <c r="AC371" s="138"/>
    </row>
    <row r="372">
      <c r="A372" s="161"/>
      <c r="B372" s="161"/>
      <c r="C372" s="138"/>
      <c r="D372" s="160"/>
      <c r="E372" s="161"/>
      <c r="F372" s="161"/>
      <c r="G372" s="161"/>
      <c r="H372" s="161"/>
      <c r="I372" s="138"/>
      <c r="J372" s="138"/>
      <c r="K372" s="137"/>
      <c r="L372" s="137"/>
      <c r="M372" s="137"/>
      <c r="N372" s="137"/>
      <c r="O372" s="137"/>
      <c r="P372" s="137"/>
      <c r="Q372" s="137"/>
      <c r="R372" s="137"/>
      <c r="S372" s="137"/>
      <c r="T372" s="137"/>
      <c r="U372" s="138"/>
      <c r="V372" s="138"/>
      <c r="W372" s="138"/>
      <c r="X372" s="138"/>
      <c r="Y372" s="138"/>
      <c r="Z372" s="138"/>
      <c r="AA372" s="138"/>
      <c r="AB372" s="138"/>
      <c r="AC372" s="138"/>
    </row>
    <row r="373">
      <c r="A373" s="161"/>
      <c r="B373" s="161"/>
      <c r="C373" s="138"/>
      <c r="D373" s="160"/>
      <c r="E373" s="161"/>
      <c r="F373" s="161"/>
      <c r="G373" s="161"/>
      <c r="H373" s="161"/>
      <c r="I373" s="138"/>
      <c r="J373" s="138"/>
      <c r="K373" s="137"/>
      <c r="L373" s="137"/>
      <c r="M373" s="137"/>
      <c r="N373" s="137"/>
      <c r="O373" s="137"/>
      <c r="P373" s="137"/>
      <c r="Q373" s="137"/>
      <c r="R373" s="137"/>
      <c r="S373" s="137"/>
      <c r="T373" s="137"/>
      <c r="U373" s="138"/>
      <c r="V373" s="138"/>
      <c r="W373" s="138"/>
      <c r="X373" s="138"/>
      <c r="Y373" s="138"/>
      <c r="Z373" s="138"/>
      <c r="AA373" s="138"/>
      <c r="AB373" s="138"/>
      <c r="AC373" s="138"/>
    </row>
    <row r="374">
      <c r="A374" s="161"/>
      <c r="B374" s="161"/>
      <c r="C374" s="138"/>
      <c r="D374" s="160"/>
      <c r="E374" s="161"/>
      <c r="F374" s="161"/>
      <c r="G374" s="161"/>
      <c r="H374" s="161"/>
      <c r="I374" s="138"/>
      <c r="J374" s="138"/>
      <c r="K374" s="137"/>
      <c r="L374" s="137"/>
      <c r="M374" s="137"/>
      <c r="N374" s="137"/>
      <c r="O374" s="137"/>
      <c r="P374" s="137"/>
      <c r="Q374" s="137"/>
      <c r="R374" s="137"/>
      <c r="S374" s="137"/>
      <c r="T374" s="137"/>
      <c r="U374" s="138"/>
      <c r="V374" s="138"/>
      <c r="W374" s="138"/>
      <c r="X374" s="138"/>
      <c r="Y374" s="138"/>
      <c r="Z374" s="138"/>
      <c r="AA374" s="138"/>
      <c r="AB374" s="138"/>
      <c r="AC374" s="138"/>
    </row>
    <row r="375">
      <c r="A375" s="161"/>
      <c r="B375" s="161"/>
      <c r="C375" s="138"/>
      <c r="D375" s="160"/>
      <c r="E375" s="161"/>
      <c r="F375" s="161"/>
      <c r="G375" s="161"/>
      <c r="H375" s="161"/>
      <c r="I375" s="138"/>
      <c r="J375" s="138"/>
      <c r="K375" s="137"/>
      <c r="L375" s="137"/>
      <c r="M375" s="137"/>
      <c r="N375" s="137"/>
      <c r="O375" s="137"/>
      <c r="P375" s="137"/>
      <c r="Q375" s="137"/>
      <c r="R375" s="137"/>
      <c r="S375" s="137"/>
      <c r="T375" s="137"/>
      <c r="U375" s="138"/>
      <c r="V375" s="138"/>
      <c r="W375" s="138"/>
      <c r="X375" s="138"/>
      <c r="Y375" s="138"/>
      <c r="Z375" s="138"/>
      <c r="AA375" s="138"/>
      <c r="AB375" s="138"/>
      <c r="AC375" s="138"/>
    </row>
    <row r="376">
      <c r="A376" s="161"/>
      <c r="B376" s="161"/>
      <c r="C376" s="138"/>
      <c r="D376" s="160"/>
      <c r="E376" s="161"/>
      <c r="F376" s="161"/>
      <c r="G376" s="161"/>
      <c r="H376" s="161"/>
      <c r="I376" s="138"/>
      <c r="J376" s="138"/>
      <c r="K376" s="137"/>
      <c r="L376" s="137"/>
      <c r="M376" s="137"/>
      <c r="N376" s="137"/>
      <c r="O376" s="137"/>
      <c r="P376" s="137"/>
      <c r="Q376" s="137"/>
      <c r="R376" s="137"/>
      <c r="S376" s="137"/>
      <c r="T376" s="137"/>
      <c r="U376" s="138"/>
      <c r="V376" s="138"/>
      <c r="W376" s="138"/>
      <c r="X376" s="138"/>
      <c r="Y376" s="138"/>
      <c r="Z376" s="138"/>
      <c r="AA376" s="138"/>
      <c r="AB376" s="138"/>
      <c r="AC376" s="138"/>
    </row>
    <row r="377">
      <c r="A377" s="161"/>
      <c r="B377" s="161"/>
      <c r="C377" s="138"/>
      <c r="D377" s="160"/>
      <c r="E377" s="161"/>
      <c r="F377" s="161"/>
      <c r="G377" s="161"/>
      <c r="H377" s="161"/>
      <c r="I377" s="138"/>
      <c r="J377" s="138"/>
      <c r="K377" s="137"/>
      <c r="L377" s="137"/>
      <c r="M377" s="137"/>
      <c r="N377" s="137"/>
      <c r="O377" s="137"/>
      <c r="P377" s="137"/>
      <c r="Q377" s="137"/>
      <c r="R377" s="137"/>
      <c r="S377" s="137"/>
      <c r="T377" s="137"/>
      <c r="U377" s="138"/>
      <c r="V377" s="138"/>
      <c r="W377" s="138"/>
      <c r="X377" s="138"/>
      <c r="Y377" s="138"/>
      <c r="Z377" s="138"/>
      <c r="AA377" s="138"/>
      <c r="AB377" s="138"/>
      <c r="AC377" s="138"/>
    </row>
    <row r="378">
      <c r="A378" s="161"/>
      <c r="B378" s="161"/>
      <c r="C378" s="138"/>
      <c r="D378" s="160"/>
      <c r="E378" s="161"/>
      <c r="F378" s="161"/>
      <c r="G378" s="161"/>
      <c r="H378" s="161"/>
      <c r="I378" s="138"/>
      <c r="J378" s="138"/>
      <c r="K378" s="137"/>
      <c r="L378" s="137"/>
      <c r="M378" s="137"/>
      <c r="N378" s="137"/>
      <c r="O378" s="137"/>
      <c r="P378" s="137"/>
      <c r="Q378" s="137"/>
      <c r="R378" s="137"/>
      <c r="S378" s="137"/>
      <c r="T378" s="137"/>
      <c r="U378" s="138"/>
      <c r="V378" s="138"/>
      <c r="W378" s="138"/>
      <c r="X378" s="138"/>
      <c r="Y378" s="138"/>
      <c r="Z378" s="138"/>
      <c r="AA378" s="138"/>
      <c r="AB378" s="138"/>
      <c r="AC378" s="138"/>
    </row>
    <row r="379">
      <c r="A379" s="161"/>
      <c r="B379" s="161"/>
      <c r="C379" s="138"/>
      <c r="D379" s="160"/>
      <c r="E379" s="161"/>
      <c r="F379" s="161"/>
      <c r="G379" s="161"/>
      <c r="H379" s="161"/>
      <c r="I379" s="138"/>
      <c r="J379" s="138"/>
      <c r="K379" s="137"/>
      <c r="L379" s="137"/>
      <c r="M379" s="137"/>
      <c r="N379" s="137"/>
      <c r="O379" s="137"/>
      <c r="P379" s="137"/>
      <c r="Q379" s="137"/>
      <c r="R379" s="137"/>
      <c r="S379" s="137"/>
      <c r="T379" s="137"/>
      <c r="U379" s="138"/>
      <c r="V379" s="138"/>
      <c r="W379" s="138"/>
      <c r="X379" s="138"/>
      <c r="Y379" s="138"/>
      <c r="Z379" s="138"/>
      <c r="AA379" s="138"/>
      <c r="AB379" s="138"/>
      <c r="AC379" s="138"/>
    </row>
    <row r="380">
      <c r="A380" s="161"/>
      <c r="B380" s="161"/>
      <c r="C380" s="138"/>
      <c r="D380" s="160"/>
      <c r="E380" s="161"/>
      <c r="F380" s="161"/>
      <c r="G380" s="161"/>
      <c r="H380" s="161"/>
      <c r="I380" s="138"/>
      <c r="J380" s="138"/>
      <c r="K380" s="137"/>
      <c r="L380" s="137"/>
      <c r="M380" s="137"/>
      <c r="N380" s="137"/>
      <c r="O380" s="137"/>
      <c r="P380" s="137"/>
      <c r="Q380" s="137"/>
      <c r="R380" s="137"/>
      <c r="S380" s="137"/>
      <c r="T380" s="137"/>
      <c r="U380" s="138"/>
      <c r="V380" s="138"/>
      <c r="W380" s="138"/>
      <c r="X380" s="138"/>
      <c r="Y380" s="138"/>
      <c r="Z380" s="138"/>
      <c r="AA380" s="138"/>
      <c r="AB380" s="138"/>
      <c r="AC380" s="138"/>
    </row>
    <row r="381">
      <c r="A381" s="161"/>
      <c r="B381" s="161"/>
      <c r="C381" s="138"/>
      <c r="D381" s="160"/>
      <c r="E381" s="161"/>
      <c r="F381" s="161"/>
      <c r="G381" s="161"/>
      <c r="H381" s="161"/>
      <c r="I381" s="138"/>
      <c r="J381" s="138"/>
      <c r="K381" s="137"/>
      <c r="L381" s="137"/>
      <c r="M381" s="137"/>
      <c r="N381" s="137"/>
      <c r="O381" s="137"/>
      <c r="P381" s="137"/>
      <c r="Q381" s="137"/>
      <c r="R381" s="137"/>
      <c r="S381" s="137"/>
      <c r="T381" s="137"/>
      <c r="U381" s="138"/>
      <c r="V381" s="138"/>
      <c r="W381" s="138"/>
      <c r="X381" s="138"/>
      <c r="Y381" s="138"/>
      <c r="Z381" s="138"/>
      <c r="AA381" s="138"/>
      <c r="AB381" s="138"/>
      <c r="AC381" s="138"/>
    </row>
    <row r="382">
      <c r="A382" s="161"/>
      <c r="B382" s="161"/>
      <c r="C382" s="138"/>
      <c r="D382" s="160"/>
      <c r="E382" s="161"/>
      <c r="F382" s="161"/>
      <c r="G382" s="161"/>
      <c r="H382" s="161"/>
      <c r="I382" s="138"/>
      <c r="J382" s="138"/>
      <c r="K382" s="137"/>
      <c r="L382" s="137"/>
      <c r="M382" s="137"/>
      <c r="N382" s="137"/>
      <c r="O382" s="137"/>
      <c r="P382" s="137"/>
      <c r="Q382" s="137"/>
      <c r="R382" s="137"/>
      <c r="S382" s="137"/>
      <c r="T382" s="137"/>
      <c r="U382" s="138"/>
      <c r="V382" s="138"/>
      <c r="W382" s="138"/>
      <c r="X382" s="138"/>
      <c r="Y382" s="138"/>
      <c r="Z382" s="138"/>
      <c r="AA382" s="138"/>
      <c r="AB382" s="138"/>
      <c r="AC382" s="138"/>
    </row>
    <row r="383">
      <c r="A383" s="161"/>
      <c r="B383" s="161"/>
      <c r="C383" s="138"/>
      <c r="D383" s="160"/>
      <c r="E383" s="161"/>
      <c r="F383" s="161"/>
      <c r="G383" s="161"/>
      <c r="H383" s="161"/>
      <c r="I383" s="138"/>
      <c r="J383" s="138"/>
      <c r="K383" s="137"/>
      <c r="L383" s="137"/>
      <c r="M383" s="137"/>
      <c r="N383" s="137"/>
      <c r="O383" s="137"/>
      <c r="P383" s="137"/>
      <c r="Q383" s="137"/>
      <c r="R383" s="137"/>
      <c r="S383" s="137"/>
      <c r="T383" s="137"/>
      <c r="U383" s="138"/>
      <c r="V383" s="138"/>
      <c r="W383" s="138"/>
      <c r="X383" s="138"/>
      <c r="Y383" s="138"/>
      <c r="Z383" s="138"/>
      <c r="AA383" s="138"/>
      <c r="AB383" s="138"/>
      <c r="AC383" s="138"/>
    </row>
    <row r="384">
      <c r="A384" s="161"/>
      <c r="B384" s="161"/>
      <c r="C384" s="138"/>
      <c r="D384" s="160"/>
      <c r="E384" s="161"/>
      <c r="F384" s="161"/>
      <c r="G384" s="161"/>
      <c r="H384" s="161"/>
      <c r="I384" s="138"/>
      <c r="J384" s="138"/>
      <c r="K384" s="137"/>
      <c r="L384" s="137"/>
      <c r="M384" s="137"/>
      <c r="N384" s="137"/>
      <c r="O384" s="137"/>
      <c r="P384" s="137"/>
      <c r="Q384" s="137"/>
      <c r="R384" s="137"/>
      <c r="S384" s="137"/>
      <c r="T384" s="137"/>
      <c r="U384" s="138"/>
      <c r="V384" s="138"/>
      <c r="W384" s="138"/>
      <c r="X384" s="138"/>
      <c r="Y384" s="138"/>
      <c r="Z384" s="138"/>
      <c r="AA384" s="138"/>
      <c r="AB384" s="138"/>
      <c r="AC384" s="138"/>
    </row>
    <row r="385">
      <c r="A385" s="161"/>
      <c r="B385" s="161"/>
      <c r="C385" s="138"/>
      <c r="D385" s="160"/>
      <c r="E385" s="161"/>
      <c r="F385" s="161"/>
      <c r="G385" s="161"/>
      <c r="H385" s="161"/>
      <c r="I385" s="138"/>
      <c r="J385" s="138"/>
      <c r="K385" s="137"/>
      <c r="L385" s="137"/>
      <c r="M385" s="137"/>
      <c r="N385" s="137"/>
      <c r="O385" s="137"/>
      <c r="P385" s="137"/>
      <c r="Q385" s="137"/>
      <c r="R385" s="137"/>
      <c r="S385" s="137"/>
      <c r="T385" s="137"/>
      <c r="U385" s="138"/>
      <c r="V385" s="138"/>
      <c r="W385" s="138"/>
      <c r="X385" s="138"/>
      <c r="Y385" s="138"/>
      <c r="Z385" s="138"/>
      <c r="AA385" s="138"/>
      <c r="AB385" s="138"/>
      <c r="AC385" s="138"/>
    </row>
    <row r="386">
      <c r="A386" s="161"/>
      <c r="B386" s="161"/>
      <c r="C386" s="138"/>
      <c r="D386" s="160"/>
      <c r="E386" s="161"/>
      <c r="F386" s="161"/>
      <c r="G386" s="161"/>
      <c r="H386" s="161"/>
      <c r="I386" s="138"/>
      <c r="J386" s="138"/>
      <c r="K386" s="137"/>
      <c r="L386" s="137"/>
      <c r="M386" s="137"/>
      <c r="N386" s="137"/>
      <c r="O386" s="137"/>
      <c r="P386" s="137"/>
      <c r="Q386" s="137"/>
      <c r="R386" s="137"/>
      <c r="S386" s="137"/>
      <c r="T386" s="137"/>
      <c r="U386" s="138"/>
      <c r="V386" s="138"/>
      <c r="W386" s="138"/>
      <c r="X386" s="138"/>
      <c r="Y386" s="138"/>
      <c r="Z386" s="138"/>
      <c r="AA386" s="138"/>
      <c r="AB386" s="138"/>
      <c r="AC386" s="138"/>
    </row>
    <row r="387">
      <c r="A387" s="161"/>
      <c r="B387" s="161"/>
      <c r="C387" s="138"/>
      <c r="D387" s="160"/>
      <c r="E387" s="161"/>
      <c r="F387" s="161"/>
      <c r="G387" s="161"/>
      <c r="H387" s="161"/>
      <c r="I387" s="138"/>
      <c r="J387" s="138"/>
      <c r="K387" s="137"/>
      <c r="L387" s="137"/>
      <c r="M387" s="137"/>
      <c r="N387" s="137"/>
      <c r="O387" s="137"/>
      <c r="P387" s="137"/>
      <c r="Q387" s="137"/>
      <c r="R387" s="137"/>
      <c r="S387" s="137"/>
      <c r="T387" s="137"/>
      <c r="U387" s="138"/>
      <c r="V387" s="138"/>
      <c r="W387" s="138"/>
      <c r="X387" s="138"/>
      <c r="Y387" s="138"/>
      <c r="Z387" s="138"/>
      <c r="AA387" s="138"/>
      <c r="AB387" s="138"/>
      <c r="AC387" s="138"/>
    </row>
    <row r="388">
      <c r="A388" s="161"/>
      <c r="B388" s="161"/>
      <c r="C388" s="138"/>
      <c r="D388" s="160"/>
      <c r="E388" s="161"/>
      <c r="F388" s="161"/>
      <c r="G388" s="161"/>
      <c r="H388" s="161"/>
      <c r="I388" s="138"/>
      <c r="J388" s="138"/>
      <c r="K388" s="137"/>
      <c r="L388" s="137"/>
      <c r="M388" s="137"/>
      <c r="N388" s="137"/>
      <c r="O388" s="137"/>
      <c r="P388" s="137"/>
      <c r="Q388" s="137"/>
      <c r="R388" s="137"/>
      <c r="S388" s="137"/>
      <c r="T388" s="137"/>
      <c r="U388" s="138"/>
      <c r="V388" s="138"/>
      <c r="W388" s="138"/>
      <c r="X388" s="138"/>
      <c r="Y388" s="138"/>
      <c r="Z388" s="138"/>
      <c r="AA388" s="138"/>
      <c r="AB388" s="138"/>
      <c r="AC388" s="138"/>
    </row>
    <row r="389">
      <c r="A389" s="161"/>
      <c r="B389" s="161"/>
      <c r="C389" s="138"/>
      <c r="D389" s="160"/>
      <c r="E389" s="161"/>
      <c r="F389" s="161"/>
      <c r="G389" s="161"/>
      <c r="H389" s="161"/>
      <c r="I389" s="138"/>
      <c r="J389" s="138"/>
      <c r="K389" s="137"/>
      <c r="L389" s="137"/>
      <c r="M389" s="137"/>
      <c r="N389" s="137"/>
      <c r="O389" s="137"/>
      <c r="P389" s="137"/>
      <c r="Q389" s="137"/>
      <c r="R389" s="137"/>
      <c r="S389" s="137"/>
      <c r="T389" s="137"/>
      <c r="U389" s="138"/>
      <c r="V389" s="138"/>
      <c r="W389" s="138"/>
      <c r="X389" s="138"/>
      <c r="Y389" s="138"/>
      <c r="Z389" s="138"/>
      <c r="AA389" s="138"/>
      <c r="AB389" s="138"/>
      <c r="AC389" s="138"/>
    </row>
    <row r="390">
      <c r="A390" s="161"/>
      <c r="B390" s="161"/>
      <c r="C390" s="138"/>
      <c r="D390" s="160"/>
      <c r="E390" s="161"/>
      <c r="F390" s="161"/>
      <c r="G390" s="161"/>
      <c r="H390" s="161"/>
      <c r="I390" s="138"/>
      <c r="J390" s="138"/>
      <c r="K390" s="137"/>
      <c r="L390" s="137"/>
      <c r="M390" s="137"/>
      <c r="N390" s="137"/>
      <c r="O390" s="137"/>
      <c r="P390" s="137"/>
      <c r="Q390" s="137"/>
      <c r="R390" s="137"/>
      <c r="S390" s="137"/>
      <c r="T390" s="137"/>
      <c r="U390" s="138"/>
      <c r="V390" s="138"/>
      <c r="W390" s="138"/>
      <c r="X390" s="138"/>
      <c r="Y390" s="138"/>
      <c r="Z390" s="138"/>
      <c r="AA390" s="138"/>
      <c r="AB390" s="138"/>
      <c r="AC390" s="138"/>
    </row>
    <row r="391">
      <c r="A391" s="161"/>
      <c r="B391" s="161"/>
      <c r="C391" s="138"/>
      <c r="D391" s="160"/>
      <c r="E391" s="161"/>
      <c r="F391" s="161"/>
      <c r="G391" s="161"/>
      <c r="H391" s="161"/>
      <c r="I391" s="138"/>
      <c r="J391" s="138"/>
      <c r="K391" s="137"/>
      <c r="L391" s="137"/>
      <c r="M391" s="137"/>
      <c r="N391" s="137"/>
      <c r="O391" s="137"/>
      <c r="P391" s="137"/>
      <c r="Q391" s="137"/>
      <c r="R391" s="137"/>
      <c r="S391" s="137"/>
      <c r="T391" s="137"/>
      <c r="U391" s="138"/>
      <c r="V391" s="138"/>
      <c r="W391" s="138"/>
      <c r="X391" s="138"/>
      <c r="Y391" s="138"/>
      <c r="Z391" s="138"/>
      <c r="AA391" s="138"/>
      <c r="AB391" s="138"/>
      <c r="AC391" s="138"/>
    </row>
    <row r="392">
      <c r="A392" s="161"/>
      <c r="B392" s="161"/>
      <c r="C392" s="138"/>
      <c r="D392" s="160"/>
      <c r="E392" s="161"/>
      <c r="F392" s="161"/>
      <c r="G392" s="161"/>
      <c r="H392" s="161"/>
      <c r="I392" s="138"/>
      <c r="J392" s="138"/>
      <c r="K392" s="137"/>
      <c r="L392" s="137"/>
      <c r="M392" s="137"/>
      <c r="N392" s="137"/>
      <c r="O392" s="137"/>
      <c r="P392" s="137"/>
      <c r="Q392" s="137"/>
      <c r="R392" s="137"/>
      <c r="S392" s="137"/>
      <c r="T392" s="137"/>
      <c r="U392" s="138"/>
      <c r="V392" s="138"/>
      <c r="W392" s="138"/>
      <c r="X392" s="138"/>
      <c r="Y392" s="138"/>
      <c r="Z392" s="138"/>
      <c r="AA392" s="138"/>
      <c r="AB392" s="138"/>
      <c r="AC392" s="138"/>
    </row>
    <row r="393">
      <c r="A393" s="161"/>
      <c r="B393" s="161"/>
      <c r="C393" s="138"/>
      <c r="D393" s="160"/>
      <c r="E393" s="161"/>
      <c r="F393" s="161"/>
      <c r="G393" s="161"/>
      <c r="H393" s="161"/>
      <c r="I393" s="138"/>
      <c r="J393" s="138"/>
      <c r="K393" s="137"/>
      <c r="L393" s="137"/>
      <c r="M393" s="137"/>
      <c r="N393" s="137"/>
      <c r="O393" s="137"/>
      <c r="P393" s="137"/>
      <c r="Q393" s="137"/>
      <c r="R393" s="137"/>
      <c r="S393" s="137"/>
      <c r="T393" s="137"/>
      <c r="U393" s="138"/>
      <c r="V393" s="138"/>
      <c r="W393" s="138"/>
      <c r="X393" s="138"/>
      <c r="Y393" s="138"/>
      <c r="Z393" s="138"/>
      <c r="AA393" s="138"/>
      <c r="AB393" s="138"/>
      <c r="AC393" s="138"/>
    </row>
    <row r="394">
      <c r="A394" s="161"/>
      <c r="B394" s="161"/>
      <c r="C394" s="138"/>
      <c r="D394" s="160"/>
      <c r="E394" s="161"/>
      <c r="F394" s="161"/>
      <c r="G394" s="161"/>
      <c r="H394" s="161"/>
      <c r="I394" s="138"/>
      <c r="J394" s="138"/>
      <c r="K394" s="137"/>
      <c r="L394" s="137"/>
      <c r="M394" s="137"/>
      <c r="N394" s="137"/>
      <c r="O394" s="137"/>
      <c r="P394" s="137"/>
      <c r="Q394" s="137"/>
      <c r="R394" s="137"/>
      <c r="S394" s="137"/>
      <c r="T394" s="137"/>
      <c r="U394" s="138"/>
      <c r="V394" s="138"/>
      <c r="W394" s="138"/>
      <c r="X394" s="138"/>
      <c r="Y394" s="138"/>
      <c r="Z394" s="138"/>
      <c r="AA394" s="138"/>
      <c r="AB394" s="138"/>
      <c r="AC394" s="138"/>
    </row>
    <row r="395">
      <c r="A395" s="161"/>
      <c r="B395" s="161"/>
      <c r="C395" s="138"/>
      <c r="D395" s="160"/>
      <c r="E395" s="161"/>
      <c r="F395" s="161"/>
      <c r="G395" s="161"/>
      <c r="H395" s="161"/>
      <c r="I395" s="138"/>
      <c r="J395" s="138"/>
      <c r="K395" s="137"/>
      <c r="L395" s="137"/>
      <c r="M395" s="137"/>
      <c r="N395" s="137"/>
      <c r="O395" s="137"/>
      <c r="P395" s="137"/>
      <c r="Q395" s="137"/>
      <c r="R395" s="137"/>
      <c r="S395" s="137"/>
      <c r="T395" s="137"/>
      <c r="U395" s="138"/>
      <c r="V395" s="138"/>
      <c r="W395" s="138"/>
      <c r="X395" s="138"/>
      <c r="Y395" s="138"/>
      <c r="Z395" s="138"/>
      <c r="AA395" s="138"/>
      <c r="AB395" s="138"/>
      <c r="AC395" s="138"/>
    </row>
    <row r="396">
      <c r="A396" s="161"/>
      <c r="B396" s="161"/>
      <c r="C396" s="138"/>
      <c r="D396" s="160"/>
      <c r="E396" s="161"/>
      <c r="F396" s="161"/>
      <c r="G396" s="161"/>
      <c r="H396" s="161"/>
      <c r="I396" s="138"/>
      <c r="J396" s="138"/>
      <c r="K396" s="137"/>
      <c r="L396" s="137"/>
      <c r="M396" s="137"/>
      <c r="N396" s="137"/>
      <c r="O396" s="137"/>
      <c r="P396" s="137"/>
      <c r="Q396" s="137"/>
      <c r="R396" s="137"/>
      <c r="S396" s="137"/>
      <c r="T396" s="137"/>
      <c r="U396" s="138"/>
      <c r="V396" s="138"/>
      <c r="W396" s="138"/>
      <c r="X396" s="138"/>
      <c r="Y396" s="138"/>
      <c r="Z396" s="138"/>
      <c r="AA396" s="138"/>
      <c r="AB396" s="138"/>
      <c r="AC396" s="138"/>
    </row>
    <row r="397">
      <c r="A397" s="161"/>
      <c r="B397" s="161"/>
      <c r="C397" s="138"/>
      <c r="D397" s="160"/>
      <c r="E397" s="161"/>
      <c r="F397" s="161"/>
      <c r="G397" s="161"/>
      <c r="H397" s="161"/>
      <c r="I397" s="138"/>
      <c r="J397" s="138"/>
      <c r="K397" s="137"/>
      <c r="L397" s="137"/>
      <c r="M397" s="137"/>
      <c r="N397" s="137"/>
      <c r="O397" s="137"/>
      <c r="P397" s="137"/>
      <c r="Q397" s="137"/>
      <c r="R397" s="137"/>
      <c r="S397" s="137"/>
      <c r="T397" s="137"/>
      <c r="U397" s="138"/>
      <c r="V397" s="138"/>
      <c r="W397" s="138"/>
      <c r="X397" s="138"/>
      <c r="Y397" s="138"/>
      <c r="Z397" s="138"/>
      <c r="AA397" s="138"/>
      <c r="AB397" s="138"/>
      <c r="AC397" s="138"/>
    </row>
    <row r="398">
      <c r="A398" s="161"/>
      <c r="B398" s="161"/>
      <c r="C398" s="138"/>
      <c r="D398" s="160"/>
      <c r="E398" s="161"/>
      <c r="F398" s="161"/>
      <c r="G398" s="161"/>
      <c r="H398" s="161"/>
      <c r="I398" s="138"/>
      <c r="J398" s="138"/>
      <c r="K398" s="137"/>
      <c r="L398" s="137"/>
      <c r="M398" s="137"/>
      <c r="N398" s="137"/>
      <c r="O398" s="137"/>
      <c r="P398" s="137"/>
      <c r="Q398" s="137"/>
      <c r="R398" s="137"/>
      <c r="S398" s="137"/>
      <c r="T398" s="137"/>
      <c r="U398" s="138"/>
      <c r="V398" s="138"/>
      <c r="W398" s="138"/>
      <c r="X398" s="138"/>
      <c r="Y398" s="138"/>
      <c r="Z398" s="138"/>
      <c r="AA398" s="138"/>
      <c r="AB398" s="138"/>
      <c r="AC398" s="138"/>
    </row>
    <row r="399">
      <c r="A399" s="161"/>
      <c r="B399" s="161"/>
      <c r="C399" s="138"/>
      <c r="D399" s="160"/>
      <c r="E399" s="161"/>
      <c r="F399" s="161"/>
      <c r="G399" s="161"/>
      <c r="H399" s="161"/>
      <c r="I399" s="138"/>
      <c r="J399" s="138"/>
      <c r="K399" s="137"/>
      <c r="L399" s="137"/>
      <c r="M399" s="137"/>
      <c r="N399" s="137"/>
      <c r="O399" s="137"/>
      <c r="P399" s="137"/>
      <c r="Q399" s="137"/>
      <c r="R399" s="137"/>
      <c r="S399" s="137"/>
      <c r="T399" s="137"/>
      <c r="U399" s="138"/>
      <c r="V399" s="138"/>
      <c r="W399" s="138"/>
      <c r="X399" s="138"/>
      <c r="Y399" s="138"/>
      <c r="Z399" s="138"/>
      <c r="AA399" s="138"/>
      <c r="AB399" s="138"/>
      <c r="AC399" s="138"/>
    </row>
    <row r="400">
      <c r="A400" s="161"/>
      <c r="B400" s="161"/>
      <c r="C400" s="138"/>
      <c r="D400" s="160"/>
      <c r="E400" s="161"/>
      <c r="F400" s="161"/>
      <c r="G400" s="161"/>
      <c r="H400" s="161"/>
      <c r="I400" s="138"/>
      <c r="J400" s="138"/>
      <c r="K400" s="137"/>
      <c r="L400" s="137"/>
      <c r="M400" s="137"/>
      <c r="N400" s="137"/>
      <c r="O400" s="137"/>
      <c r="P400" s="137"/>
      <c r="Q400" s="137"/>
      <c r="R400" s="137"/>
      <c r="S400" s="137"/>
      <c r="T400" s="137"/>
      <c r="U400" s="138"/>
      <c r="V400" s="138"/>
      <c r="W400" s="138"/>
      <c r="X400" s="138"/>
      <c r="Y400" s="138"/>
      <c r="Z400" s="138"/>
      <c r="AA400" s="138"/>
      <c r="AB400" s="138"/>
      <c r="AC400" s="138"/>
    </row>
    <row r="401">
      <c r="A401" s="161"/>
      <c r="B401" s="161"/>
      <c r="C401" s="138"/>
      <c r="D401" s="160"/>
      <c r="E401" s="161"/>
      <c r="F401" s="161"/>
      <c r="G401" s="161"/>
      <c r="H401" s="161"/>
      <c r="I401" s="138"/>
      <c r="J401" s="138"/>
      <c r="K401" s="137"/>
      <c r="L401" s="137"/>
      <c r="M401" s="137"/>
      <c r="N401" s="137"/>
      <c r="O401" s="137"/>
      <c r="P401" s="137"/>
      <c r="Q401" s="137"/>
      <c r="R401" s="137"/>
      <c r="S401" s="137"/>
      <c r="T401" s="137"/>
      <c r="U401" s="138"/>
      <c r="V401" s="138"/>
      <c r="W401" s="138"/>
      <c r="X401" s="138"/>
      <c r="Y401" s="138"/>
      <c r="Z401" s="138"/>
      <c r="AA401" s="138"/>
      <c r="AB401" s="138"/>
      <c r="AC401" s="138"/>
    </row>
    <row r="402">
      <c r="A402" s="161"/>
      <c r="B402" s="161"/>
      <c r="C402" s="138"/>
      <c r="D402" s="160"/>
      <c r="E402" s="161"/>
      <c r="F402" s="161"/>
      <c r="G402" s="161"/>
      <c r="H402" s="161"/>
      <c r="I402" s="138"/>
      <c r="J402" s="138"/>
      <c r="K402" s="137"/>
      <c r="L402" s="137"/>
      <c r="M402" s="137"/>
      <c r="N402" s="137"/>
      <c r="O402" s="137"/>
      <c r="P402" s="137"/>
      <c r="Q402" s="137"/>
      <c r="R402" s="137"/>
      <c r="S402" s="137"/>
      <c r="T402" s="137"/>
      <c r="U402" s="138"/>
      <c r="V402" s="138"/>
      <c r="W402" s="138"/>
      <c r="X402" s="138"/>
      <c r="Y402" s="138"/>
      <c r="Z402" s="138"/>
      <c r="AA402" s="138"/>
      <c r="AB402" s="138"/>
      <c r="AC402" s="138"/>
    </row>
    <row r="403">
      <c r="A403" s="161"/>
      <c r="B403" s="161"/>
      <c r="C403" s="138"/>
      <c r="D403" s="160"/>
      <c r="E403" s="161"/>
      <c r="F403" s="161"/>
      <c r="G403" s="161"/>
      <c r="H403" s="161"/>
      <c r="I403" s="138"/>
      <c r="J403" s="138"/>
      <c r="K403" s="137"/>
      <c r="L403" s="137"/>
      <c r="M403" s="137"/>
      <c r="N403" s="137"/>
      <c r="O403" s="137"/>
      <c r="P403" s="137"/>
      <c r="Q403" s="137"/>
      <c r="R403" s="137"/>
      <c r="S403" s="137"/>
      <c r="T403" s="137"/>
      <c r="U403" s="138"/>
      <c r="V403" s="138"/>
      <c r="W403" s="138"/>
      <c r="X403" s="138"/>
      <c r="Y403" s="138"/>
      <c r="Z403" s="138"/>
      <c r="AA403" s="138"/>
      <c r="AB403" s="138"/>
      <c r="AC403" s="138"/>
    </row>
    <row r="404">
      <c r="A404" s="161"/>
      <c r="B404" s="161"/>
      <c r="C404" s="138"/>
      <c r="D404" s="160"/>
      <c r="E404" s="161"/>
      <c r="F404" s="161"/>
      <c r="G404" s="161"/>
      <c r="H404" s="161"/>
      <c r="I404" s="138"/>
      <c r="J404" s="138"/>
      <c r="K404" s="137"/>
      <c r="L404" s="137"/>
      <c r="M404" s="137"/>
      <c r="N404" s="137"/>
      <c r="O404" s="137"/>
      <c r="P404" s="137"/>
      <c r="Q404" s="137"/>
      <c r="R404" s="137"/>
      <c r="S404" s="137"/>
      <c r="T404" s="137"/>
      <c r="U404" s="138"/>
      <c r="V404" s="138"/>
      <c r="W404" s="138"/>
      <c r="X404" s="138"/>
      <c r="Y404" s="138"/>
      <c r="Z404" s="138"/>
      <c r="AA404" s="138"/>
      <c r="AB404" s="138"/>
      <c r="AC404" s="138"/>
    </row>
    <row r="405">
      <c r="A405" s="161"/>
      <c r="B405" s="161"/>
      <c r="C405" s="138"/>
      <c r="D405" s="160"/>
      <c r="E405" s="161"/>
      <c r="F405" s="161"/>
      <c r="G405" s="161"/>
      <c r="H405" s="161"/>
      <c r="I405" s="138"/>
      <c r="J405" s="138"/>
      <c r="K405" s="137"/>
      <c r="L405" s="137"/>
      <c r="M405" s="137"/>
      <c r="N405" s="137"/>
      <c r="O405" s="137"/>
      <c r="P405" s="137"/>
      <c r="Q405" s="137"/>
      <c r="R405" s="137"/>
      <c r="S405" s="137"/>
      <c r="T405" s="137"/>
      <c r="U405" s="138"/>
      <c r="V405" s="138"/>
      <c r="W405" s="138"/>
      <c r="X405" s="138"/>
      <c r="Y405" s="138"/>
      <c r="Z405" s="138"/>
      <c r="AA405" s="138"/>
      <c r="AB405" s="138"/>
      <c r="AC405" s="138"/>
    </row>
    <row r="406">
      <c r="A406" s="161"/>
      <c r="B406" s="161"/>
      <c r="C406" s="138"/>
      <c r="D406" s="160"/>
      <c r="E406" s="161"/>
      <c r="F406" s="161"/>
      <c r="G406" s="161"/>
      <c r="H406" s="161"/>
      <c r="I406" s="138"/>
      <c r="J406" s="138"/>
      <c r="K406" s="137"/>
      <c r="L406" s="137"/>
      <c r="M406" s="137"/>
      <c r="N406" s="137"/>
      <c r="O406" s="137"/>
      <c r="P406" s="137"/>
      <c r="Q406" s="137"/>
      <c r="R406" s="137"/>
      <c r="S406" s="137"/>
      <c r="T406" s="137"/>
      <c r="U406" s="138"/>
      <c r="V406" s="138"/>
      <c r="W406" s="138"/>
      <c r="X406" s="138"/>
      <c r="Y406" s="138"/>
      <c r="Z406" s="138"/>
      <c r="AA406" s="138"/>
      <c r="AB406" s="138"/>
      <c r="AC406" s="138"/>
    </row>
    <row r="407">
      <c r="A407" s="161"/>
      <c r="B407" s="161"/>
      <c r="C407" s="138"/>
      <c r="D407" s="160"/>
      <c r="E407" s="161"/>
      <c r="F407" s="161"/>
      <c r="G407" s="161"/>
      <c r="H407" s="161"/>
      <c r="I407" s="138"/>
      <c r="J407" s="138"/>
      <c r="K407" s="137"/>
      <c r="L407" s="137"/>
      <c r="M407" s="137"/>
      <c r="N407" s="137"/>
      <c r="O407" s="137"/>
      <c r="P407" s="137"/>
      <c r="Q407" s="137"/>
      <c r="R407" s="137"/>
      <c r="S407" s="137"/>
      <c r="T407" s="137"/>
      <c r="U407" s="138"/>
      <c r="V407" s="138"/>
      <c r="W407" s="138"/>
      <c r="X407" s="138"/>
      <c r="Y407" s="138"/>
      <c r="Z407" s="138"/>
      <c r="AA407" s="138"/>
      <c r="AB407" s="138"/>
      <c r="AC407" s="138"/>
    </row>
    <row r="408">
      <c r="A408" s="161"/>
      <c r="B408" s="161"/>
      <c r="C408" s="138"/>
      <c r="D408" s="160"/>
      <c r="E408" s="161"/>
      <c r="F408" s="161"/>
      <c r="G408" s="161"/>
      <c r="H408" s="161"/>
      <c r="I408" s="138"/>
      <c r="J408" s="138"/>
      <c r="K408" s="137"/>
      <c r="L408" s="137"/>
      <c r="M408" s="137"/>
      <c r="N408" s="137"/>
      <c r="O408" s="137"/>
      <c r="P408" s="137"/>
      <c r="Q408" s="137"/>
      <c r="R408" s="137"/>
      <c r="S408" s="137"/>
      <c r="T408" s="137"/>
      <c r="U408" s="138"/>
      <c r="V408" s="138"/>
      <c r="W408" s="138"/>
      <c r="X408" s="138"/>
      <c r="Y408" s="138"/>
      <c r="Z408" s="138"/>
      <c r="AA408" s="138"/>
      <c r="AB408" s="138"/>
      <c r="AC408" s="138"/>
    </row>
    <row r="409">
      <c r="A409" s="161"/>
      <c r="B409" s="161"/>
      <c r="C409" s="138"/>
      <c r="D409" s="160"/>
      <c r="E409" s="161"/>
      <c r="F409" s="161"/>
      <c r="G409" s="161"/>
      <c r="H409" s="161"/>
      <c r="I409" s="138"/>
      <c r="J409" s="138"/>
      <c r="K409" s="137"/>
      <c r="L409" s="137"/>
      <c r="M409" s="137"/>
      <c r="N409" s="137"/>
      <c r="O409" s="137"/>
      <c r="P409" s="137"/>
      <c r="Q409" s="137"/>
      <c r="R409" s="137"/>
      <c r="S409" s="137"/>
      <c r="T409" s="137"/>
      <c r="U409" s="138"/>
      <c r="V409" s="138"/>
      <c r="W409" s="138"/>
      <c r="X409" s="138"/>
      <c r="Y409" s="138"/>
      <c r="Z409" s="138"/>
      <c r="AA409" s="138"/>
      <c r="AB409" s="138"/>
      <c r="AC409" s="138"/>
    </row>
    <row r="410">
      <c r="A410" s="161"/>
      <c r="B410" s="161"/>
      <c r="C410" s="138"/>
      <c r="D410" s="160"/>
      <c r="E410" s="161"/>
      <c r="F410" s="161"/>
      <c r="G410" s="161"/>
      <c r="H410" s="161"/>
      <c r="I410" s="138"/>
      <c r="J410" s="138"/>
      <c r="K410" s="137"/>
      <c r="L410" s="137"/>
      <c r="M410" s="137"/>
      <c r="N410" s="137"/>
      <c r="O410" s="137"/>
      <c r="P410" s="137"/>
      <c r="Q410" s="137"/>
      <c r="R410" s="137"/>
      <c r="S410" s="137"/>
      <c r="T410" s="137"/>
      <c r="U410" s="138"/>
      <c r="V410" s="138"/>
      <c r="W410" s="138"/>
      <c r="X410" s="138"/>
      <c r="Y410" s="138"/>
      <c r="Z410" s="138"/>
      <c r="AA410" s="138"/>
      <c r="AB410" s="138"/>
      <c r="AC410" s="138"/>
    </row>
    <row r="411">
      <c r="A411" s="161"/>
      <c r="B411" s="161"/>
      <c r="C411" s="138"/>
      <c r="D411" s="160"/>
      <c r="E411" s="161"/>
      <c r="F411" s="161"/>
      <c r="G411" s="161"/>
      <c r="H411" s="161"/>
      <c r="I411" s="138"/>
      <c r="J411" s="138"/>
      <c r="K411" s="137"/>
      <c r="L411" s="137"/>
      <c r="M411" s="137"/>
      <c r="N411" s="137"/>
      <c r="O411" s="137"/>
      <c r="P411" s="137"/>
      <c r="Q411" s="137"/>
      <c r="R411" s="137"/>
      <c r="S411" s="137"/>
      <c r="T411" s="137"/>
      <c r="U411" s="138"/>
      <c r="V411" s="138"/>
      <c r="W411" s="138"/>
      <c r="X411" s="138"/>
      <c r="Y411" s="138"/>
      <c r="Z411" s="138"/>
      <c r="AA411" s="138"/>
      <c r="AB411" s="138"/>
      <c r="AC411" s="138"/>
    </row>
    <row r="412">
      <c r="A412" s="161"/>
      <c r="B412" s="161"/>
      <c r="C412" s="138"/>
      <c r="D412" s="160"/>
      <c r="E412" s="161"/>
      <c r="F412" s="161"/>
      <c r="G412" s="161"/>
      <c r="H412" s="161"/>
      <c r="I412" s="138"/>
      <c r="J412" s="138"/>
      <c r="K412" s="137"/>
      <c r="L412" s="137"/>
      <c r="M412" s="137"/>
      <c r="N412" s="137"/>
      <c r="O412" s="137"/>
      <c r="P412" s="137"/>
      <c r="Q412" s="137"/>
      <c r="R412" s="137"/>
      <c r="S412" s="137"/>
      <c r="T412" s="137"/>
      <c r="U412" s="138"/>
      <c r="V412" s="138"/>
      <c r="W412" s="138"/>
      <c r="X412" s="138"/>
      <c r="Y412" s="138"/>
      <c r="Z412" s="138"/>
      <c r="AA412" s="138"/>
      <c r="AB412" s="138"/>
      <c r="AC412" s="138"/>
    </row>
    <row r="413">
      <c r="A413" s="161"/>
      <c r="B413" s="161"/>
      <c r="C413" s="138"/>
      <c r="D413" s="160"/>
      <c r="E413" s="161"/>
      <c r="F413" s="161"/>
      <c r="G413" s="161"/>
      <c r="H413" s="161"/>
      <c r="I413" s="138"/>
      <c r="J413" s="138"/>
      <c r="K413" s="137"/>
      <c r="L413" s="137"/>
      <c r="M413" s="137"/>
      <c r="N413" s="137"/>
      <c r="O413" s="137"/>
      <c r="P413" s="137"/>
      <c r="Q413" s="137"/>
      <c r="R413" s="137"/>
      <c r="S413" s="137"/>
      <c r="T413" s="137"/>
      <c r="U413" s="138"/>
      <c r="V413" s="138"/>
      <c r="W413" s="138"/>
      <c r="X413" s="138"/>
      <c r="Y413" s="138"/>
      <c r="Z413" s="138"/>
      <c r="AA413" s="138"/>
      <c r="AB413" s="138"/>
      <c r="AC413" s="138"/>
    </row>
    <row r="414">
      <c r="A414" s="161"/>
      <c r="B414" s="161"/>
      <c r="C414" s="138"/>
      <c r="D414" s="160"/>
      <c r="E414" s="161"/>
      <c r="F414" s="161"/>
      <c r="G414" s="161"/>
      <c r="H414" s="161"/>
      <c r="I414" s="138"/>
      <c r="J414" s="138"/>
      <c r="K414" s="137"/>
      <c r="L414" s="137"/>
      <c r="M414" s="137"/>
      <c r="N414" s="137"/>
      <c r="O414" s="137"/>
      <c r="P414" s="137"/>
      <c r="Q414" s="137"/>
      <c r="R414" s="137"/>
      <c r="S414" s="137"/>
      <c r="T414" s="137"/>
      <c r="U414" s="138"/>
      <c r="V414" s="138"/>
      <c r="W414" s="138"/>
      <c r="X414" s="138"/>
      <c r="Y414" s="138"/>
      <c r="Z414" s="138"/>
      <c r="AA414" s="138"/>
      <c r="AB414" s="138"/>
      <c r="AC414" s="138"/>
    </row>
    <row r="415">
      <c r="A415" s="161"/>
      <c r="B415" s="161"/>
      <c r="C415" s="138"/>
      <c r="D415" s="160"/>
      <c r="E415" s="161"/>
      <c r="F415" s="161"/>
      <c r="G415" s="161"/>
      <c r="H415" s="161"/>
      <c r="I415" s="138"/>
      <c r="J415" s="138"/>
      <c r="K415" s="137"/>
      <c r="L415" s="137"/>
      <c r="M415" s="137"/>
      <c r="N415" s="137"/>
      <c r="O415" s="137"/>
      <c r="P415" s="137"/>
      <c r="Q415" s="137"/>
      <c r="R415" s="137"/>
      <c r="S415" s="137"/>
      <c r="T415" s="137"/>
      <c r="U415" s="138"/>
      <c r="V415" s="138"/>
      <c r="W415" s="138"/>
      <c r="X415" s="138"/>
      <c r="Y415" s="138"/>
      <c r="Z415" s="138"/>
      <c r="AA415" s="138"/>
      <c r="AB415" s="138"/>
      <c r="AC415" s="138"/>
    </row>
    <row r="416">
      <c r="A416" s="161"/>
      <c r="B416" s="161"/>
      <c r="C416" s="138"/>
      <c r="D416" s="160"/>
      <c r="E416" s="161"/>
      <c r="F416" s="161"/>
      <c r="G416" s="161"/>
      <c r="H416" s="161"/>
      <c r="I416" s="138"/>
      <c r="J416" s="138"/>
      <c r="K416" s="137"/>
      <c r="L416" s="137"/>
      <c r="M416" s="137"/>
      <c r="N416" s="137"/>
      <c r="O416" s="137"/>
      <c r="P416" s="137"/>
      <c r="Q416" s="137"/>
      <c r="R416" s="137"/>
      <c r="S416" s="137"/>
      <c r="T416" s="137"/>
      <c r="U416" s="138"/>
      <c r="V416" s="138"/>
      <c r="W416" s="138"/>
      <c r="X416" s="138"/>
      <c r="Y416" s="138"/>
      <c r="Z416" s="138"/>
      <c r="AA416" s="138"/>
      <c r="AB416" s="138"/>
      <c r="AC416" s="138"/>
    </row>
    <row r="417">
      <c r="A417" s="161"/>
      <c r="B417" s="161"/>
      <c r="C417" s="138"/>
      <c r="D417" s="160"/>
      <c r="E417" s="161"/>
      <c r="F417" s="161"/>
      <c r="G417" s="161"/>
      <c r="H417" s="161"/>
      <c r="I417" s="138"/>
      <c r="J417" s="138"/>
      <c r="K417" s="137"/>
      <c r="L417" s="137"/>
      <c r="M417" s="137"/>
      <c r="N417" s="137"/>
      <c r="O417" s="137"/>
      <c r="P417" s="137"/>
      <c r="Q417" s="137"/>
      <c r="R417" s="137"/>
      <c r="S417" s="137"/>
      <c r="T417" s="137"/>
      <c r="U417" s="138"/>
      <c r="V417" s="138"/>
      <c r="W417" s="138"/>
      <c r="X417" s="138"/>
      <c r="Y417" s="138"/>
      <c r="Z417" s="138"/>
      <c r="AA417" s="138"/>
      <c r="AB417" s="138"/>
      <c r="AC417" s="138"/>
    </row>
    <row r="418">
      <c r="A418" s="161"/>
      <c r="B418" s="161"/>
      <c r="C418" s="138"/>
      <c r="D418" s="160"/>
      <c r="E418" s="161"/>
      <c r="F418" s="161"/>
      <c r="G418" s="161"/>
      <c r="H418" s="161"/>
      <c r="I418" s="138"/>
      <c r="J418" s="138"/>
      <c r="K418" s="137"/>
      <c r="L418" s="137"/>
      <c r="M418" s="137"/>
      <c r="N418" s="137"/>
      <c r="O418" s="137"/>
      <c r="P418" s="137"/>
      <c r="Q418" s="137"/>
      <c r="R418" s="137"/>
      <c r="S418" s="137"/>
      <c r="T418" s="137"/>
      <c r="U418" s="138"/>
      <c r="V418" s="138"/>
      <c r="W418" s="138"/>
      <c r="X418" s="138"/>
      <c r="Y418" s="138"/>
      <c r="Z418" s="138"/>
      <c r="AA418" s="138"/>
      <c r="AB418" s="138"/>
      <c r="AC418" s="138"/>
    </row>
    <row r="419">
      <c r="A419" s="161"/>
      <c r="B419" s="161"/>
      <c r="C419" s="138"/>
      <c r="D419" s="160"/>
      <c r="E419" s="161"/>
      <c r="F419" s="161"/>
      <c r="G419" s="161"/>
      <c r="H419" s="161"/>
      <c r="I419" s="138"/>
      <c r="J419" s="138"/>
      <c r="K419" s="137"/>
      <c r="L419" s="137"/>
      <c r="M419" s="137"/>
      <c r="N419" s="137"/>
      <c r="O419" s="137"/>
      <c r="P419" s="137"/>
      <c r="Q419" s="137"/>
      <c r="R419" s="137"/>
      <c r="S419" s="137"/>
      <c r="T419" s="137"/>
      <c r="U419" s="138"/>
      <c r="V419" s="138"/>
      <c r="W419" s="138"/>
      <c r="X419" s="138"/>
      <c r="Y419" s="138"/>
      <c r="Z419" s="138"/>
      <c r="AA419" s="138"/>
      <c r="AB419" s="138"/>
      <c r="AC419" s="138"/>
    </row>
    <row r="420">
      <c r="A420" s="161"/>
      <c r="B420" s="161"/>
      <c r="C420" s="138"/>
      <c r="D420" s="160"/>
      <c r="E420" s="161"/>
      <c r="F420" s="161"/>
      <c r="G420" s="161"/>
      <c r="H420" s="161"/>
      <c r="I420" s="138"/>
      <c r="J420" s="138"/>
      <c r="K420" s="137"/>
      <c r="L420" s="137"/>
      <c r="M420" s="137"/>
      <c r="N420" s="137"/>
      <c r="O420" s="137"/>
      <c r="P420" s="137"/>
      <c r="Q420" s="137"/>
      <c r="R420" s="137"/>
      <c r="S420" s="137"/>
      <c r="T420" s="137"/>
      <c r="U420" s="138"/>
      <c r="V420" s="138"/>
      <c r="W420" s="138"/>
      <c r="X420" s="138"/>
      <c r="Y420" s="138"/>
      <c r="Z420" s="138"/>
      <c r="AA420" s="138"/>
      <c r="AB420" s="138"/>
      <c r="AC420" s="138"/>
    </row>
    <row r="421">
      <c r="A421" s="161"/>
      <c r="B421" s="161"/>
      <c r="C421" s="138"/>
      <c r="D421" s="160"/>
      <c r="E421" s="161"/>
      <c r="F421" s="161"/>
      <c r="G421" s="161"/>
      <c r="H421" s="161"/>
      <c r="I421" s="138"/>
      <c r="J421" s="138"/>
      <c r="K421" s="137"/>
      <c r="L421" s="137"/>
      <c r="M421" s="137"/>
      <c r="N421" s="137"/>
      <c r="O421" s="137"/>
      <c r="P421" s="137"/>
      <c r="Q421" s="137"/>
      <c r="R421" s="137"/>
      <c r="S421" s="137"/>
      <c r="T421" s="137"/>
      <c r="U421" s="138"/>
      <c r="V421" s="138"/>
      <c r="W421" s="138"/>
      <c r="X421" s="138"/>
      <c r="Y421" s="138"/>
      <c r="Z421" s="138"/>
      <c r="AA421" s="138"/>
      <c r="AB421" s="138"/>
      <c r="AC421" s="138"/>
    </row>
    <row r="422">
      <c r="A422" s="161"/>
      <c r="B422" s="161"/>
      <c r="C422" s="138"/>
      <c r="D422" s="160"/>
      <c r="E422" s="161"/>
      <c r="F422" s="161"/>
      <c r="G422" s="161"/>
      <c r="H422" s="161"/>
      <c r="I422" s="138"/>
      <c r="J422" s="138"/>
      <c r="K422" s="137"/>
      <c r="L422" s="137"/>
      <c r="M422" s="137"/>
      <c r="N422" s="137"/>
      <c r="O422" s="137"/>
      <c r="P422" s="137"/>
      <c r="Q422" s="137"/>
      <c r="R422" s="137"/>
      <c r="S422" s="137"/>
      <c r="T422" s="137"/>
      <c r="U422" s="138"/>
      <c r="V422" s="138"/>
      <c r="W422" s="138"/>
      <c r="X422" s="138"/>
      <c r="Y422" s="138"/>
      <c r="Z422" s="138"/>
      <c r="AA422" s="138"/>
      <c r="AB422" s="138"/>
      <c r="AC422" s="138"/>
    </row>
    <row r="423">
      <c r="A423" s="161"/>
      <c r="B423" s="161"/>
      <c r="C423" s="138"/>
      <c r="D423" s="160"/>
      <c r="E423" s="161"/>
      <c r="F423" s="161"/>
      <c r="G423" s="161"/>
      <c r="H423" s="161"/>
      <c r="I423" s="138"/>
      <c r="J423" s="138"/>
      <c r="K423" s="137"/>
      <c r="L423" s="137"/>
      <c r="M423" s="137"/>
      <c r="N423" s="137"/>
      <c r="O423" s="137"/>
      <c r="P423" s="137"/>
      <c r="Q423" s="137"/>
      <c r="R423" s="137"/>
      <c r="S423" s="137"/>
      <c r="T423" s="137"/>
      <c r="U423" s="138"/>
      <c r="V423" s="138"/>
      <c r="W423" s="138"/>
      <c r="X423" s="138"/>
      <c r="Y423" s="138"/>
      <c r="Z423" s="138"/>
      <c r="AA423" s="138"/>
      <c r="AB423" s="138"/>
      <c r="AC423" s="138"/>
    </row>
    <row r="424">
      <c r="A424" s="161"/>
      <c r="B424" s="161"/>
      <c r="C424" s="138"/>
      <c r="D424" s="160"/>
      <c r="E424" s="161"/>
      <c r="F424" s="161"/>
      <c r="G424" s="161"/>
      <c r="H424" s="161"/>
      <c r="I424" s="138"/>
      <c r="J424" s="138"/>
      <c r="K424" s="137"/>
      <c r="L424" s="137"/>
      <c r="M424" s="137"/>
      <c r="N424" s="137"/>
      <c r="O424" s="137"/>
      <c r="P424" s="137"/>
      <c r="Q424" s="137"/>
      <c r="R424" s="137"/>
      <c r="S424" s="137"/>
      <c r="T424" s="137"/>
      <c r="U424" s="138"/>
      <c r="V424" s="138"/>
      <c r="W424" s="138"/>
      <c r="X424" s="138"/>
      <c r="Y424" s="138"/>
      <c r="Z424" s="138"/>
      <c r="AA424" s="138"/>
      <c r="AB424" s="138"/>
      <c r="AC424" s="138"/>
    </row>
    <row r="425">
      <c r="A425" s="161"/>
      <c r="B425" s="161"/>
      <c r="C425" s="138"/>
      <c r="D425" s="160"/>
      <c r="E425" s="161"/>
      <c r="F425" s="161"/>
      <c r="G425" s="161"/>
      <c r="H425" s="161"/>
      <c r="I425" s="138"/>
      <c r="J425" s="138"/>
      <c r="K425" s="137"/>
      <c r="L425" s="137"/>
      <c r="M425" s="137"/>
      <c r="N425" s="137"/>
      <c r="O425" s="137"/>
      <c r="P425" s="137"/>
      <c r="Q425" s="137"/>
      <c r="R425" s="137"/>
      <c r="S425" s="137"/>
      <c r="T425" s="137"/>
      <c r="U425" s="138"/>
      <c r="V425" s="138"/>
      <c r="W425" s="138"/>
      <c r="X425" s="138"/>
      <c r="Y425" s="138"/>
      <c r="Z425" s="138"/>
      <c r="AA425" s="138"/>
      <c r="AB425" s="138"/>
      <c r="AC425" s="138"/>
    </row>
    <row r="426">
      <c r="A426" s="161"/>
      <c r="B426" s="161"/>
      <c r="C426" s="138"/>
      <c r="D426" s="160"/>
      <c r="E426" s="161"/>
      <c r="F426" s="161"/>
      <c r="G426" s="161"/>
      <c r="H426" s="161"/>
      <c r="I426" s="138"/>
      <c r="J426" s="138"/>
      <c r="K426" s="137"/>
      <c r="L426" s="137"/>
      <c r="M426" s="137"/>
      <c r="N426" s="137"/>
      <c r="O426" s="137"/>
      <c r="P426" s="137"/>
      <c r="Q426" s="137"/>
      <c r="R426" s="137"/>
      <c r="S426" s="137"/>
      <c r="T426" s="137"/>
      <c r="U426" s="138"/>
      <c r="V426" s="138"/>
      <c r="W426" s="138"/>
      <c r="X426" s="138"/>
      <c r="Y426" s="138"/>
      <c r="Z426" s="138"/>
      <c r="AA426" s="138"/>
      <c r="AB426" s="138"/>
      <c r="AC426" s="138"/>
    </row>
    <row r="427">
      <c r="A427" s="161"/>
      <c r="B427" s="161"/>
      <c r="C427" s="138"/>
      <c r="D427" s="160"/>
      <c r="E427" s="161"/>
      <c r="F427" s="161"/>
      <c r="G427" s="161"/>
      <c r="H427" s="161"/>
      <c r="I427" s="138"/>
      <c r="J427" s="138"/>
      <c r="K427" s="137"/>
      <c r="L427" s="137"/>
      <c r="M427" s="137"/>
      <c r="N427" s="137"/>
      <c r="O427" s="137"/>
      <c r="P427" s="137"/>
      <c r="Q427" s="137"/>
      <c r="R427" s="137"/>
      <c r="S427" s="137"/>
      <c r="T427" s="137"/>
      <c r="U427" s="138"/>
      <c r="V427" s="138"/>
      <c r="W427" s="138"/>
      <c r="X427" s="138"/>
      <c r="Y427" s="138"/>
      <c r="Z427" s="138"/>
      <c r="AA427" s="138"/>
      <c r="AB427" s="138"/>
      <c r="AC427" s="138"/>
    </row>
    <row r="428">
      <c r="A428" s="161"/>
      <c r="B428" s="161"/>
      <c r="C428" s="138"/>
      <c r="D428" s="160"/>
      <c r="E428" s="161"/>
      <c r="F428" s="161"/>
      <c r="G428" s="161"/>
      <c r="H428" s="161"/>
      <c r="I428" s="138"/>
      <c r="J428" s="138"/>
      <c r="K428" s="137"/>
      <c r="L428" s="137"/>
      <c r="M428" s="137"/>
      <c r="N428" s="137"/>
      <c r="O428" s="137"/>
      <c r="P428" s="137"/>
      <c r="Q428" s="137"/>
      <c r="R428" s="137"/>
      <c r="S428" s="137"/>
      <c r="T428" s="137"/>
      <c r="U428" s="138"/>
      <c r="V428" s="138"/>
      <c r="W428" s="138"/>
      <c r="X428" s="138"/>
      <c r="Y428" s="138"/>
      <c r="Z428" s="138"/>
      <c r="AA428" s="138"/>
      <c r="AB428" s="138"/>
      <c r="AC428" s="138"/>
    </row>
    <row r="429">
      <c r="A429" s="161"/>
      <c r="B429" s="161"/>
      <c r="C429" s="138"/>
      <c r="D429" s="160"/>
      <c r="E429" s="161"/>
      <c r="F429" s="161"/>
      <c r="G429" s="161"/>
      <c r="H429" s="161"/>
      <c r="I429" s="138"/>
      <c r="J429" s="138"/>
      <c r="K429" s="137"/>
      <c r="L429" s="137"/>
      <c r="M429" s="137"/>
      <c r="N429" s="137"/>
      <c r="O429" s="137"/>
      <c r="P429" s="137"/>
      <c r="Q429" s="137"/>
      <c r="R429" s="137"/>
      <c r="S429" s="137"/>
      <c r="T429" s="137"/>
      <c r="U429" s="138"/>
      <c r="V429" s="138"/>
      <c r="W429" s="138"/>
      <c r="X429" s="138"/>
      <c r="Y429" s="138"/>
      <c r="Z429" s="138"/>
      <c r="AA429" s="138"/>
      <c r="AB429" s="138"/>
      <c r="AC429" s="138"/>
    </row>
    <row r="430">
      <c r="A430" s="161"/>
      <c r="B430" s="161"/>
      <c r="C430" s="138"/>
      <c r="D430" s="160"/>
      <c r="E430" s="161"/>
      <c r="F430" s="161"/>
      <c r="G430" s="161"/>
      <c r="H430" s="161"/>
      <c r="I430" s="138"/>
      <c r="J430" s="138"/>
      <c r="K430" s="137"/>
      <c r="L430" s="137"/>
      <c r="M430" s="137"/>
      <c r="N430" s="137"/>
      <c r="O430" s="137"/>
      <c r="P430" s="137"/>
      <c r="Q430" s="137"/>
      <c r="R430" s="137"/>
      <c r="S430" s="137"/>
      <c r="T430" s="137"/>
      <c r="U430" s="138"/>
      <c r="V430" s="138"/>
      <c r="W430" s="138"/>
      <c r="X430" s="138"/>
      <c r="Y430" s="138"/>
      <c r="Z430" s="138"/>
      <c r="AA430" s="138"/>
      <c r="AB430" s="138"/>
      <c r="AC430" s="138"/>
    </row>
    <row r="431">
      <c r="A431" s="161"/>
      <c r="B431" s="161"/>
      <c r="C431" s="138"/>
      <c r="D431" s="160"/>
      <c r="E431" s="161"/>
      <c r="F431" s="161"/>
      <c r="G431" s="161"/>
      <c r="H431" s="161"/>
      <c r="I431" s="138"/>
      <c r="J431" s="138"/>
      <c r="K431" s="137"/>
      <c r="L431" s="137"/>
      <c r="M431" s="137"/>
      <c r="N431" s="137"/>
      <c r="O431" s="137"/>
      <c r="P431" s="137"/>
      <c r="Q431" s="137"/>
      <c r="R431" s="137"/>
      <c r="S431" s="137"/>
      <c r="T431" s="137"/>
      <c r="U431" s="138"/>
      <c r="V431" s="138"/>
      <c r="W431" s="138"/>
      <c r="X431" s="138"/>
      <c r="Y431" s="138"/>
      <c r="Z431" s="138"/>
      <c r="AA431" s="138"/>
      <c r="AB431" s="138"/>
      <c r="AC431" s="138"/>
    </row>
    <row r="432">
      <c r="A432" s="161"/>
      <c r="B432" s="161"/>
      <c r="C432" s="138"/>
      <c r="D432" s="160"/>
      <c r="E432" s="161"/>
      <c r="F432" s="161"/>
      <c r="G432" s="161"/>
      <c r="H432" s="161"/>
      <c r="I432" s="138"/>
      <c r="J432" s="138"/>
      <c r="K432" s="137"/>
      <c r="L432" s="137"/>
      <c r="M432" s="137"/>
      <c r="N432" s="137"/>
      <c r="O432" s="137"/>
      <c r="P432" s="137"/>
      <c r="Q432" s="137"/>
      <c r="R432" s="137"/>
      <c r="S432" s="137"/>
      <c r="T432" s="137"/>
      <c r="U432" s="138"/>
      <c r="V432" s="138"/>
      <c r="W432" s="138"/>
      <c r="X432" s="138"/>
      <c r="Y432" s="138"/>
      <c r="Z432" s="138"/>
      <c r="AA432" s="138"/>
      <c r="AB432" s="138"/>
      <c r="AC432" s="138"/>
    </row>
    <row r="433">
      <c r="A433" s="161"/>
      <c r="B433" s="161"/>
      <c r="C433" s="138"/>
      <c r="D433" s="160"/>
      <c r="E433" s="161"/>
      <c r="F433" s="161"/>
      <c r="G433" s="161"/>
      <c r="H433" s="161"/>
      <c r="I433" s="138"/>
      <c r="J433" s="138"/>
      <c r="K433" s="137"/>
      <c r="L433" s="137"/>
      <c r="M433" s="137"/>
      <c r="N433" s="137"/>
      <c r="O433" s="137"/>
      <c r="P433" s="137"/>
      <c r="Q433" s="137"/>
      <c r="R433" s="137"/>
      <c r="S433" s="137"/>
      <c r="T433" s="137"/>
      <c r="U433" s="138"/>
      <c r="V433" s="138"/>
      <c r="W433" s="138"/>
      <c r="X433" s="138"/>
      <c r="Y433" s="138"/>
      <c r="Z433" s="138"/>
      <c r="AA433" s="138"/>
      <c r="AB433" s="138"/>
      <c r="AC433" s="138"/>
    </row>
    <row r="434">
      <c r="A434" s="161"/>
      <c r="B434" s="161"/>
      <c r="C434" s="138"/>
      <c r="D434" s="160"/>
      <c r="E434" s="161"/>
      <c r="F434" s="161"/>
      <c r="G434" s="161"/>
      <c r="H434" s="161"/>
      <c r="I434" s="138"/>
      <c r="J434" s="138"/>
      <c r="K434" s="137"/>
      <c r="L434" s="137"/>
      <c r="M434" s="137"/>
      <c r="N434" s="137"/>
      <c r="O434" s="137"/>
      <c r="P434" s="137"/>
      <c r="Q434" s="137"/>
      <c r="R434" s="137"/>
      <c r="S434" s="137"/>
      <c r="T434" s="137"/>
      <c r="U434" s="138"/>
      <c r="V434" s="138"/>
      <c r="W434" s="138"/>
      <c r="X434" s="138"/>
      <c r="Y434" s="138"/>
      <c r="Z434" s="138"/>
      <c r="AA434" s="138"/>
      <c r="AB434" s="138"/>
      <c r="AC434" s="138"/>
    </row>
    <row r="435">
      <c r="A435" s="161"/>
      <c r="B435" s="161"/>
      <c r="C435" s="138"/>
      <c r="D435" s="160"/>
      <c r="E435" s="161"/>
      <c r="F435" s="161"/>
      <c r="G435" s="161"/>
      <c r="H435" s="161"/>
      <c r="I435" s="138"/>
      <c r="J435" s="138"/>
      <c r="K435" s="137"/>
      <c r="L435" s="137"/>
      <c r="M435" s="137"/>
      <c r="N435" s="137"/>
      <c r="O435" s="137"/>
      <c r="P435" s="137"/>
      <c r="Q435" s="137"/>
      <c r="R435" s="137"/>
      <c r="S435" s="137"/>
      <c r="T435" s="137"/>
      <c r="U435" s="138"/>
      <c r="V435" s="138"/>
      <c r="W435" s="138"/>
      <c r="X435" s="138"/>
      <c r="Y435" s="138"/>
      <c r="Z435" s="138"/>
      <c r="AA435" s="138"/>
      <c r="AB435" s="138"/>
      <c r="AC435" s="138"/>
    </row>
    <row r="436">
      <c r="A436" s="161"/>
      <c r="B436" s="161"/>
      <c r="C436" s="138"/>
      <c r="D436" s="160"/>
      <c r="E436" s="161"/>
      <c r="F436" s="161"/>
      <c r="G436" s="161"/>
      <c r="H436" s="161"/>
      <c r="I436" s="138"/>
      <c r="J436" s="138"/>
      <c r="K436" s="137"/>
      <c r="L436" s="137"/>
      <c r="M436" s="137"/>
      <c r="N436" s="137"/>
      <c r="O436" s="137"/>
      <c r="P436" s="137"/>
      <c r="Q436" s="137"/>
      <c r="R436" s="137"/>
      <c r="S436" s="137"/>
      <c r="T436" s="137"/>
      <c r="U436" s="138"/>
      <c r="V436" s="138"/>
      <c r="W436" s="138"/>
      <c r="X436" s="138"/>
      <c r="Y436" s="138"/>
      <c r="Z436" s="138"/>
      <c r="AA436" s="138"/>
      <c r="AB436" s="138"/>
      <c r="AC436" s="138"/>
    </row>
    <row r="437">
      <c r="A437" s="161"/>
      <c r="B437" s="161"/>
      <c r="C437" s="138"/>
      <c r="D437" s="160"/>
      <c r="E437" s="161"/>
      <c r="F437" s="161"/>
      <c r="G437" s="161"/>
      <c r="H437" s="161"/>
      <c r="I437" s="138"/>
      <c r="J437" s="138"/>
      <c r="K437" s="137"/>
      <c r="L437" s="137"/>
      <c r="M437" s="137"/>
      <c r="N437" s="137"/>
      <c r="O437" s="137"/>
      <c r="P437" s="137"/>
      <c r="Q437" s="137"/>
      <c r="R437" s="137"/>
      <c r="S437" s="137"/>
      <c r="T437" s="137"/>
      <c r="U437" s="138"/>
      <c r="V437" s="138"/>
      <c r="W437" s="138"/>
      <c r="X437" s="138"/>
      <c r="Y437" s="138"/>
      <c r="Z437" s="138"/>
      <c r="AA437" s="138"/>
      <c r="AB437" s="138"/>
      <c r="AC437" s="138"/>
    </row>
    <row r="438">
      <c r="A438" s="161"/>
      <c r="B438" s="161"/>
      <c r="C438" s="138"/>
      <c r="D438" s="160"/>
      <c r="E438" s="161"/>
      <c r="F438" s="161"/>
      <c r="G438" s="161"/>
      <c r="H438" s="161"/>
      <c r="I438" s="138"/>
      <c r="J438" s="138"/>
      <c r="K438" s="137"/>
      <c r="L438" s="137"/>
      <c r="M438" s="137"/>
      <c r="N438" s="137"/>
      <c r="O438" s="137"/>
      <c r="P438" s="137"/>
      <c r="Q438" s="137"/>
      <c r="R438" s="137"/>
      <c r="S438" s="137"/>
      <c r="T438" s="137"/>
      <c r="U438" s="138"/>
      <c r="V438" s="138"/>
      <c r="W438" s="138"/>
      <c r="X438" s="138"/>
      <c r="Y438" s="138"/>
      <c r="Z438" s="138"/>
      <c r="AA438" s="138"/>
      <c r="AB438" s="138"/>
      <c r="AC438" s="138"/>
    </row>
    <row r="439">
      <c r="A439" s="161"/>
      <c r="B439" s="161"/>
      <c r="C439" s="138"/>
      <c r="D439" s="160"/>
      <c r="E439" s="161"/>
      <c r="F439" s="161"/>
      <c r="G439" s="161"/>
      <c r="H439" s="161"/>
      <c r="I439" s="138"/>
      <c r="J439" s="138"/>
      <c r="K439" s="137"/>
      <c r="L439" s="137"/>
      <c r="M439" s="137"/>
      <c r="N439" s="137"/>
      <c r="O439" s="137"/>
      <c r="P439" s="137"/>
      <c r="Q439" s="137"/>
      <c r="R439" s="137"/>
      <c r="S439" s="137"/>
      <c r="T439" s="137"/>
      <c r="U439" s="138"/>
      <c r="V439" s="138"/>
      <c r="W439" s="138"/>
      <c r="X439" s="138"/>
      <c r="Y439" s="138"/>
      <c r="Z439" s="138"/>
      <c r="AA439" s="138"/>
      <c r="AB439" s="138"/>
      <c r="AC439" s="138"/>
    </row>
    <row r="440">
      <c r="A440" s="161"/>
      <c r="B440" s="161"/>
      <c r="C440" s="138"/>
      <c r="D440" s="160"/>
      <c r="E440" s="161"/>
      <c r="F440" s="161"/>
      <c r="G440" s="161"/>
      <c r="H440" s="161"/>
      <c r="I440" s="138"/>
      <c r="J440" s="138"/>
      <c r="K440" s="137"/>
      <c r="L440" s="137"/>
      <c r="M440" s="137"/>
      <c r="N440" s="137"/>
      <c r="O440" s="137"/>
      <c r="P440" s="137"/>
      <c r="Q440" s="137"/>
      <c r="R440" s="137"/>
      <c r="S440" s="137"/>
      <c r="T440" s="137"/>
      <c r="U440" s="138"/>
      <c r="V440" s="138"/>
      <c r="W440" s="138"/>
      <c r="X440" s="138"/>
      <c r="Y440" s="138"/>
      <c r="Z440" s="138"/>
      <c r="AA440" s="138"/>
      <c r="AB440" s="138"/>
      <c r="AC440" s="138"/>
    </row>
    <row r="441">
      <c r="A441" s="161"/>
      <c r="B441" s="161"/>
      <c r="C441" s="138"/>
      <c r="D441" s="160"/>
      <c r="E441" s="161"/>
      <c r="F441" s="161"/>
      <c r="G441" s="161"/>
      <c r="H441" s="161"/>
      <c r="I441" s="138"/>
      <c r="J441" s="138"/>
      <c r="K441" s="137"/>
      <c r="L441" s="137"/>
      <c r="M441" s="137"/>
      <c r="N441" s="137"/>
      <c r="O441" s="137"/>
      <c r="P441" s="137"/>
      <c r="Q441" s="137"/>
      <c r="R441" s="137"/>
      <c r="S441" s="137"/>
      <c r="T441" s="137"/>
      <c r="U441" s="138"/>
      <c r="V441" s="138"/>
      <c r="W441" s="138"/>
      <c r="X441" s="138"/>
      <c r="Y441" s="138"/>
      <c r="Z441" s="138"/>
      <c r="AA441" s="138"/>
      <c r="AB441" s="138"/>
      <c r="AC441" s="138"/>
    </row>
    <row r="442">
      <c r="A442" s="161"/>
      <c r="B442" s="161"/>
      <c r="C442" s="138"/>
      <c r="D442" s="160"/>
      <c r="E442" s="161"/>
      <c r="F442" s="161"/>
      <c r="G442" s="161"/>
      <c r="H442" s="161"/>
      <c r="I442" s="138"/>
      <c r="J442" s="138"/>
      <c r="K442" s="137"/>
      <c r="L442" s="137"/>
      <c r="M442" s="137"/>
      <c r="N442" s="137"/>
      <c r="O442" s="137"/>
      <c r="P442" s="137"/>
      <c r="Q442" s="137"/>
      <c r="R442" s="137"/>
      <c r="S442" s="137"/>
      <c r="T442" s="137"/>
      <c r="U442" s="138"/>
      <c r="V442" s="138"/>
      <c r="W442" s="138"/>
      <c r="X442" s="138"/>
      <c r="Y442" s="138"/>
      <c r="Z442" s="138"/>
      <c r="AA442" s="138"/>
      <c r="AB442" s="138"/>
      <c r="AC442" s="138"/>
    </row>
    <row r="443">
      <c r="A443" s="161"/>
      <c r="B443" s="161"/>
      <c r="C443" s="138"/>
      <c r="D443" s="160"/>
      <c r="E443" s="161"/>
      <c r="F443" s="161"/>
      <c r="G443" s="161"/>
      <c r="H443" s="161"/>
      <c r="I443" s="138"/>
      <c r="J443" s="138"/>
      <c r="K443" s="137"/>
      <c r="L443" s="137"/>
      <c r="M443" s="137"/>
      <c r="N443" s="137"/>
      <c r="O443" s="137"/>
      <c r="P443" s="137"/>
      <c r="Q443" s="137"/>
      <c r="R443" s="137"/>
      <c r="S443" s="137"/>
      <c r="T443" s="137"/>
      <c r="U443" s="138"/>
      <c r="V443" s="138"/>
      <c r="W443" s="138"/>
      <c r="X443" s="138"/>
      <c r="Y443" s="138"/>
      <c r="Z443" s="138"/>
      <c r="AA443" s="138"/>
      <c r="AB443" s="138"/>
      <c r="AC443" s="138"/>
    </row>
    <row r="444">
      <c r="A444" s="161"/>
      <c r="B444" s="161"/>
      <c r="C444" s="138"/>
      <c r="D444" s="160"/>
      <c r="E444" s="161"/>
      <c r="F444" s="161"/>
      <c r="G444" s="161"/>
      <c r="H444" s="161"/>
      <c r="I444" s="138"/>
      <c r="J444" s="138"/>
      <c r="K444" s="137"/>
      <c r="L444" s="137"/>
      <c r="M444" s="137"/>
      <c r="N444" s="137"/>
      <c r="O444" s="137"/>
      <c r="P444" s="137"/>
      <c r="Q444" s="137"/>
      <c r="R444" s="137"/>
      <c r="S444" s="137"/>
      <c r="T444" s="137"/>
      <c r="U444" s="138"/>
      <c r="V444" s="138"/>
      <c r="W444" s="138"/>
      <c r="X444" s="138"/>
      <c r="Y444" s="138"/>
      <c r="Z444" s="138"/>
      <c r="AA444" s="138"/>
      <c r="AB444" s="138"/>
      <c r="AC444" s="138"/>
    </row>
    <row r="445">
      <c r="A445" s="161"/>
      <c r="B445" s="161"/>
      <c r="C445" s="138"/>
      <c r="D445" s="160"/>
      <c r="E445" s="161"/>
      <c r="F445" s="161"/>
      <c r="G445" s="161"/>
      <c r="H445" s="161"/>
      <c r="I445" s="138"/>
      <c r="J445" s="138"/>
      <c r="K445" s="137"/>
      <c r="L445" s="137"/>
      <c r="M445" s="137"/>
      <c r="N445" s="137"/>
      <c r="O445" s="137"/>
      <c r="P445" s="137"/>
      <c r="Q445" s="137"/>
      <c r="R445" s="137"/>
      <c r="S445" s="137"/>
      <c r="T445" s="137"/>
      <c r="U445" s="138"/>
      <c r="V445" s="138"/>
      <c r="W445" s="138"/>
      <c r="X445" s="138"/>
      <c r="Y445" s="138"/>
      <c r="Z445" s="138"/>
      <c r="AA445" s="138"/>
      <c r="AB445" s="138"/>
      <c r="AC445" s="138"/>
    </row>
    <row r="446">
      <c r="A446" s="161"/>
      <c r="B446" s="161"/>
      <c r="C446" s="138"/>
      <c r="D446" s="160"/>
      <c r="E446" s="161"/>
      <c r="F446" s="161"/>
      <c r="G446" s="161"/>
      <c r="H446" s="161"/>
      <c r="I446" s="138"/>
      <c r="J446" s="138"/>
      <c r="K446" s="137"/>
      <c r="L446" s="137"/>
      <c r="M446" s="137"/>
      <c r="N446" s="137"/>
      <c r="O446" s="137"/>
      <c r="P446" s="137"/>
      <c r="Q446" s="137"/>
      <c r="R446" s="137"/>
      <c r="S446" s="137"/>
      <c r="T446" s="137"/>
      <c r="U446" s="138"/>
      <c r="V446" s="138"/>
      <c r="W446" s="138"/>
      <c r="X446" s="138"/>
      <c r="Y446" s="138"/>
      <c r="Z446" s="138"/>
      <c r="AA446" s="138"/>
      <c r="AB446" s="138"/>
      <c r="AC446" s="138"/>
    </row>
    <row r="447">
      <c r="A447" s="161"/>
      <c r="B447" s="161"/>
      <c r="C447" s="138"/>
      <c r="D447" s="160"/>
      <c r="E447" s="161"/>
      <c r="F447" s="161"/>
      <c r="G447" s="161"/>
      <c r="H447" s="161"/>
      <c r="I447" s="138"/>
      <c r="J447" s="138"/>
      <c r="K447" s="137"/>
      <c r="L447" s="137"/>
      <c r="M447" s="137"/>
      <c r="N447" s="137"/>
      <c r="O447" s="137"/>
      <c r="P447" s="137"/>
      <c r="Q447" s="137"/>
      <c r="R447" s="137"/>
      <c r="S447" s="137"/>
      <c r="T447" s="137"/>
      <c r="U447" s="138"/>
      <c r="V447" s="138"/>
      <c r="W447" s="138"/>
      <c r="X447" s="138"/>
      <c r="Y447" s="138"/>
      <c r="Z447" s="138"/>
      <c r="AA447" s="138"/>
      <c r="AB447" s="138"/>
      <c r="AC447" s="138"/>
    </row>
    <row r="448">
      <c r="A448" s="161"/>
      <c r="B448" s="161"/>
      <c r="C448" s="138"/>
      <c r="D448" s="160"/>
      <c r="E448" s="161"/>
      <c r="F448" s="161"/>
      <c r="G448" s="161"/>
      <c r="H448" s="161"/>
      <c r="I448" s="138"/>
      <c r="J448" s="138"/>
      <c r="K448" s="137"/>
      <c r="L448" s="137"/>
      <c r="M448" s="137"/>
      <c r="N448" s="137"/>
      <c r="O448" s="137"/>
      <c r="P448" s="137"/>
      <c r="Q448" s="137"/>
      <c r="R448" s="137"/>
      <c r="S448" s="137"/>
      <c r="T448" s="137"/>
      <c r="U448" s="138"/>
      <c r="V448" s="138"/>
      <c r="W448" s="138"/>
      <c r="X448" s="138"/>
      <c r="Y448" s="138"/>
      <c r="Z448" s="138"/>
      <c r="AA448" s="138"/>
      <c r="AB448" s="138"/>
      <c r="AC448" s="138"/>
    </row>
    <row r="449">
      <c r="A449" s="161"/>
      <c r="B449" s="161"/>
      <c r="C449" s="138"/>
      <c r="D449" s="160"/>
      <c r="E449" s="161"/>
      <c r="F449" s="161"/>
      <c r="G449" s="161"/>
      <c r="H449" s="161"/>
      <c r="I449" s="138"/>
      <c r="J449" s="138"/>
      <c r="K449" s="137"/>
      <c r="L449" s="137"/>
      <c r="M449" s="137"/>
      <c r="N449" s="137"/>
      <c r="O449" s="137"/>
      <c r="P449" s="137"/>
      <c r="Q449" s="137"/>
      <c r="R449" s="137"/>
      <c r="S449" s="137"/>
      <c r="T449" s="137"/>
      <c r="U449" s="138"/>
      <c r="V449" s="138"/>
      <c r="W449" s="138"/>
      <c r="X449" s="138"/>
      <c r="Y449" s="138"/>
      <c r="Z449" s="138"/>
      <c r="AA449" s="138"/>
      <c r="AB449" s="138"/>
      <c r="AC449" s="138"/>
    </row>
    <row r="450">
      <c r="A450" s="161"/>
      <c r="B450" s="161"/>
      <c r="C450" s="138"/>
      <c r="D450" s="160"/>
      <c r="E450" s="161"/>
      <c r="F450" s="161"/>
      <c r="G450" s="161"/>
      <c r="H450" s="161"/>
      <c r="I450" s="138"/>
      <c r="J450" s="138"/>
      <c r="K450" s="137"/>
      <c r="L450" s="137"/>
      <c r="M450" s="137"/>
      <c r="N450" s="137"/>
      <c r="O450" s="137"/>
      <c r="P450" s="137"/>
      <c r="Q450" s="137"/>
      <c r="R450" s="137"/>
      <c r="S450" s="137"/>
      <c r="T450" s="137"/>
      <c r="U450" s="138"/>
      <c r="V450" s="138"/>
      <c r="W450" s="138"/>
      <c r="X450" s="138"/>
      <c r="Y450" s="138"/>
      <c r="Z450" s="138"/>
      <c r="AA450" s="138"/>
      <c r="AB450" s="138"/>
      <c r="AC450" s="138"/>
    </row>
    <row r="451">
      <c r="A451" s="161"/>
      <c r="B451" s="161"/>
      <c r="C451" s="138"/>
      <c r="D451" s="160"/>
      <c r="E451" s="161"/>
      <c r="F451" s="161"/>
      <c r="G451" s="161"/>
      <c r="H451" s="161"/>
      <c r="I451" s="138"/>
      <c r="J451" s="138"/>
      <c r="K451" s="137"/>
      <c r="L451" s="137"/>
      <c r="M451" s="137"/>
      <c r="N451" s="137"/>
      <c r="O451" s="137"/>
      <c r="P451" s="137"/>
      <c r="Q451" s="137"/>
      <c r="R451" s="137"/>
      <c r="S451" s="137"/>
      <c r="T451" s="137"/>
      <c r="U451" s="138"/>
      <c r="V451" s="138"/>
      <c r="W451" s="138"/>
      <c r="X451" s="138"/>
      <c r="Y451" s="138"/>
      <c r="Z451" s="138"/>
      <c r="AA451" s="138"/>
      <c r="AB451" s="138"/>
      <c r="AC451" s="138"/>
    </row>
    <row r="452">
      <c r="A452" s="161"/>
      <c r="B452" s="161"/>
      <c r="C452" s="138"/>
      <c r="D452" s="160"/>
      <c r="E452" s="161"/>
      <c r="F452" s="161"/>
      <c r="G452" s="161"/>
      <c r="H452" s="161"/>
      <c r="I452" s="138"/>
      <c r="J452" s="138"/>
      <c r="K452" s="137"/>
      <c r="L452" s="137"/>
      <c r="M452" s="137"/>
      <c r="N452" s="137"/>
      <c r="O452" s="137"/>
      <c r="P452" s="137"/>
      <c r="Q452" s="137"/>
      <c r="R452" s="137"/>
      <c r="S452" s="137"/>
      <c r="T452" s="137"/>
      <c r="U452" s="138"/>
      <c r="V452" s="138"/>
      <c r="W452" s="138"/>
      <c r="X452" s="138"/>
      <c r="Y452" s="138"/>
      <c r="Z452" s="138"/>
      <c r="AA452" s="138"/>
      <c r="AB452" s="138"/>
      <c r="AC452" s="138"/>
    </row>
    <row r="453">
      <c r="A453" s="161"/>
      <c r="B453" s="161"/>
      <c r="C453" s="138"/>
      <c r="D453" s="160"/>
      <c r="E453" s="161"/>
      <c r="F453" s="161"/>
      <c r="G453" s="161"/>
      <c r="H453" s="161"/>
      <c r="I453" s="138"/>
      <c r="J453" s="138"/>
      <c r="K453" s="137"/>
      <c r="L453" s="137"/>
      <c r="M453" s="137"/>
      <c r="N453" s="137"/>
      <c r="O453" s="137"/>
      <c r="P453" s="137"/>
      <c r="Q453" s="137"/>
      <c r="R453" s="137"/>
      <c r="S453" s="137"/>
      <c r="T453" s="137"/>
      <c r="U453" s="138"/>
      <c r="V453" s="138"/>
      <c r="W453" s="138"/>
      <c r="X453" s="138"/>
      <c r="Y453" s="138"/>
      <c r="Z453" s="138"/>
      <c r="AA453" s="138"/>
      <c r="AB453" s="138"/>
      <c r="AC453" s="138"/>
    </row>
    <row r="454">
      <c r="A454" s="161"/>
      <c r="B454" s="161"/>
      <c r="C454" s="138"/>
      <c r="D454" s="160"/>
      <c r="E454" s="161"/>
      <c r="F454" s="161"/>
      <c r="G454" s="161"/>
      <c r="H454" s="161"/>
      <c r="I454" s="138"/>
      <c r="J454" s="138"/>
      <c r="K454" s="137"/>
      <c r="L454" s="137"/>
      <c r="M454" s="137"/>
      <c r="N454" s="137"/>
      <c r="O454" s="137"/>
      <c r="P454" s="137"/>
      <c r="Q454" s="137"/>
      <c r="R454" s="137"/>
      <c r="S454" s="137"/>
      <c r="T454" s="137"/>
      <c r="U454" s="138"/>
      <c r="V454" s="138"/>
      <c r="W454" s="138"/>
      <c r="X454" s="138"/>
      <c r="Y454" s="138"/>
      <c r="Z454" s="138"/>
      <c r="AA454" s="138"/>
      <c r="AB454" s="138"/>
      <c r="AC454" s="138"/>
    </row>
    <row r="455">
      <c r="A455" s="161"/>
      <c r="B455" s="161"/>
      <c r="C455" s="138"/>
      <c r="D455" s="160"/>
      <c r="E455" s="161"/>
      <c r="F455" s="161"/>
      <c r="G455" s="161"/>
      <c r="H455" s="161"/>
      <c r="I455" s="138"/>
      <c r="J455" s="138"/>
      <c r="K455" s="137"/>
      <c r="L455" s="137"/>
      <c r="M455" s="137"/>
      <c r="N455" s="137"/>
      <c r="O455" s="137"/>
      <c r="P455" s="137"/>
      <c r="Q455" s="137"/>
      <c r="R455" s="137"/>
      <c r="S455" s="137"/>
      <c r="T455" s="137"/>
      <c r="U455" s="138"/>
      <c r="V455" s="138"/>
      <c r="W455" s="138"/>
      <c r="X455" s="138"/>
      <c r="Y455" s="138"/>
      <c r="Z455" s="138"/>
      <c r="AA455" s="138"/>
      <c r="AB455" s="138"/>
      <c r="AC455" s="138"/>
    </row>
    <row r="456">
      <c r="A456" s="161"/>
      <c r="B456" s="161"/>
      <c r="C456" s="138"/>
      <c r="D456" s="160"/>
      <c r="E456" s="161"/>
      <c r="F456" s="161"/>
      <c r="G456" s="161"/>
      <c r="H456" s="161"/>
      <c r="I456" s="138"/>
      <c r="J456" s="138"/>
      <c r="K456" s="137"/>
      <c r="L456" s="137"/>
      <c r="M456" s="137"/>
      <c r="N456" s="137"/>
      <c r="O456" s="137"/>
      <c r="P456" s="137"/>
      <c r="Q456" s="137"/>
      <c r="R456" s="137"/>
      <c r="S456" s="137"/>
      <c r="T456" s="137"/>
      <c r="U456" s="138"/>
      <c r="V456" s="138"/>
      <c r="W456" s="138"/>
      <c r="X456" s="138"/>
      <c r="Y456" s="138"/>
      <c r="Z456" s="138"/>
      <c r="AA456" s="138"/>
      <c r="AB456" s="138"/>
      <c r="AC456" s="138"/>
    </row>
    <row r="457">
      <c r="A457" s="161"/>
      <c r="B457" s="161"/>
      <c r="C457" s="138"/>
      <c r="D457" s="160"/>
      <c r="E457" s="161"/>
      <c r="F457" s="161"/>
      <c r="G457" s="161"/>
      <c r="H457" s="161"/>
      <c r="I457" s="138"/>
      <c r="J457" s="138"/>
      <c r="K457" s="137"/>
      <c r="L457" s="137"/>
      <c r="M457" s="137"/>
      <c r="N457" s="137"/>
      <c r="O457" s="137"/>
      <c r="P457" s="137"/>
      <c r="Q457" s="137"/>
      <c r="R457" s="137"/>
      <c r="S457" s="137"/>
      <c r="T457" s="137"/>
      <c r="U457" s="138"/>
      <c r="V457" s="138"/>
      <c r="W457" s="138"/>
      <c r="X457" s="138"/>
      <c r="Y457" s="138"/>
      <c r="Z457" s="138"/>
      <c r="AA457" s="138"/>
      <c r="AB457" s="138"/>
      <c r="AC457" s="138"/>
    </row>
    <row r="458">
      <c r="A458" s="161"/>
      <c r="B458" s="161"/>
      <c r="C458" s="138"/>
      <c r="D458" s="160"/>
      <c r="E458" s="161"/>
      <c r="F458" s="161"/>
      <c r="G458" s="161"/>
      <c r="H458" s="161"/>
      <c r="I458" s="138"/>
      <c r="J458" s="138"/>
      <c r="K458" s="137"/>
      <c r="L458" s="137"/>
      <c r="M458" s="137"/>
      <c r="N458" s="137"/>
      <c r="O458" s="137"/>
      <c r="P458" s="137"/>
      <c r="Q458" s="137"/>
      <c r="R458" s="137"/>
      <c r="S458" s="137"/>
      <c r="T458" s="137"/>
      <c r="U458" s="138"/>
      <c r="V458" s="138"/>
      <c r="W458" s="138"/>
      <c r="X458" s="138"/>
      <c r="Y458" s="138"/>
      <c r="Z458" s="138"/>
      <c r="AA458" s="138"/>
      <c r="AB458" s="138"/>
      <c r="AC458" s="138"/>
    </row>
    <row r="459">
      <c r="A459" s="161"/>
      <c r="B459" s="161"/>
      <c r="C459" s="138"/>
      <c r="D459" s="160"/>
      <c r="E459" s="161"/>
      <c r="F459" s="161"/>
      <c r="G459" s="161"/>
      <c r="H459" s="161"/>
      <c r="I459" s="138"/>
      <c r="J459" s="138"/>
      <c r="K459" s="137"/>
      <c r="L459" s="137"/>
      <c r="M459" s="137"/>
      <c r="N459" s="137"/>
      <c r="O459" s="137"/>
      <c r="P459" s="137"/>
      <c r="Q459" s="137"/>
      <c r="R459" s="137"/>
      <c r="S459" s="137"/>
      <c r="T459" s="137"/>
      <c r="U459" s="138"/>
      <c r="V459" s="138"/>
      <c r="W459" s="138"/>
      <c r="X459" s="138"/>
      <c r="Y459" s="138"/>
      <c r="Z459" s="138"/>
      <c r="AA459" s="138"/>
      <c r="AB459" s="138"/>
      <c r="AC459" s="138"/>
    </row>
    <row r="460">
      <c r="A460" s="161"/>
      <c r="B460" s="161"/>
      <c r="C460" s="138"/>
      <c r="D460" s="160"/>
      <c r="E460" s="161"/>
      <c r="F460" s="161"/>
      <c r="G460" s="161"/>
      <c r="H460" s="161"/>
      <c r="I460" s="138"/>
      <c r="J460" s="138"/>
      <c r="K460" s="137"/>
      <c r="L460" s="137"/>
      <c r="M460" s="137"/>
      <c r="N460" s="137"/>
      <c r="O460" s="137"/>
      <c r="P460" s="137"/>
      <c r="Q460" s="137"/>
      <c r="R460" s="137"/>
      <c r="S460" s="137"/>
      <c r="T460" s="137"/>
      <c r="U460" s="138"/>
      <c r="V460" s="138"/>
      <c r="W460" s="138"/>
      <c r="X460" s="138"/>
      <c r="Y460" s="138"/>
      <c r="Z460" s="138"/>
      <c r="AA460" s="138"/>
      <c r="AB460" s="138"/>
      <c r="AC460" s="138"/>
    </row>
    <row r="461">
      <c r="A461" s="161"/>
      <c r="B461" s="161"/>
      <c r="C461" s="138"/>
      <c r="D461" s="160"/>
      <c r="E461" s="161"/>
      <c r="F461" s="161"/>
      <c r="G461" s="161"/>
      <c r="H461" s="161"/>
      <c r="I461" s="138"/>
      <c r="J461" s="138"/>
      <c r="K461" s="137"/>
      <c r="L461" s="137"/>
      <c r="M461" s="137"/>
      <c r="N461" s="137"/>
      <c r="O461" s="137"/>
      <c r="P461" s="137"/>
      <c r="Q461" s="137"/>
      <c r="R461" s="137"/>
      <c r="S461" s="137"/>
      <c r="T461" s="137"/>
      <c r="U461" s="138"/>
      <c r="V461" s="138"/>
      <c r="W461" s="138"/>
      <c r="X461" s="138"/>
      <c r="Y461" s="138"/>
      <c r="Z461" s="138"/>
      <c r="AA461" s="138"/>
      <c r="AB461" s="138"/>
      <c r="AC461" s="138"/>
    </row>
    <row r="462">
      <c r="A462" s="161"/>
      <c r="B462" s="161"/>
      <c r="C462" s="138"/>
      <c r="D462" s="160"/>
      <c r="E462" s="161"/>
      <c r="F462" s="161"/>
      <c r="G462" s="161"/>
      <c r="H462" s="161"/>
      <c r="I462" s="138"/>
      <c r="J462" s="138"/>
      <c r="K462" s="137"/>
      <c r="L462" s="137"/>
      <c r="M462" s="137"/>
      <c r="N462" s="137"/>
      <c r="O462" s="137"/>
      <c r="P462" s="137"/>
      <c r="Q462" s="137"/>
      <c r="R462" s="137"/>
      <c r="S462" s="137"/>
      <c r="T462" s="137"/>
      <c r="U462" s="138"/>
      <c r="V462" s="138"/>
      <c r="W462" s="138"/>
      <c r="X462" s="138"/>
      <c r="Y462" s="138"/>
      <c r="Z462" s="138"/>
      <c r="AA462" s="138"/>
      <c r="AB462" s="138"/>
      <c r="AC462" s="138"/>
    </row>
    <row r="463">
      <c r="A463" s="161"/>
      <c r="B463" s="161"/>
      <c r="C463" s="138"/>
      <c r="D463" s="160"/>
      <c r="E463" s="161"/>
      <c r="F463" s="161"/>
      <c r="G463" s="161"/>
      <c r="H463" s="161"/>
      <c r="I463" s="138"/>
      <c r="J463" s="138"/>
      <c r="K463" s="137"/>
      <c r="L463" s="137"/>
      <c r="M463" s="137"/>
      <c r="N463" s="137"/>
      <c r="O463" s="137"/>
      <c r="P463" s="137"/>
      <c r="Q463" s="137"/>
      <c r="R463" s="137"/>
      <c r="S463" s="137"/>
      <c r="T463" s="137"/>
      <c r="U463" s="138"/>
      <c r="V463" s="138"/>
      <c r="W463" s="138"/>
      <c r="X463" s="138"/>
      <c r="Y463" s="138"/>
      <c r="Z463" s="138"/>
      <c r="AA463" s="138"/>
      <c r="AB463" s="138"/>
      <c r="AC463" s="138"/>
    </row>
    <row r="464">
      <c r="A464" s="161"/>
      <c r="B464" s="161"/>
      <c r="C464" s="138"/>
      <c r="D464" s="160"/>
      <c r="E464" s="161"/>
      <c r="F464" s="161"/>
      <c r="G464" s="161"/>
      <c r="H464" s="161"/>
      <c r="I464" s="138"/>
      <c r="J464" s="138"/>
      <c r="K464" s="137"/>
      <c r="L464" s="137"/>
      <c r="M464" s="137"/>
      <c r="N464" s="137"/>
      <c r="O464" s="137"/>
      <c r="P464" s="137"/>
      <c r="Q464" s="137"/>
      <c r="R464" s="137"/>
      <c r="S464" s="137"/>
      <c r="T464" s="137"/>
      <c r="U464" s="138"/>
      <c r="V464" s="138"/>
      <c r="W464" s="138"/>
      <c r="X464" s="138"/>
      <c r="Y464" s="138"/>
      <c r="Z464" s="138"/>
      <c r="AA464" s="138"/>
      <c r="AB464" s="138"/>
      <c r="AC464" s="138"/>
    </row>
    <row r="465">
      <c r="A465" s="161"/>
      <c r="B465" s="161"/>
      <c r="C465" s="138"/>
      <c r="D465" s="160"/>
      <c r="E465" s="161"/>
      <c r="F465" s="161"/>
      <c r="G465" s="161"/>
      <c r="H465" s="161"/>
      <c r="I465" s="138"/>
      <c r="J465" s="138"/>
      <c r="K465" s="137"/>
      <c r="L465" s="137"/>
      <c r="M465" s="137"/>
      <c r="N465" s="137"/>
      <c r="O465" s="137"/>
      <c r="P465" s="137"/>
      <c r="Q465" s="137"/>
      <c r="R465" s="137"/>
      <c r="S465" s="137"/>
      <c r="T465" s="137"/>
      <c r="U465" s="138"/>
      <c r="V465" s="138"/>
      <c r="W465" s="138"/>
      <c r="X465" s="138"/>
      <c r="Y465" s="138"/>
      <c r="Z465" s="138"/>
      <c r="AA465" s="138"/>
      <c r="AB465" s="138"/>
      <c r="AC465" s="138"/>
    </row>
    <row r="466">
      <c r="A466" s="161"/>
      <c r="B466" s="161"/>
      <c r="C466" s="138"/>
      <c r="D466" s="160"/>
      <c r="E466" s="161"/>
      <c r="F466" s="161"/>
      <c r="G466" s="161"/>
      <c r="H466" s="161"/>
      <c r="I466" s="138"/>
      <c r="J466" s="138"/>
      <c r="K466" s="137"/>
      <c r="L466" s="137"/>
      <c r="M466" s="137"/>
      <c r="N466" s="137"/>
      <c r="O466" s="137"/>
      <c r="P466" s="137"/>
      <c r="Q466" s="137"/>
      <c r="R466" s="137"/>
      <c r="S466" s="137"/>
      <c r="T466" s="137"/>
      <c r="U466" s="138"/>
      <c r="V466" s="138"/>
      <c r="W466" s="138"/>
      <c r="X466" s="138"/>
      <c r="Y466" s="138"/>
      <c r="Z466" s="138"/>
      <c r="AA466" s="138"/>
      <c r="AB466" s="138"/>
      <c r="AC466" s="138"/>
    </row>
    <row r="467">
      <c r="A467" s="161"/>
      <c r="B467" s="161"/>
      <c r="C467" s="138"/>
      <c r="D467" s="160"/>
      <c r="E467" s="161"/>
      <c r="F467" s="161"/>
      <c r="G467" s="161"/>
      <c r="H467" s="161"/>
      <c r="I467" s="138"/>
      <c r="J467" s="138"/>
      <c r="K467" s="137"/>
      <c r="L467" s="137"/>
      <c r="M467" s="137"/>
      <c r="N467" s="137"/>
      <c r="O467" s="137"/>
      <c r="P467" s="137"/>
      <c r="Q467" s="137"/>
      <c r="R467" s="137"/>
      <c r="S467" s="137"/>
      <c r="T467" s="137"/>
      <c r="U467" s="138"/>
      <c r="V467" s="138"/>
      <c r="W467" s="138"/>
      <c r="X467" s="138"/>
      <c r="Y467" s="138"/>
      <c r="Z467" s="138"/>
      <c r="AA467" s="138"/>
      <c r="AB467" s="138"/>
      <c r="AC467" s="138"/>
    </row>
    <row r="468">
      <c r="A468" s="161"/>
      <c r="B468" s="161"/>
      <c r="C468" s="138"/>
      <c r="D468" s="160"/>
      <c r="E468" s="161"/>
      <c r="F468" s="161"/>
      <c r="G468" s="161"/>
      <c r="H468" s="161"/>
      <c r="I468" s="138"/>
      <c r="J468" s="138"/>
      <c r="K468" s="137"/>
      <c r="L468" s="137"/>
      <c r="M468" s="137"/>
      <c r="N468" s="137"/>
      <c r="O468" s="137"/>
      <c r="P468" s="137"/>
      <c r="Q468" s="137"/>
      <c r="R468" s="137"/>
      <c r="S468" s="137"/>
      <c r="T468" s="137"/>
      <c r="U468" s="138"/>
      <c r="V468" s="138"/>
      <c r="W468" s="138"/>
      <c r="X468" s="138"/>
      <c r="Y468" s="138"/>
      <c r="Z468" s="138"/>
      <c r="AA468" s="138"/>
      <c r="AB468" s="138"/>
      <c r="AC468" s="138"/>
    </row>
    <row r="469">
      <c r="A469" s="161"/>
      <c r="B469" s="161"/>
      <c r="C469" s="138"/>
      <c r="D469" s="160"/>
      <c r="E469" s="161"/>
      <c r="F469" s="161"/>
      <c r="G469" s="161"/>
      <c r="H469" s="161"/>
      <c r="I469" s="138"/>
      <c r="J469" s="138"/>
      <c r="K469" s="137"/>
      <c r="L469" s="137"/>
      <c r="M469" s="137"/>
      <c r="N469" s="137"/>
      <c r="O469" s="137"/>
      <c r="P469" s="137"/>
      <c r="Q469" s="137"/>
      <c r="R469" s="137"/>
      <c r="S469" s="137"/>
      <c r="T469" s="137"/>
      <c r="U469" s="138"/>
      <c r="V469" s="138"/>
      <c r="W469" s="138"/>
      <c r="X469" s="138"/>
      <c r="Y469" s="138"/>
      <c r="Z469" s="138"/>
      <c r="AA469" s="138"/>
      <c r="AB469" s="138"/>
      <c r="AC469" s="138"/>
    </row>
    <row r="470">
      <c r="A470" s="161"/>
      <c r="B470" s="161"/>
      <c r="C470" s="138"/>
      <c r="D470" s="160"/>
      <c r="E470" s="161"/>
      <c r="F470" s="161"/>
      <c r="G470" s="161"/>
      <c r="H470" s="161"/>
      <c r="I470" s="138"/>
      <c r="J470" s="138"/>
      <c r="K470" s="137"/>
      <c r="L470" s="137"/>
      <c r="M470" s="137"/>
      <c r="N470" s="137"/>
      <c r="O470" s="137"/>
      <c r="P470" s="137"/>
      <c r="Q470" s="137"/>
      <c r="R470" s="137"/>
      <c r="S470" s="137"/>
      <c r="T470" s="137"/>
      <c r="U470" s="138"/>
      <c r="V470" s="138"/>
      <c r="W470" s="138"/>
      <c r="X470" s="138"/>
      <c r="Y470" s="138"/>
      <c r="Z470" s="138"/>
      <c r="AA470" s="138"/>
      <c r="AB470" s="138"/>
      <c r="AC470" s="138"/>
    </row>
    <row r="471">
      <c r="A471" s="161"/>
      <c r="B471" s="161"/>
      <c r="C471" s="138"/>
      <c r="D471" s="160"/>
      <c r="E471" s="161"/>
      <c r="F471" s="161"/>
      <c r="G471" s="161"/>
      <c r="H471" s="161"/>
      <c r="I471" s="138"/>
      <c r="J471" s="138"/>
      <c r="K471" s="137"/>
      <c r="L471" s="137"/>
      <c r="M471" s="137"/>
      <c r="N471" s="137"/>
      <c r="O471" s="137"/>
      <c r="P471" s="137"/>
      <c r="Q471" s="137"/>
      <c r="R471" s="137"/>
      <c r="S471" s="137"/>
      <c r="T471" s="137"/>
      <c r="U471" s="138"/>
      <c r="V471" s="138"/>
      <c r="W471" s="138"/>
      <c r="X471" s="138"/>
      <c r="Y471" s="138"/>
      <c r="Z471" s="138"/>
      <c r="AA471" s="138"/>
      <c r="AB471" s="138"/>
      <c r="AC471" s="138"/>
    </row>
    <row r="472">
      <c r="A472" s="161"/>
      <c r="B472" s="161"/>
      <c r="C472" s="138"/>
      <c r="D472" s="160"/>
      <c r="E472" s="161"/>
      <c r="F472" s="161"/>
      <c r="G472" s="161"/>
      <c r="H472" s="161"/>
      <c r="I472" s="138"/>
      <c r="J472" s="138"/>
      <c r="K472" s="137"/>
      <c r="L472" s="137"/>
      <c r="M472" s="137"/>
      <c r="N472" s="137"/>
      <c r="O472" s="137"/>
      <c r="P472" s="137"/>
      <c r="Q472" s="137"/>
      <c r="R472" s="137"/>
      <c r="S472" s="137"/>
      <c r="T472" s="137"/>
      <c r="U472" s="138"/>
      <c r="V472" s="138"/>
      <c r="W472" s="138"/>
      <c r="X472" s="138"/>
      <c r="Y472" s="138"/>
      <c r="Z472" s="138"/>
      <c r="AA472" s="138"/>
      <c r="AB472" s="138"/>
      <c r="AC472" s="138"/>
    </row>
    <row r="473">
      <c r="A473" s="161"/>
      <c r="B473" s="161"/>
      <c r="C473" s="138"/>
      <c r="D473" s="160"/>
      <c r="E473" s="161"/>
      <c r="F473" s="161"/>
      <c r="G473" s="161"/>
      <c r="H473" s="161"/>
      <c r="I473" s="138"/>
      <c r="J473" s="138"/>
      <c r="K473" s="137"/>
      <c r="L473" s="137"/>
      <c r="M473" s="137"/>
      <c r="N473" s="137"/>
      <c r="O473" s="137"/>
      <c r="P473" s="137"/>
      <c r="Q473" s="137"/>
      <c r="R473" s="137"/>
      <c r="S473" s="137"/>
      <c r="T473" s="137"/>
      <c r="U473" s="138"/>
      <c r="V473" s="138"/>
      <c r="W473" s="138"/>
      <c r="X473" s="138"/>
      <c r="Y473" s="138"/>
      <c r="Z473" s="138"/>
      <c r="AA473" s="138"/>
      <c r="AB473" s="138"/>
      <c r="AC473" s="138"/>
    </row>
    <row r="474">
      <c r="A474" s="161"/>
      <c r="B474" s="161"/>
      <c r="C474" s="138"/>
      <c r="D474" s="160"/>
      <c r="E474" s="161"/>
      <c r="F474" s="161"/>
      <c r="G474" s="161"/>
      <c r="H474" s="161"/>
      <c r="I474" s="138"/>
      <c r="J474" s="138"/>
      <c r="K474" s="137"/>
      <c r="L474" s="137"/>
      <c r="M474" s="137"/>
      <c r="N474" s="137"/>
      <c r="O474" s="137"/>
      <c r="P474" s="137"/>
      <c r="Q474" s="137"/>
      <c r="R474" s="137"/>
      <c r="S474" s="137"/>
      <c r="T474" s="137"/>
      <c r="U474" s="138"/>
      <c r="V474" s="138"/>
      <c r="W474" s="138"/>
      <c r="X474" s="138"/>
      <c r="Y474" s="138"/>
      <c r="Z474" s="138"/>
      <c r="AA474" s="138"/>
      <c r="AB474" s="138"/>
      <c r="AC474" s="138"/>
    </row>
    <row r="475">
      <c r="A475" s="161"/>
      <c r="B475" s="161"/>
      <c r="C475" s="138"/>
      <c r="D475" s="160"/>
      <c r="E475" s="161"/>
      <c r="F475" s="161"/>
      <c r="G475" s="161"/>
      <c r="H475" s="161"/>
      <c r="I475" s="138"/>
      <c r="J475" s="138"/>
      <c r="K475" s="137"/>
      <c r="L475" s="137"/>
      <c r="M475" s="137"/>
      <c r="N475" s="137"/>
      <c r="O475" s="137"/>
      <c r="P475" s="137"/>
      <c r="Q475" s="137"/>
      <c r="R475" s="137"/>
      <c r="S475" s="137"/>
      <c r="T475" s="137"/>
      <c r="U475" s="138"/>
      <c r="V475" s="138"/>
      <c r="W475" s="138"/>
      <c r="X475" s="138"/>
      <c r="Y475" s="138"/>
      <c r="Z475" s="138"/>
      <c r="AA475" s="138"/>
      <c r="AB475" s="138"/>
      <c r="AC475" s="138"/>
    </row>
    <row r="476">
      <c r="A476" s="161"/>
      <c r="B476" s="161"/>
      <c r="C476" s="138"/>
      <c r="D476" s="160"/>
      <c r="E476" s="161"/>
      <c r="F476" s="161"/>
      <c r="G476" s="161"/>
      <c r="H476" s="161"/>
      <c r="I476" s="138"/>
      <c r="J476" s="138"/>
      <c r="K476" s="138"/>
      <c r="L476" s="138"/>
      <c r="M476" s="138"/>
      <c r="N476" s="138"/>
      <c r="O476" s="138"/>
      <c r="P476" s="138"/>
      <c r="Q476" s="138"/>
      <c r="R476" s="138"/>
      <c r="S476" s="138"/>
      <c r="T476" s="138"/>
      <c r="U476" s="138"/>
      <c r="V476" s="138"/>
      <c r="W476" s="138"/>
      <c r="X476" s="138"/>
      <c r="Y476" s="138"/>
      <c r="Z476" s="138"/>
      <c r="AA476" s="138"/>
      <c r="AB476" s="138"/>
      <c r="AC476" s="138"/>
    </row>
    <row r="477">
      <c r="A477" s="161"/>
      <c r="B477" s="161"/>
      <c r="C477" s="138"/>
      <c r="D477" s="160"/>
      <c r="E477" s="161"/>
      <c r="F477" s="161"/>
      <c r="G477" s="161"/>
      <c r="H477" s="161"/>
      <c r="I477" s="138"/>
      <c r="J477" s="138"/>
      <c r="K477" s="138"/>
      <c r="L477" s="138"/>
      <c r="M477" s="138"/>
      <c r="N477" s="138"/>
      <c r="O477" s="138"/>
      <c r="P477" s="138"/>
      <c r="Q477" s="138"/>
      <c r="R477" s="138"/>
      <c r="S477" s="138"/>
      <c r="T477" s="138"/>
      <c r="U477" s="138"/>
      <c r="V477" s="138"/>
      <c r="W477" s="138"/>
      <c r="X477" s="138"/>
      <c r="Y477" s="138"/>
      <c r="Z477" s="138"/>
      <c r="AA477" s="138"/>
      <c r="AB477" s="138"/>
      <c r="AC477" s="138"/>
    </row>
    <row r="478">
      <c r="A478" s="161"/>
      <c r="B478" s="161"/>
      <c r="C478" s="138"/>
      <c r="D478" s="160"/>
      <c r="E478" s="161"/>
      <c r="F478" s="161"/>
      <c r="G478" s="161"/>
      <c r="H478" s="161"/>
      <c r="I478" s="138"/>
      <c r="J478" s="138"/>
      <c r="K478" s="138"/>
      <c r="L478" s="138"/>
      <c r="M478" s="138"/>
      <c r="N478" s="138"/>
      <c r="O478" s="138"/>
      <c r="P478" s="138"/>
      <c r="Q478" s="138"/>
      <c r="R478" s="138"/>
      <c r="S478" s="138"/>
      <c r="T478" s="138"/>
      <c r="U478" s="138"/>
      <c r="V478" s="138"/>
      <c r="W478" s="138"/>
      <c r="X478" s="138"/>
      <c r="Y478" s="138"/>
      <c r="Z478" s="138"/>
      <c r="AA478" s="138"/>
      <c r="AB478" s="138"/>
      <c r="AC478" s="138"/>
    </row>
    <row r="479">
      <c r="A479" s="161"/>
      <c r="B479" s="161"/>
      <c r="C479" s="138"/>
      <c r="D479" s="160"/>
      <c r="E479" s="161"/>
      <c r="F479" s="161"/>
      <c r="G479" s="161"/>
      <c r="H479" s="161"/>
      <c r="I479" s="138"/>
      <c r="J479" s="138"/>
      <c r="K479" s="138"/>
      <c r="L479" s="138"/>
      <c r="M479" s="138"/>
      <c r="N479" s="138"/>
      <c r="O479" s="138"/>
      <c r="P479" s="138"/>
      <c r="Q479" s="138"/>
      <c r="R479" s="138"/>
      <c r="S479" s="138"/>
      <c r="T479" s="138"/>
      <c r="U479" s="138"/>
      <c r="V479" s="138"/>
      <c r="W479" s="138"/>
      <c r="X479" s="138"/>
      <c r="Y479" s="138"/>
      <c r="Z479" s="138"/>
      <c r="AA479" s="138"/>
      <c r="AB479" s="138"/>
      <c r="AC479" s="138"/>
    </row>
    <row r="480">
      <c r="A480" s="161"/>
      <c r="B480" s="161"/>
      <c r="C480" s="138"/>
      <c r="D480" s="160"/>
      <c r="E480" s="161"/>
      <c r="F480" s="161"/>
      <c r="G480" s="161"/>
      <c r="H480" s="161"/>
      <c r="I480" s="138"/>
      <c r="J480" s="138"/>
      <c r="K480" s="138"/>
      <c r="L480" s="138"/>
      <c r="M480" s="138"/>
      <c r="N480" s="138"/>
      <c r="O480" s="138"/>
      <c r="P480" s="138"/>
      <c r="Q480" s="138"/>
      <c r="R480" s="138"/>
      <c r="S480" s="138"/>
      <c r="T480" s="138"/>
      <c r="U480" s="138"/>
      <c r="V480" s="138"/>
      <c r="W480" s="138"/>
      <c r="X480" s="138"/>
      <c r="Y480" s="138"/>
      <c r="Z480" s="138"/>
      <c r="AA480" s="138"/>
      <c r="AB480" s="138"/>
      <c r="AC480" s="138"/>
    </row>
    <row r="481">
      <c r="A481" s="161"/>
      <c r="B481" s="161"/>
      <c r="C481" s="138"/>
      <c r="D481" s="160"/>
      <c r="E481" s="161"/>
      <c r="F481" s="161"/>
      <c r="G481" s="161"/>
      <c r="H481" s="161"/>
      <c r="I481" s="138"/>
      <c r="J481" s="138"/>
      <c r="K481" s="138"/>
      <c r="L481" s="138"/>
      <c r="M481" s="138"/>
      <c r="N481" s="138"/>
      <c r="O481" s="138"/>
      <c r="P481" s="138"/>
      <c r="Q481" s="138"/>
      <c r="R481" s="138"/>
      <c r="S481" s="138"/>
      <c r="T481" s="138"/>
      <c r="U481" s="138"/>
      <c r="V481" s="138"/>
      <c r="W481" s="138"/>
      <c r="X481" s="138"/>
      <c r="Y481" s="138"/>
      <c r="Z481" s="138"/>
      <c r="AA481" s="138"/>
      <c r="AB481" s="138"/>
      <c r="AC481" s="138"/>
    </row>
    <row r="482">
      <c r="A482" s="161"/>
      <c r="B482" s="161"/>
      <c r="C482" s="138"/>
      <c r="D482" s="160"/>
      <c r="E482" s="161"/>
      <c r="F482" s="161"/>
      <c r="G482" s="161"/>
      <c r="H482" s="161"/>
      <c r="I482" s="138"/>
      <c r="J482" s="138"/>
      <c r="K482" s="138"/>
      <c r="L482" s="138"/>
      <c r="M482" s="138"/>
      <c r="N482" s="138"/>
      <c r="O482" s="138"/>
      <c r="P482" s="138"/>
      <c r="Q482" s="138"/>
      <c r="R482" s="138"/>
      <c r="S482" s="138"/>
      <c r="T482" s="138"/>
      <c r="U482" s="138"/>
      <c r="V482" s="138"/>
      <c r="W482" s="138"/>
      <c r="X482" s="138"/>
      <c r="Y482" s="138"/>
      <c r="Z482" s="138"/>
      <c r="AA482" s="138"/>
      <c r="AB482" s="138"/>
      <c r="AC482" s="138"/>
    </row>
    <row r="483">
      <c r="A483" s="161"/>
      <c r="B483" s="161"/>
      <c r="C483" s="138"/>
      <c r="D483" s="160"/>
      <c r="E483" s="161"/>
      <c r="F483" s="161"/>
      <c r="G483" s="161"/>
      <c r="H483" s="161"/>
      <c r="I483" s="138"/>
      <c r="J483" s="138"/>
      <c r="K483" s="138"/>
      <c r="L483" s="138"/>
      <c r="M483" s="138"/>
      <c r="N483" s="138"/>
      <c r="O483" s="138"/>
      <c r="P483" s="138"/>
      <c r="Q483" s="138"/>
      <c r="R483" s="138"/>
      <c r="S483" s="138"/>
      <c r="T483" s="138"/>
      <c r="U483" s="138"/>
      <c r="V483" s="138"/>
      <c r="W483" s="138"/>
      <c r="X483" s="138"/>
      <c r="Y483" s="138"/>
      <c r="Z483" s="138"/>
      <c r="AA483" s="138"/>
      <c r="AB483" s="138"/>
      <c r="AC483" s="138"/>
    </row>
    <row r="484">
      <c r="A484" s="161"/>
      <c r="B484" s="161"/>
      <c r="C484" s="138"/>
      <c r="D484" s="160"/>
      <c r="E484" s="161"/>
      <c r="F484" s="161"/>
      <c r="G484" s="161"/>
      <c r="H484" s="161"/>
      <c r="I484" s="138"/>
      <c r="J484" s="138"/>
      <c r="K484" s="138"/>
      <c r="L484" s="138"/>
      <c r="M484" s="138"/>
      <c r="N484" s="138"/>
      <c r="O484" s="138"/>
      <c r="P484" s="138"/>
      <c r="Q484" s="138"/>
      <c r="R484" s="138"/>
      <c r="S484" s="138"/>
      <c r="T484" s="138"/>
      <c r="U484" s="138"/>
      <c r="V484" s="138"/>
      <c r="W484" s="138"/>
      <c r="X484" s="138"/>
      <c r="Y484" s="138"/>
      <c r="Z484" s="138"/>
      <c r="AA484" s="138"/>
      <c r="AB484" s="138"/>
      <c r="AC484" s="138"/>
    </row>
    <row r="485">
      <c r="A485" s="161"/>
      <c r="B485" s="161"/>
      <c r="C485" s="138"/>
      <c r="D485" s="160"/>
      <c r="E485" s="161"/>
      <c r="F485" s="161"/>
      <c r="G485" s="161"/>
      <c r="H485" s="161"/>
      <c r="I485" s="138"/>
      <c r="J485" s="138"/>
      <c r="K485" s="138"/>
      <c r="L485" s="138"/>
      <c r="M485" s="138"/>
      <c r="N485" s="138"/>
      <c r="O485" s="138"/>
      <c r="P485" s="138"/>
      <c r="Q485" s="138"/>
      <c r="R485" s="138"/>
      <c r="S485" s="138"/>
      <c r="T485" s="138"/>
      <c r="U485" s="138"/>
      <c r="V485" s="138"/>
      <c r="W485" s="138"/>
      <c r="X485" s="138"/>
      <c r="Y485" s="138"/>
      <c r="Z485" s="138"/>
      <c r="AA485" s="138"/>
      <c r="AB485" s="138"/>
      <c r="AC485" s="138"/>
    </row>
    <row r="486">
      <c r="A486" s="161"/>
      <c r="B486" s="161"/>
      <c r="C486" s="138"/>
      <c r="D486" s="160"/>
      <c r="E486" s="161"/>
      <c r="F486" s="161"/>
      <c r="G486" s="161"/>
      <c r="H486" s="161"/>
      <c r="I486" s="138"/>
      <c r="J486" s="138"/>
      <c r="K486" s="138"/>
      <c r="L486" s="138"/>
      <c r="M486" s="138"/>
      <c r="N486" s="138"/>
      <c r="O486" s="138"/>
      <c r="P486" s="138"/>
      <c r="Q486" s="138"/>
      <c r="R486" s="138"/>
      <c r="S486" s="138"/>
      <c r="T486" s="138"/>
      <c r="U486" s="138"/>
      <c r="V486" s="138"/>
      <c r="W486" s="138"/>
      <c r="X486" s="138"/>
      <c r="Y486" s="138"/>
      <c r="Z486" s="138"/>
      <c r="AA486" s="138"/>
      <c r="AB486" s="138"/>
      <c r="AC486" s="138"/>
    </row>
    <row r="487">
      <c r="A487" s="161"/>
      <c r="B487" s="161"/>
      <c r="C487" s="138"/>
      <c r="D487" s="160"/>
      <c r="E487" s="161"/>
      <c r="F487" s="161"/>
      <c r="G487" s="161"/>
      <c r="H487" s="161"/>
      <c r="I487" s="138"/>
      <c r="J487" s="138"/>
      <c r="K487" s="138"/>
      <c r="L487" s="138"/>
      <c r="M487" s="138"/>
      <c r="N487" s="138"/>
      <c r="O487" s="138"/>
      <c r="P487" s="138"/>
      <c r="Q487" s="138"/>
      <c r="R487" s="138"/>
      <c r="S487" s="138"/>
      <c r="T487" s="138"/>
      <c r="U487" s="138"/>
      <c r="V487" s="138"/>
      <c r="W487" s="138"/>
      <c r="X487" s="138"/>
      <c r="Y487" s="138"/>
      <c r="Z487" s="138"/>
      <c r="AA487" s="138"/>
      <c r="AB487" s="138"/>
      <c r="AC487" s="138"/>
    </row>
    <row r="488">
      <c r="A488" s="161"/>
      <c r="B488" s="161"/>
      <c r="C488" s="138"/>
      <c r="D488" s="160"/>
      <c r="E488" s="161"/>
      <c r="F488" s="161"/>
      <c r="G488" s="161"/>
      <c r="H488" s="161"/>
      <c r="I488" s="138"/>
      <c r="J488" s="138"/>
      <c r="K488" s="138"/>
      <c r="L488" s="138"/>
      <c r="M488" s="138"/>
      <c r="N488" s="138"/>
      <c r="O488" s="138"/>
      <c r="P488" s="138"/>
      <c r="Q488" s="138"/>
      <c r="R488" s="138"/>
      <c r="S488" s="138"/>
      <c r="T488" s="138"/>
      <c r="U488" s="138"/>
      <c r="V488" s="138"/>
      <c r="W488" s="138"/>
      <c r="X488" s="138"/>
      <c r="Y488" s="138"/>
      <c r="Z488" s="138"/>
      <c r="AA488" s="138"/>
      <c r="AB488" s="138"/>
      <c r="AC488" s="138"/>
    </row>
    <row r="489">
      <c r="A489" s="161"/>
      <c r="B489" s="161"/>
      <c r="C489" s="138"/>
      <c r="D489" s="160"/>
      <c r="E489" s="161"/>
      <c r="F489" s="161"/>
      <c r="G489" s="161"/>
      <c r="H489" s="161"/>
      <c r="I489" s="138"/>
      <c r="J489" s="138"/>
      <c r="K489" s="138"/>
      <c r="L489" s="138"/>
      <c r="M489" s="138"/>
      <c r="N489" s="138"/>
      <c r="O489" s="138"/>
      <c r="P489" s="138"/>
      <c r="Q489" s="138"/>
      <c r="R489" s="138"/>
      <c r="S489" s="138"/>
      <c r="T489" s="138"/>
      <c r="U489" s="138"/>
      <c r="V489" s="138"/>
      <c r="W489" s="138"/>
      <c r="X489" s="138"/>
      <c r="Y489" s="138"/>
      <c r="Z489" s="138"/>
      <c r="AA489" s="138"/>
      <c r="AB489" s="138"/>
      <c r="AC489" s="138"/>
    </row>
    <row r="490">
      <c r="A490" s="161"/>
      <c r="B490" s="161"/>
      <c r="C490" s="138"/>
      <c r="D490" s="160"/>
      <c r="E490" s="161"/>
      <c r="F490" s="161"/>
      <c r="G490" s="161"/>
      <c r="H490" s="161"/>
      <c r="I490" s="138"/>
      <c r="J490" s="138"/>
      <c r="K490" s="138"/>
      <c r="L490" s="138"/>
      <c r="M490" s="138"/>
      <c r="N490" s="138"/>
      <c r="O490" s="138"/>
      <c r="P490" s="138"/>
      <c r="Q490" s="138"/>
      <c r="R490" s="138"/>
      <c r="S490" s="138"/>
      <c r="T490" s="138"/>
      <c r="U490" s="138"/>
      <c r="V490" s="138"/>
      <c r="W490" s="138"/>
      <c r="X490" s="138"/>
      <c r="Y490" s="138"/>
      <c r="Z490" s="138"/>
      <c r="AA490" s="138"/>
      <c r="AB490" s="138"/>
      <c r="AC490" s="138"/>
    </row>
    <row r="491">
      <c r="A491" s="161"/>
      <c r="B491" s="161"/>
      <c r="C491" s="138"/>
      <c r="D491" s="160"/>
      <c r="E491" s="161"/>
      <c r="F491" s="161"/>
      <c r="G491" s="161"/>
      <c r="H491" s="161"/>
      <c r="I491" s="138"/>
      <c r="J491" s="138"/>
      <c r="K491" s="138"/>
      <c r="L491" s="138"/>
      <c r="M491" s="138"/>
      <c r="N491" s="138"/>
      <c r="O491" s="138"/>
      <c r="P491" s="138"/>
      <c r="Q491" s="138"/>
      <c r="R491" s="138"/>
      <c r="S491" s="138"/>
      <c r="T491" s="138"/>
      <c r="U491" s="138"/>
      <c r="V491" s="138"/>
      <c r="W491" s="138"/>
      <c r="X491" s="138"/>
      <c r="Y491" s="138"/>
      <c r="Z491" s="138"/>
      <c r="AA491" s="138"/>
      <c r="AB491" s="138"/>
      <c r="AC491" s="138"/>
    </row>
    <row r="492">
      <c r="A492" s="161"/>
      <c r="B492" s="161"/>
      <c r="C492" s="138"/>
      <c r="D492" s="160"/>
      <c r="E492" s="161"/>
      <c r="F492" s="161"/>
      <c r="G492" s="161"/>
      <c r="H492" s="161"/>
      <c r="I492" s="138"/>
      <c r="J492" s="138"/>
      <c r="K492" s="138"/>
      <c r="L492" s="138"/>
      <c r="M492" s="138"/>
      <c r="N492" s="138"/>
      <c r="O492" s="138"/>
      <c r="P492" s="138"/>
      <c r="Q492" s="138"/>
      <c r="R492" s="138"/>
      <c r="S492" s="138"/>
      <c r="T492" s="138"/>
      <c r="U492" s="138"/>
      <c r="V492" s="138"/>
      <c r="W492" s="138"/>
      <c r="X492" s="138"/>
      <c r="Y492" s="138"/>
      <c r="Z492" s="138"/>
      <c r="AA492" s="138"/>
      <c r="AB492" s="138"/>
      <c r="AC492" s="138"/>
    </row>
    <row r="493">
      <c r="A493" s="161"/>
      <c r="B493" s="161"/>
      <c r="C493" s="138"/>
      <c r="D493" s="160"/>
      <c r="E493" s="161"/>
      <c r="F493" s="161"/>
      <c r="G493" s="161"/>
      <c r="H493" s="161"/>
      <c r="I493" s="138"/>
      <c r="J493" s="138"/>
      <c r="K493" s="138"/>
      <c r="L493" s="138"/>
      <c r="M493" s="138"/>
      <c r="N493" s="138"/>
      <c r="O493" s="138"/>
      <c r="P493" s="138"/>
      <c r="Q493" s="138"/>
      <c r="R493" s="138"/>
      <c r="S493" s="138"/>
      <c r="T493" s="138"/>
      <c r="U493" s="138"/>
      <c r="V493" s="138"/>
      <c r="W493" s="138"/>
      <c r="X493" s="138"/>
      <c r="Y493" s="138"/>
      <c r="Z493" s="138"/>
      <c r="AA493" s="138"/>
      <c r="AB493" s="138"/>
      <c r="AC493" s="138"/>
    </row>
    <row r="494">
      <c r="A494" s="161"/>
      <c r="B494" s="161"/>
      <c r="C494" s="138"/>
      <c r="D494" s="160"/>
      <c r="E494" s="161"/>
      <c r="F494" s="161"/>
      <c r="G494" s="161"/>
      <c r="H494" s="161"/>
      <c r="I494" s="138"/>
      <c r="J494" s="138"/>
      <c r="K494" s="138"/>
      <c r="L494" s="138"/>
      <c r="M494" s="138"/>
      <c r="N494" s="138"/>
      <c r="O494" s="138"/>
      <c r="P494" s="138"/>
      <c r="Q494" s="138"/>
      <c r="R494" s="138"/>
      <c r="S494" s="138"/>
      <c r="T494" s="138"/>
      <c r="U494" s="138"/>
      <c r="V494" s="138"/>
      <c r="W494" s="138"/>
      <c r="X494" s="138"/>
      <c r="Y494" s="138"/>
      <c r="Z494" s="138"/>
      <c r="AA494" s="138"/>
      <c r="AB494" s="138"/>
      <c r="AC494" s="138"/>
    </row>
    <row r="495">
      <c r="A495" s="161"/>
      <c r="B495" s="161"/>
      <c r="C495" s="138"/>
      <c r="D495" s="160"/>
      <c r="E495" s="161"/>
      <c r="F495" s="161"/>
      <c r="G495" s="161"/>
      <c r="H495" s="161"/>
      <c r="I495" s="138"/>
      <c r="J495" s="138"/>
      <c r="K495" s="138"/>
      <c r="L495" s="138"/>
      <c r="M495" s="138"/>
      <c r="N495" s="138"/>
      <c r="O495" s="138"/>
      <c r="P495" s="138"/>
      <c r="Q495" s="138"/>
      <c r="R495" s="138"/>
      <c r="S495" s="138"/>
      <c r="T495" s="138"/>
      <c r="U495" s="138"/>
      <c r="V495" s="138"/>
      <c r="W495" s="138"/>
      <c r="X495" s="138"/>
      <c r="Y495" s="138"/>
      <c r="Z495" s="138"/>
      <c r="AA495" s="138"/>
      <c r="AB495" s="138"/>
      <c r="AC495" s="138"/>
    </row>
    <row r="496">
      <c r="A496" s="161"/>
      <c r="B496" s="161"/>
      <c r="C496" s="138"/>
      <c r="D496" s="160"/>
      <c r="E496" s="161"/>
      <c r="F496" s="161"/>
      <c r="G496" s="161"/>
      <c r="H496" s="161"/>
      <c r="I496" s="138"/>
      <c r="J496" s="138"/>
      <c r="K496" s="138"/>
      <c r="L496" s="138"/>
      <c r="M496" s="138"/>
      <c r="N496" s="138"/>
      <c r="O496" s="138"/>
      <c r="P496" s="138"/>
      <c r="Q496" s="138"/>
      <c r="R496" s="138"/>
      <c r="S496" s="138"/>
      <c r="T496" s="138"/>
      <c r="U496" s="138"/>
      <c r="V496" s="138"/>
      <c r="W496" s="138"/>
      <c r="X496" s="138"/>
      <c r="Y496" s="138"/>
      <c r="Z496" s="138"/>
      <c r="AA496" s="138"/>
      <c r="AB496" s="138"/>
      <c r="AC496" s="138"/>
    </row>
    <row r="497">
      <c r="A497" s="161"/>
      <c r="B497" s="161"/>
      <c r="C497" s="138"/>
      <c r="D497" s="160"/>
      <c r="E497" s="161"/>
      <c r="F497" s="161"/>
      <c r="G497" s="161"/>
      <c r="H497" s="161"/>
      <c r="I497" s="138"/>
      <c r="J497" s="138"/>
      <c r="K497" s="138"/>
      <c r="L497" s="138"/>
      <c r="M497" s="138"/>
      <c r="N497" s="138"/>
      <c r="O497" s="138"/>
      <c r="P497" s="138"/>
      <c r="Q497" s="138"/>
      <c r="R497" s="138"/>
      <c r="S497" s="138"/>
      <c r="T497" s="138"/>
      <c r="U497" s="138"/>
      <c r="V497" s="138"/>
      <c r="W497" s="138"/>
      <c r="X497" s="138"/>
      <c r="Y497" s="138"/>
      <c r="Z497" s="138"/>
      <c r="AA497" s="138"/>
      <c r="AB497" s="138"/>
      <c r="AC497" s="138"/>
    </row>
    <row r="498">
      <c r="A498" s="161"/>
      <c r="B498" s="161"/>
      <c r="C498" s="138"/>
      <c r="D498" s="160"/>
      <c r="E498" s="161"/>
      <c r="F498" s="161"/>
      <c r="G498" s="161"/>
      <c r="H498" s="161"/>
      <c r="I498" s="138"/>
      <c r="J498" s="138"/>
      <c r="K498" s="138"/>
      <c r="L498" s="138"/>
      <c r="M498" s="138"/>
      <c r="N498" s="138"/>
      <c r="O498" s="138"/>
      <c r="P498" s="138"/>
      <c r="Q498" s="138"/>
      <c r="R498" s="138"/>
      <c r="S498" s="138"/>
      <c r="T498" s="138"/>
      <c r="U498" s="138"/>
      <c r="V498" s="138"/>
      <c r="W498" s="138"/>
      <c r="X498" s="138"/>
      <c r="Y498" s="138"/>
      <c r="Z498" s="138"/>
      <c r="AA498" s="138"/>
      <c r="AB498" s="138"/>
      <c r="AC498" s="138"/>
    </row>
    <row r="499">
      <c r="A499" s="161"/>
      <c r="B499" s="161"/>
      <c r="C499" s="138"/>
      <c r="D499" s="160"/>
      <c r="E499" s="161"/>
      <c r="F499" s="161"/>
      <c r="G499" s="161"/>
      <c r="H499" s="161"/>
      <c r="I499" s="138"/>
      <c r="J499" s="138"/>
      <c r="K499" s="138"/>
      <c r="L499" s="138"/>
      <c r="M499" s="138"/>
      <c r="N499" s="138"/>
      <c r="O499" s="138"/>
      <c r="P499" s="138"/>
      <c r="Q499" s="138"/>
      <c r="R499" s="138"/>
      <c r="S499" s="138"/>
      <c r="T499" s="138"/>
      <c r="U499" s="138"/>
      <c r="V499" s="138"/>
      <c r="W499" s="138"/>
      <c r="X499" s="138"/>
      <c r="Y499" s="138"/>
      <c r="Z499" s="138"/>
      <c r="AA499" s="138"/>
      <c r="AB499" s="138"/>
      <c r="AC499" s="138"/>
    </row>
    <row r="500">
      <c r="A500" s="161"/>
      <c r="B500" s="161"/>
      <c r="C500" s="138"/>
      <c r="D500" s="160"/>
      <c r="E500" s="161"/>
      <c r="F500" s="161"/>
      <c r="G500" s="161"/>
      <c r="H500" s="161"/>
      <c r="I500" s="138"/>
      <c r="J500" s="138"/>
      <c r="K500" s="138"/>
      <c r="L500" s="138"/>
      <c r="M500" s="138"/>
      <c r="N500" s="138"/>
      <c r="O500" s="138"/>
      <c r="P500" s="138"/>
      <c r="Q500" s="138"/>
      <c r="R500" s="138"/>
      <c r="S500" s="138"/>
      <c r="T500" s="138"/>
      <c r="U500" s="138"/>
      <c r="V500" s="138"/>
      <c r="W500" s="138"/>
      <c r="X500" s="138"/>
      <c r="Y500" s="138"/>
      <c r="Z500" s="138"/>
      <c r="AA500" s="138"/>
      <c r="AB500" s="138"/>
      <c r="AC500" s="138"/>
    </row>
    <row r="501">
      <c r="A501" s="161"/>
      <c r="B501" s="161"/>
      <c r="C501" s="138"/>
      <c r="D501" s="160"/>
      <c r="E501" s="161"/>
      <c r="F501" s="161"/>
      <c r="G501" s="161"/>
      <c r="H501" s="161"/>
      <c r="I501" s="138"/>
      <c r="J501" s="138"/>
      <c r="K501" s="138"/>
      <c r="L501" s="138"/>
      <c r="M501" s="138"/>
      <c r="N501" s="138"/>
      <c r="O501" s="138"/>
      <c r="P501" s="138"/>
      <c r="Q501" s="138"/>
      <c r="R501" s="138"/>
      <c r="S501" s="138"/>
      <c r="T501" s="138"/>
      <c r="U501" s="138"/>
      <c r="V501" s="138"/>
      <c r="W501" s="138"/>
      <c r="X501" s="138"/>
      <c r="Y501" s="138"/>
      <c r="Z501" s="138"/>
      <c r="AA501" s="138"/>
      <c r="AB501" s="138"/>
      <c r="AC501" s="138"/>
    </row>
    <row r="502">
      <c r="A502" s="161"/>
      <c r="B502" s="161"/>
      <c r="C502" s="138"/>
      <c r="D502" s="160"/>
      <c r="E502" s="161"/>
      <c r="F502" s="161"/>
      <c r="G502" s="161"/>
      <c r="H502" s="161"/>
      <c r="I502" s="138"/>
      <c r="J502" s="138"/>
      <c r="K502" s="138"/>
      <c r="L502" s="138"/>
      <c r="M502" s="138"/>
      <c r="N502" s="138"/>
      <c r="O502" s="138"/>
      <c r="P502" s="138"/>
      <c r="Q502" s="138"/>
      <c r="R502" s="138"/>
      <c r="S502" s="138"/>
      <c r="T502" s="138"/>
      <c r="U502" s="138"/>
      <c r="V502" s="138"/>
      <c r="W502" s="138"/>
      <c r="X502" s="138"/>
      <c r="Y502" s="138"/>
      <c r="Z502" s="138"/>
      <c r="AA502" s="138"/>
      <c r="AB502" s="138"/>
      <c r="AC502" s="138"/>
    </row>
    <row r="503">
      <c r="A503" s="161"/>
      <c r="B503" s="161"/>
      <c r="C503" s="138"/>
      <c r="D503" s="160"/>
      <c r="E503" s="161"/>
      <c r="F503" s="161"/>
      <c r="G503" s="161"/>
      <c r="H503" s="161"/>
      <c r="I503" s="138"/>
      <c r="J503" s="138"/>
      <c r="K503" s="138"/>
      <c r="L503" s="138"/>
      <c r="M503" s="138"/>
      <c r="N503" s="138"/>
      <c r="O503" s="138"/>
      <c r="P503" s="138"/>
      <c r="Q503" s="138"/>
      <c r="R503" s="138"/>
      <c r="S503" s="138"/>
      <c r="T503" s="138"/>
      <c r="U503" s="138"/>
      <c r="V503" s="138"/>
      <c r="W503" s="138"/>
      <c r="X503" s="138"/>
      <c r="Y503" s="138"/>
      <c r="Z503" s="138"/>
      <c r="AA503" s="138"/>
      <c r="AB503" s="138"/>
      <c r="AC503" s="138"/>
    </row>
    <row r="504">
      <c r="A504" s="161"/>
      <c r="B504" s="161"/>
      <c r="C504" s="138"/>
      <c r="D504" s="160"/>
      <c r="E504" s="161"/>
      <c r="F504" s="161"/>
      <c r="G504" s="161"/>
      <c r="H504" s="161"/>
      <c r="I504" s="138"/>
      <c r="J504" s="138"/>
      <c r="K504" s="138"/>
      <c r="L504" s="138"/>
      <c r="M504" s="138"/>
      <c r="N504" s="138"/>
      <c r="O504" s="138"/>
      <c r="P504" s="138"/>
      <c r="Q504" s="138"/>
      <c r="R504" s="138"/>
      <c r="S504" s="138"/>
      <c r="T504" s="138"/>
      <c r="U504" s="138"/>
      <c r="V504" s="138"/>
      <c r="W504" s="138"/>
      <c r="X504" s="138"/>
      <c r="Y504" s="138"/>
      <c r="Z504" s="138"/>
      <c r="AA504" s="138"/>
      <c r="AB504" s="138"/>
      <c r="AC504" s="138"/>
    </row>
    <row r="505">
      <c r="A505" s="161"/>
      <c r="B505" s="161"/>
      <c r="C505" s="138"/>
      <c r="D505" s="160"/>
      <c r="E505" s="161"/>
      <c r="F505" s="161"/>
      <c r="G505" s="161"/>
      <c r="H505" s="161"/>
      <c r="I505" s="138"/>
      <c r="J505" s="138"/>
      <c r="K505" s="138"/>
      <c r="L505" s="138"/>
      <c r="M505" s="138"/>
      <c r="N505" s="138"/>
      <c r="O505" s="138"/>
      <c r="P505" s="138"/>
      <c r="Q505" s="138"/>
      <c r="R505" s="138"/>
      <c r="S505" s="138"/>
      <c r="T505" s="138"/>
      <c r="U505" s="138"/>
      <c r="V505" s="138"/>
      <c r="W505" s="138"/>
      <c r="X505" s="138"/>
      <c r="Y505" s="138"/>
      <c r="Z505" s="138"/>
      <c r="AA505" s="138"/>
      <c r="AB505" s="138"/>
      <c r="AC505" s="138"/>
    </row>
    <row r="506">
      <c r="A506" s="161"/>
      <c r="B506" s="161"/>
      <c r="C506" s="138"/>
      <c r="D506" s="160"/>
      <c r="E506" s="161"/>
      <c r="F506" s="161"/>
      <c r="G506" s="161"/>
      <c r="H506" s="161"/>
      <c r="I506" s="138"/>
      <c r="J506" s="138"/>
      <c r="K506" s="138"/>
      <c r="L506" s="138"/>
      <c r="M506" s="138"/>
      <c r="N506" s="138"/>
      <c r="O506" s="138"/>
      <c r="P506" s="138"/>
      <c r="Q506" s="138"/>
      <c r="R506" s="138"/>
      <c r="S506" s="138"/>
      <c r="T506" s="138"/>
      <c r="U506" s="138"/>
      <c r="V506" s="138"/>
      <c r="W506" s="138"/>
      <c r="X506" s="138"/>
      <c r="Y506" s="138"/>
      <c r="Z506" s="138"/>
      <c r="AA506" s="138"/>
      <c r="AB506" s="138"/>
      <c r="AC506" s="138"/>
    </row>
    <row r="507">
      <c r="A507" s="161"/>
      <c r="B507" s="161"/>
      <c r="C507" s="138"/>
      <c r="D507" s="160"/>
      <c r="E507" s="161"/>
      <c r="F507" s="161"/>
      <c r="G507" s="161"/>
      <c r="H507" s="161"/>
      <c r="I507" s="138"/>
      <c r="J507" s="138"/>
      <c r="K507" s="138"/>
      <c r="L507" s="138"/>
      <c r="M507" s="138"/>
      <c r="N507" s="138"/>
      <c r="O507" s="138"/>
      <c r="P507" s="138"/>
      <c r="Q507" s="138"/>
      <c r="R507" s="138"/>
      <c r="S507" s="138"/>
      <c r="T507" s="138"/>
      <c r="U507" s="138"/>
      <c r="V507" s="138"/>
      <c r="W507" s="138"/>
      <c r="X507" s="138"/>
      <c r="Y507" s="138"/>
      <c r="Z507" s="138"/>
      <c r="AA507" s="138"/>
      <c r="AB507" s="138"/>
      <c r="AC507" s="138"/>
    </row>
    <row r="508">
      <c r="A508" s="161"/>
      <c r="B508" s="161"/>
      <c r="C508" s="138"/>
      <c r="D508" s="160"/>
      <c r="E508" s="161"/>
      <c r="F508" s="161"/>
      <c r="G508" s="161"/>
      <c r="H508" s="161"/>
      <c r="I508" s="138"/>
      <c r="J508" s="138"/>
      <c r="K508" s="138"/>
      <c r="L508" s="138"/>
      <c r="M508" s="138"/>
      <c r="N508" s="138"/>
      <c r="O508" s="138"/>
      <c r="P508" s="138"/>
      <c r="Q508" s="138"/>
      <c r="R508" s="138"/>
      <c r="S508" s="138"/>
      <c r="T508" s="138"/>
      <c r="U508" s="138"/>
      <c r="V508" s="138"/>
      <c r="W508" s="138"/>
      <c r="X508" s="138"/>
      <c r="Y508" s="138"/>
      <c r="Z508" s="138"/>
      <c r="AA508" s="138"/>
      <c r="AB508" s="138"/>
      <c r="AC508" s="138"/>
    </row>
    <row r="509">
      <c r="A509" s="161"/>
      <c r="B509" s="161"/>
      <c r="C509" s="138"/>
      <c r="D509" s="160"/>
      <c r="E509" s="161"/>
      <c r="F509" s="161"/>
      <c r="G509" s="161"/>
      <c r="H509" s="161"/>
      <c r="I509" s="138"/>
      <c r="J509" s="138"/>
      <c r="K509" s="138"/>
      <c r="L509" s="138"/>
      <c r="M509" s="138"/>
      <c r="N509" s="138"/>
      <c r="O509" s="138"/>
      <c r="P509" s="138"/>
      <c r="Q509" s="138"/>
      <c r="R509" s="138"/>
      <c r="S509" s="138"/>
      <c r="T509" s="138"/>
      <c r="U509" s="138"/>
      <c r="V509" s="138"/>
      <c r="W509" s="138"/>
      <c r="X509" s="138"/>
      <c r="Y509" s="138"/>
      <c r="Z509" s="138"/>
      <c r="AA509" s="138"/>
      <c r="AB509" s="138"/>
      <c r="AC509" s="138"/>
    </row>
    <row r="510">
      <c r="A510" s="161"/>
      <c r="B510" s="161"/>
      <c r="C510" s="138"/>
      <c r="D510" s="160"/>
      <c r="E510" s="161"/>
      <c r="F510" s="161"/>
      <c r="G510" s="161"/>
      <c r="H510" s="161"/>
      <c r="I510" s="138"/>
      <c r="J510" s="138"/>
      <c r="K510" s="138"/>
      <c r="L510" s="138"/>
      <c r="M510" s="138"/>
      <c r="N510" s="138"/>
      <c r="O510" s="138"/>
      <c r="P510" s="138"/>
      <c r="Q510" s="138"/>
      <c r="R510" s="138"/>
      <c r="S510" s="138"/>
      <c r="T510" s="138"/>
      <c r="U510" s="138"/>
      <c r="V510" s="138"/>
      <c r="W510" s="138"/>
      <c r="X510" s="138"/>
      <c r="Y510" s="138"/>
      <c r="Z510" s="138"/>
      <c r="AA510" s="138"/>
      <c r="AB510" s="138"/>
      <c r="AC510" s="138"/>
    </row>
    <row r="511">
      <c r="A511" s="161"/>
      <c r="B511" s="161"/>
      <c r="C511" s="138"/>
      <c r="D511" s="160"/>
      <c r="E511" s="161"/>
      <c r="F511" s="161"/>
      <c r="G511" s="161"/>
      <c r="H511" s="161"/>
      <c r="I511" s="138"/>
      <c r="J511" s="138"/>
      <c r="K511" s="138"/>
      <c r="L511" s="138"/>
      <c r="M511" s="138"/>
      <c r="N511" s="138"/>
      <c r="O511" s="138"/>
      <c r="P511" s="138"/>
      <c r="Q511" s="138"/>
      <c r="R511" s="138"/>
      <c r="S511" s="138"/>
      <c r="T511" s="138"/>
      <c r="U511" s="138"/>
      <c r="V511" s="138"/>
      <c r="W511" s="138"/>
      <c r="X511" s="138"/>
      <c r="Y511" s="138"/>
      <c r="Z511" s="138"/>
      <c r="AA511" s="138"/>
      <c r="AB511" s="138"/>
      <c r="AC511" s="138"/>
    </row>
    <row r="512">
      <c r="A512" s="161"/>
      <c r="B512" s="161"/>
      <c r="C512" s="138"/>
      <c r="D512" s="160"/>
      <c r="E512" s="161"/>
      <c r="F512" s="161"/>
      <c r="G512" s="161"/>
      <c r="H512" s="161"/>
      <c r="I512" s="138"/>
      <c r="J512" s="138"/>
      <c r="K512" s="138"/>
      <c r="L512" s="138"/>
      <c r="M512" s="138"/>
      <c r="N512" s="138"/>
      <c r="O512" s="138"/>
      <c r="P512" s="138"/>
      <c r="Q512" s="138"/>
      <c r="R512" s="138"/>
      <c r="S512" s="138"/>
      <c r="T512" s="138"/>
      <c r="U512" s="138"/>
      <c r="V512" s="138"/>
      <c r="W512" s="138"/>
      <c r="X512" s="138"/>
      <c r="Y512" s="138"/>
      <c r="Z512" s="138"/>
      <c r="AA512" s="138"/>
      <c r="AB512" s="138"/>
      <c r="AC512" s="138"/>
    </row>
    <row r="513">
      <c r="A513" s="161"/>
      <c r="B513" s="161"/>
      <c r="C513" s="138"/>
      <c r="D513" s="160"/>
      <c r="E513" s="161"/>
      <c r="F513" s="161"/>
      <c r="G513" s="161"/>
      <c r="H513" s="161"/>
      <c r="I513" s="138"/>
      <c r="J513" s="138"/>
      <c r="K513" s="138"/>
      <c r="L513" s="138"/>
      <c r="M513" s="138"/>
      <c r="N513" s="138"/>
      <c r="O513" s="138"/>
      <c r="P513" s="138"/>
      <c r="Q513" s="138"/>
      <c r="R513" s="138"/>
      <c r="S513" s="138"/>
      <c r="T513" s="138"/>
      <c r="U513" s="138"/>
      <c r="V513" s="138"/>
      <c r="W513" s="138"/>
      <c r="X513" s="138"/>
      <c r="Y513" s="138"/>
      <c r="Z513" s="138"/>
      <c r="AA513" s="138"/>
      <c r="AB513" s="138"/>
      <c r="AC513" s="138"/>
    </row>
    <row r="514">
      <c r="A514" s="161"/>
      <c r="B514" s="161"/>
      <c r="C514" s="138"/>
      <c r="D514" s="160"/>
      <c r="E514" s="161"/>
      <c r="F514" s="161"/>
      <c r="G514" s="161"/>
      <c r="H514" s="161"/>
      <c r="I514" s="138"/>
      <c r="J514" s="138"/>
      <c r="K514" s="138"/>
      <c r="L514" s="138"/>
      <c r="M514" s="138"/>
      <c r="N514" s="138"/>
      <c r="O514" s="138"/>
      <c r="P514" s="138"/>
      <c r="Q514" s="138"/>
      <c r="R514" s="138"/>
      <c r="S514" s="138"/>
      <c r="T514" s="138"/>
      <c r="U514" s="138"/>
      <c r="V514" s="138"/>
      <c r="W514" s="138"/>
      <c r="X514" s="138"/>
      <c r="Y514" s="138"/>
      <c r="Z514" s="138"/>
      <c r="AA514" s="138"/>
      <c r="AB514" s="138"/>
      <c r="AC514" s="138"/>
    </row>
    <row r="515">
      <c r="A515" s="161"/>
      <c r="B515" s="161"/>
      <c r="C515" s="138"/>
      <c r="D515" s="160"/>
      <c r="E515" s="161"/>
      <c r="F515" s="161"/>
      <c r="G515" s="161"/>
      <c r="H515" s="161"/>
      <c r="I515" s="138"/>
      <c r="J515" s="138"/>
      <c r="K515" s="138"/>
      <c r="L515" s="138"/>
      <c r="M515" s="138"/>
      <c r="N515" s="138"/>
      <c r="O515" s="138"/>
      <c r="P515" s="138"/>
      <c r="Q515" s="138"/>
      <c r="R515" s="138"/>
      <c r="S515" s="138"/>
      <c r="T515" s="138"/>
      <c r="U515" s="138"/>
      <c r="V515" s="138"/>
      <c r="W515" s="138"/>
      <c r="X515" s="138"/>
      <c r="Y515" s="138"/>
      <c r="Z515" s="138"/>
      <c r="AA515" s="138"/>
      <c r="AB515" s="138"/>
      <c r="AC515" s="138"/>
    </row>
    <row r="516">
      <c r="A516" s="161"/>
      <c r="B516" s="161"/>
      <c r="C516" s="138"/>
      <c r="D516" s="160"/>
      <c r="E516" s="161"/>
      <c r="F516" s="161"/>
      <c r="G516" s="161"/>
      <c r="H516" s="161"/>
      <c r="I516" s="138"/>
      <c r="J516" s="138"/>
      <c r="K516" s="138"/>
      <c r="L516" s="138"/>
      <c r="M516" s="138"/>
      <c r="N516" s="138"/>
      <c r="O516" s="138"/>
      <c r="P516" s="138"/>
      <c r="Q516" s="138"/>
      <c r="R516" s="138"/>
      <c r="S516" s="138"/>
      <c r="T516" s="138"/>
      <c r="U516" s="138"/>
      <c r="V516" s="138"/>
      <c r="W516" s="138"/>
      <c r="X516" s="138"/>
      <c r="Y516" s="138"/>
      <c r="Z516" s="138"/>
      <c r="AA516" s="138"/>
      <c r="AB516" s="138"/>
      <c r="AC516" s="138"/>
    </row>
    <row r="517">
      <c r="A517" s="161"/>
      <c r="B517" s="161"/>
      <c r="C517" s="138"/>
      <c r="D517" s="160"/>
      <c r="E517" s="161"/>
      <c r="F517" s="161"/>
      <c r="G517" s="161"/>
      <c r="H517" s="161"/>
      <c r="I517" s="138"/>
      <c r="J517" s="138"/>
      <c r="K517" s="138"/>
      <c r="L517" s="138"/>
      <c r="M517" s="138"/>
      <c r="N517" s="138"/>
      <c r="O517" s="138"/>
      <c r="P517" s="138"/>
      <c r="Q517" s="138"/>
      <c r="R517" s="138"/>
      <c r="S517" s="138"/>
      <c r="T517" s="138"/>
      <c r="U517" s="138"/>
      <c r="V517" s="138"/>
      <c r="W517" s="138"/>
      <c r="X517" s="138"/>
      <c r="Y517" s="138"/>
      <c r="Z517" s="138"/>
      <c r="AA517" s="138"/>
      <c r="AB517" s="138"/>
      <c r="AC517" s="138"/>
    </row>
    <row r="518">
      <c r="A518" s="161"/>
      <c r="B518" s="161"/>
      <c r="C518" s="138"/>
      <c r="D518" s="160"/>
      <c r="E518" s="161"/>
      <c r="F518" s="161"/>
      <c r="G518" s="161"/>
      <c r="H518" s="161"/>
      <c r="I518" s="138"/>
      <c r="J518" s="138"/>
      <c r="K518" s="138"/>
      <c r="L518" s="138"/>
      <c r="M518" s="138"/>
      <c r="N518" s="138"/>
      <c r="O518" s="138"/>
      <c r="P518" s="138"/>
      <c r="Q518" s="138"/>
      <c r="R518" s="138"/>
      <c r="S518" s="138"/>
      <c r="T518" s="138"/>
      <c r="U518" s="138"/>
      <c r="V518" s="138"/>
      <c r="W518" s="138"/>
      <c r="X518" s="138"/>
      <c r="Y518" s="138"/>
      <c r="Z518" s="138"/>
      <c r="AA518" s="138"/>
      <c r="AB518" s="138"/>
      <c r="AC518" s="138"/>
    </row>
    <row r="519">
      <c r="A519" s="161"/>
      <c r="B519" s="161"/>
      <c r="C519" s="138"/>
      <c r="D519" s="160"/>
      <c r="E519" s="161"/>
      <c r="F519" s="161"/>
      <c r="G519" s="161"/>
      <c r="H519" s="161"/>
      <c r="I519" s="138"/>
      <c r="J519" s="138"/>
      <c r="K519" s="138"/>
      <c r="L519" s="138"/>
      <c r="M519" s="138"/>
      <c r="N519" s="138"/>
      <c r="O519" s="138"/>
      <c r="P519" s="138"/>
      <c r="Q519" s="138"/>
      <c r="R519" s="138"/>
      <c r="S519" s="138"/>
      <c r="T519" s="138"/>
      <c r="U519" s="138"/>
      <c r="V519" s="138"/>
      <c r="W519" s="138"/>
      <c r="X519" s="138"/>
      <c r="Y519" s="138"/>
      <c r="Z519" s="138"/>
      <c r="AA519" s="138"/>
      <c r="AB519" s="138"/>
      <c r="AC519" s="138"/>
    </row>
    <row r="520">
      <c r="A520" s="161"/>
      <c r="B520" s="161"/>
      <c r="C520" s="138"/>
      <c r="D520" s="160"/>
      <c r="E520" s="161"/>
      <c r="F520" s="161"/>
      <c r="G520" s="161"/>
      <c r="H520" s="161"/>
      <c r="I520" s="138"/>
      <c r="J520" s="138"/>
      <c r="K520" s="138"/>
      <c r="L520" s="138"/>
      <c r="M520" s="138"/>
      <c r="N520" s="138"/>
      <c r="O520" s="138"/>
      <c r="P520" s="138"/>
      <c r="Q520" s="138"/>
      <c r="R520" s="138"/>
      <c r="S520" s="138"/>
      <c r="T520" s="138"/>
      <c r="U520" s="138"/>
      <c r="V520" s="138"/>
      <c r="W520" s="138"/>
      <c r="X520" s="138"/>
      <c r="Y520" s="138"/>
      <c r="Z520" s="138"/>
      <c r="AA520" s="138"/>
      <c r="AB520" s="138"/>
      <c r="AC520" s="138"/>
    </row>
    <row r="521">
      <c r="A521" s="161"/>
      <c r="B521" s="161"/>
      <c r="C521" s="138"/>
      <c r="D521" s="160"/>
      <c r="E521" s="161"/>
      <c r="F521" s="161"/>
      <c r="G521" s="161"/>
      <c r="H521" s="161"/>
      <c r="I521" s="138"/>
      <c r="J521" s="138"/>
      <c r="K521" s="138"/>
      <c r="L521" s="138"/>
      <c r="M521" s="138"/>
      <c r="N521" s="138"/>
      <c r="O521" s="138"/>
      <c r="P521" s="138"/>
      <c r="Q521" s="138"/>
      <c r="R521" s="138"/>
      <c r="S521" s="138"/>
      <c r="T521" s="138"/>
      <c r="U521" s="138"/>
      <c r="V521" s="138"/>
      <c r="W521" s="138"/>
      <c r="X521" s="138"/>
      <c r="Y521" s="138"/>
      <c r="Z521" s="138"/>
      <c r="AA521" s="138"/>
      <c r="AB521" s="138"/>
      <c r="AC521" s="138"/>
    </row>
    <row r="522">
      <c r="A522" s="161"/>
      <c r="B522" s="161"/>
      <c r="C522" s="138"/>
      <c r="D522" s="160"/>
      <c r="E522" s="161"/>
      <c r="F522" s="161"/>
      <c r="G522" s="161"/>
      <c r="H522" s="161"/>
      <c r="I522" s="138"/>
      <c r="J522" s="138"/>
      <c r="K522" s="138"/>
      <c r="L522" s="138"/>
      <c r="M522" s="138"/>
      <c r="N522" s="138"/>
      <c r="O522" s="138"/>
      <c r="P522" s="138"/>
      <c r="Q522" s="138"/>
      <c r="R522" s="138"/>
      <c r="S522" s="138"/>
      <c r="T522" s="138"/>
      <c r="U522" s="138"/>
      <c r="V522" s="138"/>
      <c r="W522" s="138"/>
      <c r="X522" s="138"/>
      <c r="Y522" s="138"/>
      <c r="Z522" s="138"/>
      <c r="AA522" s="138"/>
      <c r="AB522" s="138"/>
      <c r="AC522" s="138"/>
    </row>
    <row r="523">
      <c r="A523" s="161"/>
      <c r="B523" s="161"/>
      <c r="C523" s="138"/>
      <c r="D523" s="160"/>
      <c r="E523" s="161"/>
      <c r="F523" s="161"/>
      <c r="G523" s="161"/>
      <c r="H523" s="161"/>
      <c r="I523" s="138"/>
      <c r="J523" s="138"/>
      <c r="K523" s="138"/>
      <c r="L523" s="138"/>
      <c r="M523" s="138"/>
      <c r="N523" s="138"/>
      <c r="O523" s="138"/>
      <c r="P523" s="138"/>
      <c r="Q523" s="138"/>
      <c r="R523" s="138"/>
      <c r="S523" s="138"/>
      <c r="T523" s="138"/>
      <c r="U523" s="138"/>
      <c r="V523" s="138"/>
      <c r="W523" s="138"/>
      <c r="X523" s="138"/>
      <c r="Y523" s="138"/>
      <c r="Z523" s="138"/>
      <c r="AA523" s="138"/>
      <c r="AB523" s="138"/>
      <c r="AC523" s="138"/>
    </row>
    <row r="524">
      <c r="A524" s="161"/>
      <c r="B524" s="161"/>
      <c r="C524" s="138"/>
      <c r="D524" s="160"/>
      <c r="E524" s="161"/>
      <c r="F524" s="161"/>
      <c r="G524" s="161"/>
      <c r="H524" s="161"/>
      <c r="I524" s="138"/>
      <c r="J524" s="138"/>
      <c r="K524" s="138"/>
      <c r="L524" s="138"/>
      <c r="M524" s="138"/>
      <c r="N524" s="138"/>
      <c r="O524" s="138"/>
      <c r="P524" s="138"/>
      <c r="Q524" s="138"/>
      <c r="R524" s="138"/>
      <c r="S524" s="138"/>
      <c r="T524" s="138"/>
      <c r="U524" s="138"/>
      <c r="V524" s="138"/>
      <c r="W524" s="138"/>
      <c r="X524" s="138"/>
      <c r="Y524" s="138"/>
      <c r="Z524" s="138"/>
      <c r="AA524" s="138"/>
      <c r="AB524" s="138"/>
      <c r="AC524" s="138"/>
    </row>
    <row r="525">
      <c r="A525" s="161"/>
      <c r="B525" s="161"/>
      <c r="C525" s="138"/>
      <c r="D525" s="160"/>
      <c r="E525" s="161"/>
      <c r="F525" s="161"/>
      <c r="G525" s="161"/>
      <c r="H525" s="161"/>
      <c r="I525" s="138"/>
      <c r="J525" s="138"/>
      <c r="K525" s="138"/>
      <c r="L525" s="138"/>
      <c r="M525" s="138"/>
      <c r="N525" s="138"/>
      <c r="O525" s="138"/>
      <c r="P525" s="138"/>
      <c r="Q525" s="138"/>
      <c r="R525" s="138"/>
      <c r="S525" s="138"/>
      <c r="T525" s="138"/>
      <c r="U525" s="138"/>
      <c r="V525" s="138"/>
      <c r="W525" s="138"/>
      <c r="X525" s="138"/>
      <c r="Y525" s="138"/>
      <c r="Z525" s="138"/>
      <c r="AA525" s="138"/>
      <c r="AB525" s="138"/>
      <c r="AC525" s="138"/>
    </row>
    <row r="526">
      <c r="A526" s="161"/>
      <c r="B526" s="161"/>
      <c r="C526" s="138"/>
      <c r="D526" s="160"/>
      <c r="E526" s="161"/>
      <c r="F526" s="161"/>
      <c r="G526" s="161"/>
      <c r="H526" s="161"/>
      <c r="I526" s="138"/>
      <c r="J526" s="138"/>
      <c r="K526" s="138"/>
      <c r="L526" s="138"/>
      <c r="M526" s="138"/>
      <c r="N526" s="138"/>
      <c r="O526" s="138"/>
      <c r="P526" s="138"/>
      <c r="Q526" s="138"/>
      <c r="R526" s="138"/>
      <c r="S526" s="138"/>
      <c r="T526" s="138"/>
      <c r="U526" s="138"/>
      <c r="V526" s="138"/>
      <c r="W526" s="138"/>
      <c r="X526" s="138"/>
      <c r="Y526" s="138"/>
      <c r="Z526" s="138"/>
      <c r="AA526" s="138"/>
      <c r="AB526" s="138"/>
      <c r="AC526" s="138"/>
    </row>
    <row r="527">
      <c r="A527" s="161"/>
      <c r="B527" s="161"/>
      <c r="C527" s="138"/>
      <c r="D527" s="160"/>
      <c r="E527" s="161"/>
      <c r="F527" s="161"/>
      <c r="G527" s="161"/>
      <c r="H527" s="161"/>
      <c r="I527" s="138"/>
      <c r="J527" s="138"/>
      <c r="K527" s="138"/>
      <c r="L527" s="138"/>
      <c r="M527" s="138"/>
      <c r="N527" s="138"/>
      <c r="O527" s="138"/>
      <c r="P527" s="138"/>
      <c r="Q527" s="138"/>
      <c r="R527" s="138"/>
      <c r="S527" s="138"/>
      <c r="T527" s="138"/>
      <c r="U527" s="138"/>
      <c r="V527" s="138"/>
      <c r="W527" s="138"/>
      <c r="X527" s="138"/>
      <c r="Y527" s="138"/>
      <c r="Z527" s="138"/>
      <c r="AA527" s="138"/>
      <c r="AB527" s="138"/>
      <c r="AC527" s="138"/>
    </row>
    <row r="528">
      <c r="A528" s="161"/>
      <c r="B528" s="161"/>
      <c r="C528" s="138"/>
      <c r="D528" s="160"/>
      <c r="E528" s="161"/>
      <c r="F528" s="161"/>
      <c r="G528" s="161"/>
      <c r="H528" s="161"/>
      <c r="I528" s="138"/>
      <c r="J528" s="138"/>
      <c r="K528" s="138"/>
      <c r="L528" s="138"/>
      <c r="M528" s="138"/>
      <c r="N528" s="138"/>
      <c r="O528" s="138"/>
      <c r="P528" s="138"/>
      <c r="Q528" s="138"/>
      <c r="R528" s="138"/>
      <c r="S528" s="138"/>
      <c r="T528" s="138"/>
      <c r="U528" s="138"/>
      <c r="V528" s="138"/>
      <c r="W528" s="138"/>
      <c r="X528" s="138"/>
      <c r="Y528" s="138"/>
      <c r="Z528" s="138"/>
      <c r="AA528" s="138"/>
      <c r="AB528" s="138"/>
      <c r="AC528" s="138"/>
    </row>
    <row r="529">
      <c r="A529" s="161"/>
      <c r="B529" s="161"/>
      <c r="C529" s="138"/>
      <c r="D529" s="160"/>
      <c r="E529" s="161"/>
      <c r="F529" s="161"/>
      <c r="G529" s="161"/>
      <c r="H529" s="161"/>
      <c r="I529" s="138"/>
      <c r="J529" s="138"/>
      <c r="K529" s="138"/>
      <c r="L529" s="138"/>
      <c r="M529" s="138"/>
      <c r="N529" s="138"/>
      <c r="O529" s="138"/>
      <c r="P529" s="138"/>
      <c r="Q529" s="138"/>
      <c r="R529" s="138"/>
      <c r="S529" s="138"/>
      <c r="T529" s="138"/>
      <c r="U529" s="138"/>
      <c r="V529" s="138"/>
      <c r="W529" s="138"/>
      <c r="X529" s="138"/>
      <c r="Y529" s="138"/>
      <c r="Z529" s="138"/>
      <c r="AA529" s="138"/>
      <c r="AB529" s="138"/>
      <c r="AC529" s="138"/>
    </row>
    <row r="530">
      <c r="A530" s="161"/>
      <c r="B530" s="161"/>
      <c r="C530" s="138"/>
      <c r="D530" s="160"/>
      <c r="E530" s="161"/>
      <c r="F530" s="161"/>
      <c r="G530" s="161"/>
      <c r="H530" s="161"/>
      <c r="I530" s="138"/>
      <c r="J530" s="138"/>
      <c r="K530" s="138"/>
      <c r="L530" s="138"/>
      <c r="M530" s="138"/>
      <c r="N530" s="138"/>
      <c r="O530" s="138"/>
      <c r="P530" s="138"/>
      <c r="Q530" s="138"/>
      <c r="R530" s="138"/>
      <c r="S530" s="138"/>
      <c r="T530" s="138"/>
      <c r="U530" s="138"/>
      <c r="V530" s="138"/>
      <c r="W530" s="138"/>
      <c r="X530" s="138"/>
      <c r="Y530" s="138"/>
      <c r="Z530" s="138"/>
      <c r="AA530" s="138"/>
      <c r="AB530" s="138"/>
      <c r="AC530" s="138"/>
    </row>
    <row r="531">
      <c r="A531" s="161"/>
      <c r="B531" s="161"/>
      <c r="C531" s="138"/>
      <c r="D531" s="160"/>
      <c r="E531" s="161"/>
      <c r="F531" s="161"/>
      <c r="G531" s="161"/>
      <c r="H531" s="161"/>
      <c r="I531" s="138"/>
      <c r="J531" s="138"/>
      <c r="K531" s="138"/>
      <c r="L531" s="138"/>
      <c r="M531" s="138"/>
      <c r="N531" s="138"/>
      <c r="O531" s="138"/>
      <c r="P531" s="138"/>
      <c r="Q531" s="138"/>
      <c r="R531" s="138"/>
      <c r="S531" s="138"/>
      <c r="T531" s="138"/>
      <c r="U531" s="138"/>
      <c r="V531" s="138"/>
      <c r="W531" s="138"/>
      <c r="X531" s="138"/>
      <c r="Y531" s="138"/>
      <c r="Z531" s="138"/>
      <c r="AA531" s="138"/>
      <c r="AB531" s="138"/>
      <c r="AC531" s="138"/>
    </row>
    <row r="532">
      <c r="A532" s="161"/>
      <c r="B532" s="161"/>
      <c r="C532" s="138"/>
      <c r="D532" s="160"/>
      <c r="E532" s="161"/>
      <c r="F532" s="161"/>
      <c r="G532" s="161"/>
      <c r="H532" s="161"/>
      <c r="I532" s="138"/>
      <c r="J532" s="138"/>
      <c r="K532" s="138"/>
      <c r="L532" s="138"/>
      <c r="M532" s="138"/>
      <c r="N532" s="138"/>
      <c r="O532" s="138"/>
      <c r="P532" s="138"/>
      <c r="Q532" s="138"/>
      <c r="R532" s="138"/>
      <c r="S532" s="138"/>
      <c r="T532" s="138"/>
      <c r="U532" s="138"/>
      <c r="V532" s="138"/>
      <c r="W532" s="138"/>
      <c r="X532" s="138"/>
      <c r="Y532" s="138"/>
      <c r="Z532" s="138"/>
      <c r="AA532" s="138"/>
      <c r="AB532" s="138"/>
      <c r="AC532" s="138"/>
    </row>
    <row r="533">
      <c r="A533" s="161"/>
      <c r="B533" s="161"/>
      <c r="C533" s="138"/>
      <c r="D533" s="160"/>
      <c r="E533" s="161"/>
      <c r="F533" s="161"/>
      <c r="G533" s="161"/>
      <c r="H533" s="161"/>
      <c r="I533" s="138"/>
      <c r="J533" s="138"/>
      <c r="K533" s="138"/>
      <c r="L533" s="138"/>
      <c r="M533" s="138"/>
      <c r="N533" s="138"/>
      <c r="O533" s="138"/>
      <c r="P533" s="138"/>
      <c r="Q533" s="138"/>
      <c r="R533" s="138"/>
      <c r="S533" s="138"/>
      <c r="T533" s="138"/>
      <c r="U533" s="138"/>
      <c r="V533" s="138"/>
      <c r="W533" s="138"/>
      <c r="X533" s="138"/>
      <c r="Y533" s="138"/>
      <c r="Z533" s="138"/>
      <c r="AA533" s="138"/>
      <c r="AB533" s="138"/>
      <c r="AC533" s="138"/>
    </row>
    <row r="534">
      <c r="A534" s="161"/>
      <c r="B534" s="161"/>
      <c r="C534" s="138"/>
      <c r="D534" s="160"/>
      <c r="E534" s="161"/>
      <c r="F534" s="161"/>
      <c r="G534" s="161"/>
      <c r="H534" s="161"/>
      <c r="I534" s="138"/>
      <c r="J534" s="138"/>
      <c r="K534" s="138"/>
      <c r="L534" s="138"/>
      <c r="M534" s="138"/>
      <c r="N534" s="138"/>
      <c r="O534" s="138"/>
      <c r="P534" s="138"/>
      <c r="Q534" s="138"/>
      <c r="R534" s="138"/>
      <c r="S534" s="138"/>
      <c r="T534" s="138"/>
      <c r="U534" s="138"/>
      <c r="V534" s="138"/>
      <c r="W534" s="138"/>
      <c r="X534" s="138"/>
      <c r="Y534" s="138"/>
      <c r="Z534" s="138"/>
      <c r="AA534" s="138"/>
      <c r="AB534" s="138"/>
      <c r="AC534" s="138"/>
    </row>
    <row r="535">
      <c r="A535" s="161"/>
      <c r="B535" s="161"/>
      <c r="C535" s="138"/>
      <c r="D535" s="160"/>
      <c r="E535" s="161"/>
      <c r="F535" s="161"/>
      <c r="G535" s="161"/>
      <c r="H535" s="161"/>
      <c r="I535" s="138"/>
      <c r="J535" s="138"/>
      <c r="K535" s="138"/>
      <c r="L535" s="138"/>
      <c r="M535" s="138"/>
      <c r="N535" s="138"/>
      <c r="O535" s="138"/>
      <c r="P535" s="138"/>
      <c r="Q535" s="138"/>
      <c r="R535" s="138"/>
      <c r="S535" s="138"/>
      <c r="T535" s="138"/>
      <c r="U535" s="138"/>
      <c r="V535" s="138"/>
      <c r="W535" s="138"/>
      <c r="X535" s="138"/>
      <c r="Y535" s="138"/>
      <c r="Z535" s="138"/>
      <c r="AA535" s="138"/>
      <c r="AB535" s="138"/>
      <c r="AC535" s="138"/>
    </row>
    <row r="536">
      <c r="A536" s="161"/>
      <c r="B536" s="161"/>
      <c r="C536" s="138"/>
      <c r="D536" s="160"/>
      <c r="E536" s="161"/>
      <c r="F536" s="161"/>
      <c r="G536" s="161"/>
      <c r="H536" s="161"/>
      <c r="I536" s="138"/>
      <c r="J536" s="138"/>
      <c r="K536" s="138"/>
      <c r="L536" s="138"/>
      <c r="M536" s="138"/>
      <c r="N536" s="138"/>
      <c r="O536" s="138"/>
      <c r="P536" s="138"/>
      <c r="Q536" s="138"/>
      <c r="R536" s="138"/>
      <c r="S536" s="138"/>
      <c r="T536" s="138"/>
      <c r="U536" s="138"/>
      <c r="V536" s="138"/>
      <c r="W536" s="138"/>
      <c r="X536" s="138"/>
      <c r="Y536" s="138"/>
      <c r="Z536" s="138"/>
      <c r="AA536" s="138"/>
      <c r="AB536" s="138"/>
      <c r="AC536" s="138"/>
    </row>
    <row r="537">
      <c r="A537" s="161"/>
      <c r="B537" s="161"/>
      <c r="C537" s="138"/>
      <c r="D537" s="160"/>
      <c r="E537" s="161"/>
      <c r="F537" s="161"/>
      <c r="G537" s="161"/>
      <c r="H537" s="161"/>
      <c r="I537" s="138"/>
      <c r="J537" s="138"/>
      <c r="K537" s="138"/>
      <c r="L537" s="138"/>
      <c r="M537" s="138"/>
      <c r="N537" s="138"/>
      <c r="O537" s="138"/>
      <c r="P537" s="138"/>
      <c r="Q537" s="138"/>
      <c r="R537" s="138"/>
      <c r="S537" s="138"/>
      <c r="T537" s="138"/>
      <c r="U537" s="138"/>
      <c r="V537" s="138"/>
      <c r="W537" s="138"/>
      <c r="X537" s="138"/>
      <c r="Y537" s="138"/>
      <c r="Z537" s="138"/>
      <c r="AA537" s="138"/>
      <c r="AB537" s="138"/>
      <c r="AC537" s="138"/>
    </row>
    <row r="538">
      <c r="A538" s="161"/>
      <c r="B538" s="161"/>
      <c r="C538" s="138"/>
      <c r="D538" s="160"/>
      <c r="E538" s="161"/>
      <c r="F538" s="161"/>
      <c r="G538" s="161"/>
      <c r="H538" s="161"/>
      <c r="I538" s="138"/>
      <c r="J538" s="138"/>
      <c r="K538" s="138"/>
      <c r="L538" s="138"/>
      <c r="M538" s="138"/>
      <c r="N538" s="138"/>
      <c r="O538" s="138"/>
      <c r="P538" s="138"/>
      <c r="Q538" s="138"/>
      <c r="R538" s="138"/>
      <c r="S538" s="138"/>
      <c r="T538" s="138"/>
      <c r="U538" s="138"/>
      <c r="V538" s="138"/>
      <c r="W538" s="138"/>
      <c r="X538" s="138"/>
      <c r="Y538" s="138"/>
      <c r="Z538" s="138"/>
      <c r="AA538" s="138"/>
      <c r="AB538" s="138"/>
      <c r="AC538" s="138"/>
    </row>
    <row r="539">
      <c r="A539" s="161"/>
      <c r="B539" s="161"/>
      <c r="C539" s="138"/>
      <c r="D539" s="160"/>
      <c r="E539" s="161"/>
      <c r="F539" s="161"/>
      <c r="G539" s="161"/>
      <c r="H539" s="161"/>
      <c r="I539" s="138"/>
      <c r="J539" s="138"/>
      <c r="K539" s="138"/>
      <c r="L539" s="138"/>
      <c r="M539" s="138"/>
      <c r="N539" s="138"/>
      <c r="O539" s="138"/>
      <c r="P539" s="138"/>
      <c r="Q539" s="138"/>
      <c r="R539" s="138"/>
      <c r="S539" s="138"/>
      <c r="T539" s="138"/>
      <c r="U539" s="138"/>
      <c r="V539" s="138"/>
      <c r="W539" s="138"/>
      <c r="X539" s="138"/>
      <c r="Y539" s="138"/>
      <c r="Z539" s="138"/>
      <c r="AA539" s="138"/>
      <c r="AB539" s="138"/>
      <c r="AC539" s="138"/>
    </row>
    <row r="540">
      <c r="A540" s="161"/>
      <c r="B540" s="161"/>
      <c r="C540" s="138"/>
      <c r="D540" s="160"/>
      <c r="E540" s="161"/>
      <c r="F540" s="161"/>
      <c r="G540" s="161"/>
      <c r="H540" s="161"/>
      <c r="I540" s="138"/>
      <c r="J540" s="138"/>
      <c r="K540" s="138"/>
      <c r="L540" s="138"/>
      <c r="M540" s="138"/>
      <c r="N540" s="138"/>
      <c r="O540" s="138"/>
      <c r="P540" s="138"/>
      <c r="Q540" s="138"/>
      <c r="R540" s="138"/>
      <c r="S540" s="138"/>
      <c r="T540" s="138"/>
      <c r="U540" s="138"/>
      <c r="V540" s="138"/>
      <c r="W540" s="138"/>
      <c r="X540" s="138"/>
      <c r="Y540" s="138"/>
      <c r="Z540" s="138"/>
      <c r="AA540" s="138"/>
      <c r="AB540" s="138"/>
      <c r="AC540" s="138"/>
    </row>
    <row r="541">
      <c r="A541" s="161"/>
      <c r="B541" s="161"/>
      <c r="C541" s="138"/>
      <c r="D541" s="160"/>
      <c r="E541" s="161"/>
      <c r="F541" s="161"/>
      <c r="G541" s="161"/>
      <c r="H541" s="161"/>
      <c r="I541" s="138"/>
      <c r="J541" s="138"/>
      <c r="K541" s="138"/>
      <c r="L541" s="138"/>
      <c r="M541" s="138"/>
      <c r="N541" s="138"/>
      <c r="O541" s="138"/>
      <c r="P541" s="138"/>
      <c r="Q541" s="138"/>
      <c r="R541" s="138"/>
      <c r="S541" s="138"/>
      <c r="T541" s="138"/>
      <c r="U541" s="138"/>
      <c r="V541" s="138"/>
      <c r="W541" s="138"/>
      <c r="X541" s="138"/>
      <c r="Y541" s="138"/>
      <c r="Z541" s="138"/>
      <c r="AA541" s="138"/>
      <c r="AB541" s="138"/>
      <c r="AC541" s="138"/>
    </row>
    <row r="542">
      <c r="A542" s="161"/>
      <c r="B542" s="161"/>
      <c r="C542" s="138"/>
      <c r="D542" s="160"/>
      <c r="E542" s="161"/>
      <c r="F542" s="161"/>
      <c r="G542" s="161"/>
      <c r="H542" s="161"/>
      <c r="I542" s="138"/>
      <c r="J542" s="138"/>
      <c r="K542" s="138"/>
      <c r="L542" s="138"/>
      <c r="M542" s="138"/>
      <c r="N542" s="138"/>
      <c r="O542" s="138"/>
      <c r="P542" s="138"/>
      <c r="Q542" s="138"/>
      <c r="R542" s="138"/>
      <c r="S542" s="138"/>
      <c r="T542" s="138"/>
      <c r="U542" s="138"/>
      <c r="V542" s="138"/>
      <c r="W542" s="138"/>
      <c r="X542" s="138"/>
      <c r="Y542" s="138"/>
      <c r="Z542" s="138"/>
      <c r="AA542" s="138"/>
      <c r="AB542" s="138"/>
      <c r="AC542" s="138"/>
    </row>
    <row r="543">
      <c r="A543" s="161"/>
      <c r="B543" s="161"/>
      <c r="C543" s="138"/>
      <c r="D543" s="160"/>
      <c r="E543" s="161"/>
      <c r="F543" s="161"/>
      <c r="G543" s="161"/>
      <c r="H543" s="161"/>
      <c r="I543" s="138"/>
      <c r="J543" s="138"/>
      <c r="K543" s="138"/>
      <c r="L543" s="138"/>
      <c r="M543" s="138"/>
      <c r="N543" s="138"/>
      <c r="O543" s="138"/>
      <c r="P543" s="138"/>
      <c r="Q543" s="138"/>
      <c r="R543" s="138"/>
      <c r="S543" s="138"/>
      <c r="T543" s="138"/>
      <c r="U543" s="138"/>
      <c r="V543" s="138"/>
      <c r="W543" s="138"/>
      <c r="X543" s="138"/>
      <c r="Y543" s="138"/>
      <c r="Z543" s="138"/>
      <c r="AA543" s="138"/>
      <c r="AB543" s="138"/>
      <c r="AC543" s="138"/>
    </row>
    <row r="544">
      <c r="A544" s="161"/>
      <c r="B544" s="161"/>
      <c r="C544" s="138"/>
      <c r="D544" s="160"/>
      <c r="E544" s="161"/>
      <c r="F544" s="161"/>
      <c r="G544" s="161"/>
      <c r="H544" s="161"/>
      <c r="I544" s="138"/>
      <c r="J544" s="138"/>
      <c r="K544" s="138"/>
      <c r="L544" s="138"/>
      <c r="M544" s="138"/>
      <c r="N544" s="138"/>
      <c r="O544" s="138"/>
      <c r="P544" s="138"/>
      <c r="Q544" s="138"/>
      <c r="R544" s="138"/>
      <c r="S544" s="138"/>
      <c r="T544" s="138"/>
      <c r="U544" s="138"/>
      <c r="V544" s="138"/>
      <c r="W544" s="138"/>
      <c r="X544" s="138"/>
      <c r="Y544" s="138"/>
      <c r="Z544" s="138"/>
      <c r="AA544" s="138"/>
      <c r="AB544" s="138"/>
      <c r="AC544" s="138"/>
    </row>
    <row r="545">
      <c r="A545" s="161"/>
      <c r="B545" s="161"/>
      <c r="C545" s="138"/>
      <c r="D545" s="160"/>
      <c r="E545" s="161"/>
      <c r="F545" s="161"/>
      <c r="G545" s="161"/>
      <c r="H545" s="161"/>
      <c r="I545" s="138"/>
      <c r="J545" s="138"/>
      <c r="K545" s="138"/>
      <c r="L545" s="138"/>
      <c r="M545" s="138"/>
      <c r="N545" s="138"/>
      <c r="O545" s="138"/>
      <c r="P545" s="138"/>
      <c r="Q545" s="138"/>
      <c r="R545" s="138"/>
      <c r="S545" s="138"/>
      <c r="T545" s="138"/>
      <c r="U545" s="138"/>
      <c r="V545" s="138"/>
      <c r="W545" s="138"/>
      <c r="X545" s="138"/>
      <c r="Y545" s="138"/>
      <c r="Z545" s="138"/>
      <c r="AA545" s="138"/>
      <c r="AB545" s="138"/>
      <c r="AC545" s="138"/>
    </row>
    <row r="546">
      <c r="A546" s="161"/>
      <c r="B546" s="161"/>
      <c r="C546" s="138"/>
      <c r="D546" s="160"/>
      <c r="E546" s="161"/>
      <c r="F546" s="161"/>
      <c r="G546" s="161"/>
      <c r="H546" s="161"/>
      <c r="I546" s="138"/>
      <c r="J546" s="138"/>
      <c r="K546" s="138"/>
      <c r="L546" s="138"/>
      <c r="M546" s="138"/>
      <c r="N546" s="138"/>
      <c r="O546" s="138"/>
      <c r="P546" s="138"/>
      <c r="Q546" s="138"/>
      <c r="R546" s="138"/>
      <c r="S546" s="138"/>
      <c r="T546" s="138"/>
      <c r="U546" s="138"/>
      <c r="V546" s="138"/>
      <c r="W546" s="138"/>
      <c r="X546" s="138"/>
      <c r="Y546" s="138"/>
      <c r="Z546" s="138"/>
      <c r="AA546" s="138"/>
      <c r="AB546" s="138"/>
      <c r="AC546" s="138"/>
    </row>
    <row r="547">
      <c r="A547" s="161"/>
      <c r="B547" s="161"/>
      <c r="C547" s="138"/>
      <c r="D547" s="160"/>
      <c r="E547" s="161"/>
      <c r="F547" s="161"/>
      <c r="G547" s="161"/>
      <c r="H547" s="161"/>
      <c r="I547" s="138"/>
      <c r="J547" s="138"/>
      <c r="K547" s="138"/>
      <c r="L547" s="138"/>
      <c r="M547" s="138"/>
      <c r="N547" s="138"/>
      <c r="O547" s="138"/>
      <c r="P547" s="138"/>
      <c r="Q547" s="138"/>
      <c r="R547" s="138"/>
      <c r="S547" s="138"/>
      <c r="T547" s="138"/>
      <c r="U547" s="138"/>
      <c r="V547" s="138"/>
      <c r="W547" s="138"/>
      <c r="X547" s="138"/>
      <c r="Y547" s="138"/>
      <c r="Z547" s="138"/>
      <c r="AA547" s="138"/>
      <c r="AB547" s="138"/>
      <c r="AC547" s="138"/>
    </row>
    <row r="548">
      <c r="A548" s="161"/>
      <c r="B548" s="161"/>
      <c r="C548" s="138"/>
      <c r="D548" s="160"/>
      <c r="E548" s="161"/>
      <c r="F548" s="161"/>
      <c r="G548" s="161"/>
      <c r="H548" s="161"/>
      <c r="I548" s="138"/>
      <c r="J548" s="138"/>
      <c r="K548" s="138"/>
      <c r="L548" s="138"/>
      <c r="M548" s="138"/>
      <c r="N548" s="138"/>
      <c r="O548" s="138"/>
      <c r="P548" s="138"/>
      <c r="Q548" s="138"/>
      <c r="R548" s="138"/>
      <c r="S548" s="138"/>
      <c r="T548" s="138"/>
      <c r="U548" s="138"/>
      <c r="V548" s="138"/>
      <c r="W548" s="138"/>
      <c r="X548" s="138"/>
      <c r="Y548" s="138"/>
      <c r="Z548" s="138"/>
      <c r="AA548" s="138"/>
      <c r="AB548" s="138"/>
      <c r="AC548" s="138"/>
    </row>
    <row r="549">
      <c r="A549" s="161"/>
      <c r="B549" s="161"/>
      <c r="C549" s="138"/>
      <c r="D549" s="160"/>
      <c r="E549" s="161"/>
      <c r="F549" s="161"/>
      <c r="G549" s="161"/>
      <c r="H549" s="161"/>
      <c r="I549" s="138"/>
      <c r="J549" s="138"/>
      <c r="K549" s="138"/>
      <c r="L549" s="138"/>
      <c r="M549" s="138"/>
      <c r="N549" s="138"/>
      <c r="O549" s="138"/>
      <c r="P549" s="138"/>
      <c r="Q549" s="138"/>
      <c r="R549" s="138"/>
      <c r="S549" s="138"/>
      <c r="T549" s="138"/>
      <c r="U549" s="138"/>
      <c r="V549" s="138"/>
      <c r="W549" s="138"/>
      <c r="X549" s="138"/>
      <c r="Y549" s="138"/>
      <c r="Z549" s="138"/>
      <c r="AA549" s="138"/>
      <c r="AB549" s="138"/>
      <c r="AC549" s="138"/>
    </row>
    <row r="550">
      <c r="A550" s="161"/>
      <c r="B550" s="161"/>
      <c r="C550" s="138"/>
      <c r="D550" s="160"/>
      <c r="E550" s="161"/>
      <c r="F550" s="161"/>
      <c r="G550" s="161"/>
      <c r="H550" s="161"/>
      <c r="I550" s="138"/>
      <c r="J550" s="138"/>
      <c r="K550" s="138"/>
      <c r="L550" s="138"/>
      <c r="M550" s="138"/>
      <c r="N550" s="138"/>
      <c r="O550" s="138"/>
      <c r="P550" s="138"/>
      <c r="Q550" s="138"/>
      <c r="R550" s="138"/>
      <c r="S550" s="138"/>
      <c r="T550" s="138"/>
      <c r="U550" s="138"/>
      <c r="V550" s="138"/>
      <c r="W550" s="138"/>
      <c r="X550" s="138"/>
      <c r="Y550" s="138"/>
      <c r="Z550" s="138"/>
      <c r="AA550" s="138"/>
      <c r="AB550" s="138"/>
      <c r="AC550" s="138"/>
    </row>
    <row r="551">
      <c r="A551" s="161"/>
      <c r="B551" s="161"/>
      <c r="C551" s="138"/>
      <c r="D551" s="160"/>
      <c r="E551" s="161"/>
      <c r="F551" s="161"/>
      <c r="G551" s="161"/>
      <c r="H551" s="161"/>
      <c r="I551" s="138"/>
      <c r="J551" s="138"/>
      <c r="K551" s="138"/>
      <c r="L551" s="138"/>
      <c r="M551" s="138"/>
      <c r="N551" s="138"/>
      <c r="O551" s="138"/>
      <c r="P551" s="138"/>
      <c r="Q551" s="138"/>
      <c r="R551" s="138"/>
      <c r="S551" s="138"/>
      <c r="T551" s="138"/>
      <c r="U551" s="138"/>
      <c r="V551" s="138"/>
      <c r="W551" s="138"/>
      <c r="X551" s="138"/>
      <c r="Y551" s="138"/>
      <c r="Z551" s="138"/>
      <c r="AA551" s="138"/>
      <c r="AB551" s="138"/>
      <c r="AC551" s="138"/>
    </row>
    <row r="552">
      <c r="A552" s="161"/>
      <c r="B552" s="161"/>
      <c r="C552" s="138"/>
      <c r="D552" s="160"/>
      <c r="E552" s="161"/>
      <c r="F552" s="161"/>
      <c r="G552" s="161"/>
      <c r="H552" s="161"/>
      <c r="I552" s="138"/>
      <c r="J552" s="138"/>
      <c r="K552" s="138"/>
      <c r="L552" s="138"/>
      <c r="M552" s="138"/>
      <c r="N552" s="138"/>
      <c r="O552" s="138"/>
      <c r="P552" s="138"/>
      <c r="Q552" s="138"/>
      <c r="R552" s="138"/>
      <c r="S552" s="138"/>
      <c r="T552" s="138"/>
      <c r="U552" s="138"/>
      <c r="V552" s="138"/>
      <c r="W552" s="138"/>
      <c r="X552" s="138"/>
      <c r="Y552" s="138"/>
      <c r="Z552" s="138"/>
      <c r="AA552" s="138"/>
      <c r="AB552" s="138"/>
      <c r="AC552" s="138"/>
    </row>
    <row r="553">
      <c r="A553" s="161"/>
      <c r="B553" s="161"/>
      <c r="C553" s="138"/>
      <c r="D553" s="160"/>
      <c r="E553" s="161"/>
      <c r="F553" s="161"/>
      <c r="G553" s="161"/>
      <c r="H553" s="161"/>
      <c r="I553" s="138"/>
      <c r="J553" s="138"/>
      <c r="K553" s="138"/>
      <c r="L553" s="138"/>
      <c r="M553" s="138"/>
      <c r="N553" s="138"/>
      <c r="O553" s="138"/>
      <c r="P553" s="138"/>
      <c r="Q553" s="138"/>
      <c r="R553" s="138"/>
      <c r="S553" s="138"/>
      <c r="T553" s="138"/>
      <c r="U553" s="138"/>
      <c r="V553" s="138"/>
      <c r="W553" s="138"/>
      <c r="X553" s="138"/>
      <c r="Y553" s="138"/>
      <c r="Z553" s="138"/>
      <c r="AA553" s="138"/>
      <c r="AB553" s="138"/>
      <c r="AC553" s="138"/>
    </row>
    <row r="554">
      <c r="A554" s="161"/>
      <c r="B554" s="161"/>
      <c r="C554" s="138"/>
      <c r="D554" s="160"/>
      <c r="E554" s="161"/>
      <c r="F554" s="161"/>
      <c r="G554" s="161"/>
      <c r="H554" s="161"/>
      <c r="I554" s="138"/>
      <c r="J554" s="138"/>
      <c r="K554" s="138"/>
      <c r="L554" s="138"/>
      <c r="M554" s="138"/>
      <c r="N554" s="138"/>
      <c r="O554" s="138"/>
      <c r="P554" s="138"/>
      <c r="Q554" s="138"/>
      <c r="R554" s="138"/>
      <c r="S554" s="138"/>
      <c r="T554" s="138"/>
      <c r="U554" s="138"/>
      <c r="V554" s="138"/>
      <c r="W554" s="138"/>
      <c r="X554" s="138"/>
      <c r="Y554" s="138"/>
      <c r="Z554" s="138"/>
      <c r="AA554" s="138"/>
      <c r="AB554" s="138"/>
      <c r="AC554" s="138"/>
    </row>
    <row r="555">
      <c r="A555" s="161"/>
      <c r="B555" s="161"/>
      <c r="C555" s="138"/>
      <c r="D555" s="160"/>
      <c r="E555" s="161"/>
      <c r="F555" s="161"/>
      <c r="G555" s="161"/>
      <c r="H555" s="161"/>
      <c r="I555" s="138"/>
      <c r="J555" s="138"/>
      <c r="K555" s="138"/>
      <c r="L555" s="138"/>
      <c r="M555" s="138"/>
      <c r="N555" s="138"/>
      <c r="O555" s="138"/>
      <c r="P555" s="138"/>
      <c r="Q555" s="138"/>
      <c r="R555" s="138"/>
      <c r="S555" s="138"/>
      <c r="T555" s="138"/>
      <c r="U555" s="138"/>
      <c r="V555" s="138"/>
      <c r="W555" s="138"/>
      <c r="X555" s="138"/>
      <c r="Y555" s="138"/>
      <c r="Z555" s="138"/>
      <c r="AA555" s="138"/>
      <c r="AB555" s="138"/>
      <c r="AC555" s="138"/>
    </row>
    <row r="556">
      <c r="A556" s="161"/>
      <c r="B556" s="161"/>
      <c r="C556" s="138"/>
      <c r="D556" s="160"/>
      <c r="E556" s="161"/>
      <c r="F556" s="161"/>
      <c r="G556" s="161"/>
      <c r="H556" s="161"/>
      <c r="I556" s="138"/>
      <c r="J556" s="138"/>
      <c r="K556" s="138"/>
      <c r="L556" s="138"/>
      <c r="M556" s="138"/>
      <c r="N556" s="138"/>
      <c r="O556" s="138"/>
      <c r="P556" s="138"/>
      <c r="Q556" s="138"/>
      <c r="R556" s="138"/>
      <c r="S556" s="138"/>
      <c r="T556" s="138"/>
      <c r="U556" s="138"/>
      <c r="V556" s="138"/>
      <c r="W556" s="138"/>
      <c r="X556" s="138"/>
      <c r="Y556" s="138"/>
      <c r="Z556" s="138"/>
      <c r="AA556" s="138"/>
      <c r="AB556" s="138"/>
      <c r="AC556" s="138"/>
    </row>
    <row r="557">
      <c r="A557" s="161"/>
      <c r="B557" s="161"/>
      <c r="C557" s="138"/>
      <c r="D557" s="160"/>
      <c r="E557" s="161"/>
      <c r="F557" s="161"/>
      <c r="G557" s="161"/>
      <c r="H557" s="161"/>
      <c r="I557" s="138"/>
      <c r="J557" s="138"/>
      <c r="K557" s="138"/>
      <c r="L557" s="138"/>
      <c r="M557" s="138"/>
      <c r="N557" s="138"/>
      <c r="O557" s="138"/>
      <c r="P557" s="138"/>
      <c r="Q557" s="138"/>
      <c r="R557" s="138"/>
      <c r="S557" s="138"/>
      <c r="T557" s="138"/>
      <c r="U557" s="138"/>
      <c r="V557" s="138"/>
      <c r="W557" s="138"/>
      <c r="X557" s="138"/>
      <c r="Y557" s="138"/>
      <c r="Z557" s="138"/>
      <c r="AA557" s="138"/>
      <c r="AB557" s="138"/>
      <c r="AC557" s="138"/>
    </row>
    <row r="558">
      <c r="A558" s="161"/>
      <c r="B558" s="161"/>
      <c r="C558" s="138"/>
      <c r="D558" s="160"/>
      <c r="E558" s="161"/>
      <c r="F558" s="161"/>
      <c r="G558" s="161"/>
      <c r="H558" s="161"/>
      <c r="I558" s="138"/>
      <c r="J558" s="138"/>
      <c r="K558" s="138"/>
      <c r="L558" s="138"/>
      <c r="M558" s="138"/>
      <c r="N558" s="138"/>
      <c r="O558" s="138"/>
      <c r="P558" s="138"/>
      <c r="Q558" s="138"/>
      <c r="R558" s="138"/>
      <c r="S558" s="138"/>
      <c r="T558" s="138"/>
      <c r="U558" s="138"/>
      <c r="V558" s="138"/>
      <c r="W558" s="138"/>
      <c r="X558" s="138"/>
      <c r="Y558" s="138"/>
      <c r="Z558" s="138"/>
      <c r="AA558" s="138"/>
      <c r="AB558" s="138"/>
      <c r="AC558" s="138"/>
    </row>
    <row r="559">
      <c r="A559" s="161"/>
      <c r="B559" s="161"/>
      <c r="C559" s="138"/>
      <c r="D559" s="160"/>
      <c r="E559" s="161"/>
      <c r="F559" s="161"/>
      <c r="G559" s="161"/>
      <c r="H559" s="161"/>
      <c r="I559" s="138"/>
      <c r="J559" s="138"/>
      <c r="K559" s="138"/>
      <c r="L559" s="138"/>
      <c r="M559" s="138"/>
      <c r="N559" s="138"/>
      <c r="O559" s="138"/>
      <c r="P559" s="138"/>
      <c r="Q559" s="138"/>
      <c r="R559" s="138"/>
      <c r="S559" s="138"/>
      <c r="T559" s="138"/>
      <c r="U559" s="138"/>
      <c r="V559" s="138"/>
      <c r="W559" s="138"/>
      <c r="X559" s="138"/>
      <c r="Y559" s="138"/>
      <c r="Z559" s="138"/>
      <c r="AA559" s="138"/>
      <c r="AB559" s="138"/>
      <c r="AC559" s="138"/>
    </row>
    <row r="560">
      <c r="A560" s="161"/>
      <c r="B560" s="161"/>
      <c r="C560" s="138"/>
      <c r="D560" s="160"/>
      <c r="E560" s="161"/>
      <c r="F560" s="161"/>
      <c r="G560" s="161"/>
      <c r="H560" s="161"/>
      <c r="I560" s="138"/>
      <c r="J560" s="138"/>
      <c r="K560" s="138"/>
      <c r="L560" s="138"/>
      <c r="M560" s="138"/>
      <c r="N560" s="138"/>
      <c r="O560" s="138"/>
      <c r="P560" s="138"/>
      <c r="Q560" s="138"/>
      <c r="R560" s="138"/>
      <c r="S560" s="138"/>
      <c r="T560" s="138"/>
      <c r="U560" s="138"/>
      <c r="V560" s="138"/>
      <c r="W560" s="138"/>
      <c r="X560" s="138"/>
      <c r="Y560" s="138"/>
      <c r="Z560" s="138"/>
      <c r="AA560" s="138"/>
      <c r="AB560" s="138"/>
      <c r="AC560" s="138"/>
    </row>
    <row r="561">
      <c r="A561" s="161"/>
      <c r="B561" s="161"/>
      <c r="C561" s="138"/>
      <c r="D561" s="160"/>
      <c r="E561" s="161"/>
      <c r="F561" s="161"/>
      <c r="G561" s="161"/>
      <c r="H561" s="161"/>
      <c r="I561" s="138"/>
      <c r="J561" s="138"/>
      <c r="K561" s="138"/>
      <c r="L561" s="138"/>
      <c r="M561" s="138"/>
      <c r="N561" s="138"/>
      <c r="O561" s="138"/>
      <c r="P561" s="138"/>
      <c r="Q561" s="138"/>
      <c r="R561" s="138"/>
      <c r="S561" s="138"/>
      <c r="T561" s="138"/>
      <c r="U561" s="138"/>
      <c r="V561" s="138"/>
      <c r="W561" s="138"/>
      <c r="X561" s="138"/>
      <c r="Y561" s="138"/>
      <c r="Z561" s="138"/>
      <c r="AA561" s="138"/>
      <c r="AB561" s="138"/>
      <c r="AC561" s="138"/>
    </row>
    <row r="562">
      <c r="A562" s="161"/>
      <c r="B562" s="161"/>
      <c r="C562" s="138"/>
      <c r="D562" s="160"/>
      <c r="E562" s="161"/>
      <c r="F562" s="161"/>
      <c r="G562" s="161"/>
      <c r="H562" s="161"/>
      <c r="I562" s="138"/>
      <c r="J562" s="138"/>
      <c r="K562" s="138"/>
      <c r="L562" s="138"/>
      <c r="M562" s="138"/>
      <c r="N562" s="138"/>
      <c r="O562" s="138"/>
      <c r="P562" s="138"/>
      <c r="Q562" s="138"/>
      <c r="R562" s="138"/>
      <c r="S562" s="138"/>
      <c r="T562" s="138"/>
      <c r="U562" s="138"/>
      <c r="V562" s="138"/>
      <c r="W562" s="138"/>
      <c r="X562" s="138"/>
      <c r="Y562" s="138"/>
      <c r="Z562" s="138"/>
      <c r="AA562" s="138"/>
      <c r="AB562" s="138"/>
      <c r="AC562" s="138"/>
    </row>
    <row r="563">
      <c r="A563" s="161"/>
      <c r="B563" s="161"/>
      <c r="C563" s="138"/>
      <c r="D563" s="160"/>
      <c r="E563" s="161"/>
      <c r="F563" s="161"/>
      <c r="G563" s="161"/>
      <c r="H563" s="161"/>
      <c r="I563" s="138"/>
      <c r="J563" s="138"/>
      <c r="K563" s="138"/>
      <c r="L563" s="138"/>
      <c r="M563" s="138"/>
      <c r="N563" s="138"/>
      <c r="O563" s="138"/>
      <c r="P563" s="138"/>
      <c r="Q563" s="138"/>
      <c r="R563" s="138"/>
      <c r="S563" s="138"/>
      <c r="T563" s="138"/>
      <c r="U563" s="138"/>
      <c r="V563" s="138"/>
      <c r="W563" s="138"/>
      <c r="X563" s="138"/>
      <c r="Y563" s="138"/>
      <c r="Z563" s="138"/>
      <c r="AA563" s="138"/>
      <c r="AB563" s="138"/>
      <c r="AC563" s="138"/>
    </row>
    <row r="564">
      <c r="A564" s="161"/>
      <c r="B564" s="161"/>
      <c r="C564" s="138"/>
      <c r="D564" s="160"/>
      <c r="E564" s="161"/>
      <c r="F564" s="161"/>
      <c r="G564" s="161"/>
      <c r="H564" s="161"/>
      <c r="I564" s="138"/>
      <c r="J564" s="138"/>
      <c r="K564" s="138"/>
      <c r="L564" s="138"/>
      <c r="M564" s="138"/>
      <c r="N564" s="138"/>
      <c r="O564" s="138"/>
      <c r="P564" s="138"/>
      <c r="Q564" s="138"/>
      <c r="R564" s="138"/>
      <c r="S564" s="138"/>
      <c r="T564" s="138"/>
      <c r="U564" s="138"/>
      <c r="V564" s="138"/>
      <c r="W564" s="138"/>
      <c r="X564" s="138"/>
      <c r="Y564" s="138"/>
      <c r="Z564" s="138"/>
      <c r="AA564" s="138"/>
      <c r="AB564" s="138"/>
      <c r="AC564" s="138"/>
    </row>
    <row r="565">
      <c r="A565" s="161"/>
      <c r="B565" s="161"/>
      <c r="C565" s="138"/>
      <c r="D565" s="160"/>
      <c r="E565" s="161"/>
      <c r="F565" s="161"/>
      <c r="G565" s="161"/>
      <c r="H565" s="161"/>
      <c r="I565" s="138"/>
      <c r="J565" s="138"/>
      <c r="K565" s="138"/>
      <c r="L565" s="138"/>
      <c r="M565" s="138"/>
      <c r="N565" s="138"/>
      <c r="O565" s="138"/>
      <c r="P565" s="138"/>
      <c r="Q565" s="138"/>
      <c r="R565" s="138"/>
      <c r="S565" s="138"/>
      <c r="T565" s="138"/>
      <c r="U565" s="138"/>
      <c r="V565" s="138"/>
      <c r="W565" s="138"/>
      <c r="X565" s="138"/>
      <c r="Y565" s="138"/>
      <c r="Z565" s="138"/>
      <c r="AA565" s="138"/>
      <c r="AB565" s="138"/>
      <c r="AC565" s="138"/>
    </row>
    <row r="566">
      <c r="A566" s="161"/>
      <c r="B566" s="161"/>
      <c r="C566" s="138"/>
      <c r="D566" s="160"/>
      <c r="E566" s="161"/>
      <c r="F566" s="161"/>
      <c r="G566" s="161"/>
      <c r="H566" s="161"/>
      <c r="I566" s="138"/>
      <c r="J566" s="138"/>
      <c r="K566" s="138"/>
      <c r="L566" s="138"/>
      <c r="M566" s="138"/>
      <c r="N566" s="138"/>
      <c r="O566" s="138"/>
      <c r="P566" s="138"/>
      <c r="Q566" s="138"/>
      <c r="R566" s="138"/>
      <c r="S566" s="138"/>
      <c r="T566" s="138"/>
      <c r="U566" s="138"/>
      <c r="V566" s="138"/>
      <c r="W566" s="138"/>
      <c r="X566" s="138"/>
      <c r="Y566" s="138"/>
      <c r="Z566" s="138"/>
      <c r="AA566" s="138"/>
      <c r="AB566" s="138"/>
      <c r="AC566" s="138"/>
    </row>
    <row r="567">
      <c r="A567" s="161"/>
      <c r="B567" s="161"/>
      <c r="C567" s="138"/>
      <c r="D567" s="160"/>
      <c r="E567" s="161"/>
      <c r="F567" s="161"/>
      <c r="G567" s="161"/>
      <c r="H567" s="161"/>
      <c r="I567" s="138"/>
      <c r="J567" s="138"/>
      <c r="K567" s="138"/>
      <c r="L567" s="138"/>
      <c r="M567" s="138"/>
      <c r="N567" s="138"/>
      <c r="O567" s="138"/>
      <c r="P567" s="138"/>
      <c r="Q567" s="138"/>
      <c r="R567" s="138"/>
      <c r="S567" s="138"/>
      <c r="T567" s="138"/>
      <c r="U567" s="138"/>
      <c r="V567" s="138"/>
      <c r="W567" s="138"/>
      <c r="X567" s="138"/>
      <c r="Y567" s="138"/>
      <c r="Z567" s="138"/>
      <c r="AA567" s="138"/>
      <c r="AB567" s="138"/>
      <c r="AC567" s="138"/>
    </row>
    <row r="568">
      <c r="A568" s="161"/>
      <c r="B568" s="161"/>
      <c r="C568" s="138"/>
      <c r="D568" s="160"/>
      <c r="E568" s="161"/>
      <c r="F568" s="161"/>
      <c r="G568" s="161"/>
      <c r="H568" s="161"/>
      <c r="I568" s="138"/>
      <c r="J568" s="138"/>
      <c r="K568" s="138"/>
      <c r="L568" s="138"/>
      <c r="M568" s="138"/>
      <c r="N568" s="138"/>
      <c r="O568" s="138"/>
      <c r="P568" s="138"/>
      <c r="Q568" s="138"/>
      <c r="R568" s="138"/>
      <c r="S568" s="138"/>
      <c r="T568" s="138"/>
      <c r="U568" s="138"/>
      <c r="V568" s="138"/>
      <c r="W568" s="138"/>
      <c r="X568" s="138"/>
      <c r="Y568" s="138"/>
      <c r="Z568" s="138"/>
      <c r="AA568" s="138"/>
      <c r="AB568" s="138"/>
      <c r="AC568" s="138"/>
    </row>
    <row r="569">
      <c r="A569" s="161"/>
      <c r="B569" s="161"/>
      <c r="C569" s="138"/>
      <c r="D569" s="160"/>
      <c r="E569" s="161"/>
      <c r="F569" s="161"/>
      <c r="G569" s="161"/>
      <c r="H569" s="161"/>
      <c r="I569" s="138"/>
      <c r="J569" s="138"/>
      <c r="K569" s="138"/>
      <c r="L569" s="138"/>
      <c r="M569" s="138"/>
      <c r="N569" s="138"/>
      <c r="O569" s="138"/>
      <c r="P569" s="138"/>
      <c r="Q569" s="138"/>
      <c r="R569" s="138"/>
      <c r="S569" s="138"/>
      <c r="T569" s="138"/>
      <c r="U569" s="138"/>
      <c r="V569" s="138"/>
      <c r="W569" s="138"/>
      <c r="X569" s="138"/>
      <c r="Y569" s="138"/>
      <c r="Z569" s="138"/>
      <c r="AA569" s="138"/>
      <c r="AB569" s="138"/>
      <c r="AC569" s="138"/>
    </row>
    <row r="570">
      <c r="A570" s="161"/>
      <c r="B570" s="161"/>
      <c r="C570" s="138"/>
      <c r="D570" s="160"/>
      <c r="E570" s="161"/>
      <c r="F570" s="161"/>
      <c r="G570" s="161"/>
      <c r="H570" s="161"/>
      <c r="I570" s="138"/>
      <c r="J570" s="138"/>
      <c r="K570" s="138"/>
      <c r="L570" s="138"/>
      <c r="M570" s="138"/>
      <c r="N570" s="138"/>
      <c r="O570" s="138"/>
      <c r="P570" s="138"/>
      <c r="Q570" s="138"/>
      <c r="R570" s="138"/>
      <c r="S570" s="138"/>
      <c r="T570" s="138"/>
      <c r="U570" s="138"/>
      <c r="V570" s="138"/>
      <c r="W570" s="138"/>
      <c r="X570" s="138"/>
      <c r="Y570" s="138"/>
      <c r="Z570" s="138"/>
      <c r="AA570" s="138"/>
      <c r="AB570" s="138"/>
      <c r="AC570" s="138"/>
    </row>
    <row r="571">
      <c r="A571" s="161"/>
      <c r="B571" s="161"/>
      <c r="C571" s="138"/>
      <c r="D571" s="160"/>
      <c r="E571" s="161"/>
      <c r="F571" s="161"/>
      <c r="G571" s="161"/>
      <c r="H571" s="161"/>
      <c r="I571" s="138"/>
      <c r="J571" s="138"/>
      <c r="K571" s="138"/>
      <c r="L571" s="138"/>
      <c r="M571" s="138"/>
      <c r="N571" s="138"/>
      <c r="O571" s="138"/>
      <c r="P571" s="138"/>
      <c r="Q571" s="138"/>
      <c r="R571" s="138"/>
      <c r="S571" s="138"/>
      <c r="T571" s="138"/>
      <c r="U571" s="138"/>
      <c r="V571" s="138"/>
      <c r="W571" s="138"/>
      <c r="X571" s="138"/>
      <c r="Y571" s="138"/>
      <c r="Z571" s="138"/>
      <c r="AA571" s="138"/>
      <c r="AB571" s="138"/>
      <c r="AC571" s="138"/>
    </row>
    <row r="572">
      <c r="A572" s="161"/>
      <c r="B572" s="161"/>
      <c r="C572" s="138"/>
      <c r="D572" s="160"/>
      <c r="E572" s="161"/>
      <c r="F572" s="161"/>
      <c r="G572" s="161"/>
      <c r="H572" s="161"/>
      <c r="I572" s="138"/>
      <c r="J572" s="138"/>
      <c r="K572" s="138"/>
      <c r="L572" s="138"/>
      <c r="M572" s="138"/>
      <c r="N572" s="138"/>
      <c r="O572" s="138"/>
      <c r="P572" s="138"/>
      <c r="Q572" s="138"/>
      <c r="R572" s="138"/>
      <c r="S572" s="138"/>
      <c r="T572" s="138"/>
      <c r="U572" s="138"/>
      <c r="V572" s="138"/>
      <c r="W572" s="138"/>
      <c r="X572" s="138"/>
      <c r="Y572" s="138"/>
      <c r="Z572" s="138"/>
      <c r="AA572" s="138"/>
      <c r="AB572" s="138"/>
      <c r="AC572" s="138"/>
    </row>
    <row r="573">
      <c r="A573" s="161"/>
      <c r="B573" s="161"/>
      <c r="C573" s="138"/>
      <c r="D573" s="160"/>
      <c r="E573" s="161"/>
      <c r="F573" s="161"/>
      <c r="G573" s="161"/>
      <c r="H573" s="161"/>
      <c r="I573" s="138"/>
      <c r="J573" s="138"/>
      <c r="K573" s="138"/>
      <c r="L573" s="138"/>
      <c r="M573" s="138"/>
      <c r="N573" s="138"/>
      <c r="O573" s="138"/>
      <c r="P573" s="138"/>
      <c r="Q573" s="138"/>
      <c r="R573" s="138"/>
      <c r="S573" s="138"/>
      <c r="T573" s="138"/>
      <c r="U573" s="138"/>
      <c r="V573" s="138"/>
      <c r="W573" s="138"/>
      <c r="X573" s="138"/>
      <c r="Y573" s="138"/>
      <c r="Z573" s="138"/>
      <c r="AA573" s="138"/>
      <c r="AB573" s="138"/>
      <c r="AC573" s="138"/>
    </row>
    <row r="574">
      <c r="A574" s="161"/>
      <c r="B574" s="161"/>
      <c r="C574" s="138"/>
      <c r="D574" s="160"/>
      <c r="E574" s="161"/>
      <c r="F574" s="161"/>
      <c r="G574" s="161"/>
      <c r="H574" s="161"/>
      <c r="I574" s="138"/>
      <c r="J574" s="138"/>
      <c r="K574" s="138"/>
      <c r="L574" s="138"/>
      <c r="M574" s="138"/>
      <c r="N574" s="138"/>
      <c r="O574" s="138"/>
      <c r="P574" s="138"/>
      <c r="Q574" s="138"/>
      <c r="R574" s="138"/>
      <c r="S574" s="138"/>
      <c r="T574" s="138"/>
      <c r="U574" s="138"/>
      <c r="V574" s="138"/>
      <c r="W574" s="138"/>
      <c r="X574" s="138"/>
      <c r="Y574" s="138"/>
      <c r="Z574" s="138"/>
      <c r="AA574" s="138"/>
      <c r="AB574" s="138"/>
      <c r="AC574" s="138"/>
    </row>
    <row r="575">
      <c r="A575" s="161"/>
      <c r="B575" s="161"/>
      <c r="C575" s="138"/>
      <c r="D575" s="160"/>
      <c r="E575" s="161"/>
      <c r="F575" s="161"/>
      <c r="G575" s="161"/>
      <c r="H575" s="161"/>
      <c r="I575" s="138"/>
      <c r="J575" s="138"/>
      <c r="K575" s="138"/>
      <c r="L575" s="138"/>
      <c r="M575" s="138"/>
      <c r="N575" s="138"/>
      <c r="O575" s="138"/>
      <c r="P575" s="138"/>
      <c r="Q575" s="138"/>
      <c r="R575" s="138"/>
      <c r="S575" s="138"/>
      <c r="T575" s="138"/>
      <c r="U575" s="138"/>
      <c r="V575" s="138"/>
      <c r="W575" s="138"/>
      <c r="X575" s="138"/>
      <c r="Y575" s="138"/>
      <c r="Z575" s="138"/>
      <c r="AA575" s="138"/>
      <c r="AB575" s="138"/>
      <c r="AC575" s="138"/>
    </row>
    <row r="576">
      <c r="A576" s="161"/>
      <c r="B576" s="161"/>
      <c r="C576" s="138"/>
      <c r="D576" s="160"/>
      <c r="E576" s="161"/>
      <c r="F576" s="161"/>
      <c r="G576" s="161"/>
      <c r="H576" s="161"/>
      <c r="I576" s="138"/>
      <c r="J576" s="138"/>
      <c r="K576" s="138"/>
      <c r="L576" s="138"/>
      <c r="M576" s="138"/>
      <c r="N576" s="138"/>
      <c r="O576" s="138"/>
      <c r="P576" s="138"/>
      <c r="Q576" s="138"/>
      <c r="R576" s="138"/>
      <c r="S576" s="138"/>
      <c r="T576" s="138"/>
      <c r="U576" s="138"/>
      <c r="V576" s="138"/>
      <c r="W576" s="138"/>
      <c r="X576" s="138"/>
      <c r="Y576" s="138"/>
      <c r="Z576" s="138"/>
      <c r="AA576" s="138"/>
      <c r="AB576" s="138"/>
      <c r="AC576" s="138"/>
    </row>
    <row r="577">
      <c r="A577" s="161"/>
      <c r="B577" s="161"/>
      <c r="C577" s="138"/>
      <c r="D577" s="160"/>
      <c r="E577" s="161"/>
      <c r="F577" s="161"/>
      <c r="G577" s="161"/>
      <c r="H577" s="161"/>
      <c r="I577" s="138"/>
      <c r="J577" s="138"/>
      <c r="K577" s="138"/>
      <c r="L577" s="138"/>
      <c r="M577" s="138"/>
      <c r="N577" s="138"/>
      <c r="O577" s="138"/>
      <c r="P577" s="138"/>
      <c r="Q577" s="138"/>
      <c r="R577" s="138"/>
      <c r="S577" s="138"/>
      <c r="T577" s="138"/>
      <c r="U577" s="138"/>
      <c r="V577" s="138"/>
      <c r="W577" s="138"/>
      <c r="X577" s="138"/>
      <c r="Y577" s="138"/>
      <c r="Z577" s="138"/>
      <c r="AA577" s="138"/>
      <c r="AB577" s="138"/>
      <c r="AC577" s="138"/>
    </row>
    <row r="578">
      <c r="A578" s="161"/>
      <c r="B578" s="161"/>
      <c r="C578" s="138"/>
      <c r="D578" s="160"/>
      <c r="E578" s="161"/>
      <c r="F578" s="161"/>
      <c r="G578" s="161"/>
      <c r="H578" s="161"/>
      <c r="I578" s="138"/>
      <c r="J578" s="138"/>
      <c r="K578" s="138"/>
      <c r="L578" s="138"/>
      <c r="M578" s="138"/>
      <c r="N578" s="138"/>
      <c r="O578" s="138"/>
      <c r="P578" s="138"/>
      <c r="Q578" s="138"/>
      <c r="R578" s="138"/>
      <c r="S578" s="138"/>
      <c r="T578" s="138"/>
      <c r="U578" s="138"/>
      <c r="V578" s="138"/>
      <c r="W578" s="138"/>
      <c r="X578" s="138"/>
      <c r="Y578" s="138"/>
      <c r="Z578" s="138"/>
      <c r="AA578" s="138"/>
      <c r="AB578" s="138"/>
      <c r="AC578" s="138"/>
    </row>
    <row r="579">
      <c r="A579" s="161"/>
      <c r="B579" s="161"/>
      <c r="C579" s="138"/>
      <c r="D579" s="160"/>
      <c r="E579" s="161"/>
      <c r="F579" s="161"/>
      <c r="G579" s="161"/>
      <c r="H579" s="161"/>
      <c r="I579" s="138"/>
      <c r="J579" s="138"/>
      <c r="K579" s="138"/>
      <c r="L579" s="138"/>
      <c r="M579" s="138"/>
      <c r="N579" s="138"/>
      <c r="O579" s="138"/>
      <c r="P579" s="138"/>
      <c r="Q579" s="138"/>
      <c r="R579" s="138"/>
      <c r="S579" s="138"/>
      <c r="T579" s="138"/>
      <c r="U579" s="138"/>
      <c r="V579" s="138"/>
      <c r="W579" s="138"/>
      <c r="X579" s="138"/>
      <c r="Y579" s="138"/>
      <c r="Z579" s="138"/>
      <c r="AA579" s="138"/>
      <c r="AB579" s="138"/>
      <c r="AC579" s="138"/>
    </row>
    <row r="580">
      <c r="A580" s="161"/>
      <c r="B580" s="161"/>
      <c r="C580" s="138"/>
      <c r="D580" s="160"/>
      <c r="E580" s="161"/>
      <c r="F580" s="161"/>
      <c r="G580" s="161"/>
      <c r="H580" s="161"/>
      <c r="I580" s="138"/>
      <c r="J580" s="138"/>
      <c r="K580" s="138"/>
      <c r="L580" s="138"/>
      <c r="M580" s="138"/>
      <c r="N580" s="138"/>
      <c r="O580" s="138"/>
      <c r="P580" s="138"/>
      <c r="Q580" s="138"/>
      <c r="R580" s="138"/>
      <c r="S580" s="138"/>
      <c r="T580" s="138"/>
      <c r="U580" s="138"/>
      <c r="V580" s="138"/>
      <c r="W580" s="138"/>
      <c r="X580" s="138"/>
      <c r="Y580" s="138"/>
      <c r="Z580" s="138"/>
      <c r="AA580" s="138"/>
      <c r="AB580" s="138"/>
      <c r="AC580" s="138"/>
    </row>
    <row r="581">
      <c r="A581" s="161"/>
      <c r="B581" s="161"/>
      <c r="C581" s="138"/>
      <c r="D581" s="160"/>
      <c r="E581" s="161"/>
      <c r="F581" s="161"/>
      <c r="G581" s="161"/>
      <c r="H581" s="161"/>
      <c r="I581" s="138"/>
      <c r="J581" s="138"/>
      <c r="K581" s="138"/>
      <c r="L581" s="138"/>
      <c r="M581" s="138"/>
      <c r="N581" s="138"/>
      <c r="O581" s="138"/>
      <c r="P581" s="138"/>
      <c r="Q581" s="138"/>
      <c r="R581" s="138"/>
      <c r="S581" s="138"/>
      <c r="T581" s="138"/>
      <c r="U581" s="138"/>
      <c r="V581" s="138"/>
      <c r="W581" s="138"/>
      <c r="X581" s="138"/>
      <c r="Y581" s="138"/>
      <c r="Z581" s="138"/>
      <c r="AA581" s="138"/>
      <c r="AB581" s="138"/>
      <c r="AC581" s="138"/>
    </row>
    <row r="582">
      <c r="A582" s="161"/>
      <c r="B582" s="161"/>
      <c r="C582" s="138"/>
      <c r="D582" s="160"/>
      <c r="E582" s="161"/>
      <c r="F582" s="161"/>
      <c r="G582" s="161"/>
      <c r="H582" s="161"/>
      <c r="I582" s="138"/>
      <c r="J582" s="138"/>
      <c r="K582" s="138"/>
      <c r="L582" s="138"/>
      <c r="M582" s="138"/>
      <c r="N582" s="138"/>
      <c r="O582" s="138"/>
      <c r="P582" s="138"/>
      <c r="Q582" s="138"/>
      <c r="R582" s="138"/>
      <c r="S582" s="138"/>
      <c r="T582" s="138"/>
      <c r="U582" s="138"/>
      <c r="V582" s="138"/>
      <c r="W582" s="138"/>
      <c r="X582" s="138"/>
      <c r="Y582" s="138"/>
      <c r="Z582" s="138"/>
      <c r="AA582" s="138"/>
      <c r="AB582" s="138"/>
      <c r="AC582" s="138"/>
    </row>
    <row r="583">
      <c r="A583" s="161"/>
      <c r="B583" s="161"/>
      <c r="C583" s="138"/>
      <c r="D583" s="160"/>
      <c r="E583" s="161"/>
      <c r="F583" s="161"/>
      <c r="G583" s="161"/>
      <c r="H583" s="161"/>
      <c r="I583" s="138"/>
      <c r="J583" s="138"/>
      <c r="K583" s="138"/>
      <c r="L583" s="138"/>
      <c r="M583" s="138"/>
      <c r="N583" s="138"/>
      <c r="O583" s="138"/>
      <c r="P583" s="138"/>
      <c r="Q583" s="138"/>
      <c r="R583" s="138"/>
      <c r="S583" s="138"/>
      <c r="T583" s="138"/>
      <c r="U583" s="138"/>
      <c r="V583" s="138"/>
      <c r="W583" s="138"/>
      <c r="X583" s="138"/>
      <c r="Y583" s="138"/>
      <c r="Z583" s="138"/>
      <c r="AA583" s="138"/>
      <c r="AB583" s="138"/>
      <c r="AC583" s="138"/>
    </row>
    <row r="584">
      <c r="A584" s="161"/>
      <c r="B584" s="161"/>
      <c r="C584" s="138"/>
      <c r="D584" s="160"/>
      <c r="E584" s="161"/>
      <c r="F584" s="161"/>
      <c r="G584" s="161"/>
      <c r="H584" s="161"/>
      <c r="I584" s="138"/>
      <c r="J584" s="138"/>
      <c r="K584" s="138"/>
      <c r="L584" s="138"/>
      <c r="M584" s="138"/>
      <c r="N584" s="138"/>
      <c r="O584" s="138"/>
      <c r="P584" s="138"/>
      <c r="Q584" s="138"/>
      <c r="R584" s="138"/>
      <c r="S584" s="138"/>
      <c r="T584" s="138"/>
      <c r="U584" s="138"/>
      <c r="V584" s="138"/>
      <c r="W584" s="138"/>
      <c r="X584" s="138"/>
      <c r="Y584" s="138"/>
      <c r="Z584" s="138"/>
      <c r="AA584" s="138"/>
      <c r="AB584" s="138"/>
      <c r="AC584" s="138"/>
    </row>
    <row r="585">
      <c r="A585" s="161"/>
      <c r="B585" s="161"/>
      <c r="C585" s="138"/>
      <c r="D585" s="160"/>
      <c r="E585" s="161"/>
      <c r="F585" s="161"/>
      <c r="G585" s="161"/>
      <c r="H585" s="161"/>
      <c r="I585" s="138"/>
      <c r="J585" s="138"/>
      <c r="K585" s="138"/>
      <c r="L585" s="138"/>
      <c r="M585" s="138"/>
      <c r="N585" s="138"/>
      <c r="O585" s="138"/>
      <c r="P585" s="138"/>
      <c r="Q585" s="138"/>
      <c r="R585" s="138"/>
      <c r="S585" s="138"/>
      <c r="T585" s="138"/>
      <c r="U585" s="138"/>
      <c r="V585" s="138"/>
      <c r="W585" s="138"/>
      <c r="X585" s="138"/>
      <c r="Y585" s="138"/>
      <c r="Z585" s="138"/>
      <c r="AA585" s="138"/>
      <c r="AB585" s="138"/>
      <c r="AC585" s="138"/>
    </row>
    <row r="586">
      <c r="A586" s="161"/>
      <c r="B586" s="161"/>
      <c r="C586" s="138"/>
      <c r="D586" s="160"/>
      <c r="E586" s="161"/>
      <c r="F586" s="161"/>
      <c r="G586" s="161"/>
      <c r="H586" s="161"/>
      <c r="I586" s="138"/>
      <c r="J586" s="138"/>
      <c r="K586" s="138"/>
      <c r="L586" s="138"/>
      <c r="M586" s="138"/>
      <c r="N586" s="138"/>
      <c r="O586" s="138"/>
      <c r="P586" s="138"/>
      <c r="Q586" s="138"/>
      <c r="R586" s="138"/>
      <c r="S586" s="138"/>
      <c r="T586" s="138"/>
      <c r="U586" s="138"/>
      <c r="V586" s="138"/>
      <c r="W586" s="138"/>
      <c r="X586" s="138"/>
      <c r="Y586" s="138"/>
      <c r="Z586" s="138"/>
      <c r="AA586" s="138"/>
      <c r="AB586" s="138"/>
      <c r="AC586" s="138"/>
    </row>
    <row r="587">
      <c r="A587" s="161"/>
      <c r="B587" s="161"/>
      <c r="C587" s="138"/>
      <c r="D587" s="160"/>
      <c r="E587" s="161"/>
      <c r="F587" s="161"/>
      <c r="G587" s="161"/>
      <c r="H587" s="161"/>
      <c r="I587" s="138"/>
      <c r="J587" s="138"/>
      <c r="K587" s="138"/>
      <c r="L587" s="138"/>
      <c r="M587" s="138"/>
      <c r="N587" s="138"/>
      <c r="O587" s="138"/>
      <c r="P587" s="138"/>
      <c r="Q587" s="138"/>
      <c r="R587" s="138"/>
      <c r="S587" s="138"/>
      <c r="T587" s="138"/>
      <c r="U587" s="138"/>
      <c r="V587" s="138"/>
      <c r="W587" s="138"/>
      <c r="X587" s="138"/>
      <c r="Y587" s="138"/>
      <c r="Z587" s="138"/>
      <c r="AA587" s="138"/>
      <c r="AB587" s="138"/>
      <c r="AC587" s="138"/>
    </row>
    <row r="588">
      <c r="A588" s="161"/>
      <c r="B588" s="161"/>
      <c r="C588" s="138"/>
      <c r="D588" s="160"/>
      <c r="E588" s="161"/>
      <c r="F588" s="161"/>
      <c r="G588" s="161"/>
      <c r="H588" s="161"/>
      <c r="I588" s="138"/>
      <c r="J588" s="138"/>
      <c r="K588" s="138"/>
      <c r="L588" s="138"/>
      <c r="M588" s="138"/>
      <c r="N588" s="138"/>
      <c r="O588" s="138"/>
      <c r="P588" s="138"/>
      <c r="Q588" s="138"/>
      <c r="R588" s="138"/>
      <c r="S588" s="138"/>
      <c r="T588" s="138"/>
      <c r="U588" s="138"/>
      <c r="V588" s="138"/>
      <c r="W588" s="138"/>
      <c r="X588" s="138"/>
      <c r="Y588" s="138"/>
      <c r="Z588" s="138"/>
      <c r="AA588" s="138"/>
      <c r="AB588" s="138"/>
      <c r="AC588" s="138"/>
    </row>
    <row r="589">
      <c r="A589" s="161"/>
      <c r="B589" s="161"/>
      <c r="C589" s="138"/>
      <c r="D589" s="160"/>
      <c r="E589" s="161"/>
      <c r="F589" s="161"/>
      <c r="G589" s="161"/>
      <c r="H589" s="161"/>
      <c r="I589" s="138"/>
      <c r="J589" s="138"/>
      <c r="K589" s="138"/>
      <c r="L589" s="138"/>
      <c r="M589" s="138"/>
      <c r="N589" s="138"/>
      <c r="O589" s="138"/>
      <c r="P589" s="138"/>
      <c r="Q589" s="138"/>
      <c r="R589" s="138"/>
      <c r="S589" s="138"/>
      <c r="T589" s="138"/>
      <c r="U589" s="138"/>
      <c r="V589" s="138"/>
      <c r="W589" s="138"/>
      <c r="X589" s="138"/>
      <c r="Y589" s="138"/>
      <c r="Z589" s="138"/>
      <c r="AA589" s="138"/>
      <c r="AB589" s="138"/>
      <c r="AC589" s="138"/>
    </row>
    <row r="590">
      <c r="A590" s="161"/>
      <c r="B590" s="161"/>
      <c r="C590" s="138"/>
      <c r="D590" s="160"/>
      <c r="E590" s="161"/>
      <c r="F590" s="161"/>
      <c r="G590" s="161"/>
      <c r="H590" s="161"/>
      <c r="I590" s="138"/>
      <c r="J590" s="138"/>
      <c r="K590" s="138"/>
      <c r="L590" s="138"/>
      <c r="M590" s="138"/>
      <c r="N590" s="138"/>
      <c r="O590" s="138"/>
      <c r="P590" s="138"/>
      <c r="Q590" s="138"/>
      <c r="R590" s="138"/>
      <c r="S590" s="138"/>
      <c r="T590" s="138"/>
      <c r="U590" s="138"/>
      <c r="V590" s="138"/>
      <c r="W590" s="138"/>
      <c r="X590" s="138"/>
      <c r="Y590" s="138"/>
      <c r="Z590" s="138"/>
      <c r="AA590" s="138"/>
      <c r="AB590" s="138"/>
      <c r="AC590" s="138"/>
    </row>
    <row r="591">
      <c r="A591" s="161"/>
      <c r="B591" s="161"/>
      <c r="C591" s="138"/>
      <c r="D591" s="160"/>
      <c r="E591" s="161"/>
      <c r="F591" s="161"/>
      <c r="G591" s="161"/>
      <c r="H591" s="161"/>
      <c r="I591" s="138"/>
      <c r="J591" s="138"/>
      <c r="K591" s="138"/>
      <c r="L591" s="138"/>
      <c r="M591" s="138"/>
      <c r="N591" s="138"/>
      <c r="O591" s="138"/>
      <c r="P591" s="138"/>
      <c r="Q591" s="138"/>
      <c r="R591" s="138"/>
      <c r="S591" s="138"/>
      <c r="T591" s="138"/>
      <c r="U591" s="138"/>
      <c r="V591" s="138"/>
      <c r="W591" s="138"/>
      <c r="X591" s="138"/>
      <c r="Y591" s="138"/>
      <c r="Z591" s="138"/>
      <c r="AA591" s="138"/>
      <c r="AB591" s="138"/>
      <c r="AC591" s="138"/>
    </row>
    <row r="592">
      <c r="A592" s="161"/>
      <c r="B592" s="161"/>
      <c r="C592" s="138"/>
      <c r="D592" s="160"/>
      <c r="E592" s="161"/>
      <c r="F592" s="161"/>
      <c r="G592" s="161"/>
      <c r="H592" s="161"/>
      <c r="I592" s="138"/>
      <c r="J592" s="138"/>
      <c r="K592" s="138"/>
      <c r="L592" s="138"/>
      <c r="M592" s="138"/>
      <c r="N592" s="138"/>
      <c r="O592" s="138"/>
      <c r="P592" s="138"/>
      <c r="Q592" s="138"/>
      <c r="R592" s="138"/>
      <c r="S592" s="138"/>
      <c r="T592" s="138"/>
      <c r="U592" s="138"/>
      <c r="V592" s="138"/>
      <c r="W592" s="138"/>
      <c r="X592" s="138"/>
      <c r="Y592" s="138"/>
      <c r="Z592" s="138"/>
      <c r="AA592" s="138"/>
      <c r="AB592" s="138"/>
      <c r="AC592" s="138"/>
    </row>
    <row r="593">
      <c r="A593" s="161"/>
      <c r="B593" s="161"/>
      <c r="C593" s="138"/>
      <c r="D593" s="160"/>
      <c r="E593" s="161"/>
      <c r="F593" s="161"/>
      <c r="G593" s="161"/>
      <c r="H593" s="161"/>
      <c r="I593" s="138"/>
      <c r="J593" s="138"/>
      <c r="K593" s="138"/>
      <c r="L593" s="138"/>
      <c r="M593" s="138"/>
      <c r="N593" s="138"/>
      <c r="O593" s="138"/>
      <c r="P593" s="138"/>
      <c r="Q593" s="138"/>
      <c r="R593" s="138"/>
      <c r="S593" s="138"/>
      <c r="T593" s="138"/>
      <c r="U593" s="138"/>
      <c r="V593" s="138"/>
      <c r="W593" s="138"/>
      <c r="X593" s="138"/>
      <c r="Y593" s="138"/>
      <c r="Z593" s="138"/>
      <c r="AA593" s="138"/>
      <c r="AB593" s="138"/>
      <c r="AC593" s="138"/>
    </row>
    <row r="594">
      <c r="A594" s="161"/>
      <c r="B594" s="161"/>
      <c r="C594" s="138"/>
      <c r="D594" s="160"/>
      <c r="E594" s="161"/>
      <c r="F594" s="161"/>
      <c r="G594" s="161"/>
      <c r="H594" s="161"/>
      <c r="I594" s="138"/>
      <c r="J594" s="138"/>
      <c r="K594" s="138"/>
      <c r="L594" s="138"/>
      <c r="M594" s="138"/>
      <c r="N594" s="138"/>
      <c r="O594" s="138"/>
      <c r="P594" s="138"/>
      <c r="Q594" s="138"/>
      <c r="R594" s="138"/>
      <c r="S594" s="138"/>
      <c r="T594" s="138"/>
      <c r="U594" s="138"/>
      <c r="V594" s="138"/>
      <c r="W594" s="138"/>
      <c r="X594" s="138"/>
      <c r="Y594" s="138"/>
      <c r="Z594" s="138"/>
      <c r="AA594" s="138"/>
      <c r="AB594" s="138"/>
      <c r="AC594" s="138"/>
    </row>
    <row r="595">
      <c r="A595" s="161"/>
      <c r="B595" s="161"/>
      <c r="C595" s="138"/>
      <c r="D595" s="160"/>
      <c r="E595" s="161"/>
      <c r="F595" s="161"/>
      <c r="G595" s="161"/>
      <c r="H595" s="161"/>
      <c r="I595" s="138"/>
      <c r="J595" s="138"/>
      <c r="K595" s="138"/>
      <c r="L595" s="138"/>
      <c r="M595" s="138"/>
      <c r="N595" s="138"/>
      <c r="O595" s="138"/>
      <c r="P595" s="138"/>
      <c r="Q595" s="138"/>
      <c r="R595" s="138"/>
      <c r="S595" s="138"/>
      <c r="T595" s="138"/>
      <c r="U595" s="138"/>
      <c r="V595" s="138"/>
      <c r="W595" s="138"/>
      <c r="X595" s="138"/>
      <c r="Y595" s="138"/>
      <c r="Z595" s="138"/>
      <c r="AA595" s="138"/>
      <c r="AB595" s="138"/>
      <c r="AC595" s="138"/>
    </row>
    <row r="596">
      <c r="A596" s="161"/>
      <c r="B596" s="161"/>
      <c r="C596" s="138"/>
      <c r="D596" s="160"/>
      <c r="E596" s="161"/>
      <c r="F596" s="161"/>
      <c r="G596" s="161"/>
      <c r="H596" s="161"/>
      <c r="I596" s="138"/>
      <c r="J596" s="138"/>
      <c r="K596" s="138"/>
      <c r="L596" s="138"/>
      <c r="M596" s="138"/>
      <c r="N596" s="138"/>
      <c r="O596" s="138"/>
      <c r="P596" s="138"/>
      <c r="Q596" s="138"/>
      <c r="R596" s="138"/>
      <c r="S596" s="138"/>
      <c r="T596" s="138"/>
      <c r="U596" s="138"/>
      <c r="V596" s="138"/>
      <c r="W596" s="138"/>
      <c r="X596" s="138"/>
      <c r="Y596" s="138"/>
      <c r="Z596" s="138"/>
      <c r="AA596" s="138"/>
      <c r="AB596" s="138"/>
      <c r="AC596" s="138"/>
    </row>
    <row r="597">
      <c r="A597" s="161"/>
      <c r="B597" s="161"/>
      <c r="C597" s="138"/>
      <c r="D597" s="160"/>
      <c r="E597" s="161"/>
      <c r="F597" s="161"/>
      <c r="G597" s="161"/>
      <c r="H597" s="161"/>
      <c r="I597" s="138"/>
      <c r="J597" s="138"/>
      <c r="K597" s="138"/>
      <c r="L597" s="138"/>
      <c r="M597" s="138"/>
      <c r="N597" s="138"/>
      <c r="O597" s="138"/>
      <c r="P597" s="138"/>
      <c r="Q597" s="138"/>
      <c r="R597" s="138"/>
      <c r="S597" s="138"/>
      <c r="T597" s="138"/>
      <c r="U597" s="138"/>
      <c r="V597" s="138"/>
      <c r="W597" s="138"/>
      <c r="X597" s="138"/>
      <c r="Y597" s="138"/>
      <c r="Z597" s="138"/>
      <c r="AA597" s="138"/>
      <c r="AB597" s="138"/>
      <c r="AC597" s="138"/>
    </row>
    <row r="598">
      <c r="A598" s="161"/>
      <c r="B598" s="161"/>
      <c r="C598" s="138"/>
      <c r="D598" s="160"/>
      <c r="E598" s="161"/>
      <c r="F598" s="161"/>
      <c r="G598" s="161"/>
      <c r="H598" s="161"/>
      <c r="I598" s="138"/>
      <c r="J598" s="138"/>
      <c r="K598" s="138"/>
      <c r="L598" s="138"/>
      <c r="M598" s="138"/>
      <c r="N598" s="138"/>
      <c r="O598" s="138"/>
      <c r="P598" s="138"/>
      <c r="Q598" s="138"/>
      <c r="R598" s="138"/>
      <c r="S598" s="138"/>
      <c r="T598" s="138"/>
      <c r="U598" s="138"/>
      <c r="V598" s="138"/>
      <c r="W598" s="138"/>
      <c r="X598" s="138"/>
      <c r="Y598" s="138"/>
      <c r="Z598" s="138"/>
      <c r="AA598" s="138"/>
      <c r="AB598" s="138"/>
      <c r="AC598" s="138"/>
    </row>
    <row r="599">
      <c r="A599" s="161"/>
      <c r="B599" s="161"/>
      <c r="C599" s="138"/>
      <c r="D599" s="160"/>
      <c r="E599" s="161"/>
      <c r="F599" s="161"/>
      <c r="G599" s="161"/>
      <c r="H599" s="161"/>
      <c r="I599" s="138"/>
      <c r="J599" s="138"/>
      <c r="K599" s="138"/>
      <c r="L599" s="138"/>
      <c r="M599" s="138"/>
      <c r="N599" s="138"/>
      <c r="O599" s="138"/>
      <c r="P599" s="138"/>
      <c r="Q599" s="138"/>
      <c r="R599" s="138"/>
      <c r="S599" s="138"/>
      <c r="T599" s="138"/>
      <c r="U599" s="138"/>
      <c r="V599" s="138"/>
      <c r="W599" s="138"/>
      <c r="X599" s="138"/>
      <c r="Y599" s="138"/>
      <c r="Z599" s="138"/>
      <c r="AA599" s="138"/>
      <c r="AB599" s="138"/>
      <c r="AC599" s="138"/>
    </row>
    <row r="600">
      <c r="A600" s="161"/>
      <c r="B600" s="161"/>
      <c r="C600" s="138"/>
      <c r="D600" s="160"/>
      <c r="E600" s="161"/>
      <c r="F600" s="161"/>
      <c r="G600" s="161"/>
      <c r="H600" s="161"/>
      <c r="I600" s="138"/>
      <c r="J600" s="138"/>
      <c r="K600" s="138"/>
      <c r="L600" s="138"/>
      <c r="M600" s="138"/>
      <c r="N600" s="138"/>
      <c r="O600" s="138"/>
      <c r="P600" s="138"/>
      <c r="Q600" s="138"/>
      <c r="R600" s="138"/>
      <c r="S600" s="138"/>
      <c r="T600" s="138"/>
      <c r="U600" s="138"/>
      <c r="V600" s="138"/>
      <c r="W600" s="138"/>
      <c r="X600" s="138"/>
      <c r="Y600" s="138"/>
      <c r="Z600" s="138"/>
      <c r="AA600" s="138"/>
      <c r="AB600" s="138"/>
      <c r="AC600" s="138"/>
    </row>
    <row r="601">
      <c r="A601" s="161"/>
      <c r="B601" s="161"/>
      <c r="C601" s="138"/>
      <c r="D601" s="160"/>
      <c r="E601" s="161"/>
      <c r="F601" s="161"/>
      <c r="G601" s="161"/>
      <c r="H601" s="161"/>
      <c r="I601" s="138"/>
      <c r="J601" s="138"/>
      <c r="K601" s="138"/>
      <c r="L601" s="138"/>
      <c r="M601" s="138"/>
      <c r="N601" s="138"/>
      <c r="O601" s="138"/>
      <c r="P601" s="138"/>
      <c r="Q601" s="138"/>
      <c r="R601" s="138"/>
      <c r="S601" s="138"/>
      <c r="T601" s="138"/>
      <c r="U601" s="138"/>
      <c r="V601" s="138"/>
      <c r="W601" s="138"/>
      <c r="X601" s="138"/>
      <c r="Y601" s="138"/>
      <c r="Z601" s="138"/>
      <c r="AA601" s="138"/>
      <c r="AB601" s="138"/>
      <c r="AC601" s="138"/>
    </row>
    <row r="602">
      <c r="A602" s="161"/>
      <c r="B602" s="161"/>
      <c r="C602" s="138"/>
      <c r="D602" s="160"/>
      <c r="E602" s="161"/>
      <c r="F602" s="161"/>
      <c r="G602" s="161"/>
      <c r="H602" s="161"/>
      <c r="I602" s="138"/>
      <c r="J602" s="138"/>
      <c r="K602" s="138"/>
      <c r="L602" s="138"/>
      <c r="M602" s="138"/>
      <c r="N602" s="138"/>
      <c r="O602" s="138"/>
      <c r="P602" s="138"/>
      <c r="Q602" s="138"/>
      <c r="R602" s="138"/>
      <c r="S602" s="138"/>
      <c r="T602" s="138"/>
      <c r="U602" s="138"/>
      <c r="V602" s="138"/>
      <c r="W602" s="138"/>
      <c r="X602" s="138"/>
      <c r="Y602" s="138"/>
      <c r="Z602" s="138"/>
      <c r="AA602" s="138"/>
      <c r="AB602" s="138"/>
      <c r="AC602" s="138"/>
    </row>
    <row r="603">
      <c r="A603" s="161"/>
      <c r="B603" s="161"/>
      <c r="C603" s="138"/>
      <c r="D603" s="160"/>
      <c r="E603" s="161"/>
      <c r="F603" s="161"/>
      <c r="G603" s="161"/>
      <c r="H603" s="161"/>
      <c r="I603" s="138"/>
      <c r="J603" s="138"/>
      <c r="K603" s="138"/>
      <c r="L603" s="138"/>
      <c r="M603" s="138"/>
      <c r="N603" s="138"/>
      <c r="O603" s="138"/>
      <c r="P603" s="138"/>
      <c r="Q603" s="138"/>
      <c r="R603" s="138"/>
      <c r="S603" s="138"/>
      <c r="T603" s="138"/>
      <c r="U603" s="138"/>
      <c r="V603" s="138"/>
      <c r="W603" s="138"/>
      <c r="X603" s="138"/>
      <c r="Y603" s="138"/>
      <c r="Z603" s="138"/>
      <c r="AA603" s="138"/>
      <c r="AB603" s="138"/>
      <c r="AC603" s="138"/>
    </row>
    <row r="604">
      <c r="A604" s="161"/>
      <c r="B604" s="161"/>
      <c r="C604" s="138"/>
      <c r="D604" s="160"/>
      <c r="E604" s="161"/>
      <c r="F604" s="161"/>
      <c r="G604" s="161"/>
      <c r="H604" s="161"/>
      <c r="I604" s="138"/>
      <c r="J604" s="138"/>
      <c r="K604" s="138"/>
      <c r="L604" s="138"/>
      <c r="M604" s="138"/>
      <c r="N604" s="138"/>
      <c r="O604" s="138"/>
      <c r="P604" s="138"/>
      <c r="Q604" s="138"/>
      <c r="R604" s="138"/>
      <c r="S604" s="138"/>
      <c r="T604" s="138"/>
      <c r="U604" s="138"/>
      <c r="V604" s="138"/>
      <c r="W604" s="138"/>
      <c r="X604" s="138"/>
      <c r="Y604" s="138"/>
      <c r="Z604" s="138"/>
      <c r="AA604" s="138"/>
      <c r="AB604" s="138"/>
      <c r="AC604" s="138"/>
    </row>
    <row r="605">
      <c r="A605" s="161"/>
      <c r="B605" s="161"/>
      <c r="C605" s="138"/>
      <c r="D605" s="160"/>
      <c r="E605" s="161"/>
      <c r="F605" s="161"/>
      <c r="G605" s="161"/>
      <c r="H605" s="161"/>
      <c r="I605" s="138"/>
      <c r="J605" s="138"/>
      <c r="K605" s="138"/>
      <c r="L605" s="138"/>
      <c r="M605" s="138"/>
      <c r="N605" s="138"/>
      <c r="O605" s="138"/>
      <c r="P605" s="138"/>
      <c r="Q605" s="138"/>
      <c r="R605" s="138"/>
      <c r="S605" s="138"/>
      <c r="T605" s="138"/>
      <c r="U605" s="138"/>
      <c r="V605" s="138"/>
      <c r="W605" s="138"/>
      <c r="X605" s="138"/>
      <c r="Y605" s="138"/>
      <c r="Z605" s="138"/>
      <c r="AA605" s="138"/>
      <c r="AB605" s="138"/>
      <c r="AC605" s="138"/>
    </row>
    <row r="606">
      <c r="A606" s="161"/>
      <c r="B606" s="161"/>
      <c r="C606" s="138"/>
      <c r="D606" s="160"/>
      <c r="E606" s="161"/>
      <c r="F606" s="161"/>
      <c r="G606" s="161"/>
      <c r="H606" s="161"/>
      <c r="I606" s="138"/>
      <c r="J606" s="138"/>
      <c r="K606" s="138"/>
      <c r="L606" s="138"/>
      <c r="M606" s="138"/>
      <c r="N606" s="138"/>
      <c r="O606" s="138"/>
      <c r="P606" s="138"/>
      <c r="Q606" s="138"/>
      <c r="R606" s="138"/>
      <c r="S606" s="138"/>
      <c r="T606" s="138"/>
      <c r="U606" s="138"/>
      <c r="V606" s="138"/>
      <c r="W606" s="138"/>
      <c r="X606" s="138"/>
      <c r="Y606" s="138"/>
      <c r="Z606" s="138"/>
      <c r="AA606" s="138"/>
      <c r="AB606" s="138"/>
      <c r="AC606" s="138"/>
    </row>
    <row r="607">
      <c r="A607" s="161"/>
      <c r="B607" s="161"/>
      <c r="C607" s="138"/>
      <c r="D607" s="160"/>
      <c r="E607" s="161"/>
      <c r="F607" s="161"/>
      <c r="G607" s="161"/>
      <c r="H607" s="161"/>
      <c r="I607" s="138"/>
      <c r="J607" s="138"/>
      <c r="K607" s="138"/>
      <c r="L607" s="138"/>
      <c r="M607" s="138"/>
      <c r="N607" s="138"/>
      <c r="O607" s="138"/>
      <c r="P607" s="138"/>
      <c r="Q607" s="138"/>
      <c r="R607" s="138"/>
      <c r="S607" s="138"/>
      <c r="T607" s="138"/>
      <c r="U607" s="138"/>
      <c r="V607" s="138"/>
      <c r="W607" s="138"/>
      <c r="X607" s="138"/>
      <c r="Y607" s="138"/>
      <c r="Z607" s="138"/>
      <c r="AA607" s="138"/>
      <c r="AB607" s="138"/>
      <c r="AC607" s="138"/>
    </row>
    <row r="608">
      <c r="A608" s="161"/>
      <c r="B608" s="161"/>
      <c r="C608" s="138"/>
      <c r="D608" s="160"/>
      <c r="E608" s="161"/>
      <c r="F608" s="161"/>
      <c r="G608" s="161"/>
      <c r="H608" s="161"/>
      <c r="I608" s="138"/>
      <c r="J608" s="138"/>
      <c r="K608" s="138"/>
      <c r="L608" s="138"/>
      <c r="M608" s="138"/>
      <c r="N608" s="138"/>
      <c r="O608" s="138"/>
      <c r="P608" s="138"/>
      <c r="Q608" s="138"/>
      <c r="R608" s="138"/>
      <c r="S608" s="138"/>
      <c r="T608" s="138"/>
      <c r="U608" s="138"/>
      <c r="V608" s="138"/>
      <c r="W608" s="138"/>
      <c r="X608" s="138"/>
      <c r="Y608" s="138"/>
      <c r="Z608" s="138"/>
      <c r="AA608" s="138"/>
      <c r="AB608" s="138"/>
      <c r="AC608" s="138"/>
    </row>
    <row r="609">
      <c r="A609" s="161"/>
      <c r="B609" s="161"/>
      <c r="C609" s="138"/>
      <c r="D609" s="160"/>
      <c r="E609" s="161"/>
      <c r="F609" s="161"/>
      <c r="G609" s="161"/>
      <c r="H609" s="161"/>
      <c r="I609" s="138"/>
      <c r="J609" s="138"/>
      <c r="K609" s="138"/>
      <c r="L609" s="138"/>
      <c r="M609" s="138"/>
      <c r="N609" s="138"/>
      <c r="O609" s="138"/>
      <c r="P609" s="138"/>
      <c r="Q609" s="138"/>
      <c r="R609" s="138"/>
      <c r="S609" s="138"/>
      <c r="T609" s="138"/>
      <c r="U609" s="138"/>
      <c r="V609" s="138"/>
      <c r="W609" s="138"/>
      <c r="X609" s="138"/>
      <c r="Y609" s="138"/>
      <c r="Z609" s="138"/>
      <c r="AA609" s="138"/>
      <c r="AB609" s="138"/>
      <c r="AC609" s="138"/>
    </row>
    <row r="610">
      <c r="A610" s="161"/>
      <c r="B610" s="161"/>
      <c r="C610" s="138"/>
      <c r="D610" s="160"/>
      <c r="E610" s="161"/>
      <c r="F610" s="161"/>
      <c r="G610" s="161"/>
      <c r="H610" s="161"/>
      <c r="I610" s="138"/>
      <c r="J610" s="138"/>
      <c r="K610" s="138"/>
      <c r="L610" s="138"/>
      <c r="M610" s="138"/>
      <c r="N610" s="138"/>
      <c r="O610" s="138"/>
      <c r="P610" s="138"/>
      <c r="Q610" s="138"/>
      <c r="R610" s="138"/>
      <c r="S610" s="138"/>
      <c r="T610" s="138"/>
      <c r="U610" s="138"/>
      <c r="V610" s="138"/>
      <c r="W610" s="138"/>
      <c r="X610" s="138"/>
      <c r="Y610" s="138"/>
      <c r="Z610" s="138"/>
      <c r="AA610" s="138"/>
      <c r="AB610" s="138"/>
      <c r="AC610" s="138"/>
    </row>
    <row r="611">
      <c r="A611" s="161"/>
      <c r="B611" s="161"/>
      <c r="C611" s="138"/>
      <c r="D611" s="160"/>
      <c r="E611" s="161"/>
      <c r="F611" s="161"/>
      <c r="G611" s="161"/>
      <c r="H611" s="161"/>
      <c r="I611" s="138"/>
      <c r="J611" s="138"/>
      <c r="K611" s="138"/>
      <c r="L611" s="138"/>
      <c r="M611" s="138"/>
      <c r="N611" s="138"/>
      <c r="O611" s="138"/>
      <c r="P611" s="138"/>
      <c r="Q611" s="138"/>
      <c r="R611" s="138"/>
      <c r="S611" s="138"/>
      <c r="T611" s="138"/>
      <c r="U611" s="138"/>
      <c r="V611" s="138"/>
      <c r="W611" s="138"/>
      <c r="X611" s="138"/>
      <c r="Y611" s="138"/>
      <c r="Z611" s="138"/>
      <c r="AA611" s="138"/>
      <c r="AB611" s="138"/>
      <c r="AC611" s="138"/>
    </row>
    <row r="612">
      <c r="A612" s="161"/>
      <c r="B612" s="161"/>
      <c r="C612" s="138"/>
      <c r="D612" s="160"/>
      <c r="E612" s="161"/>
      <c r="F612" s="161"/>
      <c r="G612" s="161"/>
      <c r="H612" s="161"/>
      <c r="I612" s="138"/>
      <c r="J612" s="138"/>
      <c r="K612" s="138"/>
      <c r="L612" s="138"/>
      <c r="M612" s="138"/>
      <c r="N612" s="138"/>
      <c r="O612" s="138"/>
      <c r="P612" s="138"/>
      <c r="Q612" s="138"/>
      <c r="R612" s="138"/>
      <c r="S612" s="138"/>
      <c r="T612" s="138"/>
      <c r="U612" s="138"/>
      <c r="V612" s="138"/>
      <c r="W612" s="138"/>
      <c r="X612" s="138"/>
      <c r="Y612" s="138"/>
      <c r="Z612" s="138"/>
      <c r="AA612" s="138"/>
      <c r="AB612" s="138"/>
      <c r="AC612" s="138"/>
    </row>
    <row r="613">
      <c r="A613" s="161"/>
      <c r="B613" s="161"/>
      <c r="C613" s="138"/>
      <c r="D613" s="160"/>
      <c r="E613" s="161"/>
      <c r="F613" s="161"/>
      <c r="G613" s="161"/>
      <c r="H613" s="161"/>
      <c r="I613" s="138"/>
      <c r="J613" s="138"/>
      <c r="K613" s="138"/>
      <c r="L613" s="138"/>
      <c r="M613" s="138"/>
      <c r="N613" s="138"/>
      <c r="O613" s="138"/>
      <c r="P613" s="138"/>
      <c r="Q613" s="138"/>
      <c r="R613" s="138"/>
      <c r="S613" s="138"/>
      <c r="T613" s="138"/>
      <c r="U613" s="138"/>
      <c r="V613" s="138"/>
      <c r="W613" s="138"/>
      <c r="X613" s="138"/>
      <c r="Y613" s="138"/>
      <c r="Z613" s="138"/>
      <c r="AA613" s="138"/>
      <c r="AB613" s="138"/>
      <c r="AC613" s="138"/>
    </row>
    <row r="614">
      <c r="A614" s="161"/>
      <c r="B614" s="161"/>
      <c r="C614" s="138"/>
      <c r="D614" s="160"/>
      <c r="E614" s="161"/>
      <c r="F614" s="161"/>
      <c r="G614" s="161"/>
      <c r="H614" s="161"/>
      <c r="I614" s="138"/>
      <c r="J614" s="138"/>
      <c r="K614" s="138"/>
      <c r="L614" s="138"/>
      <c r="M614" s="138"/>
      <c r="N614" s="138"/>
      <c r="O614" s="138"/>
      <c r="P614" s="138"/>
      <c r="Q614" s="138"/>
      <c r="R614" s="138"/>
      <c r="S614" s="138"/>
      <c r="T614" s="138"/>
      <c r="U614" s="138"/>
      <c r="V614" s="138"/>
      <c r="W614" s="138"/>
      <c r="X614" s="138"/>
      <c r="Y614" s="138"/>
      <c r="Z614" s="138"/>
      <c r="AA614" s="138"/>
      <c r="AB614" s="138"/>
      <c r="AC614" s="138"/>
    </row>
    <row r="615">
      <c r="A615" s="161"/>
      <c r="B615" s="161"/>
      <c r="C615" s="138"/>
      <c r="D615" s="160"/>
      <c r="E615" s="161"/>
      <c r="F615" s="161"/>
      <c r="G615" s="161"/>
      <c r="H615" s="161"/>
      <c r="I615" s="138"/>
      <c r="J615" s="138"/>
      <c r="K615" s="138"/>
      <c r="L615" s="138"/>
      <c r="M615" s="138"/>
      <c r="N615" s="138"/>
      <c r="O615" s="138"/>
      <c r="P615" s="138"/>
      <c r="Q615" s="138"/>
      <c r="R615" s="138"/>
      <c r="S615" s="138"/>
      <c r="T615" s="138"/>
      <c r="U615" s="138"/>
      <c r="V615" s="138"/>
      <c r="W615" s="138"/>
      <c r="X615" s="138"/>
      <c r="Y615" s="138"/>
      <c r="Z615" s="138"/>
      <c r="AA615" s="138"/>
      <c r="AB615" s="138"/>
      <c r="AC615" s="138"/>
    </row>
    <row r="616">
      <c r="A616" s="161"/>
      <c r="B616" s="161"/>
      <c r="C616" s="138"/>
      <c r="D616" s="160"/>
      <c r="E616" s="161"/>
      <c r="F616" s="161"/>
      <c r="G616" s="161"/>
      <c r="H616" s="161"/>
      <c r="I616" s="138"/>
      <c r="J616" s="138"/>
      <c r="K616" s="138"/>
      <c r="L616" s="138"/>
      <c r="M616" s="138"/>
      <c r="N616" s="138"/>
      <c r="O616" s="138"/>
      <c r="P616" s="138"/>
      <c r="Q616" s="138"/>
      <c r="R616" s="138"/>
      <c r="S616" s="138"/>
      <c r="T616" s="138"/>
      <c r="U616" s="138"/>
      <c r="V616" s="138"/>
      <c r="W616" s="138"/>
      <c r="X616" s="138"/>
      <c r="Y616" s="138"/>
      <c r="Z616" s="138"/>
      <c r="AA616" s="138"/>
      <c r="AB616" s="138"/>
      <c r="AC616" s="138"/>
    </row>
    <row r="617">
      <c r="A617" s="161"/>
      <c r="B617" s="161"/>
      <c r="C617" s="138"/>
      <c r="D617" s="160"/>
      <c r="E617" s="161"/>
      <c r="F617" s="161"/>
      <c r="G617" s="161"/>
      <c r="H617" s="161"/>
      <c r="I617" s="138"/>
      <c r="J617" s="138"/>
      <c r="K617" s="138"/>
      <c r="L617" s="138"/>
      <c r="M617" s="138"/>
      <c r="N617" s="138"/>
      <c r="O617" s="138"/>
      <c r="P617" s="138"/>
      <c r="Q617" s="138"/>
      <c r="R617" s="138"/>
      <c r="S617" s="138"/>
      <c r="T617" s="138"/>
      <c r="U617" s="138"/>
      <c r="V617" s="138"/>
      <c r="W617" s="138"/>
      <c r="X617" s="138"/>
      <c r="Y617" s="138"/>
      <c r="Z617" s="138"/>
      <c r="AA617" s="138"/>
      <c r="AB617" s="138"/>
      <c r="AC617" s="138"/>
    </row>
    <row r="618">
      <c r="A618" s="161"/>
      <c r="B618" s="161"/>
      <c r="C618" s="138"/>
      <c r="D618" s="160"/>
      <c r="E618" s="161"/>
      <c r="F618" s="161"/>
      <c r="G618" s="161"/>
      <c r="H618" s="161"/>
      <c r="I618" s="138"/>
      <c r="J618" s="138"/>
      <c r="K618" s="138"/>
      <c r="L618" s="138"/>
      <c r="M618" s="138"/>
      <c r="N618" s="138"/>
      <c r="O618" s="138"/>
      <c r="P618" s="138"/>
      <c r="Q618" s="138"/>
      <c r="R618" s="138"/>
      <c r="S618" s="138"/>
      <c r="T618" s="138"/>
      <c r="U618" s="138"/>
      <c r="V618" s="138"/>
      <c r="W618" s="138"/>
      <c r="X618" s="138"/>
      <c r="Y618" s="138"/>
      <c r="Z618" s="138"/>
      <c r="AA618" s="138"/>
      <c r="AB618" s="138"/>
      <c r="AC618" s="138"/>
    </row>
    <row r="619">
      <c r="A619" s="161"/>
      <c r="B619" s="161"/>
      <c r="C619" s="138"/>
      <c r="D619" s="160"/>
      <c r="E619" s="161"/>
      <c r="F619" s="161"/>
      <c r="G619" s="161"/>
      <c r="H619" s="161"/>
      <c r="I619" s="138"/>
      <c r="J619" s="138"/>
      <c r="K619" s="138"/>
      <c r="L619" s="138"/>
      <c r="M619" s="138"/>
      <c r="N619" s="138"/>
      <c r="O619" s="138"/>
      <c r="P619" s="138"/>
      <c r="Q619" s="138"/>
      <c r="R619" s="138"/>
      <c r="S619" s="138"/>
      <c r="T619" s="138"/>
      <c r="U619" s="138"/>
      <c r="V619" s="138"/>
      <c r="W619" s="138"/>
      <c r="X619" s="138"/>
      <c r="Y619" s="138"/>
      <c r="Z619" s="138"/>
      <c r="AA619" s="138"/>
      <c r="AB619" s="138"/>
      <c r="AC619" s="138"/>
    </row>
    <row r="620">
      <c r="A620" s="161"/>
      <c r="B620" s="161"/>
      <c r="C620" s="138"/>
      <c r="D620" s="160"/>
      <c r="E620" s="161"/>
      <c r="F620" s="161"/>
      <c r="G620" s="161"/>
      <c r="H620" s="161"/>
      <c r="I620" s="138"/>
      <c r="J620" s="138"/>
      <c r="K620" s="138"/>
      <c r="L620" s="138"/>
      <c r="M620" s="138"/>
      <c r="N620" s="138"/>
      <c r="O620" s="138"/>
      <c r="P620" s="138"/>
      <c r="Q620" s="138"/>
      <c r="R620" s="138"/>
      <c r="S620" s="138"/>
      <c r="T620" s="138"/>
      <c r="U620" s="138"/>
      <c r="V620" s="138"/>
      <c r="W620" s="138"/>
      <c r="X620" s="138"/>
      <c r="Y620" s="138"/>
      <c r="Z620" s="138"/>
      <c r="AA620" s="138"/>
      <c r="AB620" s="138"/>
      <c r="AC620" s="138"/>
    </row>
    <row r="621">
      <c r="A621" s="161"/>
      <c r="B621" s="161"/>
      <c r="C621" s="138"/>
      <c r="D621" s="160"/>
      <c r="E621" s="161"/>
      <c r="F621" s="161"/>
      <c r="G621" s="161"/>
      <c r="H621" s="161"/>
      <c r="I621" s="138"/>
      <c r="J621" s="138"/>
      <c r="K621" s="138"/>
      <c r="L621" s="138"/>
      <c r="M621" s="138"/>
      <c r="N621" s="138"/>
      <c r="O621" s="138"/>
      <c r="P621" s="138"/>
      <c r="Q621" s="138"/>
      <c r="R621" s="138"/>
      <c r="S621" s="138"/>
      <c r="T621" s="138"/>
      <c r="U621" s="138"/>
      <c r="V621" s="138"/>
      <c r="W621" s="138"/>
      <c r="X621" s="138"/>
      <c r="Y621" s="138"/>
      <c r="Z621" s="138"/>
      <c r="AA621" s="138"/>
      <c r="AB621" s="138"/>
      <c r="AC621" s="138"/>
    </row>
    <row r="622">
      <c r="A622" s="161"/>
      <c r="B622" s="161"/>
      <c r="C622" s="138"/>
      <c r="D622" s="160"/>
      <c r="E622" s="161"/>
      <c r="F622" s="161"/>
      <c r="G622" s="161"/>
      <c r="H622" s="161"/>
      <c r="I622" s="138"/>
      <c r="J622" s="138"/>
      <c r="K622" s="138"/>
      <c r="L622" s="138"/>
      <c r="M622" s="138"/>
      <c r="N622" s="138"/>
      <c r="O622" s="138"/>
      <c r="P622" s="138"/>
      <c r="Q622" s="138"/>
      <c r="R622" s="138"/>
      <c r="S622" s="138"/>
      <c r="T622" s="138"/>
      <c r="U622" s="138"/>
      <c r="V622" s="138"/>
      <c r="W622" s="138"/>
      <c r="X622" s="138"/>
      <c r="Y622" s="138"/>
      <c r="Z622" s="138"/>
      <c r="AA622" s="138"/>
      <c r="AB622" s="138"/>
      <c r="AC622" s="138"/>
    </row>
    <row r="623">
      <c r="A623" s="161"/>
      <c r="B623" s="161"/>
      <c r="C623" s="138"/>
      <c r="D623" s="160"/>
      <c r="E623" s="161"/>
      <c r="F623" s="161"/>
      <c r="G623" s="161"/>
      <c r="H623" s="161"/>
      <c r="I623" s="138"/>
      <c r="J623" s="138"/>
      <c r="K623" s="138"/>
      <c r="L623" s="138"/>
      <c r="M623" s="138"/>
      <c r="N623" s="138"/>
      <c r="O623" s="138"/>
      <c r="P623" s="138"/>
      <c r="Q623" s="138"/>
      <c r="R623" s="138"/>
      <c r="S623" s="138"/>
      <c r="T623" s="138"/>
      <c r="U623" s="138"/>
      <c r="V623" s="138"/>
      <c r="W623" s="138"/>
      <c r="X623" s="138"/>
      <c r="Y623" s="138"/>
      <c r="Z623" s="138"/>
      <c r="AA623" s="138"/>
      <c r="AB623" s="138"/>
      <c r="AC623" s="138"/>
    </row>
    <row r="624">
      <c r="A624" s="161"/>
      <c r="B624" s="161"/>
      <c r="C624" s="138"/>
      <c r="D624" s="160"/>
      <c r="E624" s="161"/>
      <c r="F624" s="161"/>
      <c r="G624" s="161"/>
      <c r="H624" s="161"/>
      <c r="I624" s="138"/>
      <c r="J624" s="138"/>
      <c r="K624" s="138"/>
      <c r="L624" s="138"/>
      <c r="M624" s="138"/>
      <c r="N624" s="138"/>
      <c r="O624" s="138"/>
      <c r="P624" s="138"/>
      <c r="Q624" s="138"/>
      <c r="R624" s="138"/>
      <c r="S624" s="138"/>
      <c r="T624" s="138"/>
      <c r="U624" s="138"/>
      <c r="V624" s="138"/>
      <c r="W624" s="138"/>
      <c r="X624" s="138"/>
      <c r="Y624" s="138"/>
      <c r="Z624" s="138"/>
      <c r="AA624" s="138"/>
      <c r="AB624" s="138"/>
      <c r="AC624" s="138"/>
    </row>
    <row r="625">
      <c r="A625" s="161"/>
      <c r="B625" s="161"/>
      <c r="C625" s="138"/>
      <c r="D625" s="160"/>
      <c r="E625" s="161"/>
      <c r="F625" s="161"/>
      <c r="G625" s="161"/>
      <c r="H625" s="161"/>
      <c r="I625" s="138"/>
      <c r="J625" s="138"/>
      <c r="K625" s="138"/>
      <c r="L625" s="138"/>
      <c r="M625" s="138"/>
      <c r="N625" s="138"/>
      <c r="O625" s="138"/>
      <c r="P625" s="138"/>
      <c r="Q625" s="138"/>
      <c r="R625" s="138"/>
      <c r="S625" s="138"/>
      <c r="T625" s="138"/>
      <c r="U625" s="138"/>
      <c r="V625" s="138"/>
      <c r="W625" s="138"/>
      <c r="X625" s="138"/>
      <c r="Y625" s="138"/>
      <c r="Z625" s="138"/>
      <c r="AA625" s="138"/>
      <c r="AB625" s="138"/>
      <c r="AC625" s="138"/>
    </row>
    <row r="626">
      <c r="A626" s="161"/>
      <c r="B626" s="161"/>
      <c r="C626" s="138"/>
      <c r="D626" s="160"/>
      <c r="E626" s="161"/>
      <c r="F626" s="161"/>
      <c r="G626" s="161"/>
      <c r="H626" s="161"/>
      <c r="I626" s="138"/>
      <c r="J626" s="138"/>
      <c r="K626" s="138"/>
      <c r="L626" s="138"/>
      <c r="M626" s="138"/>
      <c r="N626" s="138"/>
      <c r="O626" s="138"/>
      <c r="P626" s="138"/>
      <c r="Q626" s="138"/>
      <c r="R626" s="138"/>
      <c r="S626" s="138"/>
      <c r="T626" s="138"/>
      <c r="U626" s="138"/>
      <c r="V626" s="138"/>
      <c r="W626" s="138"/>
      <c r="X626" s="138"/>
      <c r="Y626" s="138"/>
      <c r="Z626" s="138"/>
      <c r="AA626" s="138"/>
      <c r="AB626" s="138"/>
      <c r="AC626" s="138"/>
    </row>
    <row r="627">
      <c r="A627" s="161"/>
      <c r="B627" s="161"/>
      <c r="C627" s="138"/>
      <c r="D627" s="160"/>
      <c r="E627" s="161"/>
      <c r="F627" s="161"/>
      <c r="G627" s="161"/>
      <c r="H627" s="161"/>
      <c r="I627" s="138"/>
      <c r="J627" s="138"/>
      <c r="K627" s="138"/>
      <c r="L627" s="138"/>
      <c r="M627" s="138"/>
      <c r="N627" s="138"/>
      <c r="O627" s="138"/>
      <c r="P627" s="138"/>
      <c r="Q627" s="138"/>
      <c r="R627" s="138"/>
      <c r="S627" s="138"/>
      <c r="T627" s="138"/>
      <c r="U627" s="138"/>
      <c r="V627" s="138"/>
      <c r="W627" s="138"/>
      <c r="X627" s="138"/>
      <c r="Y627" s="138"/>
      <c r="Z627" s="138"/>
      <c r="AA627" s="138"/>
      <c r="AB627" s="138"/>
      <c r="AC627" s="138"/>
    </row>
    <row r="628">
      <c r="A628" s="161"/>
      <c r="B628" s="161"/>
      <c r="C628" s="138"/>
      <c r="D628" s="160"/>
      <c r="E628" s="161"/>
      <c r="F628" s="161"/>
      <c r="G628" s="161"/>
      <c r="H628" s="161"/>
      <c r="I628" s="138"/>
      <c r="J628" s="138"/>
      <c r="K628" s="138"/>
      <c r="L628" s="138"/>
      <c r="M628" s="138"/>
      <c r="N628" s="138"/>
      <c r="O628" s="138"/>
      <c r="P628" s="138"/>
      <c r="Q628" s="138"/>
      <c r="R628" s="138"/>
      <c r="S628" s="138"/>
      <c r="T628" s="138"/>
      <c r="U628" s="138"/>
      <c r="V628" s="138"/>
      <c r="W628" s="138"/>
      <c r="X628" s="138"/>
      <c r="Y628" s="138"/>
      <c r="Z628" s="138"/>
      <c r="AA628" s="138"/>
      <c r="AB628" s="138"/>
      <c r="AC628" s="138"/>
    </row>
    <row r="629">
      <c r="A629" s="161"/>
      <c r="B629" s="161"/>
      <c r="C629" s="138"/>
      <c r="D629" s="160"/>
      <c r="E629" s="161"/>
      <c r="F629" s="161"/>
      <c r="G629" s="161"/>
      <c r="H629" s="161"/>
      <c r="I629" s="138"/>
      <c r="J629" s="138"/>
      <c r="K629" s="138"/>
      <c r="L629" s="138"/>
      <c r="M629" s="138"/>
      <c r="N629" s="138"/>
      <c r="O629" s="138"/>
      <c r="P629" s="138"/>
      <c r="Q629" s="138"/>
      <c r="R629" s="138"/>
      <c r="S629" s="138"/>
      <c r="T629" s="138"/>
      <c r="U629" s="138"/>
      <c r="V629" s="138"/>
      <c r="W629" s="138"/>
      <c r="X629" s="138"/>
      <c r="Y629" s="138"/>
      <c r="Z629" s="138"/>
      <c r="AA629" s="138"/>
      <c r="AB629" s="138"/>
      <c r="AC629" s="138"/>
    </row>
    <row r="630">
      <c r="A630" s="161"/>
      <c r="B630" s="161"/>
      <c r="C630" s="138"/>
      <c r="D630" s="160"/>
      <c r="E630" s="161"/>
      <c r="F630" s="161"/>
      <c r="G630" s="161"/>
      <c r="H630" s="161"/>
      <c r="I630" s="138"/>
      <c r="J630" s="138"/>
      <c r="K630" s="138"/>
      <c r="L630" s="138"/>
      <c r="M630" s="138"/>
      <c r="N630" s="138"/>
      <c r="O630" s="138"/>
      <c r="P630" s="138"/>
      <c r="Q630" s="138"/>
      <c r="R630" s="138"/>
      <c r="S630" s="138"/>
      <c r="T630" s="138"/>
      <c r="U630" s="138"/>
      <c r="V630" s="138"/>
      <c r="W630" s="138"/>
      <c r="X630" s="138"/>
      <c r="Y630" s="138"/>
      <c r="Z630" s="138"/>
      <c r="AA630" s="138"/>
      <c r="AB630" s="138"/>
      <c r="AC630" s="138"/>
    </row>
    <row r="631">
      <c r="A631" s="161"/>
      <c r="B631" s="161"/>
      <c r="C631" s="138"/>
      <c r="D631" s="160"/>
      <c r="E631" s="161"/>
      <c r="F631" s="161"/>
      <c r="G631" s="161"/>
      <c r="H631" s="161"/>
      <c r="I631" s="138"/>
      <c r="J631" s="138"/>
      <c r="K631" s="138"/>
      <c r="L631" s="138"/>
      <c r="M631" s="138"/>
      <c r="N631" s="138"/>
      <c r="O631" s="138"/>
      <c r="P631" s="138"/>
      <c r="Q631" s="138"/>
      <c r="R631" s="138"/>
      <c r="S631" s="138"/>
      <c r="T631" s="138"/>
      <c r="U631" s="138"/>
      <c r="V631" s="138"/>
      <c r="W631" s="138"/>
      <c r="X631" s="138"/>
      <c r="Y631" s="138"/>
      <c r="Z631" s="138"/>
      <c r="AA631" s="138"/>
      <c r="AB631" s="138"/>
      <c r="AC631" s="138"/>
    </row>
    <row r="632">
      <c r="A632" s="161"/>
      <c r="B632" s="161"/>
      <c r="C632" s="138"/>
      <c r="D632" s="160"/>
      <c r="E632" s="161"/>
      <c r="F632" s="161"/>
      <c r="G632" s="161"/>
      <c r="H632" s="161"/>
      <c r="I632" s="138"/>
      <c r="J632" s="138"/>
      <c r="K632" s="138"/>
      <c r="L632" s="138"/>
      <c r="M632" s="138"/>
      <c r="N632" s="138"/>
      <c r="O632" s="138"/>
      <c r="P632" s="138"/>
      <c r="Q632" s="138"/>
      <c r="R632" s="138"/>
      <c r="S632" s="138"/>
      <c r="T632" s="138"/>
      <c r="U632" s="138"/>
      <c r="V632" s="138"/>
      <c r="W632" s="138"/>
      <c r="X632" s="138"/>
      <c r="Y632" s="138"/>
      <c r="Z632" s="138"/>
      <c r="AA632" s="138"/>
      <c r="AB632" s="138"/>
      <c r="AC632" s="138"/>
    </row>
    <row r="633">
      <c r="A633" s="161"/>
      <c r="B633" s="161"/>
      <c r="C633" s="138"/>
      <c r="D633" s="160"/>
      <c r="E633" s="161"/>
      <c r="F633" s="161"/>
      <c r="G633" s="161"/>
      <c r="H633" s="161"/>
      <c r="I633" s="138"/>
      <c r="J633" s="138"/>
      <c r="K633" s="138"/>
      <c r="L633" s="138"/>
      <c r="M633" s="138"/>
      <c r="N633" s="138"/>
      <c r="O633" s="138"/>
      <c r="P633" s="138"/>
      <c r="Q633" s="138"/>
      <c r="R633" s="138"/>
      <c r="S633" s="138"/>
      <c r="T633" s="138"/>
      <c r="U633" s="138"/>
      <c r="V633" s="138"/>
      <c r="W633" s="138"/>
      <c r="X633" s="138"/>
      <c r="Y633" s="138"/>
      <c r="Z633" s="138"/>
      <c r="AA633" s="138"/>
      <c r="AB633" s="138"/>
      <c r="AC633" s="138"/>
    </row>
    <row r="634">
      <c r="A634" s="161"/>
      <c r="B634" s="161"/>
      <c r="C634" s="138"/>
      <c r="D634" s="160"/>
      <c r="E634" s="161"/>
      <c r="F634" s="161"/>
      <c r="G634" s="161"/>
      <c r="H634" s="161"/>
      <c r="I634" s="138"/>
      <c r="J634" s="138"/>
      <c r="K634" s="138"/>
      <c r="L634" s="138"/>
      <c r="M634" s="138"/>
      <c r="N634" s="138"/>
      <c r="O634" s="138"/>
      <c r="P634" s="138"/>
      <c r="Q634" s="138"/>
      <c r="R634" s="138"/>
      <c r="S634" s="138"/>
      <c r="T634" s="138"/>
      <c r="U634" s="138"/>
      <c r="V634" s="138"/>
      <c r="W634" s="138"/>
      <c r="X634" s="138"/>
      <c r="Y634" s="138"/>
      <c r="Z634" s="138"/>
      <c r="AA634" s="138"/>
      <c r="AB634" s="138"/>
      <c r="AC634" s="138"/>
    </row>
    <row r="635">
      <c r="A635" s="161"/>
      <c r="B635" s="161"/>
      <c r="C635" s="138"/>
      <c r="D635" s="160"/>
      <c r="E635" s="161"/>
      <c r="F635" s="161"/>
      <c r="G635" s="161"/>
      <c r="H635" s="161"/>
      <c r="I635" s="138"/>
      <c r="J635" s="138"/>
      <c r="K635" s="138"/>
      <c r="L635" s="138"/>
      <c r="M635" s="138"/>
      <c r="N635" s="138"/>
      <c r="O635" s="138"/>
      <c r="P635" s="138"/>
      <c r="Q635" s="138"/>
      <c r="R635" s="138"/>
      <c r="S635" s="138"/>
      <c r="T635" s="138"/>
      <c r="U635" s="138"/>
      <c r="V635" s="138"/>
      <c r="W635" s="138"/>
      <c r="X635" s="138"/>
      <c r="Y635" s="138"/>
      <c r="Z635" s="138"/>
      <c r="AA635" s="138"/>
      <c r="AB635" s="138"/>
      <c r="AC635" s="138"/>
    </row>
    <row r="636">
      <c r="A636" s="161"/>
      <c r="B636" s="161"/>
      <c r="C636" s="138"/>
      <c r="D636" s="160"/>
      <c r="E636" s="161"/>
      <c r="F636" s="161"/>
      <c r="G636" s="161"/>
      <c r="H636" s="161"/>
      <c r="I636" s="138"/>
      <c r="J636" s="138"/>
      <c r="K636" s="138"/>
      <c r="L636" s="138"/>
      <c r="M636" s="138"/>
      <c r="N636" s="138"/>
      <c r="O636" s="138"/>
      <c r="P636" s="138"/>
      <c r="Q636" s="138"/>
      <c r="R636" s="138"/>
      <c r="S636" s="138"/>
      <c r="T636" s="138"/>
      <c r="U636" s="138"/>
      <c r="V636" s="138"/>
      <c r="W636" s="138"/>
      <c r="X636" s="138"/>
      <c r="Y636" s="138"/>
      <c r="Z636" s="138"/>
      <c r="AA636" s="138"/>
      <c r="AB636" s="138"/>
      <c r="AC636" s="138"/>
    </row>
    <row r="637">
      <c r="A637" s="161"/>
      <c r="B637" s="161"/>
      <c r="C637" s="138"/>
      <c r="D637" s="160"/>
      <c r="E637" s="161"/>
      <c r="F637" s="161"/>
      <c r="G637" s="161"/>
      <c r="H637" s="161"/>
      <c r="I637" s="138"/>
      <c r="J637" s="138"/>
      <c r="K637" s="138"/>
      <c r="L637" s="138"/>
      <c r="M637" s="138"/>
      <c r="N637" s="138"/>
      <c r="O637" s="138"/>
      <c r="P637" s="138"/>
      <c r="Q637" s="138"/>
      <c r="R637" s="138"/>
      <c r="S637" s="138"/>
      <c r="T637" s="138"/>
      <c r="U637" s="138"/>
      <c r="V637" s="138"/>
      <c r="W637" s="138"/>
      <c r="X637" s="138"/>
      <c r="Y637" s="138"/>
      <c r="Z637" s="138"/>
      <c r="AA637" s="138"/>
      <c r="AB637" s="138"/>
      <c r="AC637" s="138"/>
    </row>
    <row r="638">
      <c r="A638" s="161"/>
      <c r="B638" s="161"/>
      <c r="C638" s="138"/>
      <c r="D638" s="160"/>
      <c r="E638" s="161"/>
      <c r="F638" s="161"/>
      <c r="G638" s="161"/>
      <c r="H638" s="161"/>
      <c r="I638" s="138"/>
      <c r="J638" s="138"/>
      <c r="K638" s="138"/>
      <c r="L638" s="138"/>
      <c r="M638" s="138"/>
      <c r="N638" s="138"/>
      <c r="O638" s="138"/>
      <c r="P638" s="138"/>
      <c r="Q638" s="138"/>
      <c r="R638" s="138"/>
      <c r="S638" s="138"/>
      <c r="T638" s="138"/>
      <c r="U638" s="138"/>
      <c r="V638" s="138"/>
      <c r="W638" s="138"/>
      <c r="X638" s="138"/>
      <c r="Y638" s="138"/>
      <c r="Z638" s="138"/>
      <c r="AA638" s="138"/>
      <c r="AB638" s="138"/>
      <c r="AC638" s="138"/>
    </row>
    <row r="639">
      <c r="A639" s="161"/>
      <c r="B639" s="161"/>
      <c r="C639" s="138"/>
      <c r="D639" s="160"/>
      <c r="E639" s="161"/>
      <c r="F639" s="161"/>
      <c r="G639" s="161"/>
      <c r="H639" s="161"/>
      <c r="I639" s="138"/>
      <c r="J639" s="138"/>
      <c r="K639" s="138"/>
      <c r="L639" s="138"/>
      <c r="M639" s="138"/>
      <c r="N639" s="138"/>
      <c r="O639" s="138"/>
      <c r="P639" s="138"/>
      <c r="Q639" s="138"/>
      <c r="R639" s="138"/>
      <c r="S639" s="138"/>
      <c r="T639" s="138"/>
      <c r="U639" s="138"/>
      <c r="V639" s="138"/>
      <c r="W639" s="138"/>
      <c r="X639" s="138"/>
      <c r="Y639" s="138"/>
      <c r="Z639" s="138"/>
      <c r="AA639" s="138"/>
      <c r="AB639" s="138"/>
      <c r="AC639" s="138"/>
    </row>
    <row r="640">
      <c r="A640" s="161"/>
      <c r="B640" s="161"/>
      <c r="C640" s="138"/>
      <c r="D640" s="160"/>
      <c r="E640" s="161"/>
      <c r="F640" s="161"/>
      <c r="G640" s="161"/>
      <c r="H640" s="161"/>
      <c r="I640" s="138"/>
      <c r="J640" s="138"/>
      <c r="K640" s="138"/>
      <c r="L640" s="138"/>
      <c r="M640" s="138"/>
      <c r="N640" s="138"/>
      <c r="O640" s="138"/>
      <c r="P640" s="138"/>
      <c r="Q640" s="138"/>
      <c r="R640" s="138"/>
      <c r="S640" s="138"/>
      <c r="T640" s="138"/>
      <c r="U640" s="138"/>
      <c r="V640" s="138"/>
      <c r="W640" s="138"/>
      <c r="X640" s="138"/>
      <c r="Y640" s="138"/>
      <c r="Z640" s="138"/>
      <c r="AA640" s="138"/>
      <c r="AB640" s="138"/>
      <c r="AC640" s="138"/>
    </row>
    <row r="641">
      <c r="A641" s="161"/>
      <c r="B641" s="161"/>
      <c r="C641" s="138"/>
      <c r="D641" s="160"/>
      <c r="E641" s="161"/>
      <c r="F641" s="161"/>
      <c r="G641" s="161"/>
      <c r="H641" s="161"/>
      <c r="I641" s="138"/>
      <c r="J641" s="138"/>
      <c r="K641" s="138"/>
      <c r="L641" s="138"/>
      <c r="M641" s="138"/>
      <c r="N641" s="138"/>
      <c r="O641" s="138"/>
      <c r="P641" s="138"/>
      <c r="Q641" s="138"/>
      <c r="R641" s="138"/>
      <c r="S641" s="138"/>
      <c r="T641" s="138"/>
      <c r="U641" s="138"/>
      <c r="V641" s="138"/>
      <c r="W641" s="138"/>
      <c r="X641" s="138"/>
      <c r="Y641" s="138"/>
      <c r="Z641" s="138"/>
      <c r="AA641" s="138"/>
      <c r="AB641" s="138"/>
      <c r="AC641" s="138"/>
    </row>
    <row r="642">
      <c r="A642" s="161"/>
      <c r="B642" s="161"/>
      <c r="C642" s="138"/>
      <c r="D642" s="160"/>
      <c r="E642" s="161"/>
      <c r="F642" s="161"/>
      <c r="G642" s="161"/>
      <c r="H642" s="161"/>
      <c r="I642" s="138"/>
      <c r="J642" s="138"/>
      <c r="K642" s="138"/>
      <c r="L642" s="138"/>
      <c r="M642" s="138"/>
      <c r="N642" s="138"/>
      <c r="O642" s="138"/>
      <c r="P642" s="138"/>
      <c r="Q642" s="138"/>
      <c r="R642" s="138"/>
      <c r="S642" s="138"/>
      <c r="T642" s="138"/>
      <c r="U642" s="138"/>
      <c r="V642" s="138"/>
      <c r="W642" s="138"/>
      <c r="X642" s="138"/>
      <c r="Y642" s="138"/>
      <c r="Z642" s="138"/>
      <c r="AA642" s="138"/>
      <c r="AB642" s="138"/>
      <c r="AC642" s="138"/>
    </row>
    <row r="643">
      <c r="A643" s="161"/>
      <c r="B643" s="161"/>
      <c r="C643" s="138"/>
      <c r="D643" s="160"/>
      <c r="E643" s="161"/>
      <c r="F643" s="161"/>
      <c r="G643" s="161"/>
      <c r="H643" s="161"/>
      <c r="I643" s="138"/>
      <c r="J643" s="138"/>
      <c r="K643" s="138"/>
      <c r="L643" s="138"/>
      <c r="M643" s="138"/>
      <c r="N643" s="138"/>
      <c r="O643" s="138"/>
      <c r="P643" s="138"/>
      <c r="Q643" s="138"/>
      <c r="R643" s="138"/>
      <c r="S643" s="138"/>
      <c r="T643" s="138"/>
      <c r="U643" s="138"/>
      <c r="V643" s="138"/>
      <c r="W643" s="138"/>
      <c r="X643" s="138"/>
      <c r="Y643" s="138"/>
      <c r="Z643" s="138"/>
      <c r="AA643" s="138"/>
      <c r="AB643" s="138"/>
      <c r="AC643" s="138"/>
    </row>
    <row r="644">
      <c r="A644" s="161"/>
      <c r="B644" s="161"/>
      <c r="C644" s="138"/>
      <c r="D644" s="160"/>
      <c r="E644" s="161"/>
      <c r="F644" s="161"/>
      <c r="G644" s="161"/>
      <c r="H644" s="161"/>
      <c r="I644" s="138"/>
      <c r="J644" s="138"/>
      <c r="K644" s="138"/>
      <c r="L644" s="138"/>
      <c r="M644" s="138"/>
      <c r="N644" s="138"/>
      <c r="O644" s="138"/>
      <c r="P644" s="138"/>
      <c r="Q644" s="138"/>
      <c r="R644" s="138"/>
      <c r="S644" s="138"/>
      <c r="T644" s="138"/>
      <c r="U644" s="138"/>
      <c r="V644" s="138"/>
      <c r="W644" s="138"/>
      <c r="X644" s="138"/>
      <c r="Y644" s="138"/>
      <c r="Z644" s="138"/>
      <c r="AA644" s="138"/>
      <c r="AB644" s="138"/>
      <c r="AC644" s="138"/>
    </row>
    <row r="645">
      <c r="A645" s="161"/>
      <c r="B645" s="161"/>
      <c r="C645" s="138"/>
      <c r="D645" s="160"/>
      <c r="E645" s="161"/>
      <c r="F645" s="161"/>
      <c r="G645" s="161"/>
      <c r="H645" s="161"/>
      <c r="I645" s="138"/>
      <c r="J645" s="138"/>
      <c r="K645" s="138"/>
      <c r="L645" s="138"/>
      <c r="M645" s="138"/>
      <c r="N645" s="138"/>
      <c r="O645" s="138"/>
      <c r="P645" s="138"/>
      <c r="Q645" s="138"/>
      <c r="R645" s="138"/>
      <c r="S645" s="138"/>
      <c r="T645" s="138"/>
      <c r="U645" s="138"/>
      <c r="V645" s="138"/>
      <c r="W645" s="138"/>
      <c r="X645" s="138"/>
      <c r="Y645" s="138"/>
      <c r="Z645" s="138"/>
      <c r="AA645" s="138"/>
      <c r="AB645" s="138"/>
      <c r="AC645" s="138"/>
    </row>
    <row r="646">
      <c r="A646" s="161"/>
      <c r="B646" s="161"/>
      <c r="C646" s="138"/>
      <c r="D646" s="160"/>
      <c r="E646" s="161"/>
      <c r="F646" s="161"/>
      <c r="G646" s="161"/>
      <c r="H646" s="161"/>
      <c r="I646" s="138"/>
      <c r="J646" s="138"/>
      <c r="K646" s="138"/>
      <c r="L646" s="138"/>
      <c r="M646" s="138"/>
      <c r="N646" s="138"/>
      <c r="O646" s="138"/>
      <c r="P646" s="138"/>
      <c r="Q646" s="138"/>
      <c r="R646" s="138"/>
      <c r="S646" s="138"/>
      <c r="T646" s="138"/>
      <c r="U646" s="138"/>
      <c r="V646" s="138"/>
      <c r="W646" s="138"/>
      <c r="X646" s="138"/>
      <c r="Y646" s="138"/>
      <c r="Z646" s="138"/>
      <c r="AA646" s="138"/>
      <c r="AB646" s="138"/>
      <c r="AC646" s="138"/>
    </row>
    <row r="647">
      <c r="A647" s="161"/>
      <c r="B647" s="161"/>
      <c r="C647" s="138"/>
      <c r="D647" s="160"/>
      <c r="E647" s="161"/>
      <c r="F647" s="161"/>
      <c r="G647" s="161"/>
      <c r="H647" s="161"/>
      <c r="I647" s="138"/>
      <c r="J647" s="138"/>
      <c r="K647" s="138"/>
      <c r="L647" s="138"/>
      <c r="M647" s="138"/>
      <c r="N647" s="138"/>
      <c r="O647" s="138"/>
      <c r="P647" s="138"/>
      <c r="Q647" s="138"/>
      <c r="R647" s="138"/>
      <c r="S647" s="138"/>
      <c r="T647" s="138"/>
      <c r="U647" s="138"/>
      <c r="V647" s="138"/>
      <c r="W647" s="138"/>
      <c r="X647" s="138"/>
      <c r="Y647" s="138"/>
      <c r="Z647" s="138"/>
      <c r="AA647" s="138"/>
      <c r="AB647" s="138"/>
      <c r="AC647" s="138"/>
    </row>
    <row r="648">
      <c r="A648" s="161"/>
      <c r="B648" s="161"/>
      <c r="C648" s="138"/>
      <c r="D648" s="160"/>
      <c r="E648" s="161"/>
      <c r="F648" s="161"/>
      <c r="G648" s="161"/>
      <c r="H648" s="161"/>
      <c r="I648" s="138"/>
      <c r="J648" s="138"/>
      <c r="K648" s="138"/>
      <c r="L648" s="138"/>
      <c r="M648" s="138"/>
      <c r="N648" s="138"/>
      <c r="O648" s="138"/>
      <c r="P648" s="138"/>
      <c r="Q648" s="138"/>
      <c r="R648" s="138"/>
      <c r="S648" s="138"/>
      <c r="T648" s="138"/>
      <c r="U648" s="138"/>
      <c r="V648" s="138"/>
      <c r="W648" s="138"/>
      <c r="X648" s="138"/>
      <c r="Y648" s="138"/>
      <c r="Z648" s="138"/>
      <c r="AA648" s="138"/>
      <c r="AB648" s="138"/>
      <c r="AC648" s="138"/>
    </row>
    <row r="649">
      <c r="A649" s="161"/>
      <c r="B649" s="161"/>
      <c r="C649" s="138"/>
      <c r="D649" s="160"/>
      <c r="E649" s="161"/>
      <c r="F649" s="161"/>
      <c r="G649" s="161"/>
      <c r="H649" s="161"/>
      <c r="I649" s="138"/>
      <c r="J649" s="138"/>
      <c r="K649" s="138"/>
      <c r="L649" s="138"/>
      <c r="M649" s="138"/>
      <c r="N649" s="138"/>
      <c r="O649" s="138"/>
      <c r="P649" s="138"/>
      <c r="Q649" s="138"/>
      <c r="R649" s="138"/>
      <c r="S649" s="138"/>
      <c r="T649" s="138"/>
      <c r="U649" s="138"/>
      <c r="V649" s="138"/>
      <c r="W649" s="138"/>
      <c r="X649" s="138"/>
      <c r="Y649" s="138"/>
      <c r="Z649" s="138"/>
      <c r="AA649" s="138"/>
      <c r="AB649" s="138"/>
      <c r="AC649" s="138"/>
    </row>
    <row r="650">
      <c r="A650" s="161"/>
      <c r="B650" s="161"/>
      <c r="C650" s="138"/>
      <c r="D650" s="160"/>
      <c r="E650" s="161"/>
      <c r="F650" s="161"/>
      <c r="G650" s="161"/>
      <c r="H650" s="161"/>
      <c r="I650" s="138"/>
      <c r="J650" s="138"/>
      <c r="K650" s="138"/>
      <c r="L650" s="138"/>
      <c r="M650" s="138"/>
      <c r="N650" s="138"/>
      <c r="O650" s="138"/>
      <c r="P650" s="138"/>
      <c r="Q650" s="138"/>
      <c r="R650" s="138"/>
      <c r="S650" s="138"/>
      <c r="T650" s="138"/>
      <c r="U650" s="138"/>
      <c r="V650" s="138"/>
      <c r="W650" s="138"/>
      <c r="X650" s="138"/>
      <c r="Y650" s="138"/>
      <c r="Z650" s="138"/>
      <c r="AA650" s="138"/>
      <c r="AB650" s="138"/>
      <c r="AC650" s="138"/>
    </row>
    <row r="651">
      <c r="A651" s="161"/>
      <c r="B651" s="161"/>
      <c r="C651" s="138"/>
      <c r="D651" s="160"/>
      <c r="E651" s="161"/>
      <c r="F651" s="161"/>
      <c r="G651" s="161"/>
      <c r="H651" s="161"/>
      <c r="I651" s="138"/>
      <c r="J651" s="138"/>
      <c r="K651" s="138"/>
      <c r="L651" s="138"/>
      <c r="M651" s="138"/>
      <c r="N651" s="138"/>
      <c r="O651" s="138"/>
      <c r="P651" s="138"/>
      <c r="Q651" s="138"/>
      <c r="R651" s="138"/>
      <c r="S651" s="138"/>
      <c r="T651" s="138"/>
      <c r="U651" s="138"/>
      <c r="V651" s="138"/>
      <c r="W651" s="138"/>
      <c r="X651" s="138"/>
      <c r="Y651" s="138"/>
      <c r="Z651" s="138"/>
      <c r="AA651" s="138"/>
      <c r="AB651" s="138"/>
      <c r="AC651" s="138"/>
    </row>
    <row r="652">
      <c r="A652" s="161"/>
      <c r="B652" s="161"/>
      <c r="C652" s="138"/>
      <c r="D652" s="160"/>
      <c r="E652" s="161"/>
      <c r="F652" s="161"/>
      <c r="G652" s="161"/>
      <c r="H652" s="161"/>
      <c r="I652" s="138"/>
      <c r="J652" s="138"/>
      <c r="K652" s="138"/>
      <c r="L652" s="138"/>
      <c r="M652" s="138"/>
      <c r="N652" s="138"/>
      <c r="O652" s="138"/>
      <c r="P652" s="138"/>
      <c r="Q652" s="138"/>
      <c r="R652" s="138"/>
      <c r="S652" s="138"/>
      <c r="T652" s="138"/>
      <c r="U652" s="138"/>
      <c r="V652" s="138"/>
      <c r="W652" s="138"/>
      <c r="X652" s="138"/>
      <c r="Y652" s="138"/>
      <c r="Z652" s="138"/>
      <c r="AA652" s="138"/>
      <c r="AB652" s="138"/>
      <c r="AC652" s="138"/>
    </row>
    <row r="653">
      <c r="A653" s="161"/>
      <c r="B653" s="161"/>
      <c r="C653" s="138"/>
      <c r="D653" s="160"/>
      <c r="E653" s="161"/>
      <c r="F653" s="161"/>
      <c r="G653" s="161"/>
      <c r="H653" s="161"/>
      <c r="I653" s="138"/>
      <c r="J653" s="138"/>
      <c r="K653" s="138"/>
      <c r="L653" s="138"/>
      <c r="M653" s="138"/>
      <c r="N653" s="138"/>
      <c r="O653" s="138"/>
      <c r="P653" s="138"/>
      <c r="Q653" s="138"/>
      <c r="R653" s="138"/>
      <c r="S653" s="138"/>
      <c r="T653" s="138"/>
      <c r="U653" s="138"/>
      <c r="V653" s="138"/>
      <c r="W653" s="138"/>
      <c r="X653" s="138"/>
      <c r="Y653" s="138"/>
      <c r="Z653" s="138"/>
      <c r="AA653" s="138"/>
      <c r="AB653" s="138"/>
      <c r="AC653" s="138"/>
    </row>
    <row r="654">
      <c r="A654" s="161"/>
      <c r="B654" s="161"/>
      <c r="C654" s="138"/>
      <c r="D654" s="160"/>
      <c r="E654" s="161"/>
      <c r="F654" s="161"/>
      <c r="G654" s="161"/>
      <c r="H654" s="161"/>
      <c r="I654" s="138"/>
      <c r="J654" s="138"/>
      <c r="K654" s="138"/>
      <c r="L654" s="138"/>
      <c r="M654" s="138"/>
      <c r="N654" s="138"/>
      <c r="O654" s="138"/>
      <c r="P654" s="138"/>
      <c r="Q654" s="138"/>
      <c r="R654" s="138"/>
      <c r="S654" s="138"/>
      <c r="T654" s="138"/>
      <c r="U654" s="138"/>
      <c r="V654" s="138"/>
      <c r="W654" s="138"/>
      <c r="X654" s="138"/>
      <c r="Y654" s="138"/>
      <c r="Z654" s="138"/>
      <c r="AA654" s="138"/>
      <c r="AB654" s="138"/>
      <c r="AC654" s="138"/>
    </row>
    <row r="655">
      <c r="A655" s="161"/>
      <c r="B655" s="161"/>
      <c r="C655" s="138"/>
      <c r="D655" s="160"/>
      <c r="E655" s="161"/>
      <c r="F655" s="161"/>
      <c r="G655" s="161"/>
      <c r="H655" s="161"/>
      <c r="I655" s="138"/>
      <c r="J655" s="138"/>
      <c r="K655" s="138"/>
      <c r="L655" s="138"/>
      <c r="M655" s="138"/>
      <c r="N655" s="138"/>
      <c r="O655" s="138"/>
      <c r="P655" s="138"/>
      <c r="Q655" s="138"/>
      <c r="R655" s="138"/>
      <c r="S655" s="138"/>
      <c r="T655" s="138"/>
      <c r="U655" s="138"/>
      <c r="V655" s="138"/>
      <c r="W655" s="138"/>
      <c r="X655" s="138"/>
      <c r="Y655" s="138"/>
      <c r="Z655" s="138"/>
      <c r="AA655" s="138"/>
      <c r="AB655" s="138"/>
      <c r="AC655" s="138"/>
    </row>
    <row r="656">
      <c r="A656" s="161"/>
      <c r="B656" s="161"/>
      <c r="C656" s="138"/>
      <c r="D656" s="160"/>
      <c r="E656" s="161"/>
      <c r="F656" s="161"/>
      <c r="G656" s="161"/>
      <c r="H656" s="161"/>
      <c r="I656" s="138"/>
      <c r="J656" s="138"/>
      <c r="K656" s="138"/>
      <c r="L656" s="138"/>
      <c r="M656" s="138"/>
      <c r="N656" s="138"/>
      <c r="O656" s="138"/>
      <c r="P656" s="138"/>
      <c r="Q656" s="138"/>
      <c r="R656" s="138"/>
      <c r="S656" s="138"/>
      <c r="T656" s="138"/>
      <c r="U656" s="138"/>
      <c r="V656" s="138"/>
      <c r="W656" s="138"/>
      <c r="X656" s="138"/>
      <c r="Y656" s="138"/>
      <c r="Z656" s="138"/>
      <c r="AA656" s="138"/>
      <c r="AB656" s="138"/>
      <c r="AC656" s="138"/>
    </row>
    <row r="657">
      <c r="A657" s="161"/>
      <c r="B657" s="161"/>
      <c r="C657" s="138"/>
      <c r="D657" s="160"/>
      <c r="E657" s="161"/>
      <c r="F657" s="161"/>
      <c r="G657" s="161"/>
      <c r="H657" s="161"/>
      <c r="I657" s="138"/>
      <c r="J657" s="138"/>
      <c r="K657" s="138"/>
      <c r="L657" s="138"/>
      <c r="M657" s="138"/>
      <c r="N657" s="138"/>
      <c r="O657" s="138"/>
      <c r="P657" s="138"/>
      <c r="Q657" s="138"/>
      <c r="R657" s="138"/>
      <c r="S657" s="138"/>
      <c r="T657" s="138"/>
      <c r="U657" s="138"/>
      <c r="V657" s="138"/>
      <c r="W657" s="138"/>
      <c r="X657" s="138"/>
      <c r="Y657" s="138"/>
      <c r="Z657" s="138"/>
      <c r="AA657" s="138"/>
      <c r="AB657" s="138"/>
      <c r="AC657" s="138"/>
    </row>
    <row r="658">
      <c r="A658" s="161"/>
      <c r="B658" s="161"/>
      <c r="C658" s="138"/>
      <c r="D658" s="160"/>
      <c r="E658" s="161"/>
      <c r="F658" s="161"/>
      <c r="G658" s="161"/>
      <c r="H658" s="161"/>
      <c r="I658" s="138"/>
      <c r="J658" s="138"/>
      <c r="K658" s="138"/>
      <c r="L658" s="138"/>
      <c r="M658" s="138"/>
      <c r="N658" s="138"/>
      <c r="O658" s="138"/>
      <c r="P658" s="138"/>
      <c r="Q658" s="138"/>
      <c r="R658" s="138"/>
      <c r="S658" s="138"/>
      <c r="T658" s="138"/>
      <c r="U658" s="138"/>
      <c r="V658" s="138"/>
      <c r="W658" s="138"/>
      <c r="X658" s="138"/>
      <c r="Y658" s="138"/>
      <c r="Z658" s="138"/>
      <c r="AA658" s="138"/>
      <c r="AB658" s="138"/>
      <c r="AC658" s="138"/>
    </row>
    <row r="659">
      <c r="A659" s="161"/>
      <c r="B659" s="161"/>
      <c r="C659" s="138"/>
      <c r="D659" s="160"/>
      <c r="E659" s="161"/>
      <c r="F659" s="161"/>
      <c r="G659" s="161"/>
      <c r="H659" s="161"/>
      <c r="I659" s="138"/>
      <c r="J659" s="138"/>
      <c r="K659" s="138"/>
      <c r="L659" s="138"/>
      <c r="M659" s="138"/>
      <c r="N659" s="138"/>
      <c r="O659" s="138"/>
      <c r="P659" s="138"/>
      <c r="Q659" s="138"/>
      <c r="R659" s="138"/>
      <c r="S659" s="138"/>
      <c r="T659" s="138"/>
      <c r="U659" s="138"/>
      <c r="V659" s="138"/>
      <c r="W659" s="138"/>
      <c r="X659" s="138"/>
      <c r="Y659" s="138"/>
      <c r="Z659" s="138"/>
      <c r="AA659" s="138"/>
      <c r="AB659" s="138"/>
      <c r="AC659" s="138"/>
    </row>
    <row r="660">
      <c r="A660" s="161"/>
      <c r="B660" s="161"/>
      <c r="C660" s="138"/>
      <c r="D660" s="160"/>
      <c r="E660" s="161"/>
      <c r="F660" s="161"/>
      <c r="G660" s="161"/>
      <c r="H660" s="161"/>
      <c r="I660" s="138"/>
      <c r="J660" s="138"/>
      <c r="K660" s="138"/>
      <c r="L660" s="138"/>
      <c r="M660" s="138"/>
      <c r="N660" s="138"/>
      <c r="O660" s="138"/>
      <c r="P660" s="138"/>
      <c r="Q660" s="138"/>
      <c r="R660" s="138"/>
      <c r="S660" s="138"/>
      <c r="T660" s="138"/>
      <c r="U660" s="138"/>
      <c r="V660" s="138"/>
      <c r="W660" s="138"/>
      <c r="X660" s="138"/>
      <c r="Y660" s="138"/>
      <c r="Z660" s="138"/>
      <c r="AA660" s="138"/>
      <c r="AB660" s="138"/>
      <c r="AC660" s="138"/>
    </row>
    <row r="661">
      <c r="A661" s="161"/>
      <c r="B661" s="161"/>
      <c r="C661" s="138"/>
      <c r="D661" s="160"/>
      <c r="E661" s="161"/>
      <c r="F661" s="161"/>
      <c r="G661" s="161"/>
      <c r="H661" s="161"/>
      <c r="I661" s="138"/>
      <c r="J661" s="138"/>
      <c r="K661" s="138"/>
      <c r="L661" s="138"/>
      <c r="M661" s="138"/>
      <c r="N661" s="138"/>
      <c r="O661" s="138"/>
      <c r="P661" s="138"/>
      <c r="Q661" s="138"/>
      <c r="R661" s="138"/>
      <c r="S661" s="138"/>
      <c r="T661" s="138"/>
      <c r="U661" s="138"/>
      <c r="V661" s="138"/>
      <c r="W661" s="138"/>
      <c r="X661" s="138"/>
      <c r="Y661" s="138"/>
      <c r="Z661" s="138"/>
      <c r="AA661" s="138"/>
      <c r="AB661" s="138"/>
      <c r="AC661" s="138"/>
    </row>
    <row r="662">
      <c r="A662" s="161"/>
      <c r="B662" s="161"/>
      <c r="C662" s="138"/>
      <c r="D662" s="160"/>
      <c r="E662" s="161"/>
      <c r="F662" s="161"/>
      <c r="G662" s="161"/>
      <c r="H662" s="161"/>
      <c r="I662" s="138"/>
      <c r="J662" s="138"/>
      <c r="K662" s="138"/>
      <c r="L662" s="138"/>
      <c r="M662" s="138"/>
      <c r="N662" s="138"/>
      <c r="O662" s="138"/>
      <c r="P662" s="138"/>
      <c r="Q662" s="138"/>
      <c r="R662" s="138"/>
      <c r="S662" s="138"/>
      <c r="T662" s="138"/>
      <c r="U662" s="138"/>
      <c r="V662" s="138"/>
      <c r="W662" s="138"/>
      <c r="X662" s="138"/>
      <c r="Y662" s="138"/>
      <c r="Z662" s="138"/>
      <c r="AA662" s="138"/>
      <c r="AB662" s="138"/>
      <c r="AC662" s="138"/>
    </row>
    <row r="663">
      <c r="A663" s="161"/>
      <c r="B663" s="161"/>
      <c r="C663" s="138"/>
      <c r="D663" s="160"/>
      <c r="E663" s="161"/>
      <c r="F663" s="161"/>
      <c r="G663" s="161"/>
      <c r="H663" s="161"/>
      <c r="I663" s="138"/>
      <c r="J663" s="138"/>
      <c r="K663" s="138"/>
      <c r="L663" s="138"/>
      <c r="M663" s="138"/>
      <c r="N663" s="138"/>
      <c r="O663" s="138"/>
      <c r="P663" s="138"/>
      <c r="Q663" s="138"/>
      <c r="R663" s="138"/>
      <c r="S663" s="138"/>
      <c r="T663" s="138"/>
      <c r="U663" s="138"/>
      <c r="V663" s="138"/>
      <c r="W663" s="138"/>
      <c r="X663" s="138"/>
      <c r="Y663" s="138"/>
      <c r="Z663" s="138"/>
      <c r="AA663" s="138"/>
      <c r="AB663" s="138"/>
      <c r="AC663" s="138"/>
    </row>
    <row r="664">
      <c r="A664" s="161"/>
      <c r="B664" s="161"/>
      <c r="C664" s="138"/>
      <c r="D664" s="160"/>
      <c r="E664" s="161"/>
      <c r="F664" s="161"/>
      <c r="G664" s="161"/>
      <c r="H664" s="161"/>
      <c r="I664" s="138"/>
      <c r="J664" s="138"/>
      <c r="K664" s="138"/>
      <c r="L664" s="138"/>
      <c r="M664" s="138"/>
      <c r="N664" s="138"/>
      <c r="O664" s="138"/>
      <c r="P664" s="138"/>
      <c r="Q664" s="138"/>
      <c r="R664" s="138"/>
      <c r="S664" s="138"/>
      <c r="T664" s="138"/>
      <c r="U664" s="138"/>
      <c r="V664" s="138"/>
      <c r="W664" s="138"/>
      <c r="X664" s="138"/>
      <c r="Y664" s="138"/>
      <c r="Z664" s="138"/>
      <c r="AA664" s="138"/>
      <c r="AB664" s="138"/>
      <c r="AC664" s="138"/>
    </row>
    <row r="665">
      <c r="A665" s="161"/>
      <c r="B665" s="161"/>
      <c r="C665" s="138"/>
      <c r="D665" s="160"/>
      <c r="E665" s="161"/>
      <c r="F665" s="161"/>
      <c r="G665" s="161"/>
      <c r="H665" s="161"/>
      <c r="I665" s="138"/>
      <c r="J665" s="138"/>
      <c r="K665" s="138"/>
      <c r="L665" s="138"/>
      <c r="M665" s="138"/>
      <c r="N665" s="138"/>
      <c r="O665" s="138"/>
      <c r="P665" s="138"/>
      <c r="Q665" s="138"/>
      <c r="R665" s="138"/>
      <c r="S665" s="138"/>
      <c r="T665" s="138"/>
      <c r="U665" s="138"/>
      <c r="V665" s="138"/>
      <c r="W665" s="138"/>
      <c r="X665" s="138"/>
      <c r="Y665" s="138"/>
      <c r="Z665" s="138"/>
      <c r="AA665" s="138"/>
      <c r="AB665" s="138"/>
      <c r="AC665" s="138"/>
    </row>
    <row r="666">
      <c r="A666" s="161"/>
      <c r="B666" s="161"/>
      <c r="C666" s="138"/>
      <c r="D666" s="160"/>
      <c r="E666" s="161"/>
      <c r="F666" s="161"/>
      <c r="G666" s="161"/>
      <c r="H666" s="161"/>
      <c r="I666" s="138"/>
      <c r="J666" s="138"/>
      <c r="K666" s="138"/>
      <c r="L666" s="138"/>
      <c r="M666" s="138"/>
      <c r="N666" s="138"/>
      <c r="O666" s="138"/>
      <c r="P666" s="138"/>
      <c r="Q666" s="138"/>
      <c r="R666" s="138"/>
      <c r="S666" s="138"/>
      <c r="T666" s="138"/>
      <c r="U666" s="138"/>
      <c r="V666" s="138"/>
      <c r="W666" s="138"/>
      <c r="X666" s="138"/>
      <c r="Y666" s="138"/>
      <c r="Z666" s="138"/>
      <c r="AA666" s="138"/>
      <c r="AB666" s="138"/>
      <c r="AC666" s="138"/>
    </row>
    <row r="667">
      <c r="A667" s="161"/>
      <c r="B667" s="161"/>
      <c r="C667" s="138"/>
      <c r="D667" s="160"/>
      <c r="E667" s="161"/>
      <c r="F667" s="161"/>
      <c r="G667" s="161"/>
      <c r="H667" s="161"/>
      <c r="I667" s="138"/>
      <c r="J667" s="138"/>
      <c r="K667" s="138"/>
      <c r="L667" s="138"/>
      <c r="M667" s="138"/>
      <c r="N667" s="138"/>
      <c r="O667" s="138"/>
      <c r="P667" s="138"/>
      <c r="Q667" s="138"/>
      <c r="R667" s="138"/>
      <c r="S667" s="138"/>
      <c r="T667" s="138"/>
      <c r="U667" s="138"/>
      <c r="V667" s="138"/>
      <c r="W667" s="138"/>
      <c r="X667" s="138"/>
      <c r="Y667" s="138"/>
      <c r="Z667" s="138"/>
      <c r="AA667" s="138"/>
      <c r="AB667" s="138"/>
      <c r="AC667" s="138"/>
    </row>
    <row r="668">
      <c r="A668" s="161"/>
      <c r="B668" s="161"/>
      <c r="C668" s="138"/>
      <c r="D668" s="160"/>
      <c r="E668" s="161"/>
      <c r="F668" s="161"/>
      <c r="G668" s="161"/>
      <c r="H668" s="161"/>
      <c r="I668" s="138"/>
      <c r="J668" s="138"/>
      <c r="K668" s="138"/>
      <c r="L668" s="138"/>
      <c r="M668" s="138"/>
      <c r="N668" s="138"/>
      <c r="O668" s="138"/>
      <c r="P668" s="138"/>
      <c r="Q668" s="138"/>
      <c r="R668" s="138"/>
      <c r="S668" s="138"/>
      <c r="T668" s="138"/>
      <c r="U668" s="138"/>
      <c r="V668" s="138"/>
      <c r="W668" s="138"/>
      <c r="X668" s="138"/>
      <c r="Y668" s="138"/>
      <c r="Z668" s="138"/>
      <c r="AA668" s="138"/>
      <c r="AB668" s="138"/>
      <c r="AC668" s="138"/>
    </row>
    <row r="669">
      <c r="A669" s="161"/>
      <c r="B669" s="161"/>
      <c r="C669" s="138"/>
      <c r="D669" s="160"/>
      <c r="E669" s="161"/>
      <c r="F669" s="161"/>
      <c r="G669" s="161"/>
      <c r="H669" s="161"/>
      <c r="I669" s="138"/>
      <c r="J669" s="138"/>
      <c r="K669" s="138"/>
      <c r="L669" s="138"/>
      <c r="M669" s="138"/>
      <c r="N669" s="138"/>
      <c r="O669" s="138"/>
      <c r="P669" s="138"/>
      <c r="Q669" s="138"/>
      <c r="R669" s="138"/>
      <c r="S669" s="138"/>
      <c r="T669" s="138"/>
      <c r="U669" s="138"/>
      <c r="V669" s="138"/>
      <c r="W669" s="138"/>
      <c r="X669" s="138"/>
      <c r="Y669" s="138"/>
      <c r="Z669" s="138"/>
      <c r="AA669" s="138"/>
      <c r="AB669" s="138"/>
      <c r="AC669" s="138"/>
    </row>
    <row r="670">
      <c r="A670" s="161"/>
      <c r="B670" s="161"/>
      <c r="C670" s="138"/>
      <c r="D670" s="160"/>
      <c r="E670" s="161"/>
      <c r="F670" s="161"/>
      <c r="G670" s="161"/>
      <c r="H670" s="161"/>
      <c r="I670" s="138"/>
      <c r="J670" s="138"/>
      <c r="K670" s="138"/>
      <c r="L670" s="138"/>
      <c r="M670" s="138"/>
      <c r="N670" s="138"/>
      <c r="O670" s="138"/>
      <c r="P670" s="138"/>
      <c r="Q670" s="138"/>
      <c r="R670" s="138"/>
      <c r="S670" s="138"/>
      <c r="T670" s="138"/>
      <c r="U670" s="138"/>
      <c r="V670" s="138"/>
      <c r="W670" s="138"/>
      <c r="X670" s="138"/>
      <c r="Y670" s="138"/>
      <c r="Z670" s="138"/>
      <c r="AA670" s="138"/>
      <c r="AB670" s="138"/>
      <c r="AC670" s="138"/>
    </row>
    <row r="671">
      <c r="A671" s="161"/>
      <c r="B671" s="161"/>
      <c r="C671" s="138"/>
      <c r="D671" s="160"/>
      <c r="E671" s="161"/>
      <c r="F671" s="161"/>
      <c r="G671" s="161"/>
      <c r="H671" s="161"/>
      <c r="I671" s="138"/>
      <c r="J671" s="138"/>
      <c r="K671" s="138"/>
      <c r="L671" s="138"/>
      <c r="M671" s="138"/>
      <c r="N671" s="138"/>
      <c r="O671" s="138"/>
      <c r="P671" s="138"/>
      <c r="Q671" s="138"/>
      <c r="R671" s="138"/>
      <c r="S671" s="138"/>
      <c r="T671" s="138"/>
      <c r="U671" s="138"/>
      <c r="V671" s="138"/>
      <c r="W671" s="138"/>
      <c r="X671" s="138"/>
      <c r="Y671" s="138"/>
      <c r="Z671" s="138"/>
      <c r="AA671" s="138"/>
      <c r="AB671" s="138"/>
      <c r="AC671" s="138"/>
    </row>
    <row r="672">
      <c r="A672" s="161"/>
      <c r="B672" s="161"/>
      <c r="C672" s="138"/>
      <c r="D672" s="160"/>
      <c r="E672" s="161"/>
      <c r="F672" s="161"/>
      <c r="G672" s="161"/>
      <c r="H672" s="161"/>
      <c r="I672" s="138"/>
      <c r="J672" s="138"/>
      <c r="K672" s="138"/>
      <c r="L672" s="138"/>
      <c r="M672" s="138"/>
      <c r="N672" s="138"/>
      <c r="O672" s="138"/>
      <c r="P672" s="138"/>
      <c r="Q672" s="138"/>
      <c r="R672" s="138"/>
      <c r="S672" s="138"/>
      <c r="T672" s="138"/>
      <c r="U672" s="138"/>
      <c r="V672" s="138"/>
      <c r="W672" s="138"/>
      <c r="X672" s="138"/>
      <c r="Y672" s="138"/>
      <c r="Z672" s="138"/>
      <c r="AA672" s="138"/>
      <c r="AB672" s="138"/>
      <c r="AC672" s="138"/>
    </row>
    <row r="673">
      <c r="A673" s="161"/>
      <c r="B673" s="161"/>
      <c r="C673" s="138"/>
      <c r="D673" s="160"/>
      <c r="E673" s="161"/>
      <c r="F673" s="161"/>
      <c r="G673" s="161"/>
      <c r="H673" s="161"/>
      <c r="I673" s="138"/>
      <c r="J673" s="138"/>
      <c r="K673" s="138"/>
      <c r="L673" s="138"/>
      <c r="M673" s="138"/>
      <c r="N673" s="138"/>
      <c r="O673" s="138"/>
      <c r="P673" s="138"/>
      <c r="Q673" s="138"/>
      <c r="R673" s="138"/>
      <c r="S673" s="138"/>
      <c r="T673" s="138"/>
      <c r="U673" s="138"/>
      <c r="V673" s="138"/>
      <c r="W673" s="138"/>
      <c r="X673" s="138"/>
      <c r="Y673" s="138"/>
      <c r="Z673" s="138"/>
      <c r="AA673" s="138"/>
      <c r="AB673" s="138"/>
      <c r="AC673" s="138"/>
    </row>
    <row r="674">
      <c r="A674" s="161"/>
      <c r="B674" s="161"/>
      <c r="C674" s="138"/>
      <c r="D674" s="160"/>
      <c r="E674" s="161"/>
      <c r="F674" s="161"/>
      <c r="G674" s="161"/>
      <c r="H674" s="161"/>
      <c r="I674" s="138"/>
      <c r="J674" s="138"/>
      <c r="K674" s="138"/>
      <c r="L674" s="138"/>
      <c r="M674" s="138"/>
      <c r="N674" s="138"/>
      <c r="O674" s="138"/>
      <c r="P674" s="138"/>
      <c r="Q674" s="138"/>
      <c r="R674" s="138"/>
      <c r="S674" s="138"/>
      <c r="T674" s="138"/>
      <c r="U674" s="138"/>
      <c r="V674" s="138"/>
      <c r="W674" s="138"/>
      <c r="X674" s="138"/>
      <c r="Y674" s="138"/>
      <c r="Z674" s="138"/>
      <c r="AA674" s="138"/>
      <c r="AB674" s="138"/>
      <c r="AC674" s="138"/>
    </row>
    <row r="675">
      <c r="A675" s="161"/>
      <c r="B675" s="161"/>
      <c r="C675" s="138"/>
      <c r="D675" s="160"/>
      <c r="E675" s="161"/>
      <c r="F675" s="161"/>
      <c r="G675" s="161"/>
      <c r="H675" s="161"/>
      <c r="I675" s="138"/>
      <c r="J675" s="138"/>
      <c r="K675" s="138"/>
      <c r="L675" s="138"/>
      <c r="M675" s="138"/>
      <c r="N675" s="138"/>
      <c r="O675" s="138"/>
      <c r="P675" s="138"/>
      <c r="Q675" s="138"/>
      <c r="R675" s="138"/>
      <c r="S675" s="138"/>
      <c r="T675" s="138"/>
      <c r="U675" s="138"/>
      <c r="V675" s="138"/>
      <c r="W675" s="138"/>
      <c r="X675" s="138"/>
      <c r="Y675" s="138"/>
      <c r="Z675" s="138"/>
      <c r="AA675" s="138"/>
      <c r="AB675" s="138"/>
      <c r="AC675" s="138"/>
    </row>
    <row r="676">
      <c r="A676" s="161"/>
      <c r="B676" s="161"/>
      <c r="C676" s="138"/>
      <c r="D676" s="160"/>
      <c r="E676" s="161"/>
      <c r="F676" s="161"/>
      <c r="G676" s="161"/>
      <c r="H676" s="161"/>
      <c r="I676" s="138"/>
      <c r="J676" s="138"/>
      <c r="K676" s="138"/>
      <c r="L676" s="138"/>
      <c r="M676" s="138"/>
      <c r="N676" s="138"/>
      <c r="O676" s="138"/>
      <c r="P676" s="138"/>
      <c r="Q676" s="138"/>
      <c r="R676" s="138"/>
      <c r="S676" s="138"/>
      <c r="T676" s="138"/>
      <c r="U676" s="138"/>
      <c r="V676" s="138"/>
      <c r="W676" s="138"/>
      <c r="X676" s="138"/>
      <c r="Y676" s="138"/>
      <c r="Z676" s="138"/>
      <c r="AA676" s="138"/>
      <c r="AB676" s="138"/>
      <c r="AC676" s="138"/>
    </row>
    <row r="677">
      <c r="A677" s="161"/>
      <c r="B677" s="161"/>
      <c r="C677" s="138"/>
      <c r="D677" s="160"/>
      <c r="E677" s="161"/>
      <c r="F677" s="161"/>
      <c r="G677" s="161"/>
      <c r="H677" s="161"/>
      <c r="I677" s="138"/>
      <c r="J677" s="138"/>
      <c r="K677" s="138"/>
      <c r="L677" s="138"/>
      <c r="M677" s="138"/>
      <c r="N677" s="138"/>
      <c r="O677" s="138"/>
      <c r="P677" s="138"/>
      <c r="Q677" s="138"/>
      <c r="R677" s="138"/>
      <c r="S677" s="138"/>
      <c r="T677" s="138"/>
      <c r="U677" s="138"/>
      <c r="V677" s="138"/>
      <c r="W677" s="138"/>
      <c r="X677" s="138"/>
      <c r="Y677" s="138"/>
      <c r="Z677" s="138"/>
      <c r="AA677" s="138"/>
      <c r="AB677" s="138"/>
      <c r="AC677" s="138"/>
    </row>
    <row r="678">
      <c r="A678" s="161"/>
      <c r="B678" s="161"/>
      <c r="C678" s="138"/>
      <c r="D678" s="160"/>
      <c r="E678" s="161"/>
      <c r="F678" s="161"/>
      <c r="G678" s="161"/>
      <c r="H678" s="161"/>
      <c r="I678" s="138"/>
      <c r="J678" s="138"/>
      <c r="K678" s="138"/>
      <c r="L678" s="138"/>
      <c r="M678" s="138"/>
      <c r="N678" s="138"/>
      <c r="O678" s="138"/>
      <c r="P678" s="138"/>
      <c r="Q678" s="138"/>
      <c r="R678" s="138"/>
      <c r="S678" s="138"/>
      <c r="T678" s="138"/>
      <c r="U678" s="138"/>
      <c r="V678" s="138"/>
      <c r="W678" s="138"/>
      <c r="X678" s="138"/>
      <c r="Y678" s="138"/>
      <c r="Z678" s="138"/>
      <c r="AA678" s="138"/>
      <c r="AB678" s="138"/>
      <c r="AC678" s="138"/>
    </row>
    <row r="679">
      <c r="A679" s="161"/>
      <c r="B679" s="161"/>
      <c r="C679" s="138"/>
      <c r="D679" s="160"/>
      <c r="E679" s="161"/>
      <c r="F679" s="161"/>
      <c r="G679" s="161"/>
      <c r="H679" s="161"/>
      <c r="I679" s="138"/>
      <c r="J679" s="138"/>
      <c r="K679" s="138"/>
      <c r="L679" s="138"/>
      <c r="M679" s="138"/>
      <c r="N679" s="138"/>
      <c r="O679" s="138"/>
      <c r="P679" s="138"/>
      <c r="Q679" s="138"/>
      <c r="R679" s="138"/>
      <c r="S679" s="138"/>
      <c r="T679" s="138"/>
      <c r="U679" s="138"/>
      <c r="V679" s="138"/>
      <c r="W679" s="138"/>
      <c r="X679" s="138"/>
      <c r="Y679" s="138"/>
      <c r="Z679" s="138"/>
      <c r="AA679" s="138"/>
      <c r="AB679" s="138"/>
      <c r="AC679" s="138"/>
    </row>
    <row r="680">
      <c r="A680" s="161"/>
      <c r="B680" s="161"/>
      <c r="C680" s="138"/>
      <c r="D680" s="160"/>
      <c r="E680" s="161"/>
      <c r="F680" s="161"/>
      <c r="G680" s="161"/>
      <c r="H680" s="161"/>
      <c r="I680" s="138"/>
      <c r="J680" s="138"/>
      <c r="K680" s="138"/>
      <c r="L680" s="138"/>
      <c r="M680" s="138"/>
      <c r="N680" s="138"/>
      <c r="O680" s="138"/>
      <c r="P680" s="138"/>
      <c r="Q680" s="138"/>
      <c r="R680" s="138"/>
      <c r="S680" s="138"/>
      <c r="T680" s="138"/>
      <c r="U680" s="138"/>
      <c r="V680" s="138"/>
      <c r="W680" s="138"/>
      <c r="X680" s="138"/>
      <c r="Y680" s="138"/>
      <c r="Z680" s="138"/>
      <c r="AA680" s="138"/>
      <c r="AB680" s="138"/>
      <c r="AC680" s="138"/>
    </row>
    <row r="681">
      <c r="A681" s="161"/>
      <c r="B681" s="161"/>
      <c r="C681" s="138"/>
      <c r="D681" s="160"/>
      <c r="E681" s="161"/>
      <c r="F681" s="161"/>
      <c r="G681" s="161"/>
      <c r="H681" s="161"/>
      <c r="I681" s="138"/>
      <c r="J681" s="138"/>
      <c r="K681" s="138"/>
      <c r="L681" s="138"/>
      <c r="M681" s="138"/>
      <c r="N681" s="138"/>
      <c r="O681" s="138"/>
      <c r="P681" s="138"/>
      <c r="Q681" s="138"/>
      <c r="R681" s="138"/>
      <c r="S681" s="138"/>
      <c r="T681" s="138"/>
      <c r="U681" s="138"/>
      <c r="V681" s="138"/>
      <c r="W681" s="138"/>
      <c r="X681" s="138"/>
      <c r="Y681" s="138"/>
      <c r="Z681" s="138"/>
      <c r="AA681" s="138"/>
      <c r="AB681" s="138"/>
      <c r="AC681" s="138"/>
    </row>
    <row r="682">
      <c r="A682" s="161"/>
      <c r="B682" s="161"/>
      <c r="C682" s="138"/>
      <c r="D682" s="160"/>
      <c r="E682" s="161"/>
      <c r="F682" s="161"/>
      <c r="G682" s="161"/>
      <c r="H682" s="161"/>
      <c r="I682" s="138"/>
      <c r="J682" s="138"/>
      <c r="K682" s="138"/>
      <c r="L682" s="138"/>
      <c r="M682" s="138"/>
      <c r="N682" s="138"/>
      <c r="O682" s="138"/>
      <c r="P682" s="138"/>
      <c r="Q682" s="138"/>
      <c r="R682" s="138"/>
      <c r="S682" s="138"/>
      <c r="T682" s="138"/>
      <c r="U682" s="138"/>
      <c r="V682" s="138"/>
      <c r="W682" s="138"/>
      <c r="X682" s="138"/>
      <c r="Y682" s="138"/>
      <c r="Z682" s="138"/>
      <c r="AA682" s="138"/>
      <c r="AB682" s="138"/>
      <c r="AC682" s="138"/>
    </row>
    <row r="683">
      <c r="A683" s="161"/>
      <c r="B683" s="161"/>
      <c r="C683" s="138"/>
      <c r="D683" s="160"/>
      <c r="E683" s="161"/>
      <c r="F683" s="161"/>
      <c r="G683" s="161"/>
      <c r="H683" s="161"/>
      <c r="I683" s="138"/>
      <c r="J683" s="138"/>
      <c r="K683" s="138"/>
      <c r="L683" s="138"/>
      <c r="M683" s="138"/>
      <c r="N683" s="138"/>
      <c r="O683" s="138"/>
      <c r="P683" s="138"/>
      <c r="Q683" s="138"/>
      <c r="R683" s="138"/>
      <c r="S683" s="138"/>
      <c r="T683" s="138"/>
      <c r="U683" s="138"/>
      <c r="V683" s="138"/>
      <c r="W683" s="138"/>
      <c r="X683" s="138"/>
      <c r="Y683" s="138"/>
      <c r="Z683" s="138"/>
      <c r="AA683" s="138"/>
      <c r="AB683" s="138"/>
      <c r="AC683" s="138"/>
    </row>
    <row r="684">
      <c r="A684" s="161"/>
      <c r="B684" s="161"/>
      <c r="C684" s="138"/>
      <c r="D684" s="160"/>
      <c r="E684" s="161"/>
      <c r="F684" s="161"/>
      <c r="G684" s="161"/>
      <c r="H684" s="161"/>
      <c r="I684" s="138"/>
      <c r="J684" s="138"/>
      <c r="K684" s="138"/>
      <c r="L684" s="138"/>
      <c r="M684" s="138"/>
      <c r="N684" s="138"/>
      <c r="O684" s="138"/>
      <c r="P684" s="138"/>
      <c r="Q684" s="138"/>
      <c r="R684" s="138"/>
      <c r="S684" s="138"/>
      <c r="T684" s="138"/>
      <c r="U684" s="138"/>
      <c r="V684" s="138"/>
      <c r="W684" s="138"/>
      <c r="X684" s="138"/>
      <c r="Y684" s="138"/>
      <c r="Z684" s="138"/>
      <c r="AA684" s="138"/>
      <c r="AB684" s="138"/>
      <c r="AC684" s="138"/>
    </row>
    <row r="685">
      <c r="A685" s="161"/>
      <c r="B685" s="161"/>
      <c r="C685" s="138"/>
      <c r="D685" s="160"/>
      <c r="E685" s="161"/>
      <c r="F685" s="161"/>
      <c r="G685" s="161"/>
      <c r="H685" s="161"/>
      <c r="I685" s="138"/>
      <c r="J685" s="138"/>
      <c r="K685" s="138"/>
      <c r="L685" s="138"/>
      <c r="M685" s="138"/>
      <c r="N685" s="138"/>
      <c r="O685" s="138"/>
      <c r="P685" s="138"/>
      <c r="Q685" s="138"/>
      <c r="R685" s="138"/>
      <c r="S685" s="138"/>
      <c r="T685" s="138"/>
      <c r="U685" s="138"/>
      <c r="V685" s="138"/>
      <c r="W685" s="138"/>
      <c r="X685" s="138"/>
      <c r="Y685" s="138"/>
      <c r="Z685" s="138"/>
      <c r="AA685" s="138"/>
      <c r="AB685" s="138"/>
      <c r="AC685" s="138"/>
    </row>
    <row r="686">
      <c r="A686" s="161"/>
      <c r="B686" s="161"/>
      <c r="C686" s="138"/>
      <c r="D686" s="160"/>
      <c r="E686" s="161"/>
      <c r="F686" s="161"/>
      <c r="G686" s="161"/>
      <c r="H686" s="161"/>
      <c r="I686" s="138"/>
      <c r="J686" s="138"/>
      <c r="K686" s="138"/>
      <c r="L686" s="138"/>
      <c r="M686" s="138"/>
      <c r="N686" s="138"/>
      <c r="O686" s="138"/>
      <c r="P686" s="138"/>
      <c r="Q686" s="138"/>
      <c r="R686" s="138"/>
      <c r="S686" s="138"/>
      <c r="T686" s="138"/>
      <c r="U686" s="138"/>
      <c r="V686" s="138"/>
      <c r="W686" s="138"/>
      <c r="X686" s="138"/>
      <c r="Y686" s="138"/>
      <c r="Z686" s="138"/>
      <c r="AA686" s="138"/>
      <c r="AB686" s="138"/>
      <c r="AC686" s="138"/>
    </row>
    <row r="687">
      <c r="A687" s="161"/>
      <c r="B687" s="161"/>
      <c r="C687" s="138"/>
      <c r="D687" s="160"/>
      <c r="E687" s="161"/>
      <c r="F687" s="161"/>
      <c r="G687" s="161"/>
      <c r="H687" s="161"/>
      <c r="I687" s="138"/>
      <c r="J687" s="138"/>
      <c r="K687" s="138"/>
      <c r="L687" s="138"/>
      <c r="M687" s="138"/>
      <c r="N687" s="138"/>
      <c r="O687" s="138"/>
      <c r="P687" s="138"/>
      <c r="Q687" s="138"/>
      <c r="R687" s="138"/>
      <c r="S687" s="138"/>
      <c r="T687" s="138"/>
      <c r="U687" s="138"/>
      <c r="V687" s="138"/>
      <c r="W687" s="138"/>
      <c r="X687" s="138"/>
      <c r="Y687" s="138"/>
      <c r="Z687" s="138"/>
      <c r="AA687" s="138"/>
      <c r="AB687" s="138"/>
      <c r="AC687" s="138"/>
    </row>
    <row r="688">
      <c r="A688" s="161"/>
      <c r="B688" s="161"/>
      <c r="C688" s="138"/>
      <c r="D688" s="160"/>
      <c r="E688" s="161"/>
      <c r="F688" s="161"/>
      <c r="G688" s="161"/>
      <c r="H688" s="161"/>
      <c r="I688" s="138"/>
      <c r="J688" s="138"/>
      <c r="K688" s="138"/>
      <c r="L688" s="138"/>
      <c r="M688" s="138"/>
      <c r="N688" s="138"/>
      <c r="O688" s="138"/>
      <c r="P688" s="138"/>
      <c r="Q688" s="138"/>
      <c r="R688" s="138"/>
      <c r="S688" s="138"/>
      <c r="T688" s="138"/>
      <c r="U688" s="138"/>
      <c r="V688" s="138"/>
      <c r="W688" s="138"/>
      <c r="X688" s="138"/>
      <c r="Y688" s="138"/>
      <c r="Z688" s="138"/>
      <c r="AA688" s="138"/>
      <c r="AB688" s="138"/>
      <c r="AC688" s="138"/>
    </row>
    <row r="689">
      <c r="A689" s="161"/>
      <c r="B689" s="161"/>
      <c r="C689" s="138"/>
      <c r="D689" s="160"/>
      <c r="E689" s="161"/>
      <c r="F689" s="161"/>
      <c r="G689" s="161"/>
      <c r="H689" s="161"/>
      <c r="I689" s="138"/>
      <c r="J689" s="138"/>
      <c r="K689" s="138"/>
      <c r="L689" s="138"/>
      <c r="M689" s="138"/>
      <c r="N689" s="138"/>
      <c r="O689" s="138"/>
      <c r="P689" s="138"/>
      <c r="Q689" s="138"/>
      <c r="R689" s="138"/>
      <c r="S689" s="138"/>
      <c r="T689" s="138"/>
      <c r="U689" s="138"/>
      <c r="V689" s="138"/>
      <c r="W689" s="138"/>
      <c r="X689" s="138"/>
      <c r="Y689" s="138"/>
      <c r="Z689" s="138"/>
      <c r="AA689" s="138"/>
      <c r="AB689" s="138"/>
      <c r="AC689" s="138"/>
    </row>
    <row r="690">
      <c r="A690" s="161"/>
      <c r="B690" s="161"/>
      <c r="C690" s="138"/>
      <c r="D690" s="160"/>
      <c r="E690" s="161"/>
      <c r="F690" s="161"/>
      <c r="G690" s="161"/>
      <c r="H690" s="161"/>
      <c r="I690" s="138"/>
      <c r="J690" s="138"/>
      <c r="K690" s="138"/>
      <c r="L690" s="138"/>
      <c r="M690" s="138"/>
      <c r="N690" s="138"/>
      <c r="O690" s="138"/>
      <c r="P690" s="138"/>
      <c r="Q690" s="138"/>
      <c r="R690" s="138"/>
      <c r="S690" s="138"/>
      <c r="T690" s="138"/>
      <c r="U690" s="138"/>
      <c r="V690" s="138"/>
      <c r="W690" s="138"/>
      <c r="X690" s="138"/>
      <c r="Y690" s="138"/>
      <c r="Z690" s="138"/>
      <c r="AA690" s="138"/>
      <c r="AB690" s="138"/>
      <c r="AC690" s="138"/>
    </row>
    <row r="691">
      <c r="A691" s="161"/>
      <c r="B691" s="161"/>
      <c r="C691" s="138"/>
      <c r="D691" s="160"/>
      <c r="E691" s="161"/>
      <c r="F691" s="161"/>
      <c r="G691" s="161"/>
      <c r="H691" s="161"/>
      <c r="I691" s="138"/>
      <c r="J691" s="138"/>
      <c r="K691" s="138"/>
      <c r="L691" s="138"/>
      <c r="M691" s="138"/>
      <c r="N691" s="138"/>
      <c r="O691" s="138"/>
      <c r="P691" s="138"/>
      <c r="Q691" s="138"/>
      <c r="R691" s="138"/>
      <c r="S691" s="138"/>
      <c r="T691" s="138"/>
      <c r="U691" s="138"/>
      <c r="V691" s="138"/>
      <c r="W691" s="138"/>
      <c r="X691" s="138"/>
      <c r="Y691" s="138"/>
      <c r="Z691" s="138"/>
      <c r="AA691" s="138"/>
      <c r="AB691" s="138"/>
      <c r="AC691" s="138"/>
    </row>
    <row r="692">
      <c r="A692" s="161"/>
      <c r="B692" s="161"/>
      <c r="C692" s="138"/>
      <c r="D692" s="160"/>
      <c r="E692" s="161"/>
      <c r="F692" s="161"/>
      <c r="G692" s="161"/>
      <c r="H692" s="161"/>
      <c r="I692" s="138"/>
      <c r="J692" s="138"/>
      <c r="K692" s="138"/>
      <c r="L692" s="138"/>
      <c r="M692" s="138"/>
      <c r="N692" s="138"/>
      <c r="O692" s="138"/>
      <c r="P692" s="138"/>
      <c r="Q692" s="138"/>
      <c r="R692" s="138"/>
      <c r="S692" s="138"/>
      <c r="T692" s="138"/>
      <c r="U692" s="138"/>
      <c r="V692" s="138"/>
      <c r="W692" s="138"/>
      <c r="X692" s="138"/>
      <c r="Y692" s="138"/>
      <c r="Z692" s="138"/>
      <c r="AA692" s="138"/>
      <c r="AB692" s="138"/>
      <c r="AC692" s="138"/>
    </row>
    <row r="693">
      <c r="A693" s="161"/>
      <c r="B693" s="161"/>
      <c r="C693" s="138"/>
      <c r="D693" s="160"/>
      <c r="E693" s="161"/>
      <c r="F693" s="161"/>
      <c r="G693" s="161"/>
      <c r="H693" s="161"/>
      <c r="I693" s="138"/>
      <c r="J693" s="138"/>
      <c r="K693" s="138"/>
      <c r="L693" s="138"/>
      <c r="M693" s="138"/>
      <c r="N693" s="138"/>
      <c r="O693" s="138"/>
      <c r="P693" s="138"/>
      <c r="Q693" s="138"/>
      <c r="R693" s="138"/>
      <c r="S693" s="138"/>
      <c r="T693" s="138"/>
      <c r="U693" s="138"/>
      <c r="V693" s="138"/>
      <c r="W693" s="138"/>
      <c r="X693" s="138"/>
      <c r="Y693" s="138"/>
      <c r="Z693" s="138"/>
      <c r="AA693" s="138"/>
      <c r="AB693" s="138"/>
      <c r="AC693" s="138"/>
    </row>
    <row r="694">
      <c r="A694" s="161"/>
      <c r="B694" s="161"/>
      <c r="C694" s="138"/>
      <c r="D694" s="160"/>
      <c r="E694" s="161"/>
      <c r="F694" s="161"/>
      <c r="G694" s="161"/>
      <c r="H694" s="161"/>
      <c r="I694" s="138"/>
      <c r="J694" s="138"/>
      <c r="K694" s="138"/>
      <c r="L694" s="138"/>
      <c r="M694" s="138"/>
      <c r="N694" s="138"/>
      <c r="O694" s="138"/>
      <c r="P694" s="138"/>
      <c r="Q694" s="138"/>
      <c r="R694" s="138"/>
      <c r="S694" s="138"/>
      <c r="T694" s="138"/>
      <c r="U694" s="138"/>
      <c r="V694" s="138"/>
      <c r="W694" s="138"/>
      <c r="X694" s="138"/>
      <c r="Y694" s="138"/>
      <c r="Z694" s="138"/>
      <c r="AA694" s="138"/>
      <c r="AB694" s="138"/>
      <c r="AC694" s="138"/>
    </row>
    <row r="695">
      <c r="A695" s="161"/>
      <c r="B695" s="161"/>
      <c r="C695" s="138"/>
      <c r="D695" s="160"/>
      <c r="E695" s="161"/>
      <c r="F695" s="161"/>
      <c r="G695" s="161"/>
      <c r="H695" s="161"/>
      <c r="I695" s="138"/>
      <c r="J695" s="138"/>
      <c r="K695" s="138"/>
      <c r="L695" s="138"/>
      <c r="M695" s="138"/>
      <c r="N695" s="138"/>
      <c r="O695" s="138"/>
      <c r="P695" s="138"/>
      <c r="Q695" s="138"/>
      <c r="R695" s="138"/>
      <c r="S695" s="138"/>
      <c r="T695" s="138"/>
      <c r="U695" s="138"/>
      <c r="V695" s="138"/>
      <c r="W695" s="138"/>
      <c r="X695" s="138"/>
      <c r="Y695" s="138"/>
      <c r="Z695" s="138"/>
      <c r="AA695" s="138"/>
      <c r="AB695" s="138"/>
      <c r="AC695" s="138"/>
    </row>
    <row r="696">
      <c r="A696" s="161"/>
      <c r="B696" s="161"/>
      <c r="C696" s="138"/>
      <c r="D696" s="160"/>
      <c r="E696" s="161"/>
      <c r="F696" s="161"/>
      <c r="G696" s="161"/>
      <c r="H696" s="161"/>
      <c r="I696" s="138"/>
      <c r="J696" s="138"/>
      <c r="K696" s="138"/>
      <c r="L696" s="138"/>
      <c r="M696" s="138"/>
      <c r="N696" s="138"/>
      <c r="O696" s="138"/>
      <c r="P696" s="138"/>
      <c r="Q696" s="138"/>
      <c r="R696" s="138"/>
      <c r="S696" s="138"/>
      <c r="T696" s="138"/>
      <c r="U696" s="138"/>
      <c r="V696" s="138"/>
      <c r="W696" s="138"/>
      <c r="X696" s="138"/>
      <c r="Y696" s="138"/>
      <c r="Z696" s="138"/>
      <c r="AA696" s="138"/>
      <c r="AB696" s="138"/>
      <c r="AC696" s="138"/>
    </row>
    <row r="697">
      <c r="A697" s="161"/>
      <c r="B697" s="161"/>
      <c r="C697" s="138"/>
      <c r="D697" s="160"/>
      <c r="E697" s="161"/>
      <c r="F697" s="161"/>
      <c r="G697" s="161"/>
      <c r="H697" s="161"/>
      <c r="I697" s="138"/>
      <c r="J697" s="138"/>
      <c r="K697" s="138"/>
      <c r="L697" s="138"/>
      <c r="M697" s="138"/>
      <c r="N697" s="138"/>
      <c r="O697" s="138"/>
      <c r="P697" s="138"/>
      <c r="Q697" s="138"/>
      <c r="R697" s="138"/>
      <c r="S697" s="138"/>
      <c r="T697" s="138"/>
      <c r="U697" s="138"/>
      <c r="V697" s="138"/>
      <c r="W697" s="138"/>
      <c r="X697" s="138"/>
      <c r="Y697" s="138"/>
      <c r="Z697" s="138"/>
      <c r="AA697" s="138"/>
      <c r="AB697" s="138"/>
      <c r="AC697" s="138"/>
    </row>
    <row r="698">
      <c r="A698" s="161"/>
      <c r="B698" s="161"/>
      <c r="C698" s="138"/>
      <c r="D698" s="160"/>
      <c r="E698" s="161"/>
      <c r="F698" s="161"/>
      <c r="G698" s="161"/>
      <c r="H698" s="161"/>
      <c r="I698" s="138"/>
      <c r="J698" s="138"/>
      <c r="K698" s="138"/>
      <c r="L698" s="138"/>
      <c r="M698" s="138"/>
      <c r="N698" s="138"/>
      <c r="O698" s="138"/>
      <c r="P698" s="138"/>
      <c r="Q698" s="138"/>
      <c r="R698" s="138"/>
      <c r="S698" s="138"/>
      <c r="T698" s="138"/>
      <c r="U698" s="138"/>
      <c r="V698" s="138"/>
      <c r="W698" s="138"/>
      <c r="X698" s="138"/>
      <c r="Y698" s="138"/>
      <c r="Z698" s="138"/>
      <c r="AA698" s="138"/>
      <c r="AB698" s="138"/>
      <c r="AC698" s="138"/>
    </row>
    <row r="699">
      <c r="A699" s="161"/>
      <c r="B699" s="161"/>
      <c r="C699" s="138"/>
      <c r="D699" s="160"/>
      <c r="E699" s="161"/>
      <c r="F699" s="161"/>
      <c r="G699" s="161"/>
      <c r="H699" s="161"/>
      <c r="I699" s="138"/>
      <c r="J699" s="138"/>
      <c r="K699" s="138"/>
      <c r="L699" s="138"/>
      <c r="M699" s="138"/>
      <c r="N699" s="138"/>
      <c r="O699" s="138"/>
      <c r="P699" s="138"/>
      <c r="Q699" s="138"/>
      <c r="R699" s="138"/>
      <c r="S699" s="138"/>
      <c r="T699" s="138"/>
      <c r="U699" s="138"/>
      <c r="V699" s="138"/>
      <c r="W699" s="138"/>
      <c r="X699" s="138"/>
      <c r="Y699" s="138"/>
      <c r="Z699" s="138"/>
      <c r="AA699" s="138"/>
      <c r="AB699" s="138"/>
      <c r="AC699" s="138"/>
    </row>
    <row r="700">
      <c r="A700" s="161"/>
      <c r="B700" s="161"/>
      <c r="C700" s="138"/>
      <c r="D700" s="160"/>
      <c r="E700" s="161"/>
      <c r="F700" s="161"/>
      <c r="G700" s="161"/>
      <c r="H700" s="161"/>
      <c r="I700" s="138"/>
      <c r="J700" s="138"/>
      <c r="K700" s="138"/>
      <c r="L700" s="138"/>
      <c r="M700" s="138"/>
      <c r="N700" s="138"/>
      <c r="O700" s="138"/>
      <c r="P700" s="138"/>
      <c r="Q700" s="138"/>
      <c r="R700" s="138"/>
      <c r="S700" s="138"/>
      <c r="T700" s="138"/>
      <c r="U700" s="138"/>
      <c r="V700" s="138"/>
      <c r="W700" s="138"/>
      <c r="X700" s="138"/>
      <c r="Y700" s="138"/>
      <c r="Z700" s="138"/>
      <c r="AA700" s="138"/>
      <c r="AB700" s="138"/>
      <c r="AC700" s="138"/>
    </row>
    <row r="701">
      <c r="A701" s="161"/>
      <c r="B701" s="161"/>
      <c r="C701" s="138"/>
      <c r="D701" s="160"/>
      <c r="E701" s="161"/>
      <c r="F701" s="161"/>
      <c r="G701" s="161"/>
      <c r="H701" s="161"/>
      <c r="I701" s="138"/>
      <c r="J701" s="138"/>
      <c r="K701" s="138"/>
      <c r="L701" s="138"/>
      <c r="M701" s="138"/>
      <c r="N701" s="138"/>
      <c r="O701" s="138"/>
      <c r="P701" s="138"/>
      <c r="Q701" s="138"/>
      <c r="R701" s="138"/>
      <c r="S701" s="138"/>
      <c r="T701" s="138"/>
      <c r="U701" s="138"/>
      <c r="V701" s="138"/>
      <c r="W701" s="138"/>
      <c r="X701" s="138"/>
      <c r="Y701" s="138"/>
      <c r="Z701" s="138"/>
      <c r="AA701" s="138"/>
      <c r="AB701" s="138"/>
      <c r="AC701" s="138"/>
    </row>
    <row r="702">
      <c r="A702" s="161"/>
      <c r="B702" s="161"/>
      <c r="C702" s="138"/>
      <c r="D702" s="160"/>
      <c r="E702" s="161"/>
      <c r="F702" s="161"/>
      <c r="G702" s="161"/>
      <c r="H702" s="161"/>
      <c r="I702" s="138"/>
      <c r="J702" s="138"/>
      <c r="K702" s="138"/>
      <c r="L702" s="138"/>
      <c r="M702" s="138"/>
      <c r="N702" s="138"/>
      <c r="O702" s="138"/>
      <c r="P702" s="138"/>
      <c r="Q702" s="138"/>
      <c r="R702" s="138"/>
      <c r="S702" s="138"/>
      <c r="T702" s="138"/>
      <c r="U702" s="138"/>
      <c r="V702" s="138"/>
      <c r="W702" s="138"/>
      <c r="X702" s="138"/>
      <c r="Y702" s="138"/>
      <c r="Z702" s="138"/>
      <c r="AA702" s="138"/>
      <c r="AB702" s="138"/>
      <c r="AC702" s="138"/>
    </row>
    <row r="703">
      <c r="A703" s="161"/>
      <c r="B703" s="161"/>
      <c r="C703" s="138"/>
      <c r="D703" s="160"/>
      <c r="E703" s="161"/>
      <c r="F703" s="161"/>
      <c r="G703" s="161"/>
      <c r="H703" s="161"/>
      <c r="I703" s="138"/>
      <c r="J703" s="138"/>
      <c r="K703" s="138"/>
      <c r="L703" s="138"/>
      <c r="M703" s="138"/>
      <c r="N703" s="138"/>
      <c r="O703" s="138"/>
      <c r="P703" s="138"/>
      <c r="Q703" s="138"/>
      <c r="R703" s="138"/>
      <c r="S703" s="138"/>
      <c r="T703" s="138"/>
      <c r="U703" s="138"/>
      <c r="V703" s="138"/>
      <c r="W703" s="138"/>
      <c r="X703" s="138"/>
      <c r="Y703" s="138"/>
      <c r="Z703" s="138"/>
      <c r="AA703" s="138"/>
      <c r="AB703" s="138"/>
      <c r="AC703" s="138"/>
    </row>
    <row r="704">
      <c r="A704" s="161"/>
      <c r="B704" s="161"/>
      <c r="C704" s="138"/>
      <c r="D704" s="160"/>
      <c r="E704" s="161"/>
      <c r="F704" s="161"/>
      <c r="G704" s="161"/>
      <c r="H704" s="161"/>
      <c r="I704" s="138"/>
      <c r="J704" s="138"/>
      <c r="K704" s="138"/>
      <c r="L704" s="138"/>
      <c r="M704" s="138"/>
      <c r="N704" s="138"/>
      <c r="O704" s="138"/>
      <c r="P704" s="138"/>
      <c r="Q704" s="138"/>
      <c r="R704" s="138"/>
      <c r="S704" s="138"/>
      <c r="T704" s="138"/>
      <c r="U704" s="138"/>
      <c r="V704" s="138"/>
      <c r="W704" s="138"/>
      <c r="X704" s="138"/>
      <c r="Y704" s="138"/>
      <c r="Z704" s="138"/>
      <c r="AA704" s="138"/>
      <c r="AB704" s="138"/>
      <c r="AC704" s="138"/>
    </row>
    <row r="705">
      <c r="A705" s="161"/>
      <c r="B705" s="161"/>
      <c r="C705" s="138"/>
      <c r="D705" s="160"/>
      <c r="E705" s="161"/>
      <c r="F705" s="161"/>
      <c r="G705" s="161"/>
      <c r="H705" s="161"/>
      <c r="I705" s="138"/>
      <c r="J705" s="138"/>
      <c r="K705" s="138"/>
      <c r="L705" s="138"/>
      <c r="M705" s="138"/>
      <c r="N705" s="138"/>
      <c r="O705" s="138"/>
      <c r="P705" s="138"/>
      <c r="Q705" s="138"/>
      <c r="R705" s="138"/>
      <c r="S705" s="138"/>
      <c r="T705" s="138"/>
      <c r="U705" s="138"/>
      <c r="V705" s="138"/>
      <c r="W705" s="138"/>
      <c r="X705" s="138"/>
      <c r="Y705" s="138"/>
      <c r="Z705" s="138"/>
      <c r="AA705" s="138"/>
      <c r="AB705" s="138"/>
      <c r="AC705" s="138"/>
    </row>
    <row r="706">
      <c r="A706" s="161"/>
      <c r="B706" s="161"/>
      <c r="C706" s="138"/>
      <c r="D706" s="160"/>
      <c r="E706" s="161"/>
      <c r="F706" s="161"/>
      <c r="G706" s="161"/>
      <c r="H706" s="161"/>
      <c r="I706" s="138"/>
      <c r="J706" s="138"/>
      <c r="K706" s="138"/>
      <c r="L706" s="138"/>
      <c r="M706" s="138"/>
      <c r="N706" s="138"/>
      <c r="O706" s="138"/>
      <c r="P706" s="138"/>
      <c r="Q706" s="138"/>
      <c r="R706" s="138"/>
      <c r="S706" s="138"/>
      <c r="T706" s="138"/>
      <c r="U706" s="138"/>
      <c r="V706" s="138"/>
      <c r="W706" s="138"/>
      <c r="X706" s="138"/>
      <c r="Y706" s="138"/>
      <c r="Z706" s="138"/>
      <c r="AA706" s="138"/>
      <c r="AB706" s="138"/>
      <c r="AC706" s="138"/>
    </row>
    <row r="707">
      <c r="A707" s="161"/>
      <c r="B707" s="161"/>
      <c r="C707" s="138"/>
      <c r="D707" s="160"/>
      <c r="E707" s="161"/>
      <c r="F707" s="161"/>
      <c r="G707" s="161"/>
      <c r="H707" s="161"/>
      <c r="I707" s="138"/>
      <c r="J707" s="138"/>
      <c r="K707" s="138"/>
      <c r="L707" s="138"/>
      <c r="M707" s="138"/>
      <c r="N707" s="138"/>
      <c r="O707" s="138"/>
      <c r="P707" s="138"/>
      <c r="Q707" s="138"/>
      <c r="R707" s="138"/>
      <c r="S707" s="138"/>
      <c r="T707" s="138"/>
      <c r="U707" s="138"/>
      <c r="V707" s="138"/>
      <c r="W707" s="138"/>
      <c r="X707" s="138"/>
      <c r="Y707" s="138"/>
      <c r="Z707" s="138"/>
      <c r="AA707" s="138"/>
      <c r="AB707" s="138"/>
      <c r="AC707" s="138"/>
    </row>
    <row r="708">
      <c r="A708" s="161"/>
      <c r="B708" s="161"/>
      <c r="C708" s="138"/>
      <c r="D708" s="160"/>
      <c r="E708" s="161"/>
      <c r="F708" s="161"/>
      <c r="G708" s="161"/>
      <c r="H708" s="161"/>
      <c r="I708" s="138"/>
      <c r="J708" s="138"/>
      <c r="K708" s="138"/>
      <c r="L708" s="138"/>
      <c r="M708" s="138"/>
      <c r="N708" s="138"/>
      <c r="O708" s="138"/>
      <c r="P708" s="138"/>
      <c r="Q708" s="138"/>
      <c r="R708" s="138"/>
      <c r="S708" s="138"/>
      <c r="T708" s="138"/>
      <c r="U708" s="138"/>
      <c r="V708" s="138"/>
      <c r="W708" s="138"/>
      <c r="X708" s="138"/>
      <c r="Y708" s="138"/>
      <c r="Z708" s="138"/>
      <c r="AA708" s="138"/>
      <c r="AB708" s="138"/>
      <c r="AC708" s="138"/>
    </row>
    <row r="709">
      <c r="A709" s="161"/>
      <c r="B709" s="161"/>
      <c r="C709" s="138"/>
      <c r="D709" s="160"/>
      <c r="E709" s="161"/>
      <c r="F709" s="161"/>
      <c r="G709" s="161"/>
      <c r="H709" s="161"/>
      <c r="I709" s="138"/>
      <c r="J709" s="138"/>
      <c r="K709" s="138"/>
      <c r="L709" s="138"/>
      <c r="M709" s="138"/>
      <c r="N709" s="138"/>
      <c r="O709" s="138"/>
      <c r="P709" s="138"/>
      <c r="Q709" s="138"/>
      <c r="R709" s="138"/>
      <c r="S709" s="138"/>
      <c r="T709" s="138"/>
      <c r="U709" s="138"/>
      <c r="V709" s="138"/>
      <c r="W709" s="138"/>
      <c r="X709" s="138"/>
      <c r="Y709" s="138"/>
      <c r="Z709" s="138"/>
      <c r="AA709" s="138"/>
      <c r="AB709" s="138"/>
      <c r="AC709" s="138"/>
    </row>
    <row r="710">
      <c r="A710" s="161"/>
      <c r="B710" s="161"/>
      <c r="C710" s="138"/>
      <c r="D710" s="160"/>
      <c r="E710" s="161"/>
      <c r="F710" s="161"/>
      <c r="G710" s="161"/>
      <c r="H710" s="161"/>
      <c r="I710" s="138"/>
      <c r="J710" s="138"/>
      <c r="K710" s="138"/>
      <c r="L710" s="138"/>
      <c r="M710" s="138"/>
      <c r="N710" s="138"/>
      <c r="O710" s="138"/>
      <c r="P710" s="138"/>
      <c r="Q710" s="138"/>
      <c r="R710" s="138"/>
      <c r="S710" s="138"/>
      <c r="T710" s="138"/>
      <c r="U710" s="138"/>
      <c r="V710" s="138"/>
      <c r="W710" s="138"/>
      <c r="X710" s="138"/>
      <c r="Y710" s="138"/>
      <c r="Z710" s="138"/>
      <c r="AA710" s="138"/>
      <c r="AB710" s="138"/>
      <c r="AC710" s="138"/>
    </row>
    <row r="711">
      <c r="A711" s="161"/>
      <c r="B711" s="161"/>
      <c r="C711" s="138"/>
      <c r="D711" s="160"/>
      <c r="E711" s="161"/>
      <c r="F711" s="161"/>
      <c r="G711" s="161"/>
      <c r="H711" s="161"/>
      <c r="I711" s="138"/>
      <c r="J711" s="138"/>
      <c r="K711" s="138"/>
      <c r="L711" s="138"/>
      <c r="M711" s="138"/>
      <c r="N711" s="138"/>
      <c r="O711" s="138"/>
      <c r="P711" s="138"/>
      <c r="Q711" s="138"/>
      <c r="R711" s="138"/>
      <c r="S711" s="138"/>
      <c r="T711" s="138"/>
      <c r="U711" s="138"/>
      <c r="V711" s="138"/>
      <c r="W711" s="138"/>
      <c r="X711" s="138"/>
      <c r="Y711" s="138"/>
      <c r="Z711" s="138"/>
      <c r="AA711" s="138"/>
      <c r="AB711" s="138"/>
      <c r="AC711" s="138"/>
    </row>
    <row r="712">
      <c r="A712" s="161"/>
      <c r="B712" s="161"/>
      <c r="C712" s="138"/>
      <c r="D712" s="160"/>
      <c r="E712" s="161"/>
      <c r="F712" s="161"/>
      <c r="G712" s="161"/>
      <c r="H712" s="161"/>
      <c r="I712" s="138"/>
      <c r="J712" s="138"/>
      <c r="K712" s="138"/>
      <c r="L712" s="138"/>
      <c r="M712" s="138"/>
      <c r="N712" s="138"/>
      <c r="O712" s="138"/>
      <c r="P712" s="138"/>
      <c r="Q712" s="138"/>
      <c r="R712" s="138"/>
      <c r="S712" s="138"/>
      <c r="T712" s="138"/>
      <c r="U712" s="138"/>
      <c r="V712" s="138"/>
      <c r="W712" s="138"/>
      <c r="X712" s="138"/>
      <c r="Y712" s="138"/>
      <c r="Z712" s="138"/>
      <c r="AA712" s="138"/>
      <c r="AB712" s="138"/>
      <c r="AC712" s="138"/>
    </row>
    <row r="713">
      <c r="A713" s="161"/>
      <c r="B713" s="161"/>
      <c r="C713" s="138"/>
      <c r="D713" s="160"/>
      <c r="E713" s="161"/>
      <c r="F713" s="161"/>
      <c r="G713" s="161"/>
      <c r="H713" s="161"/>
      <c r="I713" s="138"/>
      <c r="J713" s="138"/>
      <c r="K713" s="138"/>
      <c r="L713" s="138"/>
      <c r="M713" s="138"/>
      <c r="N713" s="138"/>
      <c r="O713" s="138"/>
      <c r="P713" s="138"/>
      <c r="Q713" s="138"/>
      <c r="R713" s="138"/>
      <c r="S713" s="138"/>
      <c r="T713" s="138"/>
      <c r="U713" s="138"/>
      <c r="V713" s="138"/>
      <c r="W713" s="138"/>
      <c r="X713" s="138"/>
      <c r="Y713" s="138"/>
      <c r="Z713" s="138"/>
      <c r="AA713" s="138"/>
      <c r="AB713" s="138"/>
      <c r="AC713" s="138"/>
    </row>
    <row r="714">
      <c r="A714" s="161"/>
      <c r="B714" s="161"/>
      <c r="C714" s="138"/>
      <c r="D714" s="160"/>
      <c r="E714" s="161"/>
      <c r="F714" s="161"/>
      <c r="G714" s="161"/>
      <c r="H714" s="161"/>
      <c r="I714" s="138"/>
      <c r="J714" s="138"/>
      <c r="K714" s="138"/>
      <c r="L714" s="138"/>
      <c r="M714" s="138"/>
      <c r="N714" s="138"/>
      <c r="O714" s="138"/>
      <c r="P714" s="138"/>
      <c r="Q714" s="138"/>
      <c r="R714" s="138"/>
      <c r="S714" s="138"/>
      <c r="T714" s="138"/>
      <c r="U714" s="138"/>
      <c r="V714" s="138"/>
      <c r="W714" s="138"/>
      <c r="X714" s="138"/>
      <c r="Y714" s="138"/>
      <c r="Z714" s="138"/>
      <c r="AA714" s="138"/>
      <c r="AB714" s="138"/>
      <c r="AC714" s="138"/>
    </row>
    <row r="715">
      <c r="A715" s="161"/>
      <c r="B715" s="161"/>
      <c r="C715" s="138"/>
      <c r="D715" s="160"/>
      <c r="E715" s="161"/>
      <c r="F715" s="161"/>
      <c r="G715" s="161"/>
      <c r="H715" s="161"/>
      <c r="I715" s="138"/>
      <c r="J715" s="138"/>
      <c r="K715" s="138"/>
      <c r="L715" s="138"/>
      <c r="M715" s="138"/>
      <c r="N715" s="138"/>
      <c r="O715" s="138"/>
      <c r="P715" s="138"/>
      <c r="Q715" s="138"/>
      <c r="R715" s="138"/>
      <c r="S715" s="138"/>
      <c r="T715" s="138"/>
      <c r="U715" s="138"/>
      <c r="V715" s="138"/>
      <c r="W715" s="138"/>
      <c r="X715" s="138"/>
      <c r="Y715" s="138"/>
      <c r="Z715" s="138"/>
      <c r="AA715" s="138"/>
      <c r="AB715" s="138"/>
      <c r="AC715" s="138"/>
    </row>
    <row r="716">
      <c r="A716" s="161"/>
      <c r="B716" s="161"/>
      <c r="C716" s="138"/>
      <c r="D716" s="160"/>
      <c r="E716" s="161"/>
      <c r="F716" s="161"/>
      <c r="G716" s="161"/>
      <c r="H716" s="161"/>
      <c r="I716" s="138"/>
      <c r="J716" s="138"/>
      <c r="K716" s="138"/>
      <c r="L716" s="138"/>
      <c r="M716" s="138"/>
      <c r="N716" s="138"/>
      <c r="O716" s="138"/>
      <c r="P716" s="138"/>
      <c r="Q716" s="138"/>
      <c r="R716" s="138"/>
      <c r="S716" s="138"/>
      <c r="T716" s="138"/>
      <c r="U716" s="138"/>
      <c r="V716" s="138"/>
      <c r="W716" s="138"/>
      <c r="X716" s="138"/>
      <c r="Y716" s="138"/>
      <c r="Z716" s="138"/>
      <c r="AA716" s="138"/>
      <c r="AB716" s="138"/>
      <c r="AC716" s="138"/>
    </row>
    <row r="717">
      <c r="A717" s="161"/>
      <c r="B717" s="161"/>
      <c r="C717" s="138"/>
      <c r="D717" s="160"/>
      <c r="E717" s="161"/>
      <c r="F717" s="161"/>
      <c r="G717" s="161"/>
      <c r="H717" s="161"/>
      <c r="I717" s="138"/>
      <c r="J717" s="138"/>
      <c r="K717" s="138"/>
      <c r="L717" s="138"/>
      <c r="M717" s="138"/>
      <c r="N717" s="138"/>
      <c r="O717" s="138"/>
      <c r="P717" s="138"/>
      <c r="Q717" s="138"/>
      <c r="R717" s="138"/>
      <c r="S717" s="138"/>
      <c r="T717" s="138"/>
      <c r="U717" s="138"/>
      <c r="V717" s="138"/>
      <c r="W717" s="138"/>
      <c r="X717" s="138"/>
      <c r="Y717" s="138"/>
      <c r="Z717" s="138"/>
      <c r="AA717" s="138"/>
      <c r="AB717" s="138"/>
      <c r="AC717" s="138"/>
    </row>
    <row r="718">
      <c r="A718" s="161"/>
      <c r="B718" s="161"/>
      <c r="C718" s="138"/>
      <c r="D718" s="160"/>
      <c r="E718" s="161"/>
      <c r="F718" s="161"/>
      <c r="G718" s="161"/>
      <c r="H718" s="161"/>
      <c r="I718" s="138"/>
      <c r="J718" s="138"/>
      <c r="K718" s="138"/>
      <c r="L718" s="138"/>
      <c r="M718" s="138"/>
      <c r="N718" s="138"/>
      <c r="O718" s="138"/>
      <c r="P718" s="138"/>
      <c r="Q718" s="138"/>
      <c r="R718" s="138"/>
      <c r="S718" s="138"/>
      <c r="T718" s="138"/>
      <c r="U718" s="138"/>
      <c r="V718" s="138"/>
      <c r="W718" s="138"/>
      <c r="X718" s="138"/>
      <c r="Y718" s="138"/>
      <c r="Z718" s="138"/>
      <c r="AA718" s="138"/>
      <c r="AB718" s="138"/>
      <c r="AC718" s="138"/>
    </row>
    <row r="719">
      <c r="A719" s="161"/>
      <c r="B719" s="161"/>
      <c r="C719" s="138"/>
      <c r="D719" s="160"/>
      <c r="E719" s="161"/>
      <c r="F719" s="161"/>
      <c r="G719" s="161"/>
      <c r="H719" s="161"/>
      <c r="I719" s="138"/>
      <c r="J719" s="138"/>
      <c r="K719" s="138"/>
      <c r="L719" s="138"/>
      <c r="M719" s="138"/>
      <c r="N719" s="138"/>
      <c r="O719" s="138"/>
      <c r="P719" s="138"/>
      <c r="Q719" s="138"/>
      <c r="R719" s="138"/>
      <c r="S719" s="138"/>
      <c r="T719" s="138"/>
      <c r="U719" s="138"/>
      <c r="V719" s="138"/>
      <c r="W719" s="138"/>
      <c r="X719" s="138"/>
      <c r="Y719" s="138"/>
      <c r="Z719" s="138"/>
      <c r="AA719" s="138"/>
      <c r="AB719" s="138"/>
      <c r="AC719" s="138"/>
    </row>
    <row r="720">
      <c r="A720" s="161"/>
      <c r="B720" s="161"/>
      <c r="C720" s="138"/>
      <c r="D720" s="160"/>
      <c r="E720" s="161"/>
      <c r="F720" s="161"/>
      <c r="G720" s="161"/>
      <c r="H720" s="161"/>
      <c r="I720" s="138"/>
      <c r="J720" s="138"/>
      <c r="K720" s="138"/>
      <c r="L720" s="138"/>
      <c r="M720" s="138"/>
      <c r="N720" s="138"/>
      <c r="O720" s="138"/>
      <c r="P720" s="138"/>
      <c r="Q720" s="138"/>
      <c r="R720" s="138"/>
      <c r="S720" s="138"/>
      <c r="T720" s="138"/>
      <c r="U720" s="138"/>
      <c r="V720" s="138"/>
      <c r="W720" s="138"/>
      <c r="X720" s="138"/>
      <c r="Y720" s="138"/>
      <c r="Z720" s="138"/>
      <c r="AA720" s="138"/>
      <c r="AB720" s="138"/>
      <c r="AC720" s="138"/>
    </row>
    <row r="721">
      <c r="A721" s="161"/>
      <c r="B721" s="161"/>
      <c r="C721" s="138"/>
      <c r="D721" s="160"/>
      <c r="E721" s="161"/>
      <c r="F721" s="161"/>
      <c r="G721" s="161"/>
      <c r="H721" s="161"/>
      <c r="I721" s="138"/>
      <c r="J721" s="138"/>
      <c r="K721" s="138"/>
      <c r="L721" s="138"/>
      <c r="M721" s="138"/>
      <c r="N721" s="138"/>
      <c r="O721" s="138"/>
      <c r="P721" s="138"/>
      <c r="Q721" s="138"/>
      <c r="R721" s="138"/>
      <c r="S721" s="138"/>
      <c r="T721" s="138"/>
      <c r="U721" s="138"/>
      <c r="V721" s="138"/>
      <c r="W721" s="138"/>
      <c r="X721" s="138"/>
      <c r="Y721" s="138"/>
      <c r="Z721" s="138"/>
      <c r="AA721" s="138"/>
      <c r="AB721" s="138"/>
      <c r="AC721" s="138"/>
    </row>
    <row r="722">
      <c r="A722" s="161"/>
      <c r="B722" s="161"/>
      <c r="C722" s="138"/>
      <c r="D722" s="160"/>
      <c r="E722" s="161"/>
      <c r="F722" s="161"/>
      <c r="G722" s="161"/>
      <c r="H722" s="161"/>
      <c r="I722" s="138"/>
      <c r="J722" s="138"/>
      <c r="K722" s="138"/>
      <c r="L722" s="138"/>
      <c r="M722" s="138"/>
      <c r="N722" s="138"/>
      <c r="O722" s="138"/>
      <c r="P722" s="138"/>
      <c r="Q722" s="138"/>
      <c r="R722" s="138"/>
      <c r="S722" s="138"/>
      <c r="T722" s="138"/>
      <c r="U722" s="138"/>
      <c r="V722" s="138"/>
      <c r="W722" s="138"/>
      <c r="X722" s="138"/>
      <c r="Y722" s="138"/>
      <c r="Z722" s="138"/>
      <c r="AA722" s="138"/>
      <c r="AB722" s="138"/>
      <c r="AC722" s="138"/>
    </row>
    <row r="723">
      <c r="A723" s="161"/>
      <c r="B723" s="161"/>
      <c r="C723" s="138"/>
      <c r="D723" s="160"/>
      <c r="E723" s="161"/>
      <c r="F723" s="161"/>
      <c r="G723" s="161"/>
      <c r="H723" s="161"/>
      <c r="I723" s="138"/>
      <c r="J723" s="138"/>
      <c r="K723" s="138"/>
      <c r="L723" s="138"/>
      <c r="M723" s="138"/>
      <c r="N723" s="138"/>
      <c r="O723" s="138"/>
      <c r="P723" s="138"/>
      <c r="Q723" s="138"/>
      <c r="R723" s="138"/>
      <c r="S723" s="138"/>
      <c r="T723" s="138"/>
      <c r="U723" s="138"/>
      <c r="V723" s="138"/>
      <c r="W723" s="138"/>
      <c r="X723" s="138"/>
      <c r="Y723" s="138"/>
      <c r="Z723" s="138"/>
      <c r="AA723" s="138"/>
      <c r="AB723" s="138"/>
      <c r="AC723" s="138"/>
    </row>
    <row r="724">
      <c r="A724" s="161"/>
      <c r="B724" s="161"/>
      <c r="C724" s="138"/>
      <c r="D724" s="160"/>
      <c r="E724" s="161"/>
      <c r="F724" s="161"/>
      <c r="G724" s="161"/>
      <c r="H724" s="161"/>
      <c r="I724" s="138"/>
      <c r="J724" s="138"/>
      <c r="K724" s="138"/>
      <c r="L724" s="138"/>
      <c r="M724" s="138"/>
      <c r="N724" s="138"/>
      <c r="O724" s="138"/>
      <c r="P724" s="138"/>
      <c r="Q724" s="138"/>
      <c r="R724" s="138"/>
      <c r="S724" s="138"/>
      <c r="T724" s="138"/>
      <c r="U724" s="138"/>
      <c r="V724" s="138"/>
      <c r="W724" s="138"/>
      <c r="X724" s="138"/>
      <c r="Y724" s="138"/>
      <c r="Z724" s="138"/>
      <c r="AA724" s="138"/>
      <c r="AB724" s="138"/>
      <c r="AC724" s="138"/>
    </row>
    <row r="725">
      <c r="A725" s="161"/>
      <c r="B725" s="161"/>
      <c r="C725" s="138"/>
      <c r="D725" s="160"/>
      <c r="E725" s="161"/>
      <c r="F725" s="161"/>
      <c r="G725" s="161"/>
      <c r="H725" s="161"/>
      <c r="I725" s="138"/>
      <c r="J725" s="138"/>
      <c r="K725" s="138"/>
      <c r="L725" s="138"/>
      <c r="M725" s="138"/>
      <c r="N725" s="138"/>
      <c r="O725" s="138"/>
      <c r="P725" s="138"/>
      <c r="Q725" s="138"/>
      <c r="R725" s="138"/>
      <c r="S725" s="138"/>
      <c r="T725" s="138"/>
      <c r="U725" s="138"/>
      <c r="V725" s="138"/>
      <c r="W725" s="138"/>
      <c r="X725" s="138"/>
      <c r="Y725" s="138"/>
      <c r="Z725" s="138"/>
      <c r="AA725" s="138"/>
      <c r="AB725" s="138"/>
      <c r="AC725" s="138"/>
    </row>
    <row r="726">
      <c r="A726" s="161"/>
      <c r="B726" s="161"/>
      <c r="C726" s="138"/>
      <c r="D726" s="160"/>
      <c r="E726" s="161"/>
      <c r="F726" s="161"/>
      <c r="G726" s="161"/>
      <c r="H726" s="161"/>
      <c r="I726" s="138"/>
      <c r="J726" s="138"/>
      <c r="K726" s="138"/>
      <c r="L726" s="138"/>
      <c r="M726" s="138"/>
      <c r="N726" s="138"/>
      <c r="O726" s="138"/>
      <c r="P726" s="138"/>
      <c r="Q726" s="138"/>
      <c r="R726" s="138"/>
      <c r="S726" s="138"/>
      <c r="T726" s="138"/>
      <c r="U726" s="138"/>
      <c r="V726" s="138"/>
      <c r="W726" s="138"/>
      <c r="X726" s="138"/>
      <c r="Y726" s="138"/>
      <c r="Z726" s="138"/>
      <c r="AA726" s="138"/>
      <c r="AB726" s="138"/>
      <c r="AC726" s="138"/>
    </row>
    <row r="727">
      <c r="A727" s="161"/>
      <c r="B727" s="161"/>
      <c r="C727" s="138"/>
      <c r="D727" s="160"/>
      <c r="E727" s="161"/>
      <c r="F727" s="161"/>
      <c r="G727" s="161"/>
      <c r="H727" s="161"/>
      <c r="I727" s="138"/>
      <c r="J727" s="138"/>
      <c r="K727" s="138"/>
      <c r="L727" s="138"/>
      <c r="M727" s="138"/>
      <c r="N727" s="138"/>
      <c r="O727" s="138"/>
      <c r="P727" s="138"/>
      <c r="Q727" s="138"/>
      <c r="R727" s="138"/>
      <c r="S727" s="138"/>
      <c r="T727" s="138"/>
      <c r="U727" s="138"/>
      <c r="V727" s="138"/>
      <c r="W727" s="138"/>
      <c r="X727" s="138"/>
      <c r="Y727" s="138"/>
      <c r="Z727" s="138"/>
      <c r="AA727" s="138"/>
      <c r="AB727" s="138"/>
      <c r="AC727" s="138"/>
    </row>
    <row r="728">
      <c r="A728" s="161"/>
      <c r="B728" s="161"/>
      <c r="C728" s="138"/>
      <c r="D728" s="160"/>
      <c r="E728" s="161"/>
      <c r="F728" s="161"/>
      <c r="G728" s="161"/>
      <c r="H728" s="161"/>
      <c r="I728" s="138"/>
      <c r="J728" s="138"/>
      <c r="K728" s="138"/>
      <c r="L728" s="138"/>
      <c r="M728" s="138"/>
      <c r="N728" s="138"/>
      <c r="O728" s="138"/>
      <c r="P728" s="138"/>
      <c r="Q728" s="138"/>
      <c r="R728" s="138"/>
      <c r="S728" s="138"/>
      <c r="T728" s="138"/>
      <c r="U728" s="138"/>
      <c r="V728" s="138"/>
      <c r="W728" s="138"/>
      <c r="X728" s="138"/>
      <c r="Y728" s="138"/>
      <c r="Z728" s="138"/>
      <c r="AA728" s="138"/>
      <c r="AB728" s="138"/>
      <c r="AC728" s="138"/>
    </row>
    <row r="729">
      <c r="A729" s="161"/>
      <c r="B729" s="161"/>
      <c r="C729" s="138"/>
      <c r="D729" s="160"/>
      <c r="E729" s="161"/>
      <c r="F729" s="161"/>
      <c r="G729" s="161"/>
      <c r="H729" s="161"/>
      <c r="I729" s="138"/>
      <c r="J729" s="138"/>
      <c r="K729" s="138"/>
      <c r="L729" s="138"/>
      <c r="M729" s="138"/>
      <c r="N729" s="138"/>
      <c r="O729" s="138"/>
      <c r="P729" s="138"/>
      <c r="Q729" s="138"/>
      <c r="R729" s="138"/>
      <c r="S729" s="138"/>
      <c r="T729" s="138"/>
      <c r="U729" s="138"/>
      <c r="V729" s="138"/>
      <c r="W729" s="138"/>
      <c r="X729" s="138"/>
      <c r="Y729" s="138"/>
      <c r="Z729" s="138"/>
      <c r="AA729" s="138"/>
      <c r="AB729" s="138"/>
      <c r="AC729" s="138"/>
    </row>
    <row r="730">
      <c r="A730" s="161"/>
      <c r="B730" s="161"/>
      <c r="C730" s="138"/>
      <c r="D730" s="160"/>
      <c r="E730" s="161"/>
      <c r="F730" s="161"/>
      <c r="G730" s="161"/>
      <c r="H730" s="161"/>
      <c r="I730" s="138"/>
      <c r="J730" s="138"/>
      <c r="K730" s="138"/>
      <c r="L730" s="138"/>
      <c r="M730" s="138"/>
      <c r="N730" s="138"/>
      <c r="O730" s="138"/>
      <c r="P730" s="138"/>
      <c r="Q730" s="138"/>
      <c r="R730" s="138"/>
      <c r="S730" s="138"/>
      <c r="T730" s="138"/>
      <c r="U730" s="138"/>
      <c r="V730" s="138"/>
      <c r="W730" s="138"/>
      <c r="X730" s="138"/>
      <c r="Y730" s="138"/>
      <c r="Z730" s="138"/>
      <c r="AA730" s="138"/>
      <c r="AB730" s="138"/>
      <c r="AC730" s="138"/>
    </row>
    <row r="731">
      <c r="A731" s="161"/>
      <c r="B731" s="161"/>
      <c r="C731" s="138"/>
      <c r="D731" s="160"/>
      <c r="E731" s="161"/>
      <c r="F731" s="161"/>
      <c r="G731" s="161"/>
      <c r="H731" s="161"/>
      <c r="I731" s="138"/>
      <c r="J731" s="138"/>
      <c r="K731" s="138"/>
      <c r="L731" s="138"/>
      <c r="M731" s="138"/>
      <c r="N731" s="138"/>
      <c r="O731" s="138"/>
      <c r="P731" s="138"/>
      <c r="Q731" s="138"/>
      <c r="R731" s="138"/>
      <c r="S731" s="138"/>
      <c r="T731" s="138"/>
      <c r="U731" s="138"/>
      <c r="V731" s="138"/>
      <c r="W731" s="138"/>
      <c r="X731" s="138"/>
      <c r="Y731" s="138"/>
      <c r="Z731" s="138"/>
      <c r="AA731" s="138"/>
      <c r="AB731" s="138"/>
      <c r="AC731" s="138"/>
    </row>
    <row r="732">
      <c r="A732" s="161"/>
      <c r="B732" s="161"/>
      <c r="C732" s="138"/>
      <c r="D732" s="160"/>
      <c r="E732" s="161"/>
      <c r="F732" s="161"/>
      <c r="G732" s="161"/>
      <c r="H732" s="161"/>
      <c r="I732" s="138"/>
      <c r="J732" s="138"/>
      <c r="K732" s="138"/>
      <c r="L732" s="138"/>
      <c r="M732" s="138"/>
      <c r="N732" s="138"/>
      <c r="O732" s="138"/>
      <c r="P732" s="138"/>
      <c r="Q732" s="138"/>
      <c r="R732" s="138"/>
      <c r="S732" s="138"/>
      <c r="T732" s="138"/>
      <c r="U732" s="138"/>
      <c r="V732" s="138"/>
      <c r="W732" s="138"/>
      <c r="X732" s="138"/>
      <c r="Y732" s="138"/>
      <c r="Z732" s="138"/>
      <c r="AA732" s="138"/>
      <c r="AB732" s="138"/>
      <c r="AC732" s="138"/>
    </row>
    <row r="733">
      <c r="A733" s="161"/>
      <c r="B733" s="161"/>
      <c r="C733" s="138"/>
      <c r="D733" s="160"/>
      <c r="E733" s="161"/>
      <c r="F733" s="161"/>
      <c r="G733" s="161"/>
      <c r="H733" s="161"/>
      <c r="I733" s="138"/>
      <c r="J733" s="138"/>
      <c r="K733" s="138"/>
      <c r="L733" s="138"/>
      <c r="M733" s="138"/>
      <c r="N733" s="138"/>
      <c r="O733" s="138"/>
      <c r="P733" s="138"/>
      <c r="Q733" s="138"/>
      <c r="R733" s="138"/>
      <c r="S733" s="138"/>
      <c r="T733" s="138"/>
      <c r="U733" s="138"/>
      <c r="V733" s="138"/>
      <c r="W733" s="138"/>
      <c r="X733" s="138"/>
      <c r="Y733" s="138"/>
      <c r="Z733" s="138"/>
      <c r="AA733" s="138"/>
      <c r="AB733" s="138"/>
      <c r="AC733" s="138"/>
    </row>
    <row r="734">
      <c r="A734" s="161"/>
      <c r="B734" s="161"/>
      <c r="C734" s="138"/>
      <c r="D734" s="160"/>
      <c r="E734" s="161"/>
      <c r="F734" s="161"/>
      <c r="G734" s="161"/>
      <c r="H734" s="161"/>
      <c r="I734" s="138"/>
      <c r="J734" s="138"/>
      <c r="K734" s="138"/>
      <c r="L734" s="138"/>
      <c r="M734" s="138"/>
      <c r="N734" s="138"/>
      <c r="O734" s="138"/>
      <c r="P734" s="138"/>
      <c r="Q734" s="138"/>
      <c r="R734" s="138"/>
      <c r="S734" s="138"/>
      <c r="T734" s="138"/>
      <c r="U734" s="138"/>
      <c r="V734" s="138"/>
      <c r="W734" s="138"/>
      <c r="X734" s="138"/>
      <c r="Y734" s="138"/>
      <c r="Z734" s="138"/>
      <c r="AA734" s="138"/>
      <c r="AB734" s="138"/>
      <c r="AC734" s="138"/>
    </row>
    <row r="735">
      <c r="A735" s="161"/>
      <c r="B735" s="161"/>
      <c r="C735" s="138"/>
      <c r="D735" s="160"/>
      <c r="E735" s="161"/>
      <c r="F735" s="161"/>
      <c r="G735" s="161"/>
      <c r="H735" s="161"/>
      <c r="I735" s="138"/>
      <c r="J735" s="138"/>
      <c r="K735" s="138"/>
      <c r="L735" s="138"/>
      <c r="M735" s="138"/>
      <c r="N735" s="138"/>
      <c r="O735" s="138"/>
      <c r="P735" s="138"/>
      <c r="Q735" s="138"/>
      <c r="R735" s="138"/>
      <c r="S735" s="138"/>
      <c r="T735" s="138"/>
      <c r="U735" s="138"/>
      <c r="V735" s="138"/>
      <c r="W735" s="138"/>
      <c r="X735" s="138"/>
      <c r="Y735" s="138"/>
      <c r="Z735" s="138"/>
      <c r="AA735" s="138"/>
      <c r="AB735" s="138"/>
      <c r="AC735" s="138"/>
    </row>
    <row r="736">
      <c r="A736" s="161"/>
      <c r="B736" s="161"/>
      <c r="C736" s="138"/>
      <c r="D736" s="160"/>
      <c r="E736" s="161"/>
      <c r="F736" s="161"/>
      <c r="G736" s="161"/>
      <c r="H736" s="161"/>
      <c r="I736" s="138"/>
      <c r="J736" s="138"/>
      <c r="K736" s="138"/>
      <c r="L736" s="138"/>
      <c r="M736" s="138"/>
      <c r="N736" s="138"/>
      <c r="O736" s="138"/>
      <c r="P736" s="138"/>
      <c r="Q736" s="138"/>
      <c r="R736" s="138"/>
      <c r="S736" s="138"/>
      <c r="T736" s="138"/>
      <c r="U736" s="138"/>
      <c r="V736" s="138"/>
      <c r="W736" s="138"/>
      <c r="X736" s="138"/>
      <c r="Y736" s="138"/>
      <c r="Z736" s="138"/>
      <c r="AA736" s="138"/>
      <c r="AB736" s="138"/>
      <c r="AC736" s="138"/>
    </row>
    <row r="737">
      <c r="A737" s="161"/>
      <c r="B737" s="161"/>
      <c r="C737" s="138"/>
      <c r="D737" s="160"/>
      <c r="E737" s="161"/>
      <c r="F737" s="161"/>
      <c r="G737" s="161"/>
      <c r="H737" s="161"/>
      <c r="I737" s="138"/>
      <c r="J737" s="138"/>
      <c r="K737" s="138"/>
      <c r="L737" s="138"/>
      <c r="M737" s="138"/>
      <c r="N737" s="138"/>
      <c r="O737" s="138"/>
      <c r="P737" s="138"/>
      <c r="Q737" s="138"/>
      <c r="R737" s="138"/>
      <c r="S737" s="138"/>
      <c r="T737" s="138"/>
      <c r="U737" s="138"/>
      <c r="V737" s="138"/>
      <c r="W737" s="138"/>
      <c r="X737" s="138"/>
      <c r="Y737" s="138"/>
      <c r="Z737" s="138"/>
      <c r="AA737" s="138"/>
      <c r="AB737" s="138"/>
      <c r="AC737" s="138"/>
    </row>
    <row r="738">
      <c r="A738" s="161"/>
      <c r="B738" s="161"/>
      <c r="C738" s="138"/>
      <c r="D738" s="160"/>
      <c r="E738" s="161"/>
      <c r="F738" s="161"/>
      <c r="G738" s="161"/>
      <c r="H738" s="161"/>
      <c r="I738" s="138"/>
      <c r="J738" s="138"/>
      <c r="K738" s="138"/>
      <c r="L738" s="138"/>
      <c r="M738" s="138"/>
      <c r="N738" s="138"/>
      <c r="O738" s="138"/>
      <c r="P738" s="138"/>
      <c r="Q738" s="138"/>
      <c r="R738" s="138"/>
      <c r="S738" s="138"/>
      <c r="T738" s="138"/>
      <c r="U738" s="138"/>
      <c r="V738" s="138"/>
      <c r="W738" s="138"/>
      <c r="X738" s="138"/>
      <c r="Y738" s="138"/>
      <c r="Z738" s="138"/>
      <c r="AA738" s="138"/>
      <c r="AB738" s="138"/>
      <c r="AC738" s="138"/>
    </row>
    <row r="739">
      <c r="A739" s="161"/>
      <c r="B739" s="161"/>
      <c r="C739" s="138"/>
      <c r="D739" s="160"/>
      <c r="E739" s="161"/>
      <c r="F739" s="161"/>
      <c r="G739" s="161"/>
      <c r="H739" s="161"/>
      <c r="I739" s="138"/>
      <c r="J739" s="138"/>
      <c r="K739" s="138"/>
      <c r="L739" s="138"/>
      <c r="M739" s="138"/>
      <c r="N739" s="138"/>
      <c r="O739" s="138"/>
      <c r="P739" s="138"/>
      <c r="Q739" s="138"/>
      <c r="R739" s="138"/>
      <c r="S739" s="138"/>
      <c r="T739" s="138"/>
      <c r="U739" s="138"/>
      <c r="V739" s="138"/>
      <c r="W739" s="138"/>
      <c r="X739" s="138"/>
      <c r="Y739" s="138"/>
      <c r="Z739" s="138"/>
      <c r="AA739" s="138"/>
      <c r="AB739" s="138"/>
      <c r="AC739" s="138"/>
    </row>
    <row r="740">
      <c r="A740" s="161"/>
      <c r="B740" s="161"/>
      <c r="C740" s="138"/>
      <c r="D740" s="160"/>
      <c r="E740" s="161"/>
      <c r="F740" s="161"/>
      <c r="G740" s="161"/>
      <c r="H740" s="161"/>
      <c r="I740" s="138"/>
      <c r="J740" s="138"/>
      <c r="K740" s="138"/>
      <c r="L740" s="138"/>
      <c r="M740" s="138"/>
      <c r="N740" s="138"/>
      <c r="O740" s="138"/>
      <c r="P740" s="138"/>
      <c r="Q740" s="138"/>
      <c r="R740" s="138"/>
      <c r="S740" s="138"/>
      <c r="T740" s="138"/>
      <c r="U740" s="138"/>
      <c r="V740" s="138"/>
      <c r="W740" s="138"/>
      <c r="X740" s="138"/>
      <c r="Y740" s="138"/>
      <c r="Z740" s="138"/>
      <c r="AA740" s="138"/>
      <c r="AB740" s="138"/>
      <c r="AC740" s="138"/>
    </row>
    <row r="741">
      <c r="A741" s="161"/>
      <c r="B741" s="161"/>
      <c r="C741" s="138"/>
      <c r="D741" s="160"/>
      <c r="E741" s="161"/>
      <c r="F741" s="161"/>
      <c r="G741" s="161"/>
      <c r="H741" s="161"/>
      <c r="I741" s="138"/>
      <c r="J741" s="138"/>
      <c r="K741" s="138"/>
      <c r="L741" s="138"/>
      <c r="M741" s="138"/>
      <c r="N741" s="138"/>
      <c r="O741" s="138"/>
      <c r="P741" s="138"/>
      <c r="Q741" s="138"/>
      <c r="R741" s="138"/>
      <c r="S741" s="138"/>
      <c r="T741" s="138"/>
      <c r="U741" s="138"/>
      <c r="V741" s="138"/>
      <c r="W741" s="138"/>
      <c r="X741" s="138"/>
      <c r="Y741" s="138"/>
      <c r="Z741" s="138"/>
      <c r="AA741" s="138"/>
      <c r="AB741" s="138"/>
      <c r="AC741" s="138"/>
    </row>
    <row r="742">
      <c r="A742" s="161"/>
      <c r="B742" s="161"/>
      <c r="C742" s="138"/>
      <c r="D742" s="160"/>
      <c r="E742" s="161"/>
      <c r="F742" s="161"/>
      <c r="G742" s="161"/>
      <c r="H742" s="161"/>
      <c r="I742" s="138"/>
      <c r="J742" s="138"/>
      <c r="K742" s="138"/>
      <c r="L742" s="138"/>
      <c r="M742" s="138"/>
      <c r="N742" s="138"/>
      <c r="O742" s="138"/>
      <c r="P742" s="138"/>
      <c r="Q742" s="138"/>
      <c r="R742" s="138"/>
      <c r="S742" s="138"/>
      <c r="T742" s="138"/>
      <c r="U742" s="138"/>
      <c r="V742" s="138"/>
      <c r="W742" s="138"/>
      <c r="X742" s="138"/>
      <c r="Y742" s="138"/>
      <c r="Z742" s="138"/>
      <c r="AA742" s="138"/>
      <c r="AB742" s="138"/>
      <c r="AC742" s="138"/>
    </row>
    <row r="743">
      <c r="A743" s="161"/>
      <c r="B743" s="161"/>
      <c r="C743" s="138"/>
      <c r="D743" s="160"/>
      <c r="E743" s="161"/>
      <c r="F743" s="161"/>
      <c r="G743" s="161"/>
      <c r="H743" s="161"/>
      <c r="I743" s="138"/>
      <c r="J743" s="138"/>
      <c r="K743" s="138"/>
      <c r="L743" s="138"/>
      <c r="M743" s="138"/>
      <c r="N743" s="138"/>
      <c r="O743" s="138"/>
      <c r="P743" s="138"/>
      <c r="Q743" s="138"/>
      <c r="R743" s="138"/>
      <c r="S743" s="138"/>
      <c r="T743" s="138"/>
      <c r="U743" s="138"/>
      <c r="V743" s="138"/>
      <c r="W743" s="138"/>
      <c r="X743" s="138"/>
      <c r="Y743" s="138"/>
      <c r="Z743" s="138"/>
      <c r="AA743" s="138"/>
      <c r="AB743" s="138"/>
      <c r="AC743" s="138"/>
    </row>
    <row r="744">
      <c r="A744" s="161"/>
      <c r="B744" s="161"/>
      <c r="C744" s="138"/>
      <c r="D744" s="160"/>
      <c r="E744" s="161"/>
      <c r="F744" s="161"/>
      <c r="G744" s="161"/>
      <c r="H744" s="161"/>
      <c r="I744" s="138"/>
      <c r="J744" s="138"/>
      <c r="K744" s="138"/>
      <c r="L744" s="138"/>
      <c r="M744" s="138"/>
      <c r="N744" s="138"/>
      <c r="O744" s="138"/>
      <c r="P744" s="138"/>
      <c r="Q744" s="138"/>
      <c r="R744" s="138"/>
      <c r="S744" s="138"/>
      <c r="T744" s="138"/>
      <c r="U744" s="138"/>
      <c r="V744" s="138"/>
      <c r="W744" s="138"/>
      <c r="X744" s="138"/>
      <c r="Y744" s="138"/>
      <c r="Z744" s="138"/>
      <c r="AA744" s="138"/>
      <c r="AB744" s="138"/>
      <c r="AC744" s="138"/>
    </row>
    <row r="745">
      <c r="A745" s="161"/>
      <c r="B745" s="161"/>
      <c r="C745" s="138"/>
      <c r="D745" s="160"/>
      <c r="E745" s="161"/>
      <c r="F745" s="161"/>
      <c r="G745" s="161"/>
      <c r="H745" s="161"/>
      <c r="I745" s="138"/>
      <c r="J745" s="138"/>
      <c r="K745" s="138"/>
      <c r="L745" s="138"/>
      <c r="M745" s="138"/>
      <c r="N745" s="138"/>
      <c r="O745" s="138"/>
      <c r="P745" s="138"/>
      <c r="Q745" s="138"/>
      <c r="R745" s="138"/>
      <c r="S745" s="138"/>
      <c r="T745" s="138"/>
      <c r="U745" s="138"/>
      <c r="V745" s="138"/>
      <c r="W745" s="138"/>
      <c r="X745" s="138"/>
      <c r="Y745" s="138"/>
      <c r="Z745" s="138"/>
      <c r="AA745" s="138"/>
      <c r="AB745" s="138"/>
      <c r="AC745" s="138"/>
    </row>
    <row r="746">
      <c r="A746" s="161"/>
      <c r="B746" s="161"/>
      <c r="C746" s="138"/>
      <c r="D746" s="160"/>
      <c r="E746" s="161"/>
      <c r="F746" s="161"/>
      <c r="G746" s="161"/>
      <c r="H746" s="161"/>
      <c r="I746" s="138"/>
      <c r="J746" s="138"/>
      <c r="K746" s="138"/>
      <c r="L746" s="138"/>
      <c r="M746" s="138"/>
      <c r="N746" s="138"/>
      <c r="O746" s="138"/>
      <c r="P746" s="138"/>
      <c r="Q746" s="138"/>
      <c r="R746" s="138"/>
      <c r="S746" s="138"/>
      <c r="T746" s="138"/>
      <c r="U746" s="138"/>
      <c r="V746" s="138"/>
      <c r="W746" s="138"/>
      <c r="X746" s="138"/>
      <c r="Y746" s="138"/>
      <c r="Z746" s="138"/>
      <c r="AA746" s="138"/>
      <c r="AB746" s="138"/>
      <c r="AC746" s="138"/>
    </row>
    <row r="747">
      <c r="A747" s="161"/>
      <c r="B747" s="161"/>
      <c r="C747" s="138"/>
      <c r="D747" s="160"/>
      <c r="E747" s="161"/>
      <c r="F747" s="161"/>
      <c r="G747" s="161"/>
      <c r="H747" s="161"/>
      <c r="I747" s="138"/>
      <c r="J747" s="138"/>
      <c r="K747" s="138"/>
      <c r="L747" s="138"/>
      <c r="M747" s="138"/>
      <c r="N747" s="138"/>
      <c r="O747" s="138"/>
      <c r="P747" s="138"/>
      <c r="Q747" s="138"/>
      <c r="R747" s="138"/>
      <c r="S747" s="138"/>
      <c r="T747" s="138"/>
      <c r="U747" s="138"/>
      <c r="V747" s="138"/>
      <c r="W747" s="138"/>
      <c r="X747" s="138"/>
      <c r="Y747" s="138"/>
      <c r="Z747" s="138"/>
      <c r="AA747" s="138"/>
      <c r="AB747" s="138"/>
      <c r="AC747" s="138"/>
    </row>
    <row r="748">
      <c r="A748" s="161"/>
      <c r="B748" s="161"/>
      <c r="C748" s="138"/>
      <c r="D748" s="160"/>
      <c r="E748" s="161"/>
      <c r="F748" s="161"/>
      <c r="G748" s="161"/>
      <c r="H748" s="161"/>
      <c r="I748" s="138"/>
      <c r="J748" s="138"/>
      <c r="K748" s="138"/>
      <c r="L748" s="138"/>
      <c r="M748" s="138"/>
      <c r="N748" s="138"/>
      <c r="O748" s="138"/>
      <c r="P748" s="138"/>
      <c r="Q748" s="138"/>
      <c r="R748" s="138"/>
      <c r="S748" s="138"/>
      <c r="T748" s="138"/>
      <c r="U748" s="138"/>
      <c r="V748" s="138"/>
      <c r="W748" s="138"/>
      <c r="X748" s="138"/>
      <c r="Y748" s="138"/>
      <c r="Z748" s="138"/>
      <c r="AA748" s="138"/>
      <c r="AB748" s="138"/>
      <c r="AC748" s="138"/>
    </row>
    <row r="749">
      <c r="A749" s="161"/>
      <c r="B749" s="161"/>
      <c r="C749" s="138"/>
      <c r="D749" s="160"/>
      <c r="E749" s="161"/>
      <c r="F749" s="161"/>
      <c r="G749" s="161"/>
      <c r="H749" s="161"/>
      <c r="I749" s="138"/>
      <c r="J749" s="138"/>
      <c r="K749" s="138"/>
      <c r="L749" s="138"/>
      <c r="M749" s="138"/>
      <c r="N749" s="138"/>
      <c r="O749" s="138"/>
      <c r="P749" s="138"/>
      <c r="Q749" s="138"/>
      <c r="R749" s="138"/>
      <c r="S749" s="138"/>
      <c r="T749" s="138"/>
      <c r="U749" s="138"/>
      <c r="V749" s="138"/>
      <c r="W749" s="138"/>
      <c r="X749" s="138"/>
      <c r="Y749" s="138"/>
      <c r="Z749" s="138"/>
      <c r="AA749" s="138"/>
      <c r="AB749" s="138"/>
      <c r="AC749" s="138"/>
    </row>
    <row r="750">
      <c r="A750" s="161"/>
      <c r="B750" s="161"/>
      <c r="C750" s="138"/>
      <c r="D750" s="160"/>
      <c r="E750" s="161"/>
      <c r="F750" s="161"/>
      <c r="G750" s="161"/>
      <c r="H750" s="161"/>
      <c r="I750" s="138"/>
      <c r="J750" s="138"/>
      <c r="K750" s="138"/>
      <c r="L750" s="138"/>
      <c r="M750" s="138"/>
      <c r="N750" s="138"/>
      <c r="O750" s="138"/>
      <c r="P750" s="138"/>
      <c r="Q750" s="138"/>
      <c r="R750" s="138"/>
      <c r="S750" s="138"/>
      <c r="T750" s="138"/>
      <c r="U750" s="138"/>
      <c r="V750" s="138"/>
      <c r="W750" s="138"/>
      <c r="X750" s="138"/>
      <c r="Y750" s="138"/>
      <c r="Z750" s="138"/>
      <c r="AA750" s="138"/>
      <c r="AB750" s="138"/>
      <c r="AC750" s="138"/>
    </row>
    <row r="751">
      <c r="A751" s="161"/>
      <c r="B751" s="161"/>
      <c r="C751" s="138"/>
      <c r="D751" s="160"/>
      <c r="E751" s="161"/>
      <c r="F751" s="161"/>
      <c r="G751" s="161"/>
      <c r="H751" s="161"/>
      <c r="I751" s="138"/>
      <c r="J751" s="138"/>
      <c r="K751" s="138"/>
      <c r="L751" s="138"/>
      <c r="M751" s="138"/>
      <c r="N751" s="138"/>
      <c r="O751" s="138"/>
      <c r="P751" s="138"/>
      <c r="Q751" s="138"/>
      <c r="R751" s="138"/>
      <c r="S751" s="138"/>
      <c r="T751" s="138"/>
      <c r="U751" s="138"/>
      <c r="V751" s="138"/>
      <c r="W751" s="138"/>
      <c r="X751" s="138"/>
      <c r="Y751" s="138"/>
      <c r="Z751" s="138"/>
      <c r="AA751" s="138"/>
      <c r="AB751" s="138"/>
      <c r="AC751" s="138"/>
    </row>
    <row r="752">
      <c r="A752" s="161"/>
      <c r="B752" s="161"/>
      <c r="C752" s="138"/>
      <c r="D752" s="160"/>
      <c r="E752" s="161"/>
      <c r="F752" s="161"/>
      <c r="G752" s="161"/>
      <c r="H752" s="161"/>
      <c r="I752" s="138"/>
      <c r="J752" s="138"/>
      <c r="K752" s="138"/>
      <c r="L752" s="138"/>
      <c r="M752" s="138"/>
      <c r="N752" s="138"/>
      <c r="O752" s="138"/>
      <c r="P752" s="138"/>
      <c r="Q752" s="138"/>
      <c r="R752" s="138"/>
      <c r="S752" s="138"/>
      <c r="T752" s="138"/>
      <c r="U752" s="138"/>
      <c r="V752" s="138"/>
      <c r="W752" s="138"/>
      <c r="X752" s="138"/>
      <c r="Y752" s="138"/>
      <c r="Z752" s="138"/>
      <c r="AA752" s="138"/>
      <c r="AB752" s="138"/>
      <c r="AC752" s="138"/>
    </row>
    <row r="753">
      <c r="A753" s="161"/>
      <c r="B753" s="161"/>
      <c r="C753" s="138"/>
      <c r="D753" s="160"/>
      <c r="E753" s="161"/>
      <c r="F753" s="161"/>
      <c r="G753" s="161"/>
      <c r="H753" s="161"/>
      <c r="I753" s="138"/>
      <c r="J753" s="138"/>
      <c r="K753" s="138"/>
      <c r="L753" s="138"/>
      <c r="M753" s="138"/>
      <c r="N753" s="138"/>
      <c r="O753" s="138"/>
      <c r="P753" s="138"/>
      <c r="Q753" s="138"/>
      <c r="R753" s="138"/>
      <c r="S753" s="138"/>
      <c r="T753" s="138"/>
      <c r="U753" s="138"/>
      <c r="V753" s="138"/>
      <c r="W753" s="138"/>
      <c r="X753" s="138"/>
      <c r="Y753" s="138"/>
      <c r="Z753" s="138"/>
      <c r="AA753" s="138"/>
      <c r="AB753" s="138"/>
      <c r="AC753" s="138"/>
    </row>
    <row r="754">
      <c r="A754" s="161"/>
      <c r="B754" s="161"/>
      <c r="C754" s="138"/>
      <c r="D754" s="160"/>
      <c r="E754" s="161"/>
      <c r="F754" s="161"/>
      <c r="G754" s="161"/>
      <c r="H754" s="161"/>
      <c r="I754" s="138"/>
      <c r="J754" s="138"/>
      <c r="K754" s="138"/>
      <c r="L754" s="138"/>
      <c r="M754" s="138"/>
      <c r="N754" s="138"/>
      <c r="O754" s="138"/>
      <c r="P754" s="138"/>
      <c r="Q754" s="138"/>
      <c r="R754" s="138"/>
      <c r="S754" s="138"/>
      <c r="T754" s="138"/>
      <c r="U754" s="138"/>
      <c r="V754" s="138"/>
      <c r="W754" s="138"/>
      <c r="X754" s="138"/>
      <c r="Y754" s="138"/>
      <c r="Z754" s="138"/>
      <c r="AA754" s="138"/>
      <c r="AB754" s="138"/>
      <c r="AC754" s="138"/>
    </row>
    <row r="755">
      <c r="A755" s="161"/>
      <c r="B755" s="161"/>
      <c r="C755" s="138"/>
      <c r="D755" s="160"/>
      <c r="E755" s="161"/>
      <c r="F755" s="161"/>
      <c r="G755" s="161"/>
      <c r="H755" s="161"/>
      <c r="I755" s="138"/>
      <c r="J755" s="138"/>
      <c r="K755" s="138"/>
      <c r="L755" s="138"/>
      <c r="M755" s="138"/>
      <c r="N755" s="138"/>
      <c r="O755" s="138"/>
      <c r="P755" s="138"/>
      <c r="Q755" s="138"/>
      <c r="R755" s="138"/>
      <c r="S755" s="138"/>
      <c r="T755" s="138"/>
      <c r="U755" s="138"/>
      <c r="V755" s="138"/>
      <c r="W755" s="138"/>
      <c r="X755" s="138"/>
      <c r="Y755" s="138"/>
      <c r="Z755" s="138"/>
      <c r="AA755" s="138"/>
      <c r="AB755" s="138"/>
      <c r="AC755" s="138"/>
    </row>
    <row r="756">
      <c r="A756" s="161"/>
      <c r="B756" s="161"/>
      <c r="C756" s="138"/>
      <c r="D756" s="160"/>
      <c r="E756" s="161"/>
      <c r="F756" s="161"/>
      <c r="G756" s="161"/>
      <c r="H756" s="161"/>
      <c r="I756" s="138"/>
      <c r="J756" s="138"/>
      <c r="K756" s="138"/>
      <c r="L756" s="138"/>
      <c r="M756" s="138"/>
      <c r="N756" s="138"/>
      <c r="O756" s="138"/>
      <c r="P756" s="138"/>
      <c r="Q756" s="138"/>
      <c r="R756" s="138"/>
      <c r="S756" s="138"/>
      <c r="T756" s="138"/>
      <c r="U756" s="138"/>
      <c r="V756" s="138"/>
      <c r="W756" s="138"/>
      <c r="X756" s="138"/>
      <c r="Y756" s="138"/>
      <c r="Z756" s="138"/>
      <c r="AA756" s="138"/>
      <c r="AB756" s="138"/>
      <c r="AC756" s="138"/>
    </row>
    <row r="757">
      <c r="A757" s="161"/>
      <c r="B757" s="161"/>
      <c r="C757" s="138"/>
      <c r="D757" s="160"/>
      <c r="E757" s="161"/>
      <c r="F757" s="161"/>
      <c r="G757" s="161"/>
      <c r="H757" s="161"/>
      <c r="I757" s="138"/>
      <c r="J757" s="138"/>
      <c r="K757" s="138"/>
      <c r="L757" s="138"/>
      <c r="M757" s="138"/>
      <c r="N757" s="138"/>
      <c r="O757" s="138"/>
      <c r="P757" s="138"/>
      <c r="Q757" s="138"/>
      <c r="R757" s="138"/>
      <c r="S757" s="138"/>
      <c r="T757" s="138"/>
      <c r="U757" s="138"/>
      <c r="V757" s="138"/>
      <c r="W757" s="138"/>
      <c r="X757" s="138"/>
      <c r="Y757" s="138"/>
      <c r="Z757" s="138"/>
      <c r="AA757" s="138"/>
      <c r="AB757" s="138"/>
      <c r="AC757" s="138"/>
    </row>
    <row r="758">
      <c r="A758" s="161"/>
      <c r="B758" s="161"/>
      <c r="C758" s="138"/>
      <c r="D758" s="160"/>
      <c r="E758" s="161"/>
      <c r="F758" s="161"/>
      <c r="G758" s="161"/>
      <c r="H758" s="161"/>
      <c r="I758" s="138"/>
      <c r="J758" s="138"/>
      <c r="K758" s="138"/>
      <c r="L758" s="138"/>
      <c r="M758" s="138"/>
      <c r="N758" s="138"/>
      <c r="O758" s="138"/>
      <c r="P758" s="138"/>
      <c r="Q758" s="138"/>
      <c r="R758" s="138"/>
      <c r="S758" s="138"/>
      <c r="T758" s="138"/>
      <c r="U758" s="138"/>
      <c r="V758" s="138"/>
      <c r="W758" s="138"/>
      <c r="X758" s="138"/>
      <c r="Y758" s="138"/>
      <c r="Z758" s="138"/>
      <c r="AA758" s="138"/>
      <c r="AB758" s="138"/>
      <c r="AC758" s="138"/>
    </row>
    <row r="759">
      <c r="A759" s="161"/>
      <c r="B759" s="161"/>
      <c r="C759" s="138"/>
      <c r="D759" s="160"/>
      <c r="E759" s="161"/>
      <c r="F759" s="161"/>
      <c r="G759" s="161"/>
      <c r="H759" s="161"/>
      <c r="I759" s="138"/>
      <c r="J759" s="138"/>
      <c r="K759" s="138"/>
      <c r="L759" s="138"/>
      <c r="M759" s="138"/>
      <c r="N759" s="138"/>
      <c r="O759" s="138"/>
      <c r="P759" s="138"/>
      <c r="Q759" s="138"/>
      <c r="R759" s="138"/>
      <c r="S759" s="138"/>
      <c r="T759" s="138"/>
      <c r="U759" s="138"/>
      <c r="V759" s="138"/>
      <c r="W759" s="138"/>
      <c r="X759" s="138"/>
      <c r="Y759" s="138"/>
      <c r="Z759" s="138"/>
      <c r="AA759" s="138"/>
      <c r="AB759" s="138"/>
      <c r="AC759" s="138"/>
    </row>
    <row r="760">
      <c r="A760" s="161"/>
      <c r="B760" s="161"/>
      <c r="C760" s="138"/>
      <c r="D760" s="160"/>
      <c r="E760" s="161"/>
      <c r="F760" s="161"/>
      <c r="G760" s="161"/>
      <c r="H760" s="161"/>
      <c r="I760" s="138"/>
      <c r="J760" s="138"/>
      <c r="K760" s="138"/>
      <c r="L760" s="138"/>
      <c r="M760" s="138"/>
      <c r="N760" s="138"/>
      <c r="O760" s="138"/>
      <c r="P760" s="138"/>
      <c r="Q760" s="138"/>
      <c r="R760" s="138"/>
      <c r="S760" s="138"/>
      <c r="T760" s="138"/>
      <c r="U760" s="138"/>
      <c r="V760" s="138"/>
      <c r="W760" s="138"/>
      <c r="X760" s="138"/>
      <c r="Y760" s="138"/>
      <c r="Z760" s="138"/>
      <c r="AA760" s="138"/>
      <c r="AB760" s="138"/>
      <c r="AC760" s="138"/>
    </row>
    <row r="761">
      <c r="A761" s="161"/>
      <c r="B761" s="161"/>
      <c r="C761" s="138"/>
      <c r="D761" s="160"/>
      <c r="E761" s="161"/>
      <c r="F761" s="161"/>
      <c r="G761" s="161"/>
      <c r="H761" s="161"/>
      <c r="I761" s="138"/>
      <c r="J761" s="138"/>
      <c r="K761" s="138"/>
      <c r="L761" s="138"/>
      <c r="M761" s="138"/>
      <c r="N761" s="138"/>
      <c r="O761" s="138"/>
      <c r="P761" s="138"/>
      <c r="Q761" s="138"/>
      <c r="R761" s="138"/>
      <c r="S761" s="138"/>
      <c r="T761" s="138"/>
      <c r="U761" s="138"/>
      <c r="V761" s="138"/>
      <c r="W761" s="138"/>
      <c r="X761" s="138"/>
      <c r="Y761" s="138"/>
      <c r="Z761" s="138"/>
      <c r="AA761" s="138"/>
      <c r="AB761" s="138"/>
      <c r="AC761" s="138"/>
    </row>
    <row r="762">
      <c r="A762" s="161"/>
      <c r="B762" s="161"/>
      <c r="C762" s="138"/>
      <c r="D762" s="160"/>
      <c r="E762" s="161"/>
      <c r="F762" s="161"/>
      <c r="G762" s="161"/>
      <c r="H762" s="161"/>
      <c r="I762" s="138"/>
      <c r="J762" s="138"/>
      <c r="K762" s="138"/>
      <c r="L762" s="138"/>
      <c r="M762" s="138"/>
      <c r="N762" s="138"/>
      <c r="O762" s="138"/>
      <c r="P762" s="138"/>
      <c r="Q762" s="138"/>
      <c r="R762" s="138"/>
      <c r="S762" s="138"/>
      <c r="T762" s="138"/>
      <c r="U762" s="138"/>
      <c r="V762" s="138"/>
      <c r="W762" s="138"/>
      <c r="X762" s="138"/>
      <c r="Y762" s="138"/>
      <c r="Z762" s="138"/>
      <c r="AA762" s="138"/>
      <c r="AB762" s="138"/>
      <c r="AC762" s="138"/>
    </row>
    <row r="763">
      <c r="A763" s="161"/>
      <c r="B763" s="161"/>
      <c r="C763" s="138"/>
      <c r="D763" s="160"/>
      <c r="E763" s="161"/>
      <c r="F763" s="161"/>
      <c r="G763" s="161"/>
      <c r="H763" s="161"/>
      <c r="I763" s="138"/>
      <c r="J763" s="138"/>
      <c r="K763" s="138"/>
      <c r="L763" s="138"/>
      <c r="M763" s="138"/>
      <c r="N763" s="138"/>
      <c r="O763" s="138"/>
      <c r="P763" s="138"/>
      <c r="Q763" s="138"/>
      <c r="R763" s="138"/>
      <c r="S763" s="138"/>
      <c r="T763" s="138"/>
      <c r="U763" s="138"/>
      <c r="V763" s="138"/>
      <c r="W763" s="138"/>
      <c r="X763" s="138"/>
      <c r="Y763" s="138"/>
      <c r="Z763" s="138"/>
      <c r="AA763" s="138"/>
      <c r="AB763" s="138"/>
      <c r="AC763" s="138"/>
    </row>
    <row r="764">
      <c r="A764" s="161"/>
      <c r="B764" s="161"/>
      <c r="C764" s="138"/>
      <c r="D764" s="160"/>
      <c r="E764" s="161"/>
      <c r="F764" s="161"/>
      <c r="G764" s="161"/>
      <c r="H764" s="161"/>
      <c r="I764" s="138"/>
      <c r="J764" s="138"/>
      <c r="K764" s="138"/>
      <c r="L764" s="138"/>
      <c r="M764" s="138"/>
      <c r="N764" s="138"/>
      <c r="O764" s="138"/>
      <c r="P764" s="138"/>
      <c r="Q764" s="138"/>
      <c r="R764" s="138"/>
      <c r="S764" s="138"/>
      <c r="T764" s="138"/>
      <c r="U764" s="138"/>
      <c r="V764" s="138"/>
      <c r="W764" s="138"/>
      <c r="X764" s="138"/>
      <c r="Y764" s="138"/>
      <c r="Z764" s="138"/>
      <c r="AA764" s="138"/>
      <c r="AB764" s="138"/>
      <c r="AC764" s="138"/>
    </row>
    <row r="765">
      <c r="A765" s="161"/>
      <c r="B765" s="161"/>
      <c r="C765" s="138"/>
      <c r="D765" s="160"/>
      <c r="E765" s="161"/>
      <c r="F765" s="161"/>
      <c r="G765" s="161"/>
      <c r="H765" s="161"/>
      <c r="I765" s="138"/>
      <c r="J765" s="138"/>
      <c r="K765" s="138"/>
      <c r="L765" s="138"/>
      <c r="M765" s="138"/>
      <c r="N765" s="138"/>
      <c r="O765" s="138"/>
      <c r="P765" s="138"/>
      <c r="Q765" s="138"/>
      <c r="R765" s="138"/>
      <c r="S765" s="138"/>
      <c r="T765" s="138"/>
      <c r="U765" s="138"/>
      <c r="V765" s="138"/>
      <c r="W765" s="138"/>
      <c r="X765" s="138"/>
      <c r="Y765" s="138"/>
      <c r="Z765" s="138"/>
      <c r="AA765" s="138"/>
      <c r="AB765" s="138"/>
      <c r="AC765" s="138"/>
    </row>
    <row r="766">
      <c r="A766" s="161"/>
      <c r="B766" s="161"/>
      <c r="C766" s="138"/>
      <c r="D766" s="160"/>
      <c r="E766" s="161"/>
      <c r="F766" s="161"/>
      <c r="G766" s="161"/>
      <c r="H766" s="161"/>
      <c r="I766" s="138"/>
      <c r="J766" s="138"/>
      <c r="K766" s="138"/>
      <c r="L766" s="138"/>
      <c r="M766" s="138"/>
      <c r="N766" s="138"/>
      <c r="O766" s="138"/>
      <c r="P766" s="138"/>
      <c r="Q766" s="138"/>
      <c r="R766" s="138"/>
      <c r="S766" s="138"/>
      <c r="T766" s="138"/>
      <c r="U766" s="138"/>
      <c r="V766" s="138"/>
      <c r="W766" s="138"/>
      <c r="X766" s="138"/>
      <c r="Y766" s="138"/>
      <c r="Z766" s="138"/>
      <c r="AA766" s="138"/>
      <c r="AB766" s="138"/>
      <c r="AC766" s="138"/>
    </row>
    <row r="767">
      <c r="A767" s="161"/>
      <c r="B767" s="161"/>
      <c r="C767" s="138"/>
      <c r="D767" s="160"/>
      <c r="E767" s="161"/>
      <c r="F767" s="161"/>
      <c r="G767" s="161"/>
      <c r="H767" s="161"/>
      <c r="I767" s="138"/>
      <c r="J767" s="138"/>
      <c r="K767" s="138"/>
      <c r="L767" s="138"/>
      <c r="M767" s="138"/>
      <c r="N767" s="138"/>
      <c r="O767" s="138"/>
      <c r="P767" s="138"/>
      <c r="Q767" s="138"/>
      <c r="R767" s="138"/>
      <c r="S767" s="138"/>
      <c r="T767" s="138"/>
      <c r="U767" s="138"/>
      <c r="V767" s="138"/>
      <c r="W767" s="138"/>
      <c r="X767" s="138"/>
      <c r="Y767" s="138"/>
      <c r="Z767" s="138"/>
      <c r="AA767" s="138"/>
      <c r="AB767" s="138"/>
      <c r="AC767" s="138"/>
    </row>
    <row r="768">
      <c r="A768" s="161"/>
      <c r="B768" s="161"/>
      <c r="C768" s="138"/>
      <c r="D768" s="160"/>
      <c r="E768" s="161"/>
      <c r="F768" s="161"/>
      <c r="G768" s="161"/>
      <c r="H768" s="161"/>
      <c r="I768" s="138"/>
      <c r="J768" s="138"/>
      <c r="K768" s="138"/>
      <c r="L768" s="138"/>
      <c r="M768" s="138"/>
      <c r="N768" s="138"/>
      <c r="O768" s="138"/>
      <c r="P768" s="138"/>
      <c r="Q768" s="138"/>
      <c r="R768" s="138"/>
      <c r="S768" s="138"/>
      <c r="T768" s="138"/>
      <c r="U768" s="138"/>
      <c r="V768" s="138"/>
      <c r="W768" s="138"/>
      <c r="X768" s="138"/>
      <c r="Y768" s="138"/>
      <c r="Z768" s="138"/>
      <c r="AA768" s="138"/>
      <c r="AB768" s="138"/>
      <c r="AC768" s="138"/>
    </row>
    <row r="769">
      <c r="A769" s="161"/>
      <c r="B769" s="161"/>
      <c r="C769" s="138"/>
      <c r="D769" s="160"/>
      <c r="E769" s="161"/>
      <c r="F769" s="161"/>
      <c r="G769" s="161"/>
      <c r="H769" s="161"/>
      <c r="I769" s="138"/>
      <c r="J769" s="138"/>
      <c r="K769" s="138"/>
      <c r="L769" s="138"/>
      <c r="M769" s="138"/>
      <c r="N769" s="138"/>
      <c r="O769" s="138"/>
      <c r="P769" s="138"/>
      <c r="Q769" s="138"/>
      <c r="R769" s="138"/>
      <c r="S769" s="138"/>
      <c r="T769" s="138"/>
      <c r="U769" s="138"/>
      <c r="V769" s="138"/>
      <c r="W769" s="138"/>
      <c r="X769" s="138"/>
      <c r="Y769" s="138"/>
      <c r="Z769" s="138"/>
      <c r="AA769" s="138"/>
      <c r="AB769" s="138"/>
      <c r="AC769" s="138"/>
    </row>
    <row r="770">
      <c r="A770" s="161"/>
      <c r="B770" s="161"/>
      <c r="C770" s="138"/>
      <c r="D770" s="160"/>
      <c r="E770" s="161"/>
      <c r="F770" s="161"/>
      <c r="G770" s="161"/>
      <c r="H770" s="161"/>
      <c r="I770" s="138"/>
      <c r="J770" s="138"/>
      <c r="K770" s="138"/>
      <c r="L770" s="138"/>
      <c r="M770" s="138"/>
      <c r="N770" s="138"/>
      <c r="O770" s="138"/>
      <c r="P770" s="138"/>
      <c r="Q770" s="138"/>
      <c r="R770" s="138"/>
      <c r="S770" s="138"/>
      <c r="T770" s="138"/>
      <c r="U770" s="138"/>
      <c r="V770" s="138"/>
      <c r="W770" s="138"/>
      <c r="X770" s="138"/>
      <c r="Y770" s="138"/>
      <c r="Z770" s="138"/>
      <c r="AA770" s="138"/>
      <c r="AB770" s="138"/>
      <c r="AC770" s="138"/>
    </row>
    <row r="771">
      <c r="A771" s="161"/>
      <c r="B771" s="161"/>
      <c r="C771" s="138"/>
      <c r="D771" s="160"/>
      <c r="E771" s="161"/>
      <c r="F771" s="161"/>
      <c r="G771" s="161"/>
      <c r="H771" s="161"/>
      <c r="I771" s="138"/>
      <c r="J771" s="138"/>
      <c r="K771" s="138"/>
      <c r="L771" s="138"/>
      <c r="M771" s="138"/>
      <c r="N771" s="138"/>
      <c r="O771" s="138"/>
      <c r="P771" s="138"/>
      <c r="Q771" s="138"/>
      <c r="R771" s="138"/>
      <c r="S771" s="138"/>
      <c r="T771" s="138"/>
      <c r="U771" s="138"/>
      <c r="V771" s="138"/>
      <c r="W771" s="138"/>
      <c r="X771" s="138"/>
      <c r="Y771" s="138"/>
      <c r="Z771" s="138"/>
      <c r="AA771" s="138"/>
      <c r="AB771" s="138"/>
      <c r="AC771" s="138"/>
    </row>
    <row r="772">
      <c r="A772" s="161"/>
      <c r="B772" s="161"/>
      <c r="C772" s="138"/>
      <c r="D772" s="160"/>
      <c r="E772" s="161"/>
      <c r="F772" s="161"/>
      <c r="G772" s="161"/>
      <c r="H772" s="161"/>
      <c r="I772" s="138"/>
      <c r="J772" s="138"/>
      <c r="K772" s="138"/>
      <c r="L772" s="138"/>
      <c r="M772" s="138"/>
      <c r="N772" s="138"/>
      <c r="O772" s="138"/>
      <c r="P772" s="138"/>
      <c r="Q772" s="138"/>
      <c r="R772" s="138"/>
      <c r="S772" s="138"/>
      <c r="T772" s="138"/>
      <c r="U772" s="138"/>
      <c r="V772" s="138"/>
      <c r="W772" s="138"/>
      <c r="X772" s="138"/>
      <c r="Y772" s="138"/>
      <c r="Z772" s="138"/>
      <c r="AA772" s="138"/>
      <c r="AB772" s="138"/>
      <c r="AC772" s="138"/>
    </row>
    <row r="773">
      <c r="A773" s="161"/>
      <c r="B773" s="161"/>
      <c r="C773" s="138"/>
      <c r="D773" s="160"/>
      <c r="E773" s="161"/>
      <c r="F773" s="161"/>
      <c r="G773" s="161"/>
      <c r="H773" s="161"/>
      <c r="I773" s="138"/>
      <c r="J773" s="138"/>
      <c r="K773" s="138"/>
      <c r="L773" s="138"/>
      <c r="M773" s="138"/>
      <c r="N773" s="138"/>
      <c r="O773" s="138"/>
      <c r="P773" s="138"/>
      <c r="Q773" s="138"/>
      <c r="R773" s="138"/>
      <c r="S773" s="138"/>
      <c r="T773" s="138"/>
      <c r="U773" s="138"/>
      <c r="V773" s="138"/>
      <c r="W773" s="138"/>
      <c r="X773" s="138"/>
      <c r="Y773" s="138"/>
      <c r="Z773" s="138"/>
      <c r="AA773" s="138"/>
      <c r="AB773" s="138"/>
      <c r="AC773" s="138"/>
    </row>
    <row r="774">
      <c r="A774" s="161"/>
      <c r="B774" s="161"/>
      <c r="C774" s="138"/>
      <c r="D774" s="160"/>
      <c r="E774" s="161"/>
      <c r="F774" s="161"/>
      <c r="G774" s="161"/>
      <c r="H774" s="161"/>
      <c r="I774" s="138"/>
      <c r="J774" s="138"/>
      <c r="K774" s="138"/>
      <c r="L774" s="138"/>
      <c r="M774" s="138"/>
      <c r="N774" s="138"/>
      <c r="O774" s="138"/>
      <c r="P774" s="138"/>
      <c r="Q774" s="138"/>
      <c r="R774" s="138"/>
      <c r="S774" s="138"/>
      <c r="T774" s="138"/>
      <c r="U774" s="138"/>
      <c r="V774" s="138"/>
      <c r="W774" s="138"/>
      <c r="X774" s="138"/>
      <c r="Y774" s="138"/>
      <c r="Z774" s="138"/>
      <c r="AA774" s="138"/>
      <c r="AB774" s="138"/>
      <c r="AC774" s="138"/>
    </row>
    <row r="775">
      <c r="A775" s="161"/>
      <c r="B775" s="161"/>
      <c r="C775" s="138"/>
      <c r="D775" s="160"/>
      <c r="E775" s="161"/>
      <c r="F775" s="161"/>
      <c r="G775" s="161"/>
      <c r="H775" s="161"/>
      <c r="I775" s="138"/>
      <c r="J775" s="138"/>
      <c r="K775" s="138"/>
      <c r="L775" s="138"/>
      <c r="M775" s="138"/>
      <c r="N775" s="138"/>
      <c r="O775" s="138"/>
      <c r="P775" s="138"/>
      <c r="Q775" s="138"/>
      <c r="R775" s="138"/>
      <c r="S775" s="138"/>
      <c r="T775" s="138"/>
      <c r="U775" s="138"/>
      <c r="V775" s="138"/>
      <c r="W775" s="138"/>
      <c r="X775" s="138"/>
      <c r="Y775" s="138"/>
      <c r="Z775" s="138"/>
      <c r="AA775" s="138"/>
      <c r="AB775" s="138"/>
      <c r="AC775" s="138"/>
    </row>
    <row r="776">
      <c r="A776" s="161"/>
      <c r="B776" s="161"/>
      <c r="C776" s="138"/>
      <c r="D776" s="160"/>
      <c r="E776" s="161"/>
      <c r="F776" s="161"/>
      <c r="G776" s="161"/>
      <c r="H776" s="161"/>
      <c r="I776" s="138"/>
      <c r="J776" s="138"/>
      <c r="K776" s="138"/>
      <c r="L776" s="138"/>
      <c r="M776" s="138"/>
      <c r="N776" s="138"/>
      <c r="O776" s="138"/>
      <c r="P776" s="138"/>
      <c r="Q776" s="138"/>
      <c r="R776" s="138"/>
      <c r="S776" s="138"/>
      <c r="T776" s="138"/>
      <c r="U776" s="138"/>
      <c r="V776" s="138"/>
      <c r="W776" s="138"/>
      <c r="X776" s="138"/>
      <c r="Y776" s="138"/>
      <c r="Z776" s="138"/>
      <c r="AA776" s="138"/>
      <c r="AB776" s="138"/>
      <c r="AC776" s="138"/>
    </row>
    <row r="777">
      <c r="A777" s="161"/>
      <c r="B777" s="161"/>
      <c r="C777" s="138"/>
      <c r="D777" s="160"/>
      <c r="E777" s="161"/>
      <c r="F777" s="161"/>
      <c r="G777" s="161"/>
      <c r="H777" s="161"/>
      <c r="I777" s="138"/>
      <c r="J777" s="138"/>
      <c r="K777" s="138"/>
      <c r="L777" s="138"/>
      <c r="M777" s="138"/>
      <c r="N777" s="138"/>
      <c r="O777" s="138"/>
      <c r="P777" s="138"/>
      <c r="Q777" s="138"/>
      <c r="R777" s="138"/>
      <c r="S777" s="138"/>
      <c r="T777" s="138"/>
      <c r="U777" s="138"/>
      <c r="V777" s="138"/>
      <c r="W777" s="138"/>
      <c r="X777" s="138"/>
      <c r="Y777" s="138"/>
      <c r="Z777" s="138"/>
      <c r="AA777" s="138"/>
      <c r="AB777" s="138"/>
      <c r="AC777" s="138"/>
    </row>
    <row r="778">
      <c r="A778" s="161"/>
      <c r="B778" s="161"/>
      <c r="C778" s="138"/>
      <c r="D778" s="160"/>
      <c r="E778" s="161"/>
      <c r="F778" s="161"/>
      <c r="G778" s="161"/>
      <c r="H778" s="161"/>
      <c r="I778" s="138"/>
      <c r="J778" s="138"/>
      <c r="K778" s="138"/>
      <c r="L778" s="138"/>
      <c r="M778" s="138"/>
      <c r="N778" s="138"/>
      <c r="O778" s="138"/>
      <c r="P778" s="138"/>
      <c r="Q778" s="138"/>
      <c r="R778" s="138"/>
      <c r="S778" s="138"/>
      <c r="T778" s="138"/>
      <c r="U778" s="138"/>
      <c r="V778" s="138"/>
      <c r="W778" s="138"/>
      <c r="X778" s="138"/>
      <c r="Y778" s="138"/>
      <c r="Z778" s="138"/>
      <c r="AA778" s="138"/>
      <c r="AB778" s="138"/>
      <c r="AC778" s="138"/>
    </row>
    <row r="779">
      <c r="A779" s="161"/>
      <c r="B779" s="161"/>
      <c r="C779" s="138"/>
      <c r="D779" s="160"/>
      <c r="E779" s="161"/>
      <c r="F779" s="161"/>
      <c r="G779" s="161"/>
      <c r="H779" s="161"/>
      <c r="I779" s="138"/>
      <c r="J779" s="138"/>
      <c r="K779" s="138"/>
      <c r="L779" s="138"/>
      <c r="M779" s="138"/>
      <c r="N779" s="138"/>
      <c r="O779" s="138"/>
      <c r="P779" s="138"/>
      <c r="Q779" s="138"/>
      <c r="R779" s="138"/>
      <c r="S779" s="138"/>
      <c r="T779" s="138"/>
      <c r="U779" s="138"/>
      <c r="V779" s="138"/>
      <c r="W779" s="138"/>
      <c r="X779" s="138"/>
      <c r="Y779" s="138"/>
      <c r="Z779" s="138"/>
      <c r="AA779" s="138"/>
      <c r="AB779" s="138"/>
      <c r="AC779" s="138"/>
    </row>
    <row r="780">
      <c r="A780" s="161"/>
      <c r="B780" s="161"/>
      <c r="C780" s="138"/>
      <c r="D780" s="160"/>
      <c r="E780" s="161"/>
      <c r="F780" s="161"/>
      <c r="G780" s="161"/>
      <c r="H780" s="161"/>
      <c r="I780" s="138"/>
      <c r="J780" s="138"/>
      <c r="K780" s="138"/>
      <c r="L780" s="138"/>
      <c r="M780" s="138"/>
      <c r="N780" s="138"/>
      <c r="O780" s="138"/>
      <c r="P780" s="138"/>
      <c r="Q780" s="138"/>
      <c r="R780" s="138"/>
      <c r="S780" s="138"/>
      <c r="T780" s="138"/>
      <c r="U780" s="138"/>
      <c r="V780" s="138"/>
      <c r="W780" s="138"/>
      <c r="X780" s="138"/>
      <c r="Y780" s="138"/>
      <c r="Z780" s="138"/>
      <c r="AA780" s="138"/>
      <c r="AB780" s="138"/>
      <c r="AC780" s="138"/>
    </row>
    <row r="781">
      <c r="A781" s="161"/>
      <c r="B781" s="161"/>
      <c r="C781" s="138"/>
      <c r="D781" s="160"/>
      <c r="E781" s="161"/>
      <c r="F781" s="161"/>
      <c r="G781" s="161"/>
      <c r="H781" s="161"/>
      <c r="I781" s="138"/>
      <c r="J781" s="138"/>
      <c r="K781" s="138"/>
      <c r="L781" s="138"/>
      <c r="M781" s="138"/>
      <c r="N781" s="138"/>
      <c r="O781" s="138"/>
      <c r="P781" s="138"/>
      <c r="Q781" s="138"/>
      <c r="R781" s="138"/>
      <c r="S781" s="138"/>
      <c r="T781" s="138"/>
      <c r="U781" s="138"/>
      <c r="V781" s="138"/>
      <c r="W781" s="138"/>
      <c r="X781" s="138"/>
      <c r="Y781" s="138"/>
      <c r="Z781" s="138"/>
      <c r="AA781" s="138"/>
      <c r="AB781" s="138"/>
      <c r="AC781" s="138"/>
    </row>
    <row r="782">
      <c r="A782" s="161"/>
      <c r="B782" s="161"/>
      <c r="C782" s="138"/>
      <c r="D782" s="160"/>
      <c r="E782" s="161"/>
      <c r="F782" s="161"/>
      <c r="G782" s="161"/>
      <c r="H782" s="161"/>
      <c r="I782" s="138"/>
      <c r="J782" s="138"/>
      <c r="K782" s="138"/>
      <c r="L782" s="138"/>
      <c r="M782" s="138"/>
      <c r="N782" s="138"/>
      <c r="O782" s="138"/>
      <c r="P782" s="138"/>
      <c r="Q782" s="138"/>
      <c r="R782" s="138"/>
      <c r="S782" s="138"/>
      <c r="T782" s="138"/>
      <c r="U782" s="138"/>
      <c r="V782" s="138"/>
      <c r="W782" s="138"/>
      <c r="X782" s="138"/>
      <c r="Y782" s="138"/>
      <c r="Z782" s="138"/>
      <c r="AA782" s="138"/>
      <c r="AB782" s="138"/>
      <c r="AC782" s="138"/>
    </row>
    <row r="783">
      <c r="A783" s="161"/>
      <c r="B783" s="161"/>
      <c r="C783" s="138"/>
      <c r="D783" s="160"/>
      <c r="E783" s="161"/>
      <c r="F783" s="161"/>
      <c r="G783" s="161"/>
      <c r="H783" s="161"/>
      <c r="I783" s="138"/>
      <c r="J783" s="138"/>
      <c r="K783" s="138"/>
      <c r="L783" s="138"/>
      <c r="M783" s="138"/>
      <c r="N783" s="138"/>
      <c r="O783" s="138"/>
      <c r="P783" s="138"/>
      <c r="Q783" s="138"/>
      <c r="R783" s="138"/>
      <c r="S783" s="138"/>
      <c r="T783" s="138"/>
      <c r="U783" s="138"/>
      <c r="V783" s="138"/>
      <c r="W783" s="138"/>
      <c r="X783" s="138"/>
      <c r="Y783" s="138"/>
      <c r="Z783" s="138"/>
      <c r="AA783" s="138"/>
      <c r="AB783" s="138"/>
      <c r="AC783" s="138"/>
    </row>
    <row r="784">
      <c r="A784" s="161"/>
      <c r="B784" s="161"/>
      <c r="C784" s="138"/>
      <c r="D784" s="160"/>
      <c r="E784" s="161"/>
      <c r="F784" s="161"/>
      <c r="G784" s="161"/>
      <c r="H784" s="161"/>
      <c r="I784" s="138"/>
      <c r="J784" s="138"/>
      <c r="K784" s="138"/>
      <c r="L784" s="138"/>
      <c r="M784" s="138"/>
      <c r="N784" s="138"/>
      <c r="O784" s="138"/>
      <c r="P784" s="138"/>
      <c r="Q784" s="138"/>
      <c r="R784" s="138"/>
      <c r="S784" s="138"/>
      <c r="T784" s="138"/>
      <c r="U784" s="138"/>
      <c r="V784" s="138"/>
      <c r="W784" s="138"/>
      <c r="X784" s="138"/>
      <c r="Y784" s="138"/>
      <c r="Z784" s="138"/>
      <c r="AA784" s="138"/>
      <c r="AB784" s="138"/>
      <c r="AC784" s="138"/>
    </row>
    <row r="785">
      <c r="A785" s="161"/>
      <c r="B785" s="161"/>
      <c r="C785" s="138"/>
      <c r="D785" s="160"/>
      <c r="E785" s="161"/>
      <c r="F785" s="161"/>
      <c r="G785" s="161"/>
      <c r="H785" s="161"/>
      <c r="I785" s="138"/>
      <c r="J785" s="138"/>
      <c r="K785" s="138"/>
      <c r="L785" s="138"/>
      <c r="M785" s="138"/>
      <c r="N785" s="138"/>
      <c r="O785" s="138"/>
      <c r="P785" s="138"/>
      <c r="Q785" s="138"/>
      <c r="R785" s="138"/>
      <c r="S785" s="138"/>
      <c r="T785" s="138"/>
      <c r="U785" s="138"/>
      <c r="V785" s="138"/>
      <c r="W785" s="138"/>
      <c r="X785" s="138"/>
      <c r="Y785" s="138"/>
      <c r="Z785" s="138"/>
      <c r="AA785" s="138"/>
      <c r="AB785" s="138"/>
      <c r="AC785" s="138"/>
    </row>
    <row r="786">
      <c r="A786" s="161"/>
      <c r="B786" s="161"/>
      <c r="C786" s="138"/>
      <c r="D786" s="160"/>
      <c r="E786" s="161"/>
      <c r="F786" s="161"/>
      <c r="G786" s="161"/>
      <c r="H786" s="161"/>
      <c r="I786" s="138"/>
      <c r="J786" s="138"/>
      <c r="K786" s="138"/>
      <c r="L786" s="138"/>
      <c r="M786" s="138"/>
      <c r="N786" s="138"/>
      <c r="O786" s="138"/>
      <c r="P786" s="138"/>
      <c r="Q786" s="138"/>
      <c r="R786" s="138"/>
      <c r="S786" s="138"/>
      <c r="T786" s="138"/>
      <c r="U786" s="138"/>
      <c r="V786" s="138"/>
      <c r="W786" s="138"/>
      <c r="X786" s="138"/>
      <c r="Y786" s="138"/>
      <c r="Z786" s="138"/>
      <c r="AA786" s="138"/>
      <c r="AB786" s="138"/>
      <c r="AC786" s="138"/>
    </row>
    <row r="787">
      <c r="A787" s="161"/>
      <c r="B787" s="161"/>
      <c r="C787" s="138"/>
      <c r="D787" s="160"/>
      <c r="E787" s="161"/>
      <c r="F787" s="161"/>
      <c r="G787" s="161"/>
      <c r="H787" s="161"/>
      <c r="I787" s="138"/>
      <c r="J787" s="138"/>
      <c r="K787" s="138"/>
      <c r="L787" s="138"/>
      <c r="M787" s="138"/>
      <c r="N787" s="138"/>
      <c r="O787" s="138"/>
      <c r="P787" s="138"/>
      <c r="Q787" s="138"/>
      <c r="R787" s="138"/>
      <c r="S787" s="138"/>
      <c r="T787" s="138"/>
      <c r="U787" s="138"/>
      <c r="V787" s="138"/>
      <c r="W787" s="138"/>
      <c r="X787" s="138"/>
      <c r="Y787" s="138"/>
      <c r="Z787" s="138"/>
      <c r="AA787" s="138"/>
      <c r="AB787" s="138"/>
      <c r="AC787" s="138"/>
    </row>
    <row r="788">
      <c r="A788" s="161"/>
      <c r="B788" s="161"/>
      <c r="C788" s="138"/>
      <c r="D788" s="160"/>
      <c r="E788" s="161"/>
      <c r="F788" s="161"/>
      <c r="G788" s="161"/>
      <c r="H788" s="161"/>
      <c r="I788" s="138"/>
      <c r="J788" s="138"/>
      <c r="K788" s="138"/>
      <c r="L788" s="138"/>
      <c r="M788" s="138"/>
      <c r="N788" s="138"/>
      <c r="O788" s="138"/>
      <c r="P788" s="138"/>
      <c r="Q788" s="138"/>
      <c r="R788" s="138"/>
      <c r="S788" s="138"/>
      <c r="T788" s="138"/>
      <c r="U788" s="138"/>
      <c r="V788" s="138"/>
      <c r="W788" s="138"/>
      <c r="X788" s="138"/>
      <c r="Y788" s="138"/>
      <c r="Z788" s="138"/>
      <c r="AA788" s="138"/>
      <c r="AB788" s="138"/>
      <c r="AC788" s="138"/>
    </row>
    <row r="789">
      <c r="A789" s="161"/>
      <c r="B789" s="161"/>
      <c r="C789" s="138"/>
      <c r="D789" s="160"/>
      <c r="E789" s="161"/>
      <c r="F789" s="161"/>
      <c r="G789" s="161"/>
      <c r="H789" s="161"/>
      <c r="I789" s="138"/>
      <c r="J789" s="138"/>
      <c r="K789" s="138"/>
      <c r="L789" s="138"/>
      <c r="M789" s="138"/>
      <c r="N789" s="138"/>
      <c r="O789" s="138"/>
      <c r="P789" s="138"/>
      <c r="Q789" s="138"/>
      <c r="R789" s="138"/>
      <c r="S789" s="138"/>
      <c r="T789" s="138"/>
      <c r="U789" s="138"/>
      <c r="V789" s="138"/>
      <c r="W789" s="138"/>
      <c r="X789" s="138"/>
      <c r="Y789" s="138"/>
      <c r="Z789" s="138"/>
      <c r="AA789" s="138"/>
      <c r="AB789" s="138"/>
      <c r="AC789" s="138"/>
    </row>
    <row r="790">
      <c r="A790" s="161"/>
      <c r="B790" s="161"/>
      <c r="C790" s="138"/>
      <c r="D790" s="160"/>
      <c r="E790" s="161"/>
      <c r="F790" s="161"/>
      <c r="G790" s="161"/>
      <c r="H790" s="161"/>
      <c r="I790" s="138"/>
      <c r="J790" s="138"/>
      <c r="K790" s="138"/>
      <c r="L790" s="138"/>
      <c r="M790" s="138"/>
      <c r="N790" s="138"/>
      <c r="O790" s="138"/>
      <c r="P790" s="138"/>
      <c r="Q790" s="138"/>
      <c r="R790" s="138"/>
      <c r="S790" s="138"/>
      <c r="T790" s="138"/>
      <c r="U790" s="138"/>
      <c r="V790" s="138"/>
      <c r="W790" s="138"/>
      <c r="X790" s="138"/>
      <c r="Y790" s="138"/>
      <c r="Z790" s="138"/>
      <c r="AA790" s="138"/>
      <c r="AB790" s="138"/>
      <c r="AC790" s="138"/>
    </row>
    <row r="791">
      <c r="A791" s="161"/>
      <c r="B791" s="161"/>
      <c r="C791" s="138"/>
      <c r="D791" s="160"/>
      <c r="E791" s="161"/>
      <c r="F791" s="161"/>
      <c r="G791" s="161"/>
      <c r="H791" s="161"/>
      <c r="I791" s="138"/>
      <c r="J791" s="138"/>
      <c r="K791" s="138"/>
      <c r="L791" s="138"/>
      <c r="M791" s="138"/>
      <c r="N791" s="138"/>
      <c r="O791" s="138"/>
      <c r="P791" s="138"/>
      <c r="Q791" s="138"/>
      <c r="R791" s="138"/>
      <c r="S791" s="138"/>
      <c r="T791" s="138"/>
      <c r="U791" s="138"/>
      <c r="V791" s="138"/>
      <c r="W791" s="138"/>
      <c r="X791" s="138"/>
      <c r="Y791" s="138"/>
      <c r="Z791" s="138"/>
      <c r="AA791" s="138"/>
      <c r="AB791" s="138"/>
      <c r="AC791" s="138"/>
    </row>
    <row r="792">
      <c r="A792" s="161"/>
      <c r="B792" s="161"/>
      <c r="C792" s="138"/>
      <c r="D792" s="160"/>
      <c r="E792" s="161"/>
      <c r="F792" s="161"/>
      <c r="G792" s="161"/>
      <c r="H792" s="161"/>
      <c r="I792" s="138"/>
      <c r="J792" s="138"/>
      <c r="K792" s="138"/>
      <c r="L792" s="138"/>
      <c r="M792" s="138"/>
      <c r="N792" s="138"/>
      <c r="O792" s="138"/>
      <c r="P792" s="138"/>
      <c r="Q792" s="138"/>
      <c r="R792" s="138"/>
      <c r="S792" s="138"/>
      <c r="T792" s="138"/>
      <c r="U792" s="138"/>
      <c r="V792" s="138"/>
      <c r="W792" s="138"/>
      <c r="X792" s="138"/>
      <c r="Y792" s="138"/>
      <c r="Z792" s="138"/>
      <c r="AA792" s="138"/>
      <c r="AB792" s="138"/>
      <c r="AC792" s="138"/>
    </row>
    <row r="793">
      <c r="A793" s="161"/>
      <c r="B793" s="161"/>
      <c r="C793" s="138"/>
      <c r="D793" s="160"/>
      <c r="E793" s="161"/>
      <c r="F793" s="161"/>
      <c r="G793" s="161"/>
      <c r="H793" s="161"/>
      <c r="I793" s="138"/>
      <c r="J793" s="138"/>
      <c r="K793" s="138"/>
      <c r="L793" s="138"/>
      <c r="M793" s="138"/>
      <c r="N793" s="138"/>
      <c r="O793" s="138"/>
      <c r="P793" s="138"/>
      <c r="Q793" s="138"/>
      <c r="R793" s="138"/>
      <c r="S793" s="138"/>
      <c r="T793" s="138"/>
      <c r="U793" s="138"/>
      <c r="V793" s="138"/>
      <c r="W793" s="138"/>
      <c r="X793" s="138"/>
      <c r="Y793" s="138"/>
      <c r="Z793" s="138"/>
      <c r="AA793" s="138"/>
      <c r="AB793" s="138"/>
      <c r="AC793" s="138"/>
    </row>
    <row r="794">
      <c r="A794" s="161"/>
      <c r="B794" s="161"/>
      <c r="C794" s="138"/>
      <c r="D794" s="160"/>
      <c r="E794" s="161"/>
      <c r="F794" s="161"/>
      <c r="G794" s="161"/>
      <c r="H794" s="161"/>
      <c r="I794" s="138"/>
      <c r="J794" s="138"/>
      <c r="K794" s="138"/>
      <c r="L794" s="138"/>
      <c r="M794" s="138"/>
      <c r="N794" s="138"/>
      <c r="O794" s="138"/>
      <c r="P794" s="138"/>
      <c r="Q794" s="138"/>
      <c r="R794" s="138"/>
      <c r="S794" s="138"/>
      <c r="T794" s="138"/>
      <c r="U794" s="138"/>
      <c r="V794" s="138"/>
      <c r="W794" s="138"/>
      <c r="X794" s="138"/>
      <c r="Y794" s="138"/>
      <c r="Z794" s="138"/>
      <c r="AA794" s="138"/>
      <c r="AB794" s="138"/>
      <c r="AC794" s="138"/>
    </row>
    <row r="795">
      <c r="A795" s="161"/>
      <c r="B795" s="161"/>
      <c r="C795" s="138"/>
      <c r="D795" s="160"/>
      <c r="E795" s="161"/>
      <c r="F795" s="161"/>
      <c r="G795" s="161"/>
      <c r="H795" s="161"/>
      <c r="I795" s="138"/>
      <c r="J795" s="138"/>
      <c r="K795" s="138"/>
      <c r="L795" s="138"/>
      <c r="M795" s="138"/>
      <c r="N795" s="138"/>
      <c r="O795" s="138"/>
      <c r="P795" s="138"/>
      <c r="Q795" s="138"/>
      <c r="R795" s="138"/>
      <c r="S795" s="138"/>
      <c r="T795" s="138"/>
      <c r="U795" s="138"/>
      <c r="V795" s="138"/>
      <c r="W795" s="138"/>
      <c r="X795" s="138"/>
      <c r="Y795" s="138"/>
      <c r="Z795" s="138"/>
      <c r="AA795" s="138"/>
      <c r="AB795" s="138"/>
      <c r="AC795" s="138"/>
    </row>
    <row r="796">
      <c r="A796" s="161"/>
      <c r="B796" s="161"/>
      <c r="C796" s="138"/>
      <c r="D796" s="160"/>
      <c r="E796" s="161"/>
      <c r="F796" s="161"/>
      <c r="G796" s="161"/>
      <c r="H796" s="161"/>
      <c r="I796" s="138"/>
      <c r="J796" s="138"/>
      <c r="K796" s="138"/>
      <c r="L796" s="138"/>
      <c r="M796" s="138"/>
      <c r="N796" s="138"/>
      <c r="O796" s="138"/>
      <c r="P796" s="138"/>
      <c r="Q796" s="138"/>
      <c r="R796" s="138"/>
      <c r="S796" s="138"/>
      <c r="T796" s="138"/>
      <c r="U796" s="138"/>
      <c r="V796" s="138"/>
      <c r="W796" s="138"/>
      <c r="X796" s="138"/>
      <c r="Y796" s="138"/>
      <c r="Z796" s="138"/>
      <c r="AA796" s="138"/>
      <c r="AB796" s="138"/>
      <c r="AC796" s="138"/>
    </row>
    <row r="797">
      <c r="A797" s="161"/>
      <c r="B797" s="161"/>
      <c r="C797" s="138"/>
      <c r="D797" s="160"/>
      <c r="E797" s="161"/>
      <c r="F797" s="161"/>
      <c r="G797" s="161"/>
      <c r="H797" s="161"/>
      <c r="I797" s="138"/>
      <c r="J797" s="138"/>
      <c r="K797" s="138"/>
      <c r="L797" s="138"/>
      <c r="M797" s="138"/>
      <c r="N797" s="138"/>
      <c r="O797" s="138"/>
      <c r="P797" s="138"/>
      <c r="Q797" s="138"/>
      <c r="R797" s="138"/>
      <c r="S797" s="138"/>
      <c r="T797" s="138"/>
      <c r="U797" s="138"/>
      <c r="V797" s="138"/>
      <c r="W797" s="138"/>
      <c r="X797" s="138"/>
      <c r="Y797" s="138"/>
      <c r="Z797" s="138"/>
      <c r="AA797" s="138"/>
      <c r="AB797" s="138"/>
      <c r="AC797" s="138"/>
    </row>
    <row r="798">
      <c r="A798" s="161"/>
      <c r="B798" s="161"/>
      <c r="C798" s="138"/>
      <c r="D798" s="160"/>
      <c r="E798" s="161"/>
      <c r="F798" s="161"/>
      <c r="G798" s="161"/>
      <c r="H798" s="161"/>
      <c r="I798" s="138"/>
      <c r="J798" s="138"/>
      <c r="K798" s="138"/>
      <c r="L798" s="138"/>
      <c r="M798" s="138"/>
      <c r="N798" s="138"/>
      <c r="O798" s="138"/>
      <c r="P798" s="138"/>
      <c r="Q798" s="138"/>
      <c r="R798" s="138"/>
      <c r="S798" s="138"/>
      <c r="T798" s="138"/>
      <c r="U798" s="138"/>
      <c r="V798" s="138"/>
      <c r="W798" s="138"/>
      <c r="X798" s="138"/>
      <c r="Y798" s="138"/>
      <c r="Z798" s="138"/>
      <c r="AA798" s="138"/>
      <c r="AB798" s="138"/>
      <c r="AC798" s="138"/>
    </row>
    <row r="799">
      <c r="A799" s="161"/>
      <c r="B799" s="161"/>
      <c r="C799" s="138"/>
      <c r="D799" s="160"/>
      <c r="E799" s="161"/>
      <c r="F799" s="161"/>
      <c r="G799" s="161"/>
      <c r="H799" s="161"/>
      <c r="I799" s="138"/>
      <c r="J799" s="138"/>
      <c r="K799" s="138"/>
      <c r="L799" s="138"/>
      <c r="M799" s="138"/>
      <c r="N799" s="138"/>
      <c r="O799" s="138"/>
      <c r="P799" s="138"/>
      <c r="Q799" s="138"/>
      <c r="R799" s="138"/>
      <c r="S799" s="138"/>
      <c r="T799" s="138"/>
      <c r="U799" s="138"/>
      <c r="V799" s="138"/>
      <c r="W799" s="138"/>
      <c r="X799" s="138"/>
      <c r="Y799" s="138"/>
      <c r="Z799" s="138"/>
      <c r="AA799" s="138"/>
      <c r="AB799" s="138"/>
      <c r="AC799" s="138"/>
    </row>
    <row r="800">
      <c r="A800" s="161"/>
      <c r="B800" s="161"/>
      <c r="C800" s="138"/>
      <c r="D800" s="160"/>
      <c r="E800" s="161"/>
      <c r="F800" s="161"/>
      <c r="G800" s="161"/>
      <c r="H800" s="161"/>
      <c r="I800" s="138"/>
      <c r="J800" s="138"/>
      <c r="K800" s="138"/>
      <c r="L800" s="138"/>
      <c r="M800" s="138"/>
      <c r="N800" s="138"/>
      <c r="O800" s="138"/>
      <c r="P800" s="138"/>
      <c r="Q800" s="138"/>
      <c r="R800" s="138"/>
      <c r="S800" s="138"/>
      <c r="T800" s="138"/>
      <c r="U800" s="138"/>
      <c r="V800" s="138"/>
      <c r="W800" s="138"/>
      <c r="X800" s="138"/>
      <c r="Y800" s="138"/>
      <c r="Z800" s="138"/>
      <c r="AA800" s="138"/>
      <c r="AB800" s="138"/>
      <c r="AC800" s="138"/>
    </row>
    <row r="801">
      <c r="A801" s="161"/>
      <c r="B801" s="161"/>
      <c r="C801" s="138"/>
      <c r="D801" s="160"/>
      <c r="E801" s="161"/>
      <c r="F801" s="161"/>
      <c r="G801" s="161"/>
      <c r="H801" s="161"/>
      <c r="I801" s="138"/>
      <c r="J801" s="138"/>
      <c r="K801" s="138"/>
      <c r="L801" s="138"/>
      <c r="M801" s="138"/>
      <c r="N801" s="138"/>
      <c r="O801" s="138"/>
      <c r="P801" s="138"/>
      <c r="Q801" s="138"/>
      <c r="R801" s="138"/>
      <c r="S801" s="138"/>
      <c r="T801" s="138"/>
      <c r="U801" s="138"/>
      <c r="V801" s="138"/>
      <c r="W801" s="138"/>
      <c r="X801" s="138"/>
      <c r="Y801" s="138"/>
      <c r="Z801" s="138"/>
      <c r="AA801" s="138"/>
      <c r="AB801" s="138"/>
      <c r="AC801" s="138"/>
    </row>
    <row r="802">
      <c r="A802" s="161"/>
      <c r="B802" s="161"/>
      <c r="C802" s="138"/>
      <c r="D802" s="160"/>
      <c r="E802" s="161"/>
      <c r="F802" s="161"/>
      <c r="G802" s="161"/>
      <c r="H802" s="161"/>
      <c r="I802" s="138"/>
      <c r="J802" s="138"/>
      <c r="K802" s="138"/>
      <c r="L802" s="138"/>
      <c r="M802" s="138"/>
      <c r="N802" s="138"/>
      <c r="O802" s="138"/>
      <c r="P802" s="138"/>
      <c r="Q802" s="138"/>
      <c r="R802" s="138"/>
      <c r="S802" s="138"/>
      <c r="T802" s="138"/>
      <c r="U802" s="138"/>
      <c r="V802" s="138"/>
      <c r="W802" s="138"/>
      <c r="X802" s="138"/>
      <c r="Y802" s="138"/>
      <c r="Z802" s="138"/>
      <c r="AA802" s="138"/>
      <c r="AB802" s="138"/>
      <c r="AC802" s="138"/>
    </row>
    <row r="803">
      <c r="A803" s="161"/>
      <c r="B803" s="161"/>
      <c r="C803" s="138"/>
      <c r="D803" s="160"/>
      <c r="E803" s="161"/>
      <c r="F803" s="161"/>
      <c r="G803" s="161"/>
      <c r="H803" s="161"/>
      <c r="I803" s="138"/>
      <c r="J803" s="138"/>
      <c r="K803" s="138"/>
      <c r="L803" s="138"/>
      <c r="M803" s="138"/>
      <c r="N803" s="138"/>
      <c r="O803" s="138"/>
      <c r="P803" s="138"/>
      <c r="Q803" s="138"/>
      <c r="R803" s="138"/>
      <c r="S803" s="138"/>
      <c r="T803" s="138"/>
      <c r="U803" s="138"/>
      <c r="V803" s="138"/>
      <c r="W803" s="138"/>
      <c r="X803" s="138"/>
      <c r="Y803" s="138"/>
      <c r="Z803" s="138"/>
      <c r="AA803" s="138"/>
      <c r="AB803" s="138"/>
      <c r="AC803" s="138"/>
    </row>
    <row r="804">
      <c r="A804" s="161"/>
      <c r="B804" s="161"/>
      <c r="C804" s="138"/>
      <c r="D804" s="160"/>
      <c r="E804" s="161"/>
      <c r="F804" s="161"/>
      <c r="G804" s="161"/>
      <c r="H804" s="161"/>
      <c r="I804" s="138"/>
      <c r="J804" s="138"/>
      <c r="K804" s="138"/>
      <c r="L804" s="138"/>
      <c r="M804" s="138"/>
      <c r="N804" s="138"/>
      <c r="O804" s="138"/>
      <c r="P804" s="138"/>
      <c r="Q804" s="138"/>
      <c r="R804" s="138"/>
      <c r="S804" s="138"/>
      <c r="T804" s="138"/>
      <c r="U804" s="138"/>
      <c r="V804" s="138"/>
      <c r="W804" s="138"/>
      <c r="X804" s="138"/>
      <c r="Y804" s="138"/>
      <c r="Z804" s="138"/>
      <c r="AA804" s="138"/>
      <c r="AB804" s="138"/>
      <c r="AC804" s="138"/>
    </row>
    <row r="805">
      <c r="A805" s="161"/>
      <c r="B805" s="161"/>
      <c r="C805" s="138"/>
      <c r="D805" s="160"/>
      <c r="E805" s="161"/>
      <c r="F805" s="161"/>
      <c r="G805" s="161"/>
      <c r="H805" s="161"/>
      <c r="I805" s="138"/>
      <c r="J805" s="138"/>
      <c r="K805" s="138"/>
      <c r="L805" s="138"/>
      <c r="M805" s="138"/>
      <c r="N805" s="138"/>
      <c r="O805" s="138"/>
      <c r="P805" s="138"/>
      <c r="Q805" s="138"/>
      <c r="R805" s="138"/>
      <c r="S805" s="138"/>
      <c r="T805" s="138"/>
      <c r="U805" s="138"/>
      <c r="V805" s="138"/>
      <c r="W805" s="138"/>
      <c r="X805" s="138"/>
      <c r="Y805" s="138"/>
      <c r="Z805" s="138"/>
      <c r="AA805" s="138"/>
      <c r="AB805" s="138"/>
      <c r="AC805" s="138"/>
    </row>
    <row r="806">
      <c r="A806" s="161"/>
      <c r="B806" s="161"/>
      <c r="C806" s="138"/>
      <c r="D806" s="160"/>
      <c r="E806" s="161"/>
      <c r="F806" s="161"/>
      <c r="G806" s="161"/>
      <c r="H806" s="161"/>
      <c r="I806" s="138"/>
      <c r="J806" s="138"/>
      <c r="K806" s="138"/>
      <c r="L806" s="138"/>
      <c r="M806" s="138"/>
      <c r="N806" s="138"/>
      <c r="O806" s="138"/>
      <c r="P806" s="138"/>
      <c r="Q806" s="138"/>
      <c r="R806" s="138"/>
      <c r="S806" s="138"/>
      <c r="T806" s="138"/>
      <c r="U806" s="138"/>
      <c r="V806" s="138"/>
      <c r="W806" s="138"/>
      <c r="X806" s="138"/>
      <c r="Y806" s="138"/>
      <c r="Z806" s="138"/>
      <c r="AA806" s="138"/>
      <c r="AB806" s="138"/>
      <c r="AC806" s="138"/>
    </row>
    <row r="807">
      <c r="A807" s="161"/>
      <c r="B807" s="161"/>
      <c r="C807" s="138"/>
      <c r="D807" s="160"/>
      <c r="E807" s="161"/>
      <c r="F807" s="161"/>
      <c r="G807" s="161"/>
      <c r="H807" s="161"/>
      <c r="I807" s="138"/>
      <c r="J807" s="138"/>
      <c r="K807" s="138"/>
      <c r="L807" s="138"/>
      <c r="M807" s="138"/>
      <c r="N807" s="138"/>
      <c r="O807" s="138"/>
      <c r="P807" s="138"/>
      <c r="Q807" s="138"/>
      <c r="R807" s="138"/>
      <c r="S807" s="138"/>
      <c r="T807" s="138"/>
      <c r="U807" s="138"/>
      <c r="V807" s="138"/>
      <c r="W807" s="138"/>
      <c r="X807" s="138"/>
      <c r="Y807" s="138"/>
      <c r="Z807" s="138"/>
      <c r="AA807" s="138"/>
      <c r="AB807" s="138"/>
      <c r="AC807" s="138"/>
    </row>
    <row r="808">
      <c r="A808" s="161"/>
      <c r="B808" s="161"/>
      <c r="C808" s="138"/>
      <c r="D808" s="160"/>
      <c r="E808" s="161"/>
      <c r="F808" s="161"/>
      <c r="G808" s="161"/>
      <c r="H808" s="161"/>
      <c r="I808" s="138"/>
      <c r="J808" s="138"/>
      <c r="K808" s="138"/>
      <c r="L808" s="138"/>
      <c r="M808" s="138"/>
      <c r="N808" s="138"/>
      <c r="O808" s="138"/>
      <c r="P808" s="138"/>
      <c r="Q808" s="138"/>
      <c r="R808" s="138"/>
      <c r="S808" s="138"/>
      <c r="T808" s="138"/>
      <c r="U808" s="138"/>
      <c r="V808" s="138"/>
      <c r="W808" s="138"/>
      <c r="X808" s="138"/>
      <c r="Y808" s="138"/>
      <c r="Z808" s="138"/>
      <c r="AA808" s="138"/>
      <c r="AB808" s="138"/>
      <c r="AC808" s="138"/>
    </row>
    <row r="809">
      <c r="A809" s="161"/>
      <c r="B809" s="161"/>
      <c r="C809" s="138"/>
      <c r="D809" s="160"/>
      <c r="E809" s="161"/>
      <c r="F809" s="161"/>
      <c r="G809" s="161"/>
      <c r="H809" s="161"/>
      <c r="I809" s="138"/>
      <c r="J809" s="138"/>
      <c r="K809" s="138"/>
      <c r="L809" s="138"/>
      <c r="M809" s="138"/>
      <c r="N809" s="138"/>
      <c r="O809" s="138"/>
      <c r="P809" s="138"/>
      <c r="Q809" s="138"/>
      <c r="R809" s="138"/>
      <c r="S809" s="138"/>
      <c r="T809" s="138"/>
      <c r="U809" s="138"/>
      <c r="V809" s="138"/>
      <c r="W809" s="138"/>
      <c r="X809" s="138"/>
      <c r="Y809" s="138"/>
      <c r="Z809" s="138"/>
      <c r="AA809" s="138"/>
      <c r="AB809" s="138"/>
      <c r="AC809" s="138"/>
    </row>
    <row r="810">
      <c r="A810" s="161"/>
      <c r="B810" s="161"/>
      <c r="C810" s="138"/>
      <c r="D810" s="160"/>
      <c r="E810" s="161"/>
      <c r="F810" s="161"/>
      <c r="G810" s="161"/>
      <c r="H810" s="161"/>
      <c r="I810" s="138"/>
      <c r="J810" s="138"/>
      <c r="K810" s="138"/>
      <c r="L810" s="138"/>
      <c r="M810" s="138"/>
      <c r="N810" s="138"/>
      <c r="O810" s="138"/>
      <c r="P810" s="138"/>
      <c r="Q810" s="138"/>
      <c r="R810" s="138"/>
      <c r="S810" s="138"/>
      <c r="T810" s="138"/>
      <c r="U810" s="138"/>
      <c r="V810" s="138"/>
      <c r="W810" s="138"/>
      <c r="X810" s="138"/>
      <c r="Y810" s="138"/>
      <c r="Z810" s="138"/>
      <c r="AA810" s="138"/>
      <c r="AB810" s="138"/>
      <c r="AC810" s="138"/>
    </row>
    <row r="811">
      <c r="A811" s="161"/>
      <c r="B811" s="161"/>
      <c r="C811" s="138"/>
      <c r="D811" s="160"/>
      <c r="E811" s="161"/>
      <c r="F811" s="161"/>
      <c r="G811" s="161"/>
      <c r="H811" s="161"/>
      <c r="I811" s="138"/>
      <c r="J811" s="138"/>
      <c r="K811" s="138"/>
      <c r="L811" s="138"/>
      <c r="M811" s="138"/>
      <c r="N811" s="138"/>
      <c r="O811" s="138"/>
      <c r="P811" s="138"/>
      <c r="Q811" s="138"/>
      <c r="R811" s="138"/>
      <c r="S811" s="138"/>
      <c r="T811" s="138"/>
      <c r="U811" s="138"/>
      <c r="V811" s="138"/>
      <c r="W811" s="138"/>
      <c r="X811" s="138"/>
      <c r="Y811" s="138"/>
      <c r="Z811" s="138"/>
      <c r="AA811" s="138"/>
      <c r="AB811" s="138"/>
      <c r="AC811" s="138"/>
    </row>
    <row r="812">
      <c r="A812" s="161"/>
      <c r="B812" s="161"/>
      <c r="C812" s="138"/>
      <c r="D812" s="160"/>
      <c r="E812" s="161"/>
      <c r="F812" s="161"/>
      <c r="G812" s="161"/>
      <c r="H812" s="161"/>
      <c r="I812" s="138"/>
      <c r="J812" s="138"/>
      <c r="K812" s="138"/>
      <c r="L812" s="138"/>
      <c r="M812" s="138"/>
      <c r="N812" s="138"/>
      <c r="O812" s="138"/>
      <c r="P812" s="138"/>
      <c r="Q812" s="138"/>
      <c r="R812" s="138"/>
      <c r="S812" s="138"/>
      <c r="T812" s="138"/>
      <c r="U812" s="138"/>
      <c r="V812" s="138"/>
      <c r="W812" s="138"/>
      <c r="X812" s="138"/>
      <c r="Y812" s="138"/>
      <c r="Z812" s="138"/>
      <c r="AA812" s="138"/>
      <c r="AB812" s="138"/>
      <c r="AC812" s="138"/>
    </row>
    <row r="813">
      <c r="A813" s="161"/>
      <c r="B813" s="161"/>
      <c r="C813" s="138"/>
      <c r="D813" s="160"/>
      <c r="E813" s="161"/>
      <c r="F813" s="161"/>
      <c r="G813" s="161"/>
      <c r="H813" s="161"/>
      <c r="I813" s="138"/>
      <c r="J813" s="138"/>
      <c r="K813" s="138"/>
      <c r="L813" s="138"/>
      <c r="M813" s="138"/>
      <c r="N813" s="138"/>
      <c r="O813" s="138"/>
      <c r="P813" s="138"/>
      <c r="Q813" s="138"/>
      <c r="R813" s="138"/>
      <c r="S813" s="138"/>
      <c r="T813" s="138"/>
      <c r="U813" s="138"/>
      <c r="V813" s="138"/>
      <c r="W813" s="138"/>
      <c r="X813" s="138"/>
      <c r="Y813" s="138"/>
      <c r="Z813" s="138"/>
      <c r="AA813" s="138"/>
      <c r="AB813" s="138"/>
      <c r="AC813" s="138"/>
    </row>
    <row r="814">
      <c r="A814" s="161"/>
      <c r="B814" s="161"/>
      <c r="C814" s="138"/>
      <c r="D814" s="160"/>
      <c r="E814" s="161"/>
      <c r="F814" s="161"/>
      <c r="G814" s="161"/>
      <c r="H814" s="161"/>
      <c r="I814" s="138"/>
      <c r="J814" s="138"/>
      <c r="K814" s="138"/>
      <c r="L814" s="138"/>
      <c r="M814" s="138"/>
      <c r="N814" s="138"/>
      <c r="O814" s="138"/>
      <c r="P814" s="138"/>
      <c r="Q814" s="138"/>
      <c r="R814" s="138"/>
      <c r="S814" s="138"/>
      <c r="T814" s="138"/>
      <c r="U814" s="138"/>
      <c r="V814" s="138"/>
      <c r="W814" s="138"/>
      <c r="X814" s="138"/>
      <c r="Y814" s="138"/>
      <c r="Z814" s="138"/>
      <c r="AA814" s="138"/>
      <c r="AB814" s="138"/>
      <c r="AC814" s="138"/>
    </row>
    <row r="815">
      <c r="A815" s="161"/>
      <c r="B815" s="161"/>
      <c r="C815" s="138"/>
      <c r="D815" s="160"/>
      <c r="E815" s="161"/>
      <c r="F815" s="161"/>
      <c r="G815" s="161"/>
      <c r="H815" s="161"/>
      <c r="I815" s="138"/>
      <c r="J815" s="138"/>
      <c r="K815" s="138"/>
      <c r="L815" s="138"/>
      <c r="M815" s="138"/>
      <c r="N815" s="138"/>
      <c r="O815" s="138"/>
      <c r="P815" s="138"/>
      <c r="Q815" s="138"/>
      <c r="R815" s="138"/>
      <c r="S815" s="138"/>
      <c r="T815" s="138"/>
      <c r="U815" s="138"/>
      <c r="V815" s="138"/>
      <c r="W815" s="138"/>
      <c r="X815" s="138"/>
      <c r="Y815" s="138"/>
      <c r="Z815" s="138"/>
      <c r="AA815" s="138"/>
      <c r="AB815" s="138"/>
      <c r="AC815" s="138"/>
    </row>
    <row r="816">
      <c r="A816" s="161"/>
      <c r="B816" s="161"/>
      <c r="C816" s="138"/>
      <c r="D816" s="160"/>
      <c r="E816" s="161"/>
      <c r="F816" s="161"/>
      <c r="G816" s="161"/>
      <c r="H816" s="161"/>
      <c r="I816" s="138"/>
      <c r="J816" s="138"/>
      <c r="K816" s="138"/>
      <c r="L816" s="138"/>
      <c r="M816" s="138"/>
      <c r="N816" s="138"/>
      <c r="O816" s="138"/>
      <c r="P816" s="138"/>
      <c r="Q816" s="138"/>
      <c r="R816" s="138"/>
      <c r="S816" s="138"/>
      <c r="T816" s="138"/>
      <c r="U816" s="138"/>
      <c r="V816" s="138"/>
      <c r="W816" s="138"/>
      <c r="X816" s="138"/>
      <c r="Y816" s="138"/>
      <c r="Z816" s="138"/>
      <c r="AA816" s="138"/>
      <c r="AB816" s="138"/>
      <c r="AC816" s="138"/>
    </row>
    <row r="817">
      <c r="A817" s="161"/>
      <c r="B817" s="161"/>
      <c r="C817" s="138"/>
      <c r="D817" s="160"/>
      <c r="E817" s="161"/>
      <c r="F817" s="161"/>
      <c r="G817" s="161"/>
      <c r="H817" s="161"/>
      <c r="I817" s="138"/>
      <c r="J817" s="138"/>
      <c r="K817" s="138"/>
      <c r="L817" s="138"/>
      <c r="M817" s="138"/>
      <c r="N817" s="138"/>
      <c r="O817" s="138"/>
      <c r="P817" s="138"/>
      <c r="Q817" s="138"/>
      <c r="R817" s="138"/>
      <c r="S817" s="138"/>
      <c r="T817" s="138"/>
      <c r="U817" s="138"/>
      <c r="V817" s="138"/>
      <c r="W817" s="138"/>
      <c r="X817" s="138"/>
      <c r="Y817" s="138"/>
      <c r="Z817" s="138"/>
      <c r="AA817" s="138"/>
      <c r="AB817" s="138"/>
      <c r="AC817" s="138"/>
    </row>
    <row r="818">
      <c r="A818" s="161"/>
      <c r="B818" s="161"/>
      <c r="C818" s="138"/>
      <c r="D818" s="160"/>
      <c r="E818" s="161"/>
      <c r="F818" s="161"/>
      <c r="G818" s="161"/>
      <c r="H818" s="161"/>
      <c r="I818" s="138"/>
      <c r="J818" s="138"/>
      <c r="K818" s="138"/>
      <c r="L818" s="138"/>
      <c r="M818" s="138"/>
      <c r="N818" s="138"/>
      <c r="O818" s="138"/>
      <c r="P818" s="138"/>
      <c r="Q818" s="138"/>
      <c r="R818" s="138"/>
      <c r="S818" s="138"/>
      <c r="T818" s="138"/>
      <c r="U818" s="138"/>
      <c r="V818" s="138"/>
      <c r="W818" s="138"/>
      <c r="X818" s="138"/>
      <c r="Y818" s="138"/>
      <c r="Z818" s="138"/>
      <c r="AA818" s="138"/>
      <c r="AB818" s="138"/>
      <c r="AC818" s="138"/>
    </row>
    <row r="819">
      <c r="A819" s="161"/>
      <c r="B819" s="161"/>
      <c r="C819" s="138"/>
      <c r="D819" s="160"/>
      <c r="E819" s="161"/>
      <c r="F819" s="161"/>
      <c r="G819" s="161"/>
      <c r="H819" s="161"/>
      <c r="I819" s="138"/>
      <c r="J819" s="138"/>
      <c r="K819" s="138"/>
      <c r="L819" s="138"/>
      <c r="M819" s="138"/>
      <c r="N819" s="138"/>
      <c r="O819" s="138"/>
      <c r="P819" s="138"/>
      <c r="Q819" s="138"/>
      <c r="R819" s="138"/>
      <c r="S819" s="138"/>
      <c r="T819" s="138"/>
      <c r="U819" s="138"/>
      <c r="V819" s="138"/>
      <c r="W819" s="138"/>
      <c r="X819" s="138"/>
      <c r="Y819" s="138"/>
      <c r="Z819" s="138"/>
      <c r="AA819" s="138"/>
      <c r="AB819" s="138"/>
      <c r="AC819" s="138"/>
    </row>
    <row r="820">
      <c r="A820" s="161"/>
      <c r="B820" s="161"/>
      <c r="C820" s="138"/>
      <c r="D820" s="160"/>
      <c r="E820" s="161"/>
      <c r="F820" s="161"/>
      <c r="G820" s="161"/>
      <c r="H820" s="161"/>
      <c r="I820" s="138"/>
      <c r="J820" s="138"/>
      <c r="K820" s="138"/>
      <c r="L820" s="138"/>
      <c r="M820" s="138"/>
      <c r="N820" s="138"/>
      <c r="O820" s="138"/>
      <c r="P820" s="138"/>
      <c r="Q820" s="138"/>
      <c r="R820" s="138"/>
      <c r="S820" s="138"/>
      <c r="T820" s="138"/>
      <c r="U820" s="138"/>
      <c r="V820" s="138"/>
      <c r="W820" s="138"/>
      <c r="X820" s="138"/>
      <c r="Y820" s="138"/>
      <c r="Z820" s="138"/>
      <c r="AA820" s="138"/>
      <c r="AB820" s="138"/>
      <c r="AC820" s="138"/>
    </row>
    <row r="821">
      <c r="A821" s="161"/>
      <c r="B821" s="161"/>
      <c r="C821" s="138"/>
      <c r="D821" s="160"/>
      <c r="E821" s="161"/>
      <c r="F821" s="161"/>
      <c r="G821" s="161"/>
      <c r="H821" s="161"/>
      <c r="I821" s="138"/>
      <c r="J821" s="138"/>
      <c r="K821" s="138"/>
      <c r="L821" s="138"/>
      <c r="M821" s="138"/>
      <c r="N821" s="138"/>
      <c r="O821" s="138"/>
      <c r="P821" s="138"/>
      <c r="Q821" s="138"/>
      <c r="R821" s="138"/>
      <c r="S821" s="138"/>
      <c r="T821" s="138"/>
      <c r="U821" s="138"/>
      <c r="V821" s="138"/>
      <c r="W821" s="138"/>
      <c r="X821" s="138"/>
      <c r="Y821" s="138"/>
      <c r="Z821" s="138"/>
      <c r="AA821" s="138"/>
      <c r="AB821" s="138"/>
      <c r="AC821" s="138"/>
    </row>
    <row r="822">
      <c r="A822" s="161"/>
      <c r="B822" s="161"/>
      <c r="C822" s="138"/>
      <c r="D822" s="160"/>
      <c r="E822" s="161"/>
      <c r="F822" s="161"/>
      <c r="G822" s="161"/>
      <c r="H822" s="161"/>
      <c r="I822" s="138"/>
      <c r="J822" s="138"/>
      <c r="K822" s="138"/>
      <c r="L822" s="138"/>
      <c r="M822" s="138"/>
      <c r="N822" s="138"/>
      <c r="O822" s="138"/>
      <c r="P822" s="138"/>
      <c r="Q822" s="138"/>
      <c r="R822" s="138"/>
      <c r="S822" s="138"/>
      <c r="T822" s="138"/>
      <c r="U822" s="138"/>
      <c r="V822" s="138"/>
      <c r="W822" s="138"/>
      <c r="X822" s="138"/>
      <c r="Y822" s="138"/>
      <c r="Z822" s="138"/>
      <c r="AA822" s="138"/>
      <c r="AB822" s="138"/>
      <c r="AC822" s="138"/>
    </row>
    <row r="823">
      <c r="A823" s="161"/>
      <c r="B823" s="161"/>
      <c r="C823" s="138"/>
      <c r="D823" s="160"/>
      <c r="E823" s="161"/>
      <c r="F823" s="161"/>
      <c r="G823" s="161"/>
      <c r="H823" s="161"/>
      <c r="I823" s="138"/>
      <c r="J823" s="138"/>
      <c r="K823" s="138"/>
      <c r="L823" s="138"/>
      <c r="M823" s="138"/>
      <c r="N823" s="138"/>
      <c r="O823" s="138"/>
      <c r="P823" s="138"/>
      <c r="Q823" s="138"/>
      <c r="R823" s="138"/>
      <c r="S823" s="138"/>
      <c r="T823" s="138"/>
      <c r="U823" s="138"/>
      <c r="V823" s="138"/>
      <c r="W823" s="138"/>
      <c r="X823" s="138"/>
      <c r="Y823" s="138"/>
      <c r="Z823" s="138"/>
      <c r="AA823" s="138"/>
      <c r="AB823" s="138"/>
      <c r="AC823" s="138"/>
    </row>
    <row r="824">
      <c r="A824" s="161"/>
      <c r="B824" s="161"/>
      <c r="C824" s="138"/>
      <c r="D824" s="160"/>
      <c r="E824" s="161"/>
      <c r="F824" s="161"/>
      <c r="G824" s="161"/>
      <c r="H824" s="161"/>
      <c r="I824" s="138"/>
      <c r="J824" s="138"/>
      <c r="K824" s="138"/>
      <c r="L824" s="138"/>
      <c r="M824" s="138"/>
      <c r="N824" s="138"/>
      <c r="O824" s="138"/>
      <c r="P824" s="138"/>
      <c r="Q824" s="138"/>
      <c r="R824" s="138"/>
      <c r="S824" s="138"/>
      <c r="T824" s="138"/>
      <c r="U824" s="138"/>
      <c r="V824" s="138"/>
      <c r="W824" s="138"/>
      <c r="X824" s="138"/>
      <c r="Y824" s="138"/>
      <c r="Z824" s="138"/>
      <c r="AA824" s="138"/>
      <c r="AB824" s="138"/>
      <c r="AC824" s="138"/>
    </row>
    <row r="825">
      <c r="A825" s="161"/>
      <c r="B825" s="161"/>
      <c r="C825" s="138"/>
      <c r="D825" s="160"/>
      <c r="E825" s="161"/>
      <c r="F825" s="161"/>
      <c r="G825" s="161"/>
      <c r="H825" s="161"/>
      <c r="I825" s="138"/>
      <c r="J825" s="138"/>
      <c r="K825" s="138"/>
      <c r="L825" s="138"/>
      <c r="M825" s="138"/>
      <c r="N825" s="138"/>
      <c r="O825" s="138"/>
      <c r="P825" s="138"/>
      <c r="Q825" s="138"/>
      <c r="R825" s="138"/>
      <c r="S825" s="138"/>
      <c r="T825" s="138"/>
      <c r="U825" s="138"/>
      <c r="V825" s="138"/>
      <c r="W825" s="138"/>
      <c r="X825" s="138"/>
      <c r="Y825" s="138"/>
      <c r="Z825" s="138"/>
      <c r="AA825" s="138"/>
      <c r="AB825" s="138"/>
      <c r="AC825" s="138"/>
    </row>
    <row r="826">
      <c r="A826" s="161"/>
      <c r="B826" s="161"/>
      <c r="C826" s="138"/>
      <c r="D826" s="160"/>
      <c r="E826" s="161"/>
      <c r="F826" s="161"/>
      <c r="G826" s="161"/>
      <c r="H826" s="161"/>
      <c r="I826" s="138"/>
      <c r="J826" s="138"/>
      <c r="K826" s="138"/>
      <c r="L826" s="138"/>
      <c r="M826" s="138"/>
      <c r="N826" s="138"/>
      <c r="O826" s="138"/>
      <c r="P826" s="138"/>
      <c r="Q826" s="138"/>
      <c r="R826" s="138"/>
      <c r="S826" s="138"/>
      <c r="T826" s="138"/>
      <c r="U826" s="138"/>
      <c r="V826" s="138"/>
      <c r="W826" s="138"/>
      <c r="X826" s="138"/>
      <c r="Y826" s="138"/>
      <c r="Z826" s="138"/>
      <c r="AA826" s="138"/>
      <c r="AB826" s="138"/>
      <c r="AC826" s="138"/>
    </row>
    <row r="827">
      <c r="A827" s="161"/>
      <c r="B827" s="161"/>
      <c r="C827" s="138"/>
      <c r="D827" s="160"/>
      <c r="E827" s="161"/>
      <c r="F827" s="161"/>
      <c r="G827" s="161"/>
      <c r="H827" s="161"/>
      <c r="I827" s="138"/>
      <c r="J827" s="138"/>
      <c r="K827" s="138"/>
      <c r="L827" s="138"/>
      <c r="M827" s="138"/>
      <c r="N827" s="138"/>
      <c r="O827" s="138"/>
      <c r="P827" s="138"/>
      <c r="Q827" s="138"/>
      <c r="R827" s="138"/>
      <c r="S827" s="138"/>
      <c r="T827" s="138"/>
      <c r="U827" s="138"/>
      <c r="V827" s="138"/>
      <c r="W827" s="138"/>
      <c r="X827" s="138"/>
      <c r="Y827" s="138"/>
      <c r="Z827" s="138"/>
      <c r="AA827" s="138"/>
      <c r="AB827" s="138"/>
      <c r="AC827" s="138"/>
    </row>
    <row r="828">
      <c r="A828" s="161"/>
      <c r="B828" s="161"/>
      <c r="C828" s="138"/>
      <c r="D828" s="160"/>
      <c r="E828" s="161"/>
      <c r="F828" s="161"/>
      <c r="G828" s="161"/>
      <c r="H828" s="161"/>
      <c r="I828" s="138"/>
      <c r="J828" s="138"/>
      <c r="K828" s="138"/>
      <c r="L828" s="138"/>
      <c r="M828" s="138"/>
      <c r="N828" s="138"/>
      <c r="O828" s="138"/>
      <c r="P828" s="138"/>
      <c r="Q828" s="138"/>
      <c r="R828" s="138"/>
      <c r="S828" s="138"/>
      <c r="T828" s="138"/>
      <c r="U828" s="138"/>
      <c r="V828" s="138"/>
      <c r="W828" s="138"/>
      <c r="X828" s="138"/>
      <c r="Y828" s="138"/>
      <c r="Z828" s="138"/>
      <c r="AA828" s="138"/>
      <c r="AB828" s="138"/>
      <c r="AC828" s="138"/>
    </row>
    <row r="829">
      <c r="A829" s="161"/>
      <c r="B829" s="161"/>
      <c r="C829" s="138"/>
      <c r="D829" s="160"/>
      <c r="E829" s="161"/>
      <c r="F829" s="161"/>
      <c r="G829" s="161"/>
      <c r="H829" s="161"/>
      <c r="I829" s="138"/>
      <c r="J829" s="138"/>
      <c r="K829" s="138"/>
      <c r="L829" s="138"/>
      <c r="M829" s="138"/>
      <c r="N829" s="138"/>
      <c r="O829" s="138"/>
      <c r="P829" s="138"/>
      <c r="Q829" s="138"/>
      <c r="R829" s="138"/>
      <c r="S829" s="138"/>
      <c r="T829" s="138"/>
      <c r="U829" s="138"/>
      <c r="V829" s="138"/>
      <c r="W829" s="138"/>
      <c r="X829" s="138"/>
      <c r="Y829" s="138"/>
      <c r="Z829" s="138"/>
      <c r="AA829" s="138"/>
      <c r="AB829" s="138"/>
      <c r="AC829" s="138"/>
    </row>
    <row r="830">
      <c r="A830" s="161"/>
      <c r="B830" s="161"/>
      <c r="C830" s="138"/>
      <c r="D830" s="160"/>
      <c r="E830" s="161"/>
      <c r="F830" s="161"/>
      <c r="G830" s="161"/>
      <c r="H830" s="161"/>
      <c r="I830" s="138"/>
      <c r="J830" s="138"/>
      <c r="K830" s="138"/>
      <c r="L830" s="138"/>
      <c r="M830" s="138"/>
      <c r="N830" s="138"/>
      <c r="O830" s="138"/>
      <c r="P830" s="138"/>
      <c r="Q830" s="138"/>
      <c r="R830" s="138"/>
      <c r="S830" s="138"/>
      <c r="T830" s="138"/>
      <c r="U830" s="138"/>
      <c r="V830" s="138"/>
      <c r="W830" s="138"/>
      <c r="X830" s="138"/>
      <c r="Y830" s="138"/>
      <c r="Z830" s="138"/>
      <c r="AA830" s="138"/>
      <c r="AB830" s="138"/>
      <c r="AC830" s="138"/>
    </row>
    <row r="831">
      <c r="A831" s="161"/>
      <c r="B831" s="161"/>
      <c r="C831" s="138"/>
      <c r="D831" s="160"/>
      <c r="E831" s="161"/>
      <c r="F831" s="161"/>
      <c r="G831" s="161"/>
      <c r="H831" s="161"/>
      <c r="I831" s="138"/>
      <c r="J831" s="138"/>
      <c r="K831" s="138"/>
      <c r="L831" s="138"/>
      <c r="M831" s="138"/>
      <c r="N831" s="138"/>
      <c r="O831" s="138"/>
      <c r="P831" s="138"/>
      <c r="Q831" s="138"/>
      <c r="R831" s="138"/>
      <c r="S831" s="138"/>
      <c r="T831" s="138"/>
      <c r="U831" s="138"/>
      <c r="V831" s="138"/>
      <c r="W831" s="138"/>
      <c r="X831" s="138"/>
      <c r="Y831" s="138"/>
      <c r="Z831" s="138"/>
      <c r="AA831" s="138"/>
      <c r="AB831" s="138"/>
      <c r="AC831" s="138"/>
    </row>
    <row r="832">
      <c r="A832" s="161"/>
      <c r="B832" s="161"/>
      <c r="C832" s="138"/>
      <c r="D832" s="160"/>
      <c r="E832" s="161"/>
      <c r="F832" s="161"/>
      <c r="G832" s="161"/>
      <c r="H832" s="161"/>
      <c r="I832" s="138"/>
      <c r="J832" s="138"/>
      <c r="K832" s="138"/>
      <c r="L832" s="138"/>
      <c r="M832" s="138"/>
      <c r="N832" s="138"/>
      <c r="O832" s="138"/>
      <c r="P832" s="138"/>
      <c r="Q832" s="138"/>
      <c r="R832" s="138"/>
      <c r="S832" s="138"/>
      <c r="T832" s="138"/>
      <c r="U832" s="138"/>
      <c r="V832" s="138"/>
      <c r="W832" s="138"/>
      <c r="X832" s="138"/>
      <c r="Y832" s="138"/>
      <c r="Z832" s="138"/>
      <c r="AA832" s="138"/>
      <c r="AB832" s="138"/>
      <c r="AC832" s="138"/>
    </row>
    <row r="833">
      <c r="A833" s="161"/>
      <c r="B833" s="161"/>
      <c r="C833" s="138"/>
      <c r="D833" s="160"/>
      <c r="E833" s="161"/>
      <c r="F833" s="161"/>
      <c r="G833" s="161"/>
      <c r="H833" s="161"/>
      <c r="I833" s="138"/>
      <c r="J833" s="138"/>
      <c r="K833" s="138"/>
      <c r="L833" s="138"/>
      <c r="M833" s="138"/>
      <c r="N833" s="138"/>
      <c r="O833" s="138"/>
      <c r="P833" s="138"/>
      <c r="Q833" s="138"/>
      <c r="R833" s="138"/>
      <c r="S833" s="138"/>
      <c r="T833" s="138"/>
      <c r="U833" s="138"/>
      <c r="V833" s="138"/>
      <c r="W833" s="138"/>
      <c r="X833" s="138"/>
      <c r="Y833" s="138"/>
      <c r="Z833" s="138"/>
      <c r="AA833" s="138"/>
      <c r="AB833" s="138"/>
      <c r="AC833" s="138"/>
    </row>
    <row r="834">
      <c r="A834" s="161"/>
      <c r="B834" s="161"/>
      <c r="C834" s="138"/>
      <c r="D834" s="160"/>
      <c r="E834" s="161"/>
      <c r="F834" s="161"/>
      <c r="G834" s="161"/>
      <c r="H834" s="161"/>
      <c r="I834" s="138"/>
      <c r="J834" s="138"/>
      <c r="K834" s="138"/>
      <c r="L834" s="138"/>
      <c r="M834" s="138"/>
      <c r="N834" s="138"/>
      <c r="O834" s="138"/>
      <c r="P834" s="138"/>
      <c r="Q834" s="138"/>
      <c r="R834" s="138"/>
      <c r="S834" s="138"/>
      <c r="T834" s="138"/>
      <c r="U834" s="138"/>
      <c r="V834" s="138"/>
      <c r="W834" s="138"/>
      <c r="X834" s="138"/>
      <c r="Y834" s="138"/>
      <c r="Z834" s="138"/>
      <c r="AA834" s="138"/>
      <c r="AB834" s="138"/>
      <c r="AC834" s="138"/>
    </row>
    <row r="835">
      <c r="A835" s="161"/>
      <c r="B835" s="161"/>
      <c r="C835" s="138"/>
      <c r="D835" s="160"/>
      <c r="E835" s="161"/>
      <c r="F835" s="161"/>
      <c r="G835" s="161"/>
      <c r="H835" s="161"/>
      <c r="I835" s="138"/>
      <c r="J835" s="138"/>
      <c r="K835" s="138"/>
      <c r="L835" s="138"/>
      <c r="M835" s="138"/>
      <c r="N835" s="138"/>
      <c r="O835" s="138"/>
      <c r="P835" s="138"/>
      <c r="Q835" s="138"/>
      <c r="R835" s="138"/>
      <c r="S835" s="138"/>
      <c r="T835" s="138"/>
      <c r="U835" s="138"/>
      <c r="V835" s="138"/>
      <c r="W835" s="138"/>
      <c r="X835" s="138"/>
      <c r="Y835" s="138"/>
      <c r="Z835" s="138"/>
      <c r="AA835" s="138"/>
      <c r="AB835" s="138"/>
      <c r="AC835" s="138"/>
    </row>
    <row r="836">
      <c r="A836" s="161"/>
      <c r="B836" s="161"/>
      <c r="C836" s="138"/>
      <c r="D836" s="160"/>
      <c r="E836" s="161"/>
      <c r="F836" s="161"/>
      <c r="G836" s="161"/>
      <c r="H836" s="161"/>
      <c r="I836" s="138"/>
      <c r="J836" s="138"/>
      <c r="K836" s="138"/>
      <c r="L836" s="138"/>
      <c r="M836" s="138"/>
      <c r="N836" s="138"/>
      <c r="O836" s="138"/>
      <c r="P836" s="138"/>
      <c r="Q836" s="138"/>
      <c r="R836" s="138"/>
      <c r="S836" s="138"/>
      <c r="T836" s="138"/>
      <c r="U836" s="138"/>
      <c r="V836" s="138"/>
      <c r="W836" s="138"/>
      <c r="X836" s="138"/>
      <c r="Y836" s="138"/>
      <c r="Z836" s="138"/>
      <c r="AA836" s="138"/>
      <c r="AB836" s="138"/>
      <c r="AC836" s="138"/>
    </row>
    <row r="837">
      <c r="A837" s="161"/>
      <c r="B837" s="161"/>
      <c r="C837" s="138"/>
      <c r="D837" s="160"/>
      <c r="E837" s="161"/>
      <c r="F837" s="161"/>
      <c r="G837" s="161"/>
      <c r="H837" s="161"/>
      <c r="I837" s="138"/>
      <c r="J837" s="138"/>
      <c r="K837" s="138"/>
      <c r="L837" s="138"/>
      <c r="M837" s="138"/>
      <c r="N837" s="138"/>
      <c r="O837" s="138"/>
      <c r="P837" s="138"/>
      <c r="Q837" s="138"/>
      <c r="R837" s="138"/>
      <c r="S837" s="138"/>
      <c r="T837" s="138"/>
      <c r="U837" s="138"/>
      <c r="V837" s="138"/>
      <c r="W837" s="138"/>
      <c r="X837" s="138"/>
      <c r="Y837" s="138"/>
      <c r="Z837" s="138"/>
      <c r="AA837" s="138"/>
      <c r="AB837" s="138"/>
      <c r="AC837" s="138"/>
    </row>
    <row r="838">
      <c r="A838" s="161"/>
      <c r="B838" s="161"/>
      <c r="C838" s="138"/>
      <c r="D838" s="160"/>
      <c r="E838" s="161"/>
      <c r="F838" s="161"/>
      <c r="G838" s="161"/>
      <c r="H838" s="161"/>
      <c r="I838" s="138"/>
      <c r="J838" s="138"/>
      <c r="K838" s="138"/>
      <c r="L838" s="138"/>
      <c r="M838" s="138"/>
      <c r="N838" s="138"/>
      <c r="O838" s="138"/>
      <c r="P838" s="138"/>
      <c r="Q838" s="138"/>
      <c r="R838" s="138"/>
      <c r="S838" s="138"/>
      <c r="T838" s="138"/>
      <c r="U838" s="138"/>
      <c r="V838" s="138"/>
      <c r="W838" s="138"/>
      <c r="X838" s="138"/>
      <c r="Y838" s="138"/>
      <c r="Z838" s="138"/>
      <c r="AA838" s="138"/>
      <c r="AB838" s="138"/>
      <c r="AC838" s="138"/>
    </row>
    <row r="839">
      <c r="A839" s="161"/>
      <c r="B839" s="161"/>
      <c r="C839" s="138"/>
      <c r="D839" s="160"/>
      <c r="E839" s="161"/>
      <c r="F839" s="161"/>
      <c r="G839" s="161"/>
      <c r="H839" s="161"/>
      <c r="I839" s="138"/>
      <c r="J839" s="138"/>
      <c r="K839" s="138"/>
      <c r="L839" s="138"/>
      <c r="M839" s="138"/>
      <c r="N839" s="138"/>
      <c r="O839" s="138"/>
      <c r="P839" s="138"/>
      <c r="Q839" s="138"/>
      <c r="R839" s="138"/>
      <c r="S839" s="138"/>
      <c r="T839" s="138"/>
      <c r="U839" s="138"/>
      <c r="V839" s="138"/>
      <c r="W839" s="138"/>
      <c r="X839" s="138"/>
      <c r="Y839" s="138"/>
      <c r="Z839" s="138"/>
      <c r="AA839" s="138"/>
      <c r="AB839" s="138"/>
      <c r="AC839" s="138"/>
    </row>
    <row r="840">
      <c r="A840" s="161"/>
      <c r="B840" s="161"/>
      <c r="C840" s="138"/>
      <c r="D840" s="160"/>
      <c r="E840" s="161"/>
      <c r="F840" s="161"/>
      <c r="G840" s="161"/>
      <c r="H840" s="161"/>
      <c r="I840" s="138"/>
      <c r="J840" s="138"/>
      <c r="K840" s="138"/>
      <c r="L840" s="138"/>
      <c r="M840" s="138"/>
      <c r="N840" s="138"/>
      <c r="O840" s="138"/>
      <c r="P840" s="138"/>
      <c r="Q840" s="138"/>
      <c r="R840" s="138"/>
      <c r="S840" s="138"/>
      <c r="T840" s="138"/>
      <c r="U840" s="138"/>
      <c r="V840" s="138"/>
      <c r="W840" s="138"/>
      <c r="X840" s="138"/>
      <c r="Y840" s="138"/>
      <c r="Z840" s="138"/>
      <c r="AA840" s="138"/>
      <c r="AB840" s="138"/>
      <c r="AC840" s="138"/>
    </row>
    <row r="841">
      <c r="A841" s="161"/>
      <c r="B841" s="161"/>
      <c r="C841" s="138"/>
      <c r="D841" s="160"/>
      <c r="E841" s="161"/>
      <c r="F841" s="161"/>
      <c r="G841" s="161"/>
      <c r="H841" s="161"/>
      <c r="I841" s="138"/>
      <c r="J841" s="138"/>
      <c r="K841" s="138"/>
      <c r="L841" s="138"/>
      <c r="M841" s="138"/>
      <c r="N841" s="138"/>
      <c r="O841" s="138"/>
      <c r="P841" s="138"/>
      <c r="Q841" s="138"/>
      <c r="R841" s="138"/>
      <c r="S841" s="138"/>
      <c r="T841" s="138"/>
      <c r="U841" s="138"/>
      <c r="V841" s="138"/>
      <c r="W841" s="138"/>
      <c r="X841" s="138"/>
      <c r="Y841" s="138"/>
      <c r="Z841" s="138"/>
      <c r="AA841" s="138"/>
      <c r="AB841" s="138"/>
      <c r="AC841" s="138"/>
    </row>
    <row r="842">
      <c r="A842" s="161"/>
      <c r="B842" s="161"/>
      <c r="C842" s="138"/>
      <c r="D842" s="160"/>
      <c r="E842" s="161"/>
      <c r="F842" s="161"/>
      <c r="G842" s="161"/>
      <c r="H842" s="161"/>
      <c r="I842" s="138"/>
      <c r="J842" s="138"/>
      <c r="K842" s="138"/>
      <c r="L842" s="138"/>
      <c r="M842" s="138"/>
      <c r="N842" s="138"/>
      <c r="O842" s="138"/>
      <c r="P842" s="138"/>
      <c r="Q842" s="138"/>
      <c r="R842" s="138"/>
      <c r="S842" s="138"/>
      <c r="T842" s="138"/>
      <c r="U842" s="138"/>
      <c r="V842" s="138"/>
      <c r="W842" s="138"/>
      <c r="X842" s="138"/>
      <c r="Y842" s="138"/>
      <c r="Z842" s="138"/>
      <c r="AA842" s="138"/>
      <c r="AB842" s="138"/>
      <c r="AC842" s="138"/>
    </row>
    <row r="843">
      <c r="A843" s="161"/>
      <c r="B843" s="161"/>
      <c r="C843" s="138"/>
      <c r="D843" s="160"/>
      <c r="E843" s="161"/>
      <c r="F843" s="161"/>
      <c r="G843" s="161"/>
      <c r="H843" s="161"/>
      <c r="I843" s="138"/>
      <c r="J843" s="138"/>
      <c r="K843" s="138"/>
      <c r="L843" s="138"/>
      <c r="M843" s="138"/>
      <c r="N843" s="138"/>
      <c r="O843" s="138"/>
      <c r="P843" s="138"/>
      <c r="Q843" s="138"/>
      <c r="R843" s="138"/>
      <c r="S843" s="138"/>
      <c r="T843" s="138"/>
      <c r="U843" s="138"/>
      <c r="V843" s="138"/>
      <c r="W843" s="138"/>
      <c r="X843" s="138"/>
      <c r="Y843" s="138"/>
      <c r="Z843" s="138"/>
      <c r="AA843" s="138"/>
      <c r="AB843" s="138"/>
      <c r="AC843" s="138"/>
    </row>
    <row r="844">
      <c r="A844" s="161"/>
      <c r="B844" s="161"/>
      <c r="C844" s="138"/>
      <c r="D844" s="160"/>
      <c r="E844" s="161"/>
      <c r="F844" s="161"/>
      <c r="G844" s="161"/>
      <c r="H844" s="161"/>
      <c r="I844" s="138"/>
      <c r="J844" s="138"/>
      <c r="K844" s="138"/>
      <c r="L844" s="138"/>
      <c r="M844" s="138"/>
      <c r="N844" s="138"/>
      <c r="O844" s="138"/>
      <c r="P844" s="138"/>
      <c r="Q844" s="138"/>
      <c r="R844" s="138"/>
      <c r="S844" s="138"/>
      <c r="T844" s="138"/>
      <c r="U844" s="138"/>
      <c r="V844" s="138"/>
      <c r="W844" s="138"/>
      <c r="X844" s="138"/>
      <c r="Y844" s="138"/>
      <c r="Z844" s="138"/>
      <c r="AA844" s="138"/>
      <c r="AB844" s="138"/>
      <c r="AC844" s="138"/>
    </row>
    <row r="845">
      <c r="A845" s="161"/>
      <c r="B845" s="161"/>
      <c r="C845" s="138"/>
      <c r="D845" s="160"/>
      <c r="E845" s="161"/>
      <c r="F845" s="161"/>
      <c r="G845" s="161"/>
      <c r="H845" s="161"/>
      <c r="I845" s="138"/>
      <c r="J845" s="138"/>
      <c r="K845" s="138"/>
      <c r="L845" s="138"/>
      <c r="M845" s="138"/>
      <c r="N845" s="138"/>
      <c r="O845" s="138"/>
      <c r="P845" s="138"/>
      <c r="Q845" s="138"/>
      <c r="R845" s="138"/>
      <c r="S845" s="138"/>
      <c r="T845" s="138"/>
      <c r="U845" s="138"/>
      <c r="V845" s="138"/>
      <c r="W845" s="138"/>
      <c r="X845" s="138"/>
      <c r="Y845" s="138"/>
      <c r="Z845" s="138"/>
      <c r="AA845" s="138"/>
      <c r="AB845" s="138"/>
      <c r="AC845" s="138"/>
    </row>
    <row r="846">
      <c r="A846" s="161"/>
      <c r="B846" s="161"/>
      <c r="C846" s="138"/>
      <c r="D846" s="160"/>
      <c r="E846" s="161"/>
      <c r="F846" s="161"/>
      <c r="G846" s="161"/>
      <c r="H846" s="161"/>
      <c r="I846" s="138"/>
      <c r="J846" s="138"/>
      <c r="K846" s="138"/>
      <c r="L846" s="138"/>
      <c r="M846" s="138"/>
      <c r="N846" s="138"/>
      <c r="O846" s="138"/>
      <c r="P846" s="138"/>
      <c r="Q846" s="138"/>
      <c r="R846" s="138"/>
      <c r="S846" s="138"/>
      <c r="T846" s="138"/>
      <c r="U846" s="138"/>
      <c r="V846" s="138"/>
      <c r="W846" s="138"/>
      <c r="X846" s="138"/>
      <c r="Y846" s="138"/>
      <c r="Z846" s="138"/>
      <c r="AA846" s="138"/>
      <c r="AB846" s="138"/>
      <c r="AC846" s="138"/>
    </row>
    <row r="847">
      <c r="A847" s="161"/>
      <c r="B847" s="161"/>
      <c r="C847" s="138"/>
      <c r="D847" s="160"/>
      <c r="E847" s="161"/>
      <c r="F847" s="161"/>
      <c r="G847" s="161"/>
      <c r="H847" s="161"/>
      <c r="I847" s="138"/>
      <c r="J847" s="138"/>
      <c r="K847" s="138"/>
      <c r="L847" s="138"/>
      <c r="M847" s="138"/>
      <c r="N847" s="138"/>
      <c r="O847" s="138"/>
      <c r="P847" s="138"/>
      <c r="Q847" s="138"/>
      <c r="R847" s="138"/>
      <c r="S847" s="138"/>
      <c r="T847" s="138"/>
      <c r="U847" s="138"/>
      <c r="V847" s="138"/>
      <c r="W847" s="138"/>
      <c r="X847" s="138"/>
      <c r="Y847" s="138"/>
      <c r="Z847" s="138"/>
      <c r="AA847" s="138"/>
      <c r="AB847" s="138"/>
      <c r="AC847" s="138"/>
    </row>
    <row r="848">
      <c r="A848" s="161"/>
      <c r="B848" s="161"/>
      <c r="C848" s="138"/>
      <c r="D848" s="160"/>
      <c r="E848" s="161"/>
      <c r="F848" s="161"/>
      <c r="G848" s="161"/>
      <c r="H848" s="161"/>
      <c r="I848" s="138"/>
      <c r="J848" s="138"/>
      <c r="K848" s="138"/>
      <c r="L848" s="138"/>
      <c r="M848" s="138"/>
      <c r="N848" s="138"/>
      <c r="O848" s="138"/>
      <c r="P848" s="138"/>
      <c r="Q848" s="138"/>
      <c r="R848" s="138"/>
      <c r="S848" s="138"/>
      <c r="T848" s="138"/>
      <c r="U848" s="138"/>
      <c r="V848" s="138"/>
      <c r="W848" s="138"/>
      <c r="X848" s="138"/>
      <c r="Y848" s="138"/>
      <c r="Z848" s="138"/>
      <c r="AA848" s="138"/>
      <c r="AB848" s="138"/>
      <c r="AC848" s="138"/>
    </row>
    <row r="849">
      <c r="A849" s="161"/>
      <c r="B849" s="161"/>
      <c r="C849" s="138"/>
      <c r="D849" s="160"/>
      <c r="E849" s="161"/>
      <c r="F849" s="161"/>
      <c r="G849" s="161"/>
      <c r="H849" s="161"/>
      <c r="I849" s="138"/>
      <c r="J849" s="138"/>
      <c r="K849" s="138"/>
      <c r="L849" s="138"/>
      <c r="M849" s="138"/>
      <c r="N849" s="138"/>
      <c r="O849" s="138"/>
      <c r="P849" s="138"/>
      <c r="Q849" s="138"/>
      <c r="R849" s="138"/>
      <c r="S849" s="138"/>
      <c r="T849" s="138"/>
      <c r="U849" s="138"/>
      <c r="V849" s="138"/>
      <c r="W849" s="138"/>
      <c r="X849" s="138"/>
      <c r="Y849" s="138"/>
      <c r="Z849" s="138"/>
      <c r="AA849" s="138"/>
      <c r="AB849" s="138"/>
      <c r="AC849" s="138"/>
    </row>
    <row r="850">
      <c r="A850" s="161"/>
      <c r="B850" s="161"/>
      <c r="C850" s="138"/>
      <c r="D850" s="160"/>
      <c r="E850" s="161"/>
      <c r="F850" s="161"/>
      <c r="G850" s="161"/>
      <c r="H850" s="161"/>
      <c r="I850" s="138"/>
      <c r="J850" s="138"/>
      <c r="K850" s="138"/>
      <c r="L850" s="138"/>
      <c r="M850" s="138"/>
      <c r="N850" s="138"/>
      <c r="O850" s="138"/>
      <c r="P850" s="138"/>
      <c r="Q850" s="138"/>
      <c r="R850" s="138"/>
      <c r="S850" s="138"/>
      <c r="T850" s="138"/>
      <c r="U850" s="138"/>
      <c r="V850" s="138"/>
      <c r="W850" s="138"/>
      <c r="X850" s="138"/>
      <c r="Y850" s="138"/>
      <c r="Z850" s="138"/>
      <c r="AA850" s="138"/>
      <c r="AB850" s="138"/>
      <c r="AC850" s="138"/>
    </row>
    <row r="851">
      <c r="A851" s="161"/>
      <c r="B851" s="161"/>
      <c r="C851" s="138"/>
      <c r="D851" s="160"/>
      <c r="E851" s="161"/>
      <c r="F851" s="161"/>
      <c r="G851" s="161"/>
      <c r="H851" s="161"/>
      <c r="I851" s="138"/>
      <c r="J851" s="138"/>
      <c r="K851" s="138"/>
      <c r="L851" s="138"/>
      <c r="M851" s="138"/>
      <c r="N851" s="138"/>
      <c r="O851" s="138"/>
      <c r="P851" s="138"/>
      <c r="Q851" s="138"/>
      <c r="R851" s="138"/>
      <c r="S851" s="138"/>
      <c r="T851" s="138"/>
      <c r="U851" s="138"/>
      <c r="V851" s="138"/>
      <c r="W851" s="138"/>
      <c r="X851" s="138"/>
      <c r="Y851" s="138"/>
      <c r="Z851" s="138"/>
      <c r="AA851" s="138"/>
      <c r="AB851" s="138"/>
      <c r="AC851" s="138"/>
    </row>
    <row r="852">
      <c r="A852" s="161"/>
      <c r="B852" s="161"/>
      <c r="C852" s="138"/>
      <c r="D852" s="160"/>
      <c r="E852" s="161"/>
      <c r="F852" s="161"/>
      <c r="G852" s="161"/>
      <c r="H852" s="161"/>
      <c r="I852" s="138"/>
      <c r="J852" s="138"/>
      <c r="K852" s="138"/>
      <c r="L852" s="138"/>
      <c r="M852" s="138"/>
      <c r="N852" s="138"/>
      <c r="O852" s="138"/>
      <c r="P852" s="138"/>
      <c r="Q852" s="138"/>
      <c r="R852" s="138"/>
      <c r="S852" s="138"/>
      <c r="T852" s="138"/>
      <c r="U852" s="138"/>
      <c r="V852" s="138"/>
      <c r="W852" s="138"/>
      <c r="X852" s="138"/>
      <c r="Y852" s="138"/>
      <c r="Z852" s="138"/>
      <c r="AA852" s="138"/>
      <c r="AB852" s="138"/>
      <c r="AC852" s="138"/>
    </row>
    <row r="853">
      <c r="A853" s="161"/>
      <c r="B853" s="161"/>
      <c r="C853" s="138"/>
      <c r="D853" s="160"/>
      <c r="E853" s="161"/>
      <c r="F853" s="161"/>
      <c r="G853" s="161"/>
      <c r="H853" s="161"/>
      <c r="I853" s="138"/>
      <c r="J853" s="138"/>
      <c r="K853" s="138"/>
      <c r="L853" s="138"/>
      <c r="M853" s="138"/>
      <c r="N853" s="138"/>
      <c r="O853" s="138"/>
      <c r="P853" s="138"/>
      <c r="Q853" s="138"/>
      <c r="R853" s="138"/>
      <c r="S853" s="138"/>
      <c r="T853" s="138"/>
      <c r="U853" s="138"/>
      <c r="V853" s="138"/>
      <c r="W853" s="138"/>
      <c r="X853" s="138"/>
      <c r="Y853" s="138"/>
      <c r="Z853" s="138"/>
      <c r="AA853" s="138"/>
      <c r="AB853" s="138"/>
      <c r="AC853" s="138"/>
    </row>
    <row r="854">
      <c r="A854" s="161"/>
      <c r="B854" s="161"/>
      <c r="C854" s="138"/>
      <c r="D854" s="160"/>
      <c r="E854" s="161"/>
      <c r="F854" s="161"/>
      <c r="G854" s="161"/>
      <c r="H854" s="161"/>
      <c r="I854" s="138"/>
      <c r="J854" s="138"/>
      <c r="K854" s="138"/>
      <c r="L854" s="138"/>
      <c r="M854" s="138"/>
      <c r="N854" s="138"/>
      <c r="O854" s="138"/>
      <c r="P854" s="138"/>
      <c r="Q854" s="138"/>
      <c r="R854" s="138"/>
      <c r="S854" s="138"/>
      <c r="T854" s="138"/>
      <c r="U854" s="138"/>
      <c r="V854" s="138"/>
      <c r="W854" s="138"/>
      <c r="X854" s="138"/>
      <c r="Y854" s="138"/>
      <c r="Z854" s="138"/>
      <c r="AA854" s="138"/>
      <c r="AB854" s="138"/>
      <c r="AC854" s="138"/>
    </row>
    <row r="855">
      <c r="A855" s="161"/>
      <c r="B855" s="161"/>
      <c r="C855" s="138"/>
      <c r="D855" s="160"/>
      <c r="E855" s="161"/>
      <c r="F855" s="161"/>
      <c r="G855" s="161"/>
      <c r="H855" s="161"/>
      <c r="I855" s="138"/>
      <c r="J855" s="138"/>
      <c r="K855" s="138"/>
      <c r="L855" s="138"/>
      <c r="M855" s="138"/>
      <c r="N855" s="138"/>
      <c r="O855" s="138"/>
      <c r="P855" s="138"/>
      <c r="Q855" s="138"/>
      <c r="R855" s="138"/>
      <c r="S855" s="138"/>
      <c r="T855" s="138"/>
      <c r="U855" s="138"/>
      <c r="V855" s="138"/>
      <c r="W855" s="138"/>
      <c r="X855" s="138"/>
      <c r="Y855" s="138"/>
      <c r="Z855" s="138"/>
      <c r="AA855" s="138"/>
      <c r="AB855" s="138"/>
      <c r="AC855" s="138"/>
    </row>
    <row r="856">
      <c r="A856" s="161"/>
      <c r="B856" s="161"/>
      <c r="C856" s="138"/>
      <c r="D856" s="160"/>
      <c r="E856" s="161"/>
      <c r="F856" s="161"/>
      <c r="G856" s="161"/>
      <c r="H856" s="161"/>
      <c r="I856" s="138"/>
      <c r="J856" s="138"/>
      <c r="K856" s="138"/>
      <c r="L856" s="138"/>
      <c r="M856" s="138"/>
      <c r="N856" s="138"/>
      <c r="O856" s="138"/>
      <c r="P856" s="138"/>
      <c r="Q856" s="138"/>
      <c r="R856" s="138"/>
      <c r="S856" s="138"/>
      <c r="T856" s="138"/>
      <c r="U856" s="138"/>
      <c r="V856" s="138"/>
      <c r="W856" s="138"/>
      <c r="X856" s="138"/>
      <c r="Y856" s="138"/>
      <c r="Z856" s="138"/>
      <c r="AA856" s="138"/>
      <c r="AB856" s="138"/>
      <c r="AC856" s="138"/>
    </row>
    <row r="857">
      <c r="A857" s="161"/>
      <c r="B857" s="161"/>
      <c r="C857" s="138"/>
      <c r="D857" s="160"/>
      <c r="E857" s="161"/>
      <c r="F857" s="161"/>
      <c r="G857" s="161"/>
      <c r="H857" s="161"/>
      <c r="I857" s="138"/>
      <c r="J857" s="138"/>
      <c r="K857" s="138"/>
      <c r="L857" s="138"/>
      <c r="M857" s="138"/>
      <c r="N857" s="138"/>
      <c r="O857" s="138"/>
      <c r="P857" s="138"/>
      <c r="Q857" s="138"/>
      <c r="R857" s="138"/>
      <c r="S857" s="138"/>
      <c r="T857" s="138"/>
      <c r="U857" s="138"/>
      <c r="V857" s="138"/>
      <c r="W857" s="138"/>
      <c r="X857" s="138"/>
      <c r="Y857" s="138"/>
      <c r="Z857" s="138"/>
      <c r="AA857" s="138"/>
      <c r="AB857" s="138"/>
      <c r="AC857" s="138"/>
    </row>
    <row r="858">
      <c r="A858" s="161"/>
      <c r="B858" s="161"/>
      <c r="C858" s="138"/>
      <c r="D858" s="160"/>
      <c r="E858" s="161"/>
      <c r="F858" s="161"/>
      <c r="G858" s="161"/>
      <c r="H858" s="161"/>
      <c r="I858" s="138"/>
      <c r="J858" s="138"/>
      <c r="K858" s="138"/>
      <c r="L858" s="138"/>
      <c r="M858" s="138"/>
      <c r="N858" s="138"/>
      <c r="O858" s="138"/>
      <c r="P858" s="138"/>
      <c r="Q858" s="138"/>
      <c r="R858" s="138"/>
      <c r="S858" s="138"/>
      <c r="T858" s="138"/>
      <c r="U858" s="138"/>
      <c r="V858" s="138"/>
      <c r="W858" s="138"/>
      <c r="X858" s="138"/>
      <c r="Y858" s="138"/>
      <c r="Z858" s="138"/>
      <c r="AA858" s="138"/>
      <c r="AB858" s="138"/>
      <c r="AC858" s="138"/>
    </row>
    <row r="859">
      <c r="A859" s="161"/>
      <c r="B859" s="161"/>
      <c r="C859" s="138"/>
      <c r="D859" s="160"/>
      <c r="E859" s="161"/>
      <c r="F859" s="161"/>
      <c r="G859" s="161"/>
      <c r="H859" s="161"/>
      <c r="I859" s="138"/>
      <c r="J859" s="138"/>
      <c r="K859" s="138"/>
      <c r="L859" s="138"/>
      <c r="M859" s="138"/>
      <c r="N859" s="138"/>
      <c r="O859" s="138"/>
      <c r="P859" s="138"/>
      <c r="Q859" s="138"/>
      <c r="R859" s="138"/>
      <c r="S859" s="138"/>
      <c r="T859" s="138"/>
      <c r="U859" s="138"/>
      <c r="V859" s="138"/>
      <c r="W859" s="138"/>
      <c r="X859" s="138"/>
      <c r="Y859" s="138"/>
      <c r="Z859" s="138"/>
      <c r="AA859" s="138"/>
      <c r="AB859" s="138"/>
      <c r="AC859" s="138"/>
    </row>
    <row r="860">
      <c r="A860" s="161"/>
      <c r="B860" s="161"/>
      <c r="C860" s="138"/>
      <c r="D860" s="160"/>
      <c r="E860" s="161"/>
      <c r="F860" s="161"/>
      <c r="G860" s="161"/>
      <c r="H860" s="161"/>
      <c r="I860" s="138"/>
      <c r="J860" s="138"/>
      <c r="K860" s="138"/>
      <c r="L860" s="138"/>
      <c r="M860" s="138"/>
      <c r="N860" s="138"/>
      <c r="O860" s="138"/>
      <c r="P860" s="138"/>
      <c r="Q860" s="138"/>
      <c r="R860" s="138"/>
      <c r="S860" s="138"/>
      <c r="T860" s="138"/>
      <c r="U860" s="138"/>
      <c r="V860" s="138"/>
      <c r="W860" s="138"/>
      <c r="X860" s="138"/>
      <c r="Y860" s="138"/>
      <c r="Z860" s="138"/>
      <c r="AA860" s="138"/>
      <c r="AB860" s="138"/>
      <c r="AC860" s="138"/>
    </row>
    <row r="861">
      <c r="A861" s="161"/>
      <c r="B861" s="161"/>
      <c r="C861" s="138"/>
      <c r="D861" s="160"/>
      <c r="E861" s="161"/>
      <c r="F861" s="161"/>
      <c r="G861" s="161"/>
      <c r="H861" s="161"/>
      <c r="I861" s="138"/>
      <c r="J861" s="138"/>
      <c r="K861" s="138"/>
      <c r="L861" s="138"/>
      <c r="M861" s="138"/>
      <c r="N861" s="138"/>
      <c r="O861" s="138"/>
      <c r="P861" s="138"/>
      <c r="Q861" s="138"/>
      <c r="R861" s="138"/>
      <c r="S861" s="138"/>
      <c r="T861" s="138"/>
      <c r="U861" s="138"/>
      <c r="V861" s="138"/>
      <c r="W861" s="138"/>
      <c r="X861" s="138"/>
      <c r="Y861" s="138"/>
      <c r="Z861" s="138"/>
      <c r="AA861" s="138"/>
      <c r="AB861" s="138"/>
      <c r="AC861" s="138"/>
    </row>
    <row r="862">
      <c r="A862" s="161"/>
      <c r="B862" s="161"/>
      <c r="C862" s="138"/>
      <c r="D862" s="160"/>
      <c r="E862" s="161"/>
      <c r="F862" s="161"/>
      <c r="G862" s="161"/>
      <c r="H862" s="161"/>
      <c r="I862" s="138"/>
      <c r="J862" s="138"/>
      <c r="K862" s="138"/>
      <c r="L862" s="138"/>
      <c r="M862" s="138"/>
      <c r="N862" s="138"/>
      <c r="O862" s="138"/>
      <c r="P862" s="138"/>
      <c r="Q862" s="138"/>
      <c r="R862" s="138"/>
      <c r="S862" s="138"/>
      <c r="T862" s="138"/>
      <c r="U862" s="138"/>
      <c r="V862" s="138"/>
      <c r="W862" s="138"/>
      <c r="X862" s="138"/>
      <c r="Y862" s="138"/>
      <c r="Z862" s="138"/>
      <c r="AA862" s="138"/>
      <c r="AB862" s="138"/>
      <c r="AC862" s="138"/>
    </row>
    <row r="863">
      <c r="A863" s="161"/>
      <c r="B863" s="161"/>
      <c r="C863" s="138"/>
      <c r="D863" s="160"/>
      <c r="E863" s="161"/>
      <c r="F863" s="161"/>
      <c r="G863" s="161"/>
      <c r="H863" s="161"/>
      <c r="I863" s="138"/>
      <c r="J863" s="138"/>
      <c r="K863" s="138"/>
      <c r="L863" s="138"/>
      <c r="M863" s="138"/>
      <c r="N863" s="138"/>
      <c r="O863" s="138"/>
      <c r="P863" s="138"/>
      <c r="Q863" s="138"/>
      <c r="R863" s="138"/>
      <c r="S863" s="138"/>
      <c r="T863" s="138"/>
      <c r="U863" s="138"/>
      <c r="V863" s="138"/>
      <c r="W863" s="138"/>
      <c r="X863" s="138"/>
      <c r="Y863" s="138"/>
      <c r="Z863" s="138"/>
      <c r="AA863" s="138"/>
      <c r="AB863" s="138"/>
      <c r="AC863" s="138"/>
    </row>
    <row r="864">
      <c r="A864" s="161"/>
      <c r="B864" s="161"/>
      <c r="C864" s="138"/>
      <c r="D864" s="160"/>
      <c r="E864" s="161"/>
      <c r="F864" s="161"/>
      <c r="G864" s="161"/>
      <c r="H864" s="161"/>
      <c r="I864" s="138"/>
      <c r="J864" s="138"/>
      <c r="K864" s="138"/>
      <c r="L864" s="138"/>
      <c r="M864" s="138"/>
      <c r="N864" s="138"/>
      <c r="O864" s="138"/>
      <c r="P864" s="138"/>
      <c r="Q864" s="138"/>
      <c r="R864" s="138"/>
      <c r="S864" s="138"/>
      <c r="T864" s="138"/>
      <c r="U864" s="138"/>
      <c r="V864" s="138"/>
      <c r="W864" s="138"/>
      <c r="X864" s="138"/>
      <c r="Y864" s="138"/>
      <c r="Z864" s="138"/>
      <c r="AA864" s="138"/>
      <c r="AB864" s="138"/>
      <c r="AC864" s="138"/>
    </row>
    <row r="865">
      <c r="A865" s="161"/>
      <c r="B865" s="161"/>
      <c r="C865" s="138"/>
      <c r="D865" s="160"/>
      <c r="E865" s="161"/>
      <c r="F865" s="161"/>
      <c r="G865" s="161"/>
      <c r="H865" s="161"/>
      <c r="I865" s="138"/>
      <c r="J865" s="138"/>
      <c r="K865" s="138"/>
      <c r="L865" s="138"/>
      <c r="M865" s="138"/>
      <c r="N865" s="138"/>
      <c r="O865" s="138"/>
      <c r="P865" s="138"/>
      <c r="Q865" s="138"/>
      <c r="R865" s="138"/>
      <c r="S865" s="138"/>
      <c r="T865" s="138"/>
      <c r="U865" s="138"/>
      <c r="V865" s="138"/>
      <c r="W865" s="138"/>
      <c r="X865" s="138"/>
      <c r="Y865" s="138"/>
      <c r="Z865" s="138"/>
      <c r="AA865" s="138"/>
      <c r="AB865" s="138"/>
      <c r="AC865" s="138"/>
    </row>
    <row r="866">
      <c r="A866" s="161"/>
      <c r="B866" s="161"/>
      <c r="C866" s="138"/>
      <c r="D866" s="160"/>
      <c r="E866" s="161"/>
      <c r="F866" s="161"/>
      <c r="G866" s="161"/>
      <c r="H866" s="161"/>
      <c r="I866" s="138"/>
      <c r="J866" s="138"/>
      <c r="K866" s="138"/>
      <c r="L866" s="138"/>
      <c r="M866" s="138"/>
      <c r="N866" s="138"/>
      <c r="O866" s="138"/>
      <c r="P866" s="138"/>
      <c r="Q866" s="138"/>
      <c r="R866" s="138"/>
      <c r="S866" s="138"/>
      <c r="T866" s="138"/>
      <c r="U866" s="138"/>
      <c r="V866" s="138"/>
      <c r="W866" s="138"/>
      <c r="X866" s="138"/>
      <c r="Y866" s="138"/>
      <c r="Z866" s="138"/>
      <c r="AA866" s="138"/>
      <c r="AB866" s="138"/>
      <c r="AC866" s="138"/>
    </row>
    <row r="867">
      <c r="A867" s="161"/>
      <c r="B867" s="161"/>
      <c r="C867" s="138"/>
      <c r="D867" s="160"/>
      <c r="E867" s="161"/>
      <c r="F867" s="161"/>
      <c r="G867" s="161"/>
      <c r="H867" s="161"/>
      <c r="I867" s="138"/>
      <c r="J867" s="138"/>
      <c r="K867" s="138"/>
      <c r="L867" s="138"/>
      <c r="M867" s="138"/>
      <c r="N867" s="138"/>
      <c r="O867" s="138"/>
      <c r="P867" s="138"/>
      <c r="Q867" s="138"/>
      <c r="R867" s="138"/>
      <c r="S867" s="138"/>
      <c r="T867" s="138"/>
      <c r="U867" s="138"/>
      <c r="V867" s="138"/>
      <c r="W867" s="138"/>
      <c r="X867" s="138"/>
      <c r="Y867" s="138"/>
      <c r="Z867" s="138"/>
      <c r="AA867" s="138"/>
      <c r="AB867" s="138"/>
      <c r="AC867" s="138"/>
    </row>
    <row r="868">
      <c r="A868" s="161"/>
      <c r="B868" s="161"/>
      <c r="C868" s="138"/>
      <c r="D868" s="160"/>
      <c r="E868" s="161"/>
      <c r="F868" s="161"/>
      <c r="G868" s="161"/>
      <c r="H868" s="161"/>
      <c r="I868" s="138"/>
      <c r="J868" s="138"/>
      <c r="K868" s="138"/>
      <c r="L868" s="138"/>
      <c r="M868" s="138"/>
      <c r="N868" s="138"/>
      <c r="O868" s="138"/>
      <c r="P868" s="138"/>
      <c r="Q868" s="138"/>
      <c r="R868" s="138"/>
      <c r="S868" s="138"/>
      <c r="T868" s="138"/>
      <c r="U868" s="138"/>
      <c r="V868" s="138"/>
      <c r="W868" s="138"/>
      <c r="X868" s="138"/>
      <c r="Y868" s="138"/>
      <c r="Z868" s="138"/>
      <c r="AA868" s="138"/>
      <c r="AB868" s="138"/>
      <c r="AC868" s="138"/>
    </row>
    <row r="869">
      <c r="A869" s="161"/>
      <c r="B869" s="161"/>
      <c r="C869" s="138"/>
      <c r="D869" s="160"/>
      <c r="E869" s="161"/>
      <c r="F869" s="161"/>
      <c r="G869" s="161"/>
      <c r="H869" s="161"/>
      <c r="I869" s="138"/>
      <c r="J869" s="138"/>
      <c r="K869" s="138"/>
      <c r="L869" s="138"/>
      <c r="M869" s="138"/>
      <c r="N869" s="138"/>
      <c r="O869" s="138"/>
      <c r="P869" s="138"/>
      <c r="Q869" s="138"/>
      <c r="R869" s="138"/>
      <c r="S869" s="138"/>
      <c r="T869" s="138"/>
      <c r="U869" s="138"/>
      <c r="V869" s="138"/>
      <c r="W869" s="138"/>
      <c r="X869" s="138"/>
      <c r="Y869" s="138"/>
      <c r="Z869" s="138"/>
      <c r="AA869" s="138"/>
      <c r="AB869" s="138"/>
      <c r="AC869" s="138"/>
    </row>
    <row r="870">
      <c r="A870" s="161"/>
      <c r="B870" s="161"/>
      <c r="C870" s="138"/>
      <c r="D870" s="160"/>
      <c r="E870" s="161"/>
      <c r="F870" s="161"/>
      <c r="G870" s="161"/>
      <c r="H870" s="161"/>
      <c r="I870" s="138"/>
      <c r="J870" s="138"/>
      <c r="K870" s="138"/>
      <c r="L870" s="138"/>
      <c r="M870" s="138"/>
      <c r="N870" s="138"/>
      <c r="O870" s="138"/>
      <c r="P870" s="138"/>
      <c r="Q870" s="138"/>
      <c r="R870" s="138"/>
      <c r="S870" s="138"/>
      <c r="T870" s="138"/>
      <c r="U870" s="138"/>
      <c r="V870" s="138"/>
      <c r="W870" s="138"/>
      <c r="X870" s="138"/>
      <c r="Y870" s="138"/>
      <c r="Z870" s="138"/>
      <c r="AA870" s="138"/>
      <c r="AB870" s="138"/>
      <c r="AC870" s="138"/>
    </row>
    <row r="871">
      <c r="A871" s="161"/>
      <c r="B871" s="161"/>
      <c r="C871" s="138"/>
      <c r="D871" s="160"/>
      <c r="E871" s="161"/>
      <c r="F871" s="161"/>
      <c r="G871" s="161"/>
      <c r="H871" s="161"/>
      <c r="I871" s="138"/>
      <c r="J871" s="138"/>
      <c r="K871" s="138"/>
      <c r="L871" s="138"/>
      <c r="M871" s="138"/>
      <c r="N871" s="138"/>
      <c r="O871" s="138"/>
      <c r="P871" s="138"/>
      <c r="Q871" s="138"/>
      <c r="R871" s="138"/>
      <c r="S871" s="138"/>
      <c r="T871" s="138"/>
      <c r="U871" s="138"/>
      <c r="V871" s="138"/>
      <c r="W871" s="138"/>
      <c r="X871" s="138"/>
      <c r="Y871" s="138"/>
      <c r="Z871" s="138"/>
      <c r="AA871" s="138"/>
      <c r="AB871" s="138"/>
      <c r="AC871" s="138"/>
    </row>
    <row r="872">
      <c r="A872" s="161"/>
      <c r="B872" s="161"/>
      <c r="C872" s="138"/>
      <c r="D872" s="160"/>
      <c r="E872" s="161"/>
      <c r="F872" s="161"/>
      <c r="G872" s="161"/>
      <c r="H872" s="161"/>
      <c r="I872" s="138"/>
      <c r="J872" s="138"/>
      <c r="K872" s="138"/>
      <c r="L872" s="138"/>
      <c r="M872" s="138"/>
      <c r="N872" s="138"/>
      <c r="O872" s="138"/>
      <c r="P872" s="138"/>
      <c r="Q872" s="138"/>
      <c r="R872" s="138"/>
      <c r="S872" s="138"/>
      <c r="T872" s="138"/>
      <c r="U872" s="138"/>
      <c r="V872" s="138"/>
      <c r="W872" s="138"/>
      <c r="X872" s="138"/>
      <c r="Y872" s="138"/>
      <c r="Z872" s="138"/>
      <c r="AA872" s="138"/>
      <c r="AB872" s="138"/>
      <c r="AC872" s="138"/>
    </row>
    <row r="873">
      <c r="A873" s="161"/>
      <c r="B873" s="161"/>
      <c r="C873" s="138"/>
      <c r="D873" s="160"/>
      <c r="E873" s="161"/>
      <c r="F873" s="161"/>
      <c r="G873" s="161"/>
      <c r="H873" s="161"/>
      <c r="I873" s="138"/>
      <c r="J873" s="138"/>
      <c r="K873" s="138"/>
      <c r="L873" s="138"/>
      <c r="M873" s="138"/>
      <c r="N873" s="138"/>
      <c r="O873" s="138"/>
      <c r="P873" s="138"/>
      <c r="Q873" s="138"/>
      <c r="R873" s="138"/>
      <c r="S873" s="138"/>
      <c r="T873" s="138"/>
      <c r="U873" s="138"/>
      <c r="V873" s="138"/>
      <c r="W873" s="138"/>
      <c r="X873" s="138"/>
      <c r="Y873" s="138"/>
      <c r="Z873" s="138"/>
      <c r="AA873" s="138"/>
      <c r="AB873" s="138"/>
      <c r="AC873" s="138"/>
    </row>
    <row r="874">
      <c r="A874" s="161"/>
      <c r="B874" s="161"/>
      <c r="C874" s="138"/>
      <c r="D874" s="160"/>
      <c r="E874" s="161"/>
      <c r="F874" s="161"/>
      <c r="G874" s="161"/>
      <c r="H874" s="161"/>
      <c r="I874" s="138"/>
      <c r="J874" s="138"/>
      <c r="K874" s="138"/>
      <c r="L874" s="138"/>
      <c r="M874" s="138"/>
      <c r="N874" s="138"/>
      <c r="O874" s="138"/>
      <c r="P874" s="138"/>
      <c r="Q874" s="138"/>
      <c r="R874" s="138"/>
      <c r="S874" s="138"/>
      <c r="T874" s="138"/>
      <c r="U874" s="138"/>
      <c r="V874" s="138"/>
      <c r="W874" s="138"/>
      <c r="X874" s="138"/>
      <c r="Y874" s="138"/>
      <c r="Z874" s="138"/>
      <c r="AA874" s="138"/>
      <c r="AB874" s="138"/>
      <c r="AC874" s="138"/>
    </row>
    <row r="875">
      <c r="A875" s="161"/>
      <c r="B875" s="161"/>
      <c r="C875" s="138"/>
      <c r="D875" s="160"/>
      <c r="E875" s="161"/>
      <c r="F875" s="161"/>
      <c r="G875" s="161"/>
      <c r="H875" s="161"/>
      <c r="I875" s="138"/>
      <c r="J875" s="138"/>
      <c r="K875" s="138"/>
      <c r="L875" s="138"/>
      <c r="M875" s="138"/>
      <c r="N875" s="138"/>
      <c r="O875" s="138"/>
      <c r="P875" s="138"/>
      <c r="Q875" s="138"/>
      <c r="R875" s="138"/>
      <c r="S875" s="138"/>
      <c r="T875" s="138"/>
      <c r="U875" s="138"/>
      <c r="V875" s="138"/>
      <c r="W875" s="138"/>
      <c r="X875" s="138"/>
      <c r="Y875" s="138"/>
      <c r="Z875" s="138"/>
      <c r="AA875" s="138"/>
      <c r="AB875" s="138"/>
      <c r="AC875" s="138"/>
    </row>
    <row r="876">
      <c r="A876" s="161"/>
      <c r="B876" s="161"/>
      <c r="C876" s="138"/>
      <c r="D876" s="160"/>
      <c r="E876" s="161"/>
      <c r="F876" s="161"/>
      <c r="G876" s="161"/>
      <c r="H876" s="161"/>
      <c r="I876" s="138"/>
      <c r="J876" s="138"/>
      <c r="K876" s="138"/>
      <c r="L876" s="138"/>
      <c r="M876" s="138"/>
      <c r="N876" s="138"/>
      <c r="O876" s="138"/>
      <c r="P876" s="138"/>
      <c r="Q876" s="138"/>
      <c r="R876" s="138"/>
      <c r="S876" s="138"/>
      <c r="T876" s="138"/>
      <c r="U876" s="138"/>
      <c r="V876" s="138"/>
      <c r="W876" s="138"/>
      <c r="X876" s="138"/>
      <c r="Y876" s="138"/>
      <c r="Z876" s="138"/>
      <c r="AA876" s="138"/>
      <c r="AB876" s="138"/>
      <c r="AC876" s="138"/>
    </row>
    <row r="877">
      <c r="A877" s="161"/>
      <c r="B877" s="161"/>
      <c r="C877" s="138"/>
      <c r="D877" s="160"/>
      <c r="E877" s="161"/>
      <c r="F877" s="161"/>
      <c r="G877" s="161"/>
      <c r="H877" s="161"/>
      <c r="I877" s="138"/>
      <c r="J877" s="138"/>
      <c r="K877" s="138"/>
      <c r="L877" s="138"/>
      <c r="M877" s="138"/>
      <c r="N877" s="138"/>
      <c r="O877" s="138"/>
      <c r="P877" s="138"/>
      <c r="Q877" s="138"/>
      <c r="R877" s="138"/>
      <c r="S877" s="138"/>
      <c r="T877" s="138"/>
      <c r="U877" s="138"/>
      <c r="V877" s="138"/>
      <c r="W877" s="138"/>
      <c r="X877" s="138"/>
      <c r="Y877" s="138"/>
      <c r="Z877" s="138"/>
      <c r="AA877" s="138"/>
      <c r="AB877" s="138"/>
      <c r="AC877" s="138"/>
    </row>
    <row r="878">
      <c r="A878" s="161"/>
      <c r="B878" s="161"/>
      <c r="C878" s="138"/>
      <c r="D878" s="160"/>
      <c r="E878" s="161"/>
      <c r="F878" s="161"/>
      <c r="G878" s="161"/>
      <c r="H878" s="161"/>
      <c r="I878" s="138"/>
      <c r="J878" s="138"/>
      <c r="K878" s="138"/>
      <c r="L878" s="138"/>
      <c r="M878" s="138"/>
      <c r="N878" s="138"/>
      <c r="O878" s="138"/>
      <c r="P878" s="138"/>
      <c r="Q878" s="138"/>
      <c r="R878" s="138"/>
      <c r="S878" s="138"/>
      <c r="T878" s="138"/>
      <c r="U878" s="138"/>
      <c r="V878" s="138"/>
      <c r="W878" s="138"/>
      <c r="X878" s="138"/>
      <c r="Y878" s="138"/>
      <c r="Z878" s="138"/>
      <c r="AA878" s="138"/>
      <c r="AB878" s="138"/>
      <c r="AC878" s="138"/>
    </row>
    <row r="879">
      <c r="A879" s="161"/>
      <c r="B879" s="161"/>
      <c r="C879" s="138"/>
      <c r="D879" s="160"/>
      <c r="E879" s="161"/>
      <c r="F879" s="161"/>
      <c r="G879" s="161"/>
      <c r="H879" s="161"/>
      <c r="I879" s="138"/>
      <c r="J879" s="138"/>
      <c r="K879" s="138"/>
      <c r="L879" s="138"/>
      <c r="M879" s="138"/>
      <c r="N879" s="138"/>
      <c r="O879" s="138"/>
      <c r="P879" s="138"/>
      <c r="Q879" s="138"/>
      <c r="R879" s="138"/>
      <c r="S879" s="138"/>
      <c r="T879" s="138"/>
      <c r="U879" s="138"/>
      <c r="V879" s="138"/>
      <c r="W879" s="138"/>
      <c r="X879" s="138"/>
      <c r="Y879" s="138"/>
      <c r="Z879" s="138"/>
      <c r="AA879" s="138"/>
      <c r="AB879" s="138"/>
      <c r="AC879" s="138"/>
    </row>
    <row r="880">
      <c r="A880" s="161"/>
      <c r="B880" s="161"/>
      <c r="C880" s="138"/>
      <c r="D880" s="160"/>
      <c r="E880" s="161"/>
      <c r="F880" s="161"/>
      <c r="G880" s="161"/>
      <c r="H880" s="161"/>
      <c r="I880" s="138"/>
      <c r="J880" s="138"/>
      <c r="K880" s="138"/>
      <c r="L880" s="138"/>
      <c r="M880" s="138"/>
      <c r="N880" s="138"/>
      <c r="O880" s="138"/>
      <c r="P880" s="138"/>
      <c r="Q880" s="138"/>
      <c r="R880" s="138"/>
      <c r="S880" s="138"/>
      <c r="T880" s="138"/>
      <c r="U880" s="138"/>
      <c r="V880" s="138"/>
      <c r="W880" s="138"/>
      <c r="X880" s="138"/>
      <c r="Y880" s="138"/>
      <c r="Z880" s="138"/>
      <c r="AA880" s="138"/>
      <c r="AB880" s="138"/>
      <c r="AC880" s="138"/>
    </row>
    <row r="881">
      <c r="A881" s="161"/>
      <c r="B881" s="161"/>
      <c r="C881" s="138"/>
      <c r="D881" s="160"/>
      <c r="E881" s="161"/>
      <c r="F881" s="161"/>
      <c r="G881" s="161"/>
      <c r="H881" s="161"/>
      <c r="I881" s="138"/>
      <c r="J881" s="138"/>
      <c r="K881" s="138"/>
      <c r="L881" s="138"/>
      <c r="M881" s="138"/>
      <c r="N881" s="138"/>
      <c r="O881" s="138"/>
      <c r="P881" s="138"/>
      <c r="Q881" s="138"/>
      <c r="R881" s="138"/>
      <c r="S881" s="138"/>
      <c r="T881" s="138"/>
      <c r="U881" s="138"/>
      <c r="V881" s="138"/>
      <c r="W881" s="138"/>
      <c r="X881" s="138"/>
      <c r="Y881" s="138"/>
      <c r="Z881" s="138"/>
      <c r="AA881" s="138"/>
      <c r="AB881" s="138"/>
      <c r="AC881" s="138"/>
    </row>
    <row r="882">
      <c r="A882" s="161"/>
      <c r="B882" s="161"/>
      <c r="C882" s="138"/>
      <c r="D882" s="160"/>
      <c r="E882" s="161"/>
      <c r="F882" s="161"/>
      <c r="G882" s="161"/>
      <c r="H882" s="161"/>
      <c r="I882" s="138"/>
      <c r="J882" s="138"/>
      <c r="K882" s="138"/>
      <c r="L882" s="138"/>
      <c r="M882" s="138"/>
      <c r="N882" s="138"/>
      <c r="O882" s="138"/>
      <c r="P882" s="138"/>
      <c r="Q882" s="138"/>
      <c r="R882" s="138"/>
      <c r="S882" s="138"/>
      <c r="T882" s="138"/>
      <c r="U882" s="138"/>
      <c r="V882" s="138"/>
      <c r="W882" s="138"/>
      <c r="X882" s="138"/>
      <c r="Y882" s="138"/>
      <c r="Z882" s="138"/>
      <c r="AA882" s="138"/>
      <c r="AB882" s="138"/>
      <c r="AC882" s="138"/>
    </row>
    <row r="883">
      <c r="A883" s="161"/>
      <c r="B883" s="161"/>
      <c r="C883" s="138"/>
      <c r="D883" s="160"/>
      <c r="E883" s="161"/>
      <c r="F883" s="161"/>
      <c r="G883" s="161"/>
      <c r="H883" s="161"/>
      <c r="I883" s="138"/>
      <c r="J883" s="138"/>
      <c r="K883" s="138"/>
      <c r="L883" s="138"/>
      <c r="M883" s="138"/>
      <c r="N883" s="138"/>
      <c r="O883" s="138"/>
      <c r="P883" s="138"/>
      <c r="Q883" s="138"/>
      <c r="R883" s="138"/>
      <c r="S883" s="138"/>
      <c r="T883" s="138"/>
      <c r="U883" s="138"/>
      <c r="V883" s="138"/>
      <c r="W883" s="138"/>
      <c r="X883" s="138"/>
      <c r="Y883" s="138"/>
      <c r="Z883" s="138"/>
      <c r="AA883" s="138"/>
      <c r="AB883" s="138"/>
      <c r="AC883" s="138"/>
    </row>
    <row r="884">
      <c r="A884" s="161"/>
      <c r="B884" s="161"/>
      <c r="C884" s="138"/>
      <c r="D884" s="160"/>
      <c r="E884" s="161"/>
      <c r="F884" s="161"/>
      <c r="G884" s="161"/>
      <c r="H884" s="161"/>
      <c r="I884" s="138"/>
      <c r="J884" s="138"/>
      <c r="K884" s="138"/>
      <c r="L884" s="138"/>
      <c r="M884" s="138"/>
      <c r="N884" s="138"/>
      <c r="O884" s="138"/>
      <c r="P884" s="138"/>
      <c r="Q884" s="138"/>
      <c r="R884" s="138"/>
      <c r="S884" s="138"/>
      <c r="T884" s="138"/>
      <c r="U884" s="138"/>
      <c r="V884" s="138"/>
      <c r="W884" s="138"/>
      <c r="X884" s="138"/>
      <c r="Y884" s="138"/>
      <c r="Z884" s="138"/>
      <c r="AA884" s="138"/>
      <c r="AB884" s="138"/>
      <c r="AC884" s="138"/>
    </row>
    <row r="885">
      <c r="A885" s="161"/>
      <c r="B885" s="161"/>
      <c r="C885" s="138"/>
      <c r="D885" s="160"/>
      <c r="E885" s="161"/>
      <c r="F885" s="161"/>
      <c r="G885" s="161"/>
      <c r="H885" s="161"/>
      <c r="I885" s="138"/>
      <c r="J885" s="138"/>
      <c r="K885" s="138"/>
      <c r="L885" s="138"/>
      <c r="M885" s="138"/>
      <c r="N885" s="138"/>
      <c r="O885" s="138"/>
      <c r="P885" s="138"/>
      <c r="Q885" s="138"/>
      <c r="R885" s="138"/>
      <c r="S885" s="138"/>
      <c r="T885" s="138"/>
      <c r="U885" s="138"/>
      <c r="V885" s="138"/>
      <c r="W885" s="138"/>
      <c r="X885" s="138"/>
      <c r="Y885" s="138"/>
      <c r="Z885" s="138"/>
      <c r="AA885" s="138"/>
      <c r="AB885" s="138"/>
      <c r="AC885" s="138"/>
    </row>
    <row r="886">
      <c r="A886" s="161"/>
      <c r="B886" s="161"/>
      <c r="C886" s="138"/>
      <c r="D886" s="160"/>
      <c r="E886" s="161"/>
      <c r="F886" s="161"/>
      <c r="G886" s="161"/>
      <c r="H886" s="161"/>
      <c r="I886" s="138"/>
      <c r="J886" s="138"/>
      <c r="K886" s="138"/>
      <c r="L886" s="138"/>
      <c r="M886" s="138"/>
      <c r="N886" s="138"/>
      <c r="O886" s="138"/>
      <c r="P886" s="138"/>
      <c r="Q886" s="138"/>
      <c r="R886" s="138"/>
      <c r="S886" s="138"/>
      <c r="T886" s="138"/>
      <c r="U886" s="138"/>
      <c r="V886" s="138"/>
      <c r="W886" s="138"/>
      <c r="X886" s="138"/>
      <c r="Y886" s="138"/>
      <c r="Z886" s="138"/>
      <c r="AA886" s="138"/>
      <c r="AB886" s="138"/>
      <c r="AC886" s="138"/>
    </row>
    <row r="887">
      <c r="A887" s="161"/>
      <c r="B887" s="161"/>
      <c r="C887" s="138"/>
      <c r="D887" s="160"/>
      <c r="E887" s="161"/>
      <c r="F887" s="161"/>
      <c r="G887" s="161"/>
      <c r="H887" s="161"/>
      <c r="I887" s="138"/>
      <c r="J887" s="138"/>
      <c r="K887" s="138"/>
      <c r="L887" s="138"/>
      <c r="M887" s="138"/>
      <c r="N887" s="138"/>
      <c r="O887" s="138"/>
      <c r="P887" s="138"/>
      <c r="Q887" s="138"/>
      <c r="R887" s="138"/>
      <c r="S887" s="138"/>
      <c r="T887" s="138"/>
      <c r="U887" s="138"/>
      <c r="V887" s="138"/>
      <c r="W887" s="138"/>
      <c r="X887" s="138"/>
      <c r="Y887" s="138"/>
      <c r="Z887" s="138"/>
      <c r="AA887" s="138"/>
      <c r="AB887" s="138"/>
      <c r="AC887" s="138"/>
    </row>
    <row r="888">
      <c r="A888" s="161"/>
      <c r="B888" s="161"/>
      <c r="C888" s="138"/>
      <c r="D888" s="160"/>
      <c r="E888" s="161"/>
      <c r="F888" s="161"/>
      <c r="G888" s="161"/>
      <c r="H888" s="161"/>
      <c r="I888" s="138"/>
      <c r="J888" s="138"/>
      <c r="K888" s="138"/>
      <c r="L888" s="138"/>
      <c r="M888" s="138"/>
      <c r="N888" s="138"/>
      <c r="O888" s="138"/>
      <c r="P888" s="138"/>
      <c r="Q888" s="138"/>
      <c r="R888" s="138"/>
      <c r="S888" s="138"/>
      <c r="T888" s="138"/>
      <c r="U888" s="138"/>
      <c r="V888" s="138"/>
      <c r="W888" s="138"/>
      <c r="X888" s="138"/>
      <c r="Y888" s="138"/>
      <c r="Z888" s="138"/>
      <c r="AA888" s="138"/>
      <c r="AB888" s="138"/>
      <c r="AC888" s="138"/>
    </row>
    <row r="889">
      <c r="A889" s="161"/>
      <c r="B889" s="161"/>
      <c r="C889" s="138"/>
      <c r="D889" s="160"/>
      <c r="E889" s="161"/>
      <c r="F889" s="161"/>
      <c r="G889" s="161"/>
      <c r="H889" s="161"/>
      <c r="I889" s="138"/>
      <c r="J889" s="138"/>
      <c r="K889" s="138"/>
      <c r="L889" s="138"/>
      <c r="M889" s="138"/>
      <c r="N889" s="138"/>
      <c r="O889" s="138"/>
      <c r="P889" s="138"/>
      <c r="Q889" s="138"/>
      <c r="R889" s="138"/>
      <c r="S889" s="138"/>
      <c r="T889" s="138"/>
      <c r="U889" s="138"/>
      <c r="V889" s="138"/>
      <c r="W889" s="138"/>
      <c r="X889" s="138"/>
      <c r="Y889" s="138"/>
      <c r="Z889" s="138"/>
      <c r="AA889" s="138"/>
      <c r="AB889" s="138"/>
      <c r="AC889" s="138"/>
    </row>
    <row r="890">
      <c r="A890" s="161"/>
      <c r="B890" s="161"/>
      <c r="C890" s="138"/>
      <c r="D890" s="160"/>
      <c r="E890" s="161"/>
      <c r="F890" s="161"/>
      <c r="G890" s="161"/>
      <c r="H890" s="161"/>
      <c r="I890" s="138"/>
      <c r="J890" s="138"/>
      <c r="K890" s="138"/>
      <c r="L890" s="138"/>
      <c r="M890" s="138"/>
      <c r="N890" s="138"/>
      <c r="O890" s="138"/>
      <c r="P890" s="138"/>
      <c r="Q890" s="138"/>
      <c r="R890" s="138"/>
      <c r="S890" s="138"/>
      <c r="T890" s="138"/>
      <c r="U890" s="138"/>
      <c r="V890" s="138"/>
      <c r="W890" s="138"/>
      <c r="X890" s="138"/>
      <c r="Y890" s="138"/>
      <c r="Z890" s="138"/>
      <c r="AA890" s="138"/>
      <c r="AB890" s="138"/>
      <c r="AC890" s="138"/>
    </row>
    <row r="891">
      <c r="A891" s="161"/>
      <c r="B891" s="161"/>
      <c r="C891" s="138"/>
      <c r="D891" s="160"/>
      <c r="E891" s="161"/>
      <c r="F891" s="161"/>
      <c r="G891" s="161"/>
      <c r="H891" s="161"/>
      <c r="I891" s="138"/>
      <c r="J891" s="138"/>
      <c r="K891" s="138"/>
      <c r="L891" s="138"/>
      <c r="M891" s="138"/>
      <c r="N891" s="138"/>
      <c r="O891" s="138"/>
      <c r="P891" s="138"/>
      <c r="Q891" s="138"/>
      <c r="R891" s="138"/>
      <c r="S891" s="138"/>
      <c r="T891" s="138"/>
      <c r="U891" s="138"/>
      <c r="V891" s="138"/>
      <c r="W891" s="138"/>
      <c r="X891" s="138"/>
      <c r="Y891" s="138"/>
      <c r="Z891" s="138"/>
      <c r="AA891" s="138"/>
      <c r="AB891" s="138"/>
      <c r="AC891" s="138"/>
    </row>
    <row r="892">
      <c r="A892" s="161"/>
      <c r="B892" s="161"/>
      <c r="C892" s="138"/>
      <c r="D892" s="160"/>
      <c r="E892" s="161"/>
      <c r="F892" s="161"/>
      <c r="G892" s="161"/>
      <c r="H892" s="161"/>
      <c r="I892" s="138"/>
      <c r="J892" s="138"/>
      <c r="K892" s="138"/>
      <c r="L892" s="138"/>
      <c r="M892" s="138"/>
      <c r="N892" s="138"/>
      <c r="O892" s="138"/>
      <c r="P892" s="138"/>
      <c r="Q892" s="138"/>
      <c r="R892" s="138"/>
      <c r="S892" s="138"/>
      <c r="T892" s="138"/>
      <c r="U892" s="138"/>
      <c r="V892" s="138"/>
      <c r="W892" s="138"/>
      <c r="X892" s="138"/>
      <c r="Y892" s="138"/>
      <c r="Z892" s="138"/>
      <c r="AA892" s="138"/>
      <c r="AB892" s="138"/>
      <c r="AC892" s="138"/>
    </row>
    <row r="893">
      <c r="A893" s="161"/>
      <c r="B893" s="161"/>
      <c r="C893" s="138"/>
      <c r="D893" s="160"/>
      <c r="E893" s="161"/>
      <c r="F893" s="161"/>
      <c r="G893" s="161"/>
      <c r="H893" s="161"/>
      <c r="I893" s="138"/>
      <c r="J893" s="138"/>
      <c r="K893" s="138"/>
      <c r="L893" s="138"/>
      <c r="M893" s="138"/>
      <c r="N893" s="138"/>
      <c r="O893" s="138"/>
      <c r="P893" s="138"/>
      <c r="Q893" s="138"/>
      <c r="R893" s="138"/>
      <c r="S893" s="138"/>
      <c r="T893" s="138"/>
      <c r="U893" s="138"/>
      <c r="V893" s="138"/>
      <c r="W893" s="138"/>
      <c r="X893" s="138"/>
      <c r="Y893" s="138"/>
      <c r="Z893" s="138"/>
      <c r="AA893" s="138"/>
      <c r="AB893" s="138"/>
      <c r="AC893" s="138"/>
    </row>
    <row r="894">
      <c r="A894" s="161"/>
      <c r="B894" s="161"/>
      <c r="C894" s="138"/>
      <c r="D894" s="160"/>
      <c r="E894" s="161"/>
      <c r="F894" s="161"/>
      <c r="G894" s="161"/>
      <c r="H894" s="161"/>
      <c r="I894" s="138"/>
      <c r="J894" s="138"/>
      <c r="K894" s="138"/>
      <c r="L894" s="138"/>
      <c r="M894" s="138"/>
      <c r="N894" s="138"/>
      <c r="O894" s="138"/>
      <c r="P894" s="138"/>
      <c r="Q894" s="138"/>
      <c r="R894" s="138"/>
      <c r="S894" s="138"/>
      <c r="T894" s="138"/>
      <c r="U894" s="138"/>
      <c r="V894" s="138"/>
      <c r="W894" s="138"/>
      <c r="X894" s="138"/>
      <c r="Y894" s="138"/>
      <c r="Z894" s="138"/>
      <c r="AA894" s="138"/>
      <c r="AB894" s="138"/>
      <c r="AC894" s="138"/>
    </row>
    <row r="895">
      <c r="A895" s="161"/>
      <c r="B895" s="161"/>
      <c r="C895" s="138"/>
      <c r="D895" s="160"/>
      <c r="E895" s="161"/>
      <c r="F895" s="161"/>
      <c r="G895" s="161"/>
      <c r="H895" s="161"/>
      <c r="I895" s="138"/>
      <c r="J895" s="138"/>
      <c r="K895" s="138"/>
      <c r="L895" s="138"/>
      <c r="M895" s="138"/>
      <c r="N895" s="138"/>
      <c r="O895" s="138"/>
      <c r="P895" s="138"/>
      <c r="Q895" s="138"/>
      <c r="R895" s="138"/>
      <c r="S895" s="138"/>
      <c r="T895" s="138"/>
      <c r="U895" s="138"/>
      <c r="V895" s="138"/>
      <c r="W895" s="138"/>
      <c r="X895" s="138"/>
      <c r="Y895" s="138"/>
      <c r="Z895" s="138"/>
      <c r="AA895" s="138"/>
      <c r="AB895" s="138"/>
      <c r="AC895" s="138"/>
    </row>
    <row r="896">
      <c r="A896" s="161"/>
      <c r="B896" s="161"/>
      <c r="C896" s="138"/>
      <c r="D896" s="160"/>
      <c r="E896" s="161"/>
      <c r="F896" s="161"/>
      <c r="G896" s="161"/>
      <c r="H896" s="161"/>
      <c r="I896" s="138"/>
      <c r="J896" s="138"/>
      <c r="K896" s="138"/>
      <c r="L896" s="138"/>
      <c r="M896" s="138"/>
      <c r="N896" s="138"/>
      <c r="O896" s="138"/>
      <c r="P896" s="138"/>
      <c r="Q896" s="138"/>
      <c r="R896" s="138"/>
      <c r="S896" s="138"/>
      <c r="T896" s="138"/>
      <c r="U896" s="138"/>
      <c r="V896" s="138"/>
      <c r="W896" s="138"/>
      <c r="X896" s="138"/>
      <c r="Y896" s="138"/>
      <c r="Z896" s="138"/>
      <c r="AA896" s="138"/>
      <c r="AB896" s="138"/>
      <c r="AC896" s="138"/>
    </row>
    <row r="897">
      <c r="A897" s="161"/>
      <c r="B897" s="161"/>
      <c r="C897" s="138"/>
      <c r="D897" s="160"/>
      <c r="E897" s="161"/>
      <c r="F897" s="161"/>
      <c r="G897" s="161"/>
      <c r="H897" s="161"/>
      <c r="I897" s="138"/>
      <c r="J897" s="138"/>
      <c r="K897" s="138"/>
      <c r="L897" s="138"/>
      <c r="M897" s="138"/>
      <c r="N897" s="138"/>
      <c r="O897" s="138"/>
      <c r="P897" s="138"/>
      <c r="Q897" s="138"/>
      <c r="R897" s="138"/>
      <c r="S897" s="138"/>
      <c r="T897" s="138"/>
      <c r="U897" s="138"/>
      <c r="V897" s="138"/>
      <c r="W897" s="138"/>
      <c r="X897" s="138"/>
      <c r="Y897" s="138"/>
      <c r="Z897" s="138"/>
      <c r="AA897" s="138"/>
      <c r="AB897" s="138"/>
      <c r="AC897" s="138"/>
    </row>
    <row r="898">
      <c r="A898" s="161"/>
      <c r="B898" s="161"/>
      <c r="C898" s="138"/>
      <c r="D898" s="160"/>
      <c r="E898" s="161"/>
      <c r="F898" s="161"/>
      <c r="G898" s="161"/>
      <c r="H898" s="161"/>
      <c r="I898" s="138"/>
      <c r="J898" s="138"/>
      <c r="K898" s="138"/>
      <c r="L898" s="138"/>
      <c r="M898" s="138"/>
      <c r="N898" s="138"/>
      <c r="O898" s="138"/>
      <c r="P898" s="138"/>
      <c r="Q898" s="138"/>
      <c r="R898" s="138"/>
      <c r="S898" s="138"/>
      <c r="T898" s="138"/>
      <c r="U898" s="138"/>
      <c r="V898" s="138"/>
      <c r="W898" s="138"/>
      <c r="X898" s="138"/>
      <c r="Y898" s="138"/>
      <c r="Z898" s="138"/>
      <c r="AA898" s="138"/>
      <c r="AB898" s="138"/>
      <c r="AC898" s="138"/>
    </row>
    <row r="899">
      <c r="A899" s="161"/>
      <c r="B899" s="161"/>
      <c r="C899" s="138"/>
      <c r="D899" s="160"/>
      <c r="E899" s="161"/>
      <c r="F899" s="161"/>
      <c r="G899" s="161"/>
      <c r="H899" s="161"/>
      <c r="I899" s="138"/>
      <c r="J899" s="138"/>
      <c r="K899" s="138"/>
      <c r="L899" s="138"/>
      <c r="M899" s="138"/>
      <c r="N899" s="138"/>
      <c r="O899" s="138"/>
      <c r="P899" s="138"/>
      <c r="Q899" s="138"/>
      <c r="R899" s="138"/>
      <c r="S899" s="138"/>
      <c r="T899" s="138"/>
      <c r="U899" s="138"/>
      <c r="V899" s="138"/>
      <c r="W899" s="138"/>
      <c r="X899" s="138"/>
      <c r="Y899" s="138"/>
      <c r="Z899" s="138"/>
      <c r="AA899" s="138"/>
      <c r="AB899" s="138"/>
      <c r="AC899" s="138"/>
    </row>
    <row r="900">
      <c r="A900" s="161"/>
      <c r="B900" s="161"/>
      <c r="C900" s="138"/>
      <c r="D900" s="160"/>
      <c r="E900" s="161"/>
      <c r="F900" s="161"/>
      <c r="G900" s="161"/>
      <c r="H900" s="161"/>
      <c r="I900" s="138"/>
      <c r="J900" s="138"/>
      <c r="K900" s="138"/>
      <c r="L900" s="138"/>
      <c r="M900" s="138"/>
      <c r="N900" s="138"/>
      <c r="O900" s="138"/>
      <c r="P900" s="138"/>
      <c r="Q900" s="138"/>
      <c r="R900" s="138"/>
      <c r="S900" s="138"/>
      <c r="T900" s="138"/>
      <c r="U900" s="138"/>
      <c r="V900" s="138"/>
      <c r="W900" s="138"/>
      <c r="X900" s="138"/>
      <c r="Y900" s="138"/>
      <c r="Z900" s="138"/>
      <c r="AA900" s="138"/>
      <c r="AB900" s="138"/>
      <c r="AC900" s="138"/>
    </row>
    <row r="901">
      <c r="A901" s="161"/>
      <c r="B901" s="161"/>
      <c r="C901" s="138"/>
      <c r="D901" s="160"/>
      <c r="E901" s="161"/>
      <c r="F901" s="161"/>
      <c r="G901" s="161"/>
      <c r="H901" s="161"/>
      <c r="I901" s="138"/>
      <c r="J901" s="138"/>
      <c r="K901" s="138"/>
      <c r="L901" s="138"/>
      <c r="M901" s="138"/>
      <c r="N901" s="138"/>
      <c r="O901" s="138"/>
      <c r="P901" s="138"/>
      <c r="Q901" s="138"/>
      <c r="R901" s="138"/>
      <c r="S901" s="138"/>
      <c r="T901" s="138"/>
      <c r="U901" s="138"/>
      <c r="V901" s="138"/>
      <c r="W901" s="138"/>
      <c r="X901" s="138"/>
      <c r="Y901" s="138"/>
      <c r="Z901" s="138"/>
      <c r="AA901" s="138"/>
      <c r="AB901" s="138"/>
      <c r="AC901" s="138"/>
    </row>
    <row r="902">
      <c r="A902" s="161"/>
      <c r="B902" s="161"/>
      <c r="C902" s="138"/>
      <c r="D902" s="160"/>
      <c r="E902" s="161"/>
      <c r="F902" s="161"/>
      <c r="G902" s="161"/>
      <c r="H902" s="161"/>
      <c r="I902" s="138"/>
      <c r="J902" s="138"/>
      <c r="K902" s="138"/>
      <c r="L902" s="138"/>
      <c r="M902" s="138"/>
      <c r="N902" s="138"/>
      <c r="O902" s="138"/>
      <c r="P902" s="138"/>
      <c r="Q902" s="138"/>
      <c r="R902" s="138"/>
      <c r="S902" s="138"/>
      <c r="T902" s="138"/>
      <c r="U902" s="138"/>
      <c r="V902" s="138"/>
      <c r="W902" s="138"/>
      <c r="X902" s="138"/>
      <c r="Y902" s="138"/>
      <c r="Z902" s="138"/>
      <c r="AA902" s="138"/>
      <c r="AB902" s="138"/>
      <c r="AC902" s="138"/>
    </row>
    <row r="903">
      <c r="A903" s="161"/>
      <c r="B903" s="161"/>
      <c r="C903" s="138"/>
      <c r="D903" s="160"/>
      <c r="E903" s="161"/>
      <c r="F903" s="161"/>
      <c r="G903" s="161"/>
      <c r="H903" s="161"/>
      <c r="I903" s="138"/>
      <c r="J903" s="138"/>
      <c r="K903" s="138"/>
      <c r="L903" s="138"/>
      <c r="M903" s="138"/>
      <c r="N903" s="138"/>
      <c r="O903" s="138"/>
      <c r="P903" s="138"/>
      <c r="Q903" s="138"/>
      <c r="R903" s="138"/>
      <c r="S903" s="138"/>
      <c r="T903" s="138"/>
      <c r="U903" s="138"/>
      <c r="V903" s="138"/>
      <c r="W903" s="138"/>
      <c r="X903" s="138"/>
      <c r="Y903" s="138"/>
      <c r="Z903" s="138"/>
      <c r="AA903" s="138"/>
      <c r="AB903" s="138"/>
      <c r="AC903" s="138"/>
    </row>
    <row r="904">
      <c r="A904" s="161"/>
      <c r="B904" s="161"/>
      <c r="C904" s="138"/>
      <c r="D904" s="160"/>
      <c r="E904" s="161"/>
      <c r="F904" s="161"/>
      <c r="G904" s="161"/>
      <c r="H904" s="161"/>
      <c r="I904" s="138"/>
      <c r="J904" s="138"/>
      <c r="K904" s="138"/>
      <c r="L904" s="138"/>
      <c r="M904" s="138"/>
      <c r="N904" s="138"/>
      <c r="O904" s="138"/>
      <c r="P904" s="138"/>
      <c r="Q904" s="138"/>
      <c r="R904" s="138"/>
      <c r="S904" s="138"/>
      <c r="T904" s="138"/>
      <c r="U904" s="138"/>
      <c r="V904" s="138"/>
      <c r="W904" s="138"/>
      <c r="X904" s="138"/>
      <c r="Y904" s="138"/>
      <c r="Z904" s="138"/>
      <c r="AA904" s="138"/>
      <c r="AB904" s="138"/>
      <c r="AC904" s="138"/>
    </row>
    <row r="905">
      <c r="A905" s="161"/>
      <c r="B905" s="161"/>
      <c r="C905" s="138"/>
      <c r="D905" s="160"/>
      <c r="E905" s="161"/>
      <c r="F905" s="161"/>
      <c r="G905" s="161"/>
      <c r="H905" s="161"/>
      <c r="I905" s="138"/>
      <c r="J905" s="138"/>
      <c r="K905" s="138"/>
      <c r="L905" s="138"/>
      <c r="M905" s="138"/>
      <c r="N905" s="138"/>
      <c r="O905" s="138"/>
      <c r="P905" s="138"/>
      <c r="Q905" s="138"/>
      <c r="R905" s="138"/>
      <c r="S905" s="138"/>
      <c r="T905" s="138"/>
      <c r="U905" s="138"/>
      <c r="V905" s="138"/>
      <c r="W905" s="138"/>
      <c r="X905" s="138"/>
      <c r="Y905" s="138"/>
      <c r="Z905" s="138"/>
      <c r="AA905" s="138"/>
      <c r="AB905" s="138"/>
      <c r="AC905" s="138"/>
    </row>
    <row r="906">
      <c r="A906" s="161"/>
      <c r="B906" s="161"/>
      <c r="C906" s="138"/>
      <c r="D906" s="160"/>
      <c r="E906" s="161"/>
      <c r="F906" s="161"/>
      <c r="G906" s="161"/>
      <c r="H906" s="161"/>
      <c r="I906" s="138"/>
      <c r="J906" s="138"/>
      <c r="K906" s="138"/>
      <c r="L906" s="138"/>
      <c r="M906" s="138"/>
      <c r="N906" s="138"/>
      <c r="O906" s="138"/>
      <c r="P906" s="138"/>
      <c r="Q906" s="138"/>
      <c r="R906" s="138"/>
      <c r="S906" s="138"/>
      <c r="T906" s="138"/>
      <c r="U906" s="138"/>
      <c r="V906" s="138"/>
      <c r="W906" s="138"/>
      <c r="X906" s="138"/>
      <c r="Y906" s="138"/>
      <c r="Z906" s="138"/>
      <c r="AA906" s="138"/>
      <c r="AB906" s="138"/>
      <c r="AC906" s="138"/>
    </row>
    <row r="907">
      <c r="A907" s="161"/>
      <c r="B907" s="161"/>
      <c r="C907" s="138"/>
      <c r="D907" s="160"/>
      <c r="E907" s="161"/>
      <c r="F907" s="161"/>
      <c r="G907" s="161"/>
      <c r="H907" s="161"/>
      <c r="I907" s="138"/>
      <c r="J907" s="138"/>
      <c r="K907" s="138"/>
      <c r="L907" s="138"/>
      <c r="M907" s="138"/>
      <c r="N907" s="138"/>
      <c r="O907" s="138"/>
      <c r="P907" s="138"/>
      <c r="Q907" s="138"/>
      <c r="R907" s="138"/>
      <c r="S907" s="138"/>
      <c r="T907" s="138"/>
      <c r="U907" s="138"/>
      <c r="V907" s="138"/>
      <c r="W907" s="138"/>
      <c r="X907" s="138"/>
      <c r="Y907" s="138"/>
      <c r="Z907" s="138"/>
      <c r="AA907" s="138"/>
      <c r="AB907" s="138"/>
      <c r="AC907" s="138"/>
    </row>
    <row r="908">
      <c r="A908" s="161"/>
      <c r="B908" s="161"/>
      <c r="C908" s="138"/>
      <c r="D908" s="160"/>
      <c r="E908" s="161"/>
      <c r="F908" s="161"/>
      <c r="G908" s="161"/>
      <c r="H908" s="161"/>
      <c r="I908" s="138"/>
      <c r="J908" s="138"/>
      <c r="K908" s="138"/>
      <c r="L908" s="138"/>
      <c r="M908" s="138"/>
      <c r="N908" s="138"/>
      <c r="O908" s="138"/>
      <c r="P908" s="138"/>
      <c r="Q908" s="138"/>
      <c r="R908" s="138"/>
      <c r="S908" s="138"/>
      <c r="T908" s="138"/>
      <c r="U908" s="138"/>
      <c r="V908" s="138"/>
      <c r="W908" s="138"/>
      <c r="X908" s="138"/>
      <c r="Y908" s="138"/>
      <c r="Z908" s="138"/>
      <c r="AA908" s="138"/>
      <c r="AB908" s="138"/>
      <c r="AC908" s="138"/>
    </row>
    <row r="909">
      <c r="A909" s="161"/>
      <c r="B909" s="161"/>
      <c r="C909" s="138"/>
      <c r="D909" s="160"/>
      <c r="E909" s="161"/>
      <c r="F909" s="161"/>
      <c r="G909" s="161"/>
      <c r="H909" s="161"/>
      <c r="I909" s="138"/>
      <c r="J909" s="138"/>
      <c r="K909" s="138"/>
      <c r="L909" s="138"/>
      <c r="M909" s="138"/>
      <c r="N909" s="138"/>
      <c r="O909" s="138"/>
      <c r="P909" s="138"/>
      <c r="Q909" s="138"/>
      <c r="R909" s="138"/>
      <c r="S909" s="138"/>
      <c r="T909" s="138"/>
      <c r="U909" s="138"/>
      <c r="V909" s="138"/>
      <c r="W909" s="138"/>
      <c r="X909" s="138"/>
      <c r="Y909" s="138"/>
      <c r="Z909" s="138"/>
      <c r="AA909" s="138"/>
      <c r="AB909" s="138"/>
      <c r="AC909" s="138"/>
    </row>
    <row r="910">
      <c r="A910" s="161"/>
      <c r="B910" s="161"/>
      <c r="C910" s="138"/>
      <c r="D910" s="160"/>
      <c r="E910" s="161"/>
      <c r="F910" s="161"/>
      <c r="G910" s="161"/>
      <c r="H910" s="161"/>
      <c r="I910" s="138"/>
      <c r="J910" s="138"/>
      <c r="K910" s="138"/>
      <c r="L910" s="138"/>
      <c r="M910" s="138"/>
      <c r="N910" s="138"/>
      <c r="O910" s="138"/>
      <c r="P910" s="138"/>
      <c r="Q910" s="138"/>
      <c r="R910" s="138"/>
      <c r="S910" s="138"/>
      <c r="T910" s="138"/>
      <c r="U910" s="138"/>
      <c r="V910" s="138"/>
      <c r="W910" s="138"/>
      <c r="X910" s="138"/>
      <c r="Y910" s="138"/>
      <c r="Z910" s="138"/>
      <c r="AA910" s="138"/>
      <c r="AB910" s="138"/>
      <c r="AC910" s="138"/>
    </row>
    <row r="911">
      <c r="A911" s="161"/>
      <c r="B911" s="161"/>
      <c r="C911" s="138"/>
      <c r="D911" s="160"/>
      <c r="E911" s="161"/>
      <c r="F911" s="161"/>
      <c r="G911" s="161"/>
      <c r="H911" s="161"/>
      <c r="I911" s="138"/>
      <c r="J911" s="138"/>
      <c r="K911" s="138"/>
      <c r="L911" s="138"/>
      <c r="M911" s="138"/>
      <c r="N911" s="138"/>
      <c r="O911" s="138"/>
      <c r="P911" s="138"/>
      <c r="Q911" s="138"/>
      <c r="R911" s="138"/>
      <c r="S911" s="138"/>
      <c r="T911" s="138"/>
      <c r="U911" s="138"/>
      <c r="V911" s="138"/>
      <c r="W911" s="138"/>
      <c r="X911" s="138"/>
      <c r="Y911" s="138"/>
      <c r="Z911" s="138"/>
      <c r="AA911" s="138"/>
      <c r="AB911" s="138"/>
      <c r="AC911" s="138"/>
    </row>
    <row r="912">
      <c r="A912" s="161"/>
      <c r="B912" s="161"/>
      <c r="C912" s="138"/>
      <c r="D912" s="160"/>
      <c r="E912" s="161"/>
      <c r="F912" s="161"/>
      <c r="G912" s="161"/>
      <c r="H912" s="161"/>
      <c r="I912" s="138"/>
      <c r="J912" s="138"/>
      <c r="K912" s="138"/>
      <c r="L912" s="138"/>
      <c r="M912" s="138"/>
      <c r="N912" s="138"/>
      <c r="O912" s="138"/>
      <c r="P912" s="138"/>
      <c r="Q912" s="138"/>
      <c r="R912" s="138"/>
      <c r="S912" s="138"/>
      <c r="T912" s="138"/>
      <c r="U912" s="138"/>
      <c r="V912" s="138"/>
      <c r="W912" s="138"/>
      <c r="X912" s="138"/>
      <c r="Y912" s="138"/>
      <c r="Z912" s="138"/>
      <c r="AA912" s="138"/>
      <c r="AB912" s="138"/>
      <c r="AC912" s="138"/>
    </row>
    <row r="913">
      <c r="A913" s="161"/>
      <c r="B913" s="161"/>
      <c r="C913" s="138"/>
      <c r="D913" s="160"/>
      <c r="E913" s="161"/>
      <c r="F913" s="161"/>
      <c r="G913" s="161"/>
      <c r="H913" s="161"/>
      <c r="I913" s="138"/>
      <c r="J913" s="138"/>
      <c r="K913" s="138"/>
      <c r="L913" s="138"/>
      <c r="M913" s="138"/>
      <c r="N913" s="138"/>
      <c r="O913" s="138"/>
      <c r="P913" s="138"/>
      <c r="Q913" s="138"/>
      <c r="R913" s="138"/>
      <c r="S913" s="138"/>
      <c r="T913" s="138"/>
      <c r="U913" s="138"/>
      <c r="V913" s="138"/>
      <c r="W913" s="138"/>
      <c r="X913" s="138"/>
      <c r="Y913" s="138"/>
      <c r="Z913" s="138"/>
      <c r="AA913" s="138"/>
      <c r="AB913" s="138"/>
      <c r="AC913" s="138"/>
    </row>
    <row r="914">
      <c r="A914" s="161"/>
      <c r="B914" s="161"/>
      <c r="C914" s="138"/>
      <c r="D914" s="160"/>
      <c r="E914" s="161"/>
      <c r="F914" s="161"/>
      <c r="G914" s="161"/>
      <c r="H914" s="161"/>
      <c r="I914" s="138"/>
      <c r="J914" s="138"/>
      <c r="K914" s="138"/>
      <c r="L914" s="138"/>
      <c r="M914" s="138"/>
      <c r="N914" s="138"/>
      <c r="O914" s="138"/>
      <c r="P914" s="138"/>
      <c r="Q914" s="138"/>
      <c r="R914" s="138"/>
      <c r="S914" s="138"/>
      <c r="T914" s="138"/>
      <c r="U914" s="138"/>
      <c r="V914" s="138"/>
      <c r="W914" s="138"/>
      <c r="X914" s="138"/>
      <c r="Y914" s="138"/>
      <c r="Z914" s="138"/>
      <c r="AA914" s="138"/>
      <c r="AB914" s="138"/>
      <c r="AC914" s="138"/>
    </row>
    <row r="915">
      <c r="A915" s="161"/>
      <c r="B915" s="161"/>
      <c r="C915" s="138"/>
      <c r="D915" s="160"/>
      <c r="E915" s="161"/>
      <c r="F915" s="161"/>
      <c r="G915" s="161"/>
      <c r="H915" s="161"/>
      <c r="I915" s="138"/>
      <c r="J915" s="138"/>
      <c r="K915" s="138"/>
      <c r="L915" s="138"/>
      <c r="M915" s="138"/>
      <c r="N915" s="138"/>
      <c r="O915" s="138"/>
      <c r="P915" s="138"/>
      <c r="Q915" s="138"/>
      <c r="R915" s="138"/>
      <c r="S915" s="138"/>
      <c r="T915" s="138"/>
      <c r="U915" s="138"/>
      <c r="V915" s="138"/>
      <c r="W915" s="138"/>
      <c r="X915" s="138"/>
      <c r="Y915" s="138"/>
      <c r="Z915" s="138"/>
      <c r="AA915" s="138"/>
      <c r="AB915" s="138"/>
      <c r="AC915" s="138"/>
    </row>
    <row r="916">
      <c r="A916" s="161"/>
      <c r="B916" s="161"/>
      <c r="C916" s="138"/>
      <c r="D916" s="160"/>
      <c r="E916" s="161"/>
      <c r="F916" s="161"/>
      <c r="G916" s="161"/>
      <c r="H916" s="161"/>
      <c r="I916" s="138"/>
      <c r="J916" s="138"/>
      <c r="K916" s="138"/>
      <c r="L916" s="138"/>
      <c r="M916" s="138"/>
      <c r="N916" s="138"/>
      <c r="O916" s="138"/>
      <c r="P916" s="138"/>
      <c r="Q916" s="138"/>
      <c r="R916" s="138"/>
      <c r="S916" s="138"/>
      <c r="T916" s="138"/>
      <c r="U916" s="138"/>
      <c r="V916" s="138"/>
      <c r="W916" s="138"/>
      <c r="X916" s="138"/>
      <c r="Y916" s="138"/>
      <c r="Z916" s="138"/>
      <c r="AA916" s="138"/>
      <c r="AB916" s="138"/>
      <c r="AC916" s="138"/>
    </row>
    <row r="917">
      <c r="A917" s="161"/>
      <c r="B917" s="161"/>
      <c r="C917" s="138"/>
      <c r="D917" s="160"/>
      <c r="E917" s="161"/>
      <c r="F917" s="161"/>
      <c r="G917" s="161"/>
      <c r="H917" s="161"/>
      <c r="I917" s="138"/>
      <c r="J917" s="138"/>
      <c r="K917" s="138"/>
      <c r="L917" s="138"/>
      <c r="M917" s="138"/>
      <c r="N917" s="138"/>
      <c r="O917" s="138"/>
      <c r="P917" s="138"/>
      <c r="Q917" s="138"/>
      <c r="R917" s="138"/>
      <c r="S917" s="138"/>
      <c r="T917" s="138"/>
      <c r="U917" s="138"/>
      <c r="V917" s="138"/>
      <c r="W917" s="138"/>
      <c r="X917" s="138"/>
      <c r="Y917" s="138"/>
      <c r="Z917" s="138"/>
      <c r="AA917" s="138"/>
      <c r="AB917" s="138"/>
      <c r="AC917" s="138"/>
    </row>
    <row r="918">
      <c r="A918" s="161"/>
      <c r="B918" s="161"/>
      <c r="C918" s="138"/>
      <c r="D918" s="160"/>
      <c r="E918" s="161"/>
      <c r="F918" s="161"/>
      <c r="G918" s="161"/>
      <c r="H918" s="161"/>
      <c r="I918" s="138"/>
      <c r="J918" s="138"/>
      <c r="K918" s="138"/>
      <c r="L918" s="138"/>
      <c r="M918" s="138"/>
      <c r="N918" s="138"/>
      <c r="O918" s="138"/>
      <c r="P918" s="138"/>
      <c r="Q918" s="138"/>
      <c r="R918" s="138"/>
      <c r="S918" s="138"/>
      <c r="T918" s="138"/>
      <c r="U918" s="138"/>
      <c r="V918" s="138"/>
      <c r="W918" s="138"/>
      <c r="X918" s="138"/>
      <c r="Y918" s="138"/>
      <c r="Z918" s="138"/>
      <c r="AA918" s="138"/>
      <c r="AB918" s="138"/>
      <c r="AC918" s="138"/>
    </row>
    <row r="919">
      <c r="A919" s="161"/>
      <c r="B919" s="161"/>
      <c r="C919" s="138"/>
      <c r="D919" s="160"/>
      <c r="E919" s="161"/>
      <c r="F919" s="161"/>
      <c r="G919" s="161"/>
      <c r="H919" s="161"/>
      <c r="I919" s="138"/>
      <c r="J919" s="138"/>
      <c r="K919" s="138"/>
      <c r="L919" s="138"/>
      <c r="M919" s="138"/>
      <c r="N919" s="138"/>
      <c r="O919" s="138"/>
      <c r="P919" s="138"/>
      <c r="Q919" s="138"/>
      <c r="R919" s="138"/>
      <c r="S919" s="138"/>
      <c r="T919" s="138"/>
      <c r="U919" s="138"/>
      <c r="V919" s="138"/>
      <c r="W919" s="138"/>
      <c r="X919" s="138"/>
      <c r="Y919" s="138"/>
      <c r="Z919" s="138"/>
      <c r="AA919" s="138"/>
      <c r="AB919" s="138"/>
      <c r="AC919" s="138"/>
    </row>
    <row r="920">
      <c r="A920" s="161"/>
      <c r="B920" s="161"/>
      <c r="C920" s="138"/>
      <c r="D920" s="160"/>
      <c r="E920" s="161"/>
      <c r="F920" s="161"/>
      <c r="G920" s="161"/>
      <c r="H920" s="161"/>
      <c r="I920" s="138"/>
      <c r="J920" s="138"/>
      <c r="K920" s="138"/>
      <c r="L920" s="138"/>
      <c r="M920" s="138"/>
      <c r="N920" s="138"/>
      <c r="O920" s="138"/>
      <c r="P920" s="138"/>
      <c r="Q920" s="138"/>
      <c r="R920" s="138"/>
      <c r="S920" s="138"/>
      <c r="T920" s="138"/>
      <c r="U920" s="138"/>
      <c r="V920" s="138"/>
      <c r="W920" s="138"/>
      <c r="X920" s="138"/>
      <c r="Y920" s="138"/>
      <c r="Z920" s="138"/>
      <c r="AA920" s="138"/>
      <c r="AB920" s="138"/>
      <c r="AC920" s="138"/>
    </row>
    <row r="921">
      <c r="A921" s="161"/>
      <c r="B921" s="161"/>
      <c r="C921" s="138"/>
      <c r="D921" s="160"/>
      <c r="E921" s="161"/>
      <c r="F921" s="161"/>
      <c r="G921" s="161"/>
      <c r="H921" s="161"/>
      <c r="I921" s="138"/>
      <c r="J921" s="138"/>
      <c r="K921" s="138"/>
      <c r="L921" s="138"/>
      <c r="M921" s="138"/>
      <c r="N921" s="138"/>
      <c r="O921" s="138"/>
      <c r="P921" s="138"/>
      <c r="Q921" s="138"/>
      <c r="R921" s="138"/>
      <c r="S921" s="138"/>
      <c r="T921" s="138"/>
      <c r="U921" s="138"/>
      <c r="V921" s="138"/>
      <c r="W921" s="138"/>
      <c r="X921" s="138"/>
      <c r="Y921" s="138"/>
      <c r="Z921" s="138"/>
      <c r="AA921" s="138"/>
      <c r="AB921" s="138"/>
      <c r="AC921" s="138"/>
    </row>
    <row r="922">
      <c r="A922" s="161"/>
      <c r="B922" s="161"/>
      <c r="C922" s="138"/>
      <c r="D922" s="160"/>
      <c r="E922" s="161"/>
      <c r="F922" s="161"/>
      <c r="G922" s="161"/>
      <c r="H922" s="161"/>
      <c r="I922" s="138"/>
      <c r="J922" s="138"/>
      <c r="K922" s="138"/>
      <c r="L922" s="138"/>
      <c r="M922" s="138"/>
      <c r="N922" s="138"/>
      <c r="O922" s="138"/>
      <c r="P922" s="138"/>
      <c r="Q922" s="138"/>
      <c r="R922" s="138"/>
      <c r="S922" s="138"/>
      <c r="T922" s="138"/>
      <c r="U922" s="138"/>
      <c r="V922" s="138"/>
      <c r="W922" s="138"/>
      <c r="X922" s="138"/>
      <c r="Y922" s="138"/>
      <c r="Z922" s="138"/>
      <c r="AA922" s="138"/>
      <c r="AB922" s="138"/>
      <c r="AC922" s="138"/>
    </row>
    <row r="923">
      <c r="A923" s="161"/>
      <c r="B923" s="161"/>
      <c r="C923" s="138"/>
      <c r="D923" s="160"/>
      <c r="E923" s="161"/>
      <c r="F923" s="161"/>
      <c r="G923" s="161"/>
      <c r="H923" s="161"/>
      <c r="I923" s="138"/>
      <c r="J923" s="138"/>
      <c r="K923" s="138"/>
      <c r="L923" s="138"/>
      <c r="M923" s="138"/>
      <c r="N923" s="138"/>
      <c r="O923" s="138"/>
      <c r="P923" s="138"/>
      <c r="Q923" s="138"/>
      <c r="R923" s="138"/>
      <c r="S923" s="138"/>
      <c r="T923" s="138"/>
      <c r="U923" s="138"/>
      <c r="V923" s="138"/>
      <c r="W923" s="138"/>
      <c r="X923" s="138"/>
      <c r="Y923" s="138"/>
      <c r="Z923" s="138"/>
      <c r="AA923" s="138"/>
      <c r="AB923" s="138"/>
      <c r="AC923" s="138"/>
    </row>
    <row r="924">
      <c r="A924" s="161"/>
      <c r="B924" s="161"/>
      <c r="C924" s="138"/>
      <c r="D924" s="160"/>
      <c r="E924" s="161"/>
      <c r="F924" s="161"/>
      <c r="G924" s="161"/>
      <c r="H924" s="161"/>
      <c r="I924" s="138"/>
      <c r="J924" s="138"/>
      <c r="K924" s="138"/>
      <c r="L924" s="138"/>
      <c r="M924" s="138"/>
      <c r="N924" s="138"/>
      <c r="O924" s="138"/>
      <c r="P924" s="138"/>
      <c r="Q924" s="138"/>
      <c r="R924" s="138"/>
      <c r="S924" s="138"/>
      <c r="T924" s="138"/>
      <c r="U924" s="138"/>
      <c r="V924" s="138"/>
      <c r="W924" s="138"/>
      <c r="X924" s="138"/>
      <c r="Y924" s="138"/>
      <c r="Z924" s="138"/>
      <c r="AA924" s="138"/>
      <c r="AB924" s="138"/>
      <c r="AC924" s="138"/>
    </row>
    <row r="925">
      <c r="A925" s="161"/>
      <c r="B925" s="161"/>
      <c r="C925" s="138"/>
      <c r="D925" s="160"/>
      <c r="E925" s="161"/>
      <c r="F925" s="161"/>
      <c r="G925" s="161"/>
      <c r="H925" s="161"/>
      <c r="I925" s="138"/>
      <c r="J925" s="138"/>
      <c r="K925" s="138"/>
      <c r="L925" s="138"/>
      <c r="M925" s="138"/>
      <c r="N925" s="138"/>
      <c r="O925" s="138"/>
      <c r="P925" s="138"/>
      <c r="Q925" s="138"/>
      <c r="R925" s="138"/>
      <c r="S925" s="138"/>
      <c r="T925" s="138"/>
      <c r="U925" s="138"/>
      <c r="V925" s="138"/>
      <c r="W925" s="138"/>
      <c r="X925" s="138"/>
      <c r="Y925" s="138"/>
      <c r="Z925" s="138"/>
      <c r="AA925" s="138"/>
      <c r="AB925" s="138"/>
      <c r="AC925" s="138"/>
    </row>
    <row r="926">
      <c r="A926" s="161"/>
      <c r="B926" s="161"/>
      <c r="C926" s="138"/>
      <c r="D926" s="160"/>
      <c r="E926" s="161"/>
      <c r="F926" s="161"/>
      <c r="G926" s="161"/>
      <c r="H926" s="161"/>
      <c r="I926" s="138"/>
      <c r="J926" s="138"/>
      <c r="K926" s="138"/>
      <c r="L926" s="138"/>
      <c r="M926" s="138"/>
      <c r="N926" s="138"/>
      <c r="O926" s="138"/>
      <c r="P926" s="138"/>
      <c r="Q926" s="138"/>
      <c r="R926" s="138"/>
      <c r="S926" s="138"/>
      <c r="T926" s="138"/>
      <c r="U926" s="138"/>
      <c r="V926" s="138"/>
      <c r="W926" s="138"/>
      <c r="X926" s="138"/>
      <c r="Y926" s="138"/>
      <c r="Z926" s="138"/>
      <c r="AA926" s="138"/>
      <c r="AB926" s="138"/>
      <c r="AC926" s="138"/>
    </row>
    <row r="927">
      <c r="A927" s="161"/>
      <c r="B927" s="161"/>
      <c r="C927" s="138"/>
      <c r="D927" s="160"/>
      <c r="E927" s="161"/>
      <c r="F927" s="161"/>
      <c r="G927" s="161"/>
      <c r="H927" s="161"/>
      <c r="I927" s="138"/>
      <c r="J927" s="138"/>
      <c r="K927" s="138"/>
      <c r="L927" s="138"/>
      <c r="M927" s="138"/>
      <c r="N927" s="138"/>
      <c r="O927" s="138"/>
      <c r="P927" s="138"/>
      <c r="Q927" s="138"/>
      <c r="R927" s="138"/>
      <c r="S927" s="138"/>
      <c r="T927" s="138"/>
      <c r="U927" s="138"/>
      <c r="V927" s="138"/>
      <c r="W927" s="138"/>
      <c r="X927" s="138"/>
      <c r="Y927" s="138"/>
      <c r="Z927" s="138"/>
      <c r="AA927" s="138"/>
      <c r="AB927" s="138"/>
      <c r="AC927" s="138"/>
    </row>
    <row r="928">
      <c r="A928" s="161"/>
      <c r="B928" s="161"/>
      <c r="C928" s="138"/>
      <c r="D928" s="160"/>
      <c r="E928" s="161"/>
      <c r="F928" s="161"/>
      <c r="G928" s="161"/>
      <c r="H928" s="161"/>
      <c r="I928" s="138"/>
      <c r="J928" s="138"/>
      <c r="K928" s="138"/>
      <c r="L928" s="138"/>
      <c r="M928" s="138"/>
      <c r="N928" s="138"/>
      <c r="O928" s="138"/>
      <c r="P928" s="138"/>
      <c r="Q928" s="138"/>
      <c r="R928" s="138"/>
      <c r="S928" s="138"/>
      <c r="T928" s="138"/>
      <c r="U928" s="138"/>
      <c r="V928" s="138"/>
      <c r="W928" s="138"/>
      <c r="X928" s="138"/>
      <c r="Y928" s="138"/>
      <c r="Z928" s="138"/>
      <c r="AA928" s="138"/>
      <c r="AB928" s="138"/>
      <c r="AC928" s="138"/>
    </row>
    <row r="929">
      <c r="A929" s="161"/>
      <c r="B929" s="161"/>
      <c r="C929" s="138"/>
      <c r="D929" s="160"/>
      <c r="E929" s="161"/>
      <c r="F929" s="161"/>
      <c r="G929" s="161"/>
      <c r="H929" s="161"/>
      <c r="I929" s="138"/>
      <c r="J929" s="138"/>
      <c r="K929" s="138"/>
      <c r="L929" s="138"/>
      <c r="M929" s="138"/>
      <c r="N929" s="138"/>
      <c r="O929" s="138"/>
      <c r="P929" s="138"/>
      <c r="Q929" s="138"/>
      <c r="R929" s="138"/>
      <c r="S929" s="138"/>
      <c r="T929" s="138"/>
      <c r="U929" s="138"/>
      <c r="V929" s="138"/>
      <c r="W929" s="138"/>
      <c r="X929" s="138"/>
      <c r="Y929" s="138"/>
      <c r="Z929" s="138"/>
      <c r="AA929" s="138"/>
      <c r="AB929" s="138"/>
      <c r="AC929" s="138"/>
    </row>
    <row r="930">
      <c r="A930" s="161"/>
      <c r="B930" s="161"/>
      <c r="C930" s="138"/>
      <c r="D930" s="160"/>
      <c r="E930" s="161"/>
      <c r="F930" s="161"/>
      <c r="G930" s="161"/>
      <c r="H930" s="161"/>
      <c r="I930" s="138"/>
      <c r="J930" s="138"/>
      <c r="K930" s="138"/>
      <c r="L930" s="138"/>
      <c r="M930" s="138"/>
      <c r="N930" s="138"/>
      <c r="O930" s="138"/>
      <c r="P930" s="138"/>
      <c r="Q930" s="138"/>
      <c r="R930" s="138"/>
      <c r="S930" s="138"/>
      <c r="T930" s="138"/>
      <c r="U930" s="138"/>
      <c r="V930" s="138"/>
      <c r="W930" s="138"/>
      <c r="X930" s="138"/>
      <c r="Y930" s="138"/>
      <c r="Z930" s="138"/>
      <c r="AA930" s="138"/>
      <c r="AB930" s="138"/>
      <c r="AC930" s="138"/>
    </row>
    <row r="931">
      <c r="A931" s="161"/>
      <c r="B931" s="161"/>
      <c r="C931" s="138"/>
      <c r="D931" s="160"/>
      <c r="E931" s="161"/>
      <c r="F931" s="161"/>
      <c r="G931" s="161"/>
      <c r="H931" s="161"/>
      <c r="I931" s="138"/>
      <c r="J931" s="138"/>
      <c r="K931" s="138"/>
      <c r="L931" s="138"/>
      <c r="M931" s="138"/>
      <c r="N931" s="138"/>
      <c r="O931" s="138"/>
      <c r="P931" s="138"/>
      <c r="Q931" s="138"/>
      <c r="R931" s="138"/>
      <c r="S931" s="138"/>
      <c r="T931" s="138"/>
      <c r="U931" s="138"/>
      <c r="V931" s="138"/>
      <c r="W931" s="138"/>
      <c r="X931" s="138"/>
      <c r="Y931" s="138"/>
      <c r="Z931" s="138"/>
      <c r="AA931" s="138"/>
      <c r="AB931" s="138"/>
      <c r="AC931" s="138"/>
    </row>
    <row r="932">
      <c r="A932" s="161"/>
      <c r="B932" s="161"/>
      <c r="C932" s="138"/>
      <c r="D932" s="160"/>
      <c r="E932" s="161"/>
      <c r="F932" s="161"/>
      <c r="G932" s="161"/>
      <c r="H932" s="161"/>
      <c r="I932" s="138"/>
      <c r="J932" s="138"/>
      <c r="K932" s="138"/>
      <c r="L932" s="138"/>
      <c r="M932" s="138"/>
      <c r="N932" s="138"/>
      <c r="O932" s="138"/>
      <c r="P932" s="138"/>
      <c r="Q932" s="138"/>
      <c r="R932" s="138"/>
      <c r="S932" s="138"/>
      <c r="T932" s="138"/>
      <c r="U932" s="138"/>
      <c r="V932" s="138"/>
      <c r="W932" s="138"/>
      <c r="X932" s="138"/>
      <c r="Y932" s="138"/>
      <c r="Z932" s="138"/>
      <c r="AA932" s="138"/>
      <c r="AB932" s="138"/>
      <c r="AC932" s="138"/>
    </row>
    <row r="933">
      <c r="A933" s="161"/>
      <c r="B933" s="161"/>
      <c r="C933" s="138"/>
      <c r="D933" s="160"/>
      <c r="E933" s="161"/>
      <c r="F933" s="161"/>
      <c r="G933" s="161"/>
      <c r="H933" s="161"/>
      <c r="I933" s="138"/>
      <c r="J933" s="138"/>
      <c r="K933" s="138"/>
      <c r="L933" s="138"/>
      <c r="M933" s="138"/>
      <c r="N933" s="138"/>
      <c r="O933" s="138"/>
      <c r="P933" s="138"/>
      <c r="Q933" s="138"/>
      <c r="R933" s="138"/>
      <c r="S933" s="138"/>
      <c r="T933" s="138"/>
      <c r="U933" s="138"/>
      <c r="V933" s="138"/>
      <c r="W933" s="138"/>
      <c r="X933" s="138"/>
      <c r="Y933" s="138"/>
      <c r="Z933" s="138"/>
      <c r="AA933" s="138"/>
      <c r="AB933" s="138"/>
      <c r="AC933" s="138"/>
    </row>
    <row r="934">
      <c r="A934" s="161"/>
      <c r="B934" s="161"/>
      <c r="C934" s="138"/>
      <c r="D934" s="160"/>
      <c r="E934" s="161"/>
      <c r="F934" s="161"/>
      <c r="G934" s="161"/>
      <c r="H934" s="161"/>
      <c r="I934" s="138"/>
      <c r="J934" s="138"/>
      <c r="K934" s="138"/>
      <c r="L934" s="138"/>
      <c r="M934" s="138"/>
      <c r="N934" s="138"/>
      <c r="O934" s="138"/>
      <c r="P934" s="138"/>
      <c r="Q934" s="138"/>
      <c r="R934" s="138"/>
      <c r="S934" s="138"/>
      <c r="T934" s="138"/>
      <c r="U934" s="138"/>
      <c r="V934" s="138"/>
      <c r="W934" s="138"/>
      <c r="X934" s="138"/>
      <c r="Y934" s="138"/>
      <c r="Z934" s="138"/>
      <c r="AA934" s="138"/>
      <c r="AB934" s="138"/>
      <c r="AC934" s="138"/>
    </row>
    <row r="935">
      <c r="A935" s="161"/>
      <c r="B935" s="161"/>
      <c r="C935" s="138"/>
      <c r="D935" s="160"/>
      <c r="E935" s="161"/>
      <c r="F935" s="161"/>
      <c r="G935" s="161"/>
      <c r="H935" s="161"/>
      <c r="I935" s="138"/>
      <c r="J935" s="138"/>
      <c r="K935" s="138"/>
      <c r="L935" s="138"/>
      <c r="M935" s="138"/>
      <c r="N935" s="138"/>
      <c r="O935" s="138"/>
      <c r="P935" s="138"/>
      <c r="Q935" s="138"/>
      <c r="R935" s="138"/>
      <c r="S935" s="138"/>
      <c r="T935" s="138"/>
      <c r="U935" s="138"/>
      <c r="V935" s="138"/>
      <c r="W935" s="138"/>
      <c r="X935" s="138"/>
      <c r="Y935" s="138"/>
      <c r="Z935" s="138"/>
      <c r="AA935" s="138"/>
      <c r="AB935" s="138"/>
      <c r="AC935" s="138"/>
    </row>
    <row r="936">
      <c r="A936" s="161"/>
      <c r="B936" s="161"/>
      <c r="C936" s="138"/>
      <c r="D936" s="160"/>
      <c r="E936" s="161"/>
      <c r="F936" s="161"/>
      <c r="G936" s="161"/>
      <c r="H936" s="161"/>
      <c r="I936" s="138"/>
      <c r="J936" s="138"/>
      <c r="K936" s="138"/>
      <c r="L936" s="138"/>
      <c r="M936" s="138"/>
      <c r="N936" s="138"/>
      <c r="O936" s="138"/>
      <c r="P936" s="138"/>
      <c r="Q936" s="138"/>
      <c r="R936" s="138"/>
      <c r="S936" s="138"/>
      <c r="T936" s="138"/>
      <c r="U936" s="138"/>
      <c r="V936" s="138"/>
      <c r="W936" s="138"/>
      <c r="X936" s="138"/>
      <c r="Y936" s="138"/>
      <c r="Z936" s="138"/>
      <c r="AA936" s="138"/>
      <c r="AB936" s="138"/>
      <c r="AC936" s="138"/>
    </row>
    <row r="937">
      <c r="A937" s="161"/>
      <c r="B937" s="161"/>
      <c r="C937" s="138"/>
      <c r="D937" s="160"/>
      <c r="E937" s="161"/>
      <c r="F937" s="161"/>
      <c r="G937" s="161"/>
      <c r="H937" s="161"/>
      <c r="I937" s="138"/>
      <c r="J937" s="138"/>
      <c r="K937" s="138"/>
      <c r="L937" s="138"/>
      <c r="M937" s="138"/>
      <c r="N937" s="138"/>
      <c r="O937" s="138"/>
      <c r="P937" s="138"/>
      <c r="Q937" s="138"/>
      <c r="R937" s="138"/>
      <c r="S937" s="138"/>
      <c r="T937" s="138"/>
      <c r="U937" s="138"/>
      <c r="V937" s="138"/>
      <c r="W937" s="138"/>
      <c r="X937" s="138"/>
      <c r="Y937" s="138"/>
      <c r="Z937" s="138"/>
      <c r="AA937" s="138"/>
      <c r="AB937" s="138"/>
      <c r="AC937" s="138"/>
    </row>
    <row r="938">
      <c r="A938" s="161"/>
      <c r="B938" s="161"/>
      <c r="C938" s="138"/>
      <c r="D938" s="160"/>
      <c r="E938" s="161"/>
      <c r="F938" s="161"/>
      <c r="G938" s="161"/>
      <c r="H938" s="161"/>
      <c r="I938" s="138"/>
      <c r="J938" s="138"/>
      <c r="K938" s="138"/>
      <c r="L938" s="138"/>
      <c r="M938" s="138"/>
      <c r="N938" s="138"/>
      <c r="O938" s="138"/>
      <c r="P938" s="138"/>
      <c r="Q938" s="138"/>
      <c r="R938" s="138"/>
      <c r="S938" s="138"/>
      <c r="T938" s="138"/>
      <c r="U938" s="138"/>
      <c r="V938" s="138"/>
      <c r="W938" s="138"/>
      <c r="X938" s="138"/>
      <c r="Y938" s="138"/>
      <c r="Z938" s="138"/>
      <c r="AA938" s="138"/>
      <c r="AB938" s="138"/>
      <c r="AC938" s="138"/>
    </row>
    <row r="939">
      <c r="A939" s="161"/>
      <c r="B939" s="161"/>
      <c r="C939" s="138"/>
      <c r="D939" s="160"/>
      <c r="E939" s="161"/>
      <c r="F939" s="161"/>
      <c r="G939" s="161"/>
      <c r="H939" s="161"/>
      <c r="I939" s="138"/>
      <c r="J939" s="138"/>
      <c r="K939" s="138"/>
      <c r="L939" s="138"/>
      <c r="M939" s="138"/>
      <c r="N939" s="138"/>
      <c r="O939" s="138"/>
      <c r="P939" s="138"/>
      <c r="Q939" s="138"/>
      <c r="R939" s="138"/>
      <c r="S939" s="138"/>
      <c r="T939" s="138"/>
      <c r="U939" s="138"/>
      <c r="V939" s="138"/>
      <c r="W939" s="138"/>
      <c r="X939" s="138"/>
      <c r="Y939" s="138"/>
      <c r="Z939" s="138"/>
      <c r="AA939" s="138"/>
      <c r="AB939" s="138"/>
      <c r="AC939" s="138"/>
    </row>
    <row r="940">
      <c r="A940" s="161"/>
      <c r="B940" s="161"/>
      <c r="C940" s="138"/>
      <c r="D940" s="160"/>
      <c r="E940" s="161"/>
      <c r="F940" s="161"/>
      <c r="G940" s="161"/>
      <c r="H940" s="161"/>
      <c r="I940" s="138"/>
      <c r="J940" s="138"/>
      <c r="K940" s="138"/>
      <c r="L940" s="138"/>
      <c r="M940" s="138"/>
      <c r="N940" s="138"/>
      <c r="O940" s="138"/>
      <c r="P940" s="138"/>
      <c r="Q940" s="138"/>
      <c r="R940" s="138"/>
      <c r="S940" s="138"/>
      <c r="T940" s="138"/>
      <c r="U940" s="138"/>
      <c r="V940" s="138"/>
      <c r="W940" s="138"/>
      <c r="X940" s="138"/>
      <c r="Y940" s="138"/>
      <c r="Z940" s="138"/>
      <c r="AA940" s="138"/>
      <c r="AB940" s="138"/>
      <c r="AC940" s="138"/>
    </row>
    <row r="941">
      <c r="A941" s="161"/>
      <c r="B941" s="161"/>
      <c r="C941" s="138"/>
      <c r="D941" s="160"/>
      <c r="E941" s="161"/>
      <c r="F941" s="161"/>
      <c r="G941" s="161"/>
      <c r="H941" s="161"/>
      <c r="I941" s="138"/>
      <c r="J941" s="138"/>
      <c r="K941" s="138"/>
      <c r="L941" s="138"/>
      <c r="M941" s="138"/>
      <c r="N941" s="138"/>
      <c r="O941" s="138"/>
      <c r="P941" s="138"/>
      <c r="Q941" s="138"/>
      <c r="R941" s="138"/>
      <c r="S941" s="138"/>
      <c r="T941" s="138"/>
      <c r="U941" s="138"/>
      <c r="V941" s="138"/>
      <c r="W941" s="138"/>
      <c r="X941" s="138"/>
      <c r="Y941" s="138"/>
      <c r="Z941" s="138"/>
      <c r="AA941" s="138"/>
      <c r="AB941" s="138"/>
      <c r="AC941" s="138"/>
    </row>
    <row r="942">
      <c r="A942" s="161"/>
      <c r="B942" s="161"/>
      <c r="C942" s="138"/>
      <c r="D942" s="160"/>
      <c r="E942" s="161"/>
      <c r="F942" s="161"/>
      <c r="G942" s="161"/>
      <c r="H942" s="161"/>
      <c r="I942" s="138"/>
      <c r="J942" s="138"/>
      <c r="K942" s="138"/>
      <c r="L942" s="138"/>
      <c r="M942" s="138"/>
      <c r="N942" s="138"/>
      <c r="O942" s="138"/>
      <c r="P942" s="138"/>
      <c r="Q942" s="138"/>
      <c r="R942" s="138"/>
      <c r="S942" s="138"/>
      <c r="T942" s="138"/>
      <c r="U942" s="138"/>
      <c r="V942" s="138"/>
      <c r="W942" s="138"/>
      <c r="X942" s="138"/>
      <c r="Y942" s="138"/>
      <c r="Z942" s="138"/>
      <c r="AA942" s="138"/>
      <c r="AB942" s="138"/>
      <c r="AC942" s="138"/>
    </row>
    <row r="943">
      <c r="A943" s="161"/>
      <c r="B943" s="161"/>
      <c r="C943" s="138"/>
      <c r="D943" s="160"/>
      <c r="E943" s="161"/>
      <c r="F943" s="161"/>
      <c r="G943" s="161"/>
      <c r="H943" s="161"/>
      <c r="I943" s="138"/>
      <c r="J943" s="138"/>
      <c r="K943" s="138"/>
      <c r="L943" s="138"/>
      <c r="M943" s="138"/>
      <c r="N943" s="138"/>
      <c r="O943" s="138"/>
      <c r="P943" s="138"/>
      <c r="Q943" s="138"/>
      <c r="R943" s="138"/>
      <c r="S943" s="138"/>
      <c r="T943" s="138"/>
      <c r="U943" s="138"/>
      <c r="V943" s="138"/>
      <c r="W943" s="138"/>
      <c r="X943" s="138"/>
      <c r="Y943" s="138"/>
      <c r="Z943" s="138"/>
      <c r="AA943" s="138"/>
      <c r="AB943" s="138"/>
      <c r="AC943" s="138"/>
    </row>
    <row r="944">
      <c r="A944" s="161"/>
      <c r="B944" s="161"/>
      <c r="C944" s="138"/>
      <c r="D944" s="160"/>
      <c r="E944" s="161"/>
      <c r="F944" s="161"/>
      <c r="G944" s="161"/>
      <c r="H944" s="161"/>
      <c r="I944" s="138"/>
      <c r="J944" s="138"/>
      <c r="K944" s="138"/>
      <c r="L944" s="138"/>
      <c r="M944" s="138"/>
      <c r="N944" s="138"/>
      <c r="O944" s="138"/>
      <c r="P944" s="138"/>
      <c r="Q944" s="138"/>
      <c r="R944" s="138"/>
      <c r="S944" s="138"/>
      <c r="T944" s="138"/>
      <c r="U944" s="138"/>
      <c r="V944" s="138"/>
      <c r="W944" s="138"/>
      <c r="X944" s="138"/>
      <c r="Y944" s="138"/>
      <c r="Z944" s="138"/>
      <c r="AA944" s="138"/>
      <c r="AB944" s="138"/>
      <c r="AC944" s="138"/>
    </row>
    <row r="945">
      <c r="A945" s="161"/>
      <c r="B945" s="161"/>
      <c r="C945" s="138"/>
      <c r="D945" s="160"/>
      <c r="E945" s="161"/>
      <c r="F945" s="161"/>
      <c r="G945" s="161"/>
      <c r="H945" s="161"/>
      <c r="I945" s="138"/>
      <c r="J945" s="138"/>
      <c r="K945" s="138"/>
      <c r="L945" s="138"/>
      <c r="M945" s="138"/>
      <c r="N945" s="138"/>
      <c r="O945" s="138"/>
      <c r="P945" s="138"/>
      <c r="Q945" s="138"/>
      <c r="R945" s="138"/>
      <c r="S945" s="138"/>
      <c r="T945" s="138"/>
      <c r="U945" s="138"/>
      <c r="V945" s="138"/>
      <c r="W945" s="138"/>
      <c r="X945" s="138"/>
      <c r="Y945" s="138"/>
      <c r="Z945" s="138"/>
      <c r="AA945" s="138"/>
      <c r="AB945" s="138"/>
      <c r="AC945" s="138"/>
    </row>
    <row r="946">
      <c r="A946" s="161"/>
      <c r="B946" s="161"/>
      <c r="C946" s="138"/>
      <c r="D946" s="160"/>
      <c r="E946" s="161"/>
      <c r="F946" s="161"/>
      <c r="G946" s="161"/>
      <c r="H946" s="161"/>
      <c r="I946" s="138"/>
      <c r="J946" s="138"/>
      <c r="K946" s="138"/>
      <c r="L946" s="138"/>
      <c r="M946" s="138"/>
      <c r="N946" s="138"/>
      <c r="O946" s="138"/>
      <c r="P946" s="138"/>
      <c r="Q946" s="138"/>
      <c r="R946" s="138"/>
      <c r="S946" s="138"/>
      <c r="T946" s="138"/>
      <c r="U946" s="138"/>
      <c r="V946" s="138"/>
      <c r="W946" s="138"/>
      <c r="X946" s="138"/>
      <c r="Y946" s="138"/>
      <c r="Z946" s="138"/>
      <c r="AA946" s="138"/>
      <c r="AB946" s="138"/>
      <c r="AC946" s="138"/>
    </row>
    <row r="947">
      <c r="A947" s="161"/>
      <c r="B947" s="161"/>
      <c r="C947" s="138"/>
      <c r="D947" s="160"/>
      <c r="E947" s="161"/>
      <c r="F947" s="161"/>
      <c r="G947" s="161"/>
      <c r="H947" s="161"/>
      <c r="I947" s="138"/>
      <c r="J947" s="138"/>
      <c r="K947" s="138"/>
      <c r="L947" s="138"/>
      <c r="M947" s="138"/>
      <c r="N947" s="138"/>
      <c r="O947" s="138"/>
      <c r="P947" s="138"/>
      <c r="Q947" s="138"/>
      <c r="R947" s="138"/>
      <c r="S947" s="138"/>
      <c r="T947" s="138"/>
      <c r="U947" s="138"/>
      <c r="V947" s="138"/>
      <c r="W947" s="138"/>
      <c r="X947" s="138"/>
      <c r="Y947" s="138"/>
      <c r="Z947" s="138"/>
      <c r="AA947" s="138"/>
      <c r="AB947" s="138"/>
      <c r="AC947" s="138"/>
    </row>
    <row r="948">
      <c r="A948" s="161"/>
      <c r="B948" s="161"/>
      <c r="C948" s="138"/>
      <c r="D948" s="160"/>
      <c r="E948" s="161"/>
      <c r="F948" s="161"/>
      <c r="G948" s="161"/>
      <c r="H948" s="161"/>
      <c r="I948" s="138"/>
      <c r="J948" s="138"/>
      <c r="K948" s="138"/>
      <c r="L948" s="138"/>
      <c r="M948" s="138"/>
      <c r="N948" s="138"/>
      <c r="O948" s="138"/>
      <c r="P948" s="138"/>
      <c r="Q948" s="138"/>
      <c r="R948" s="138"/>
      <c r="S948" s="138"/>
      <c r="T948" s="138"/>
      <c r="U948" s="138"/>
      <c r="V948" s="138"/>
      <c r="W948" s="138"/>
      <c r="X948" s="138"/>
      <c r="Y948" s="138"/>
      <c r="Z948" s="138"/>
      <c r="AA948" s="138"/>
      <c r="AB948" s="138"/>
      <c r="AC948" s="138"/>
    </row>
    <row r="949">
      <c r="A949" s="161"/>
      <c r="B949" s="161"/>
      <c r="C949" s="138"/>
      <c r="D949" s="160"/>
      <c r="E949" s="161"/>
      <c r="F949" s="161"/>
      <c r="G949" s="161"/>
      <c r="H949" s="161"/>
      <c r="I949" s="138"/>
      <c r="J949" s="138"/>
      <c r="K949" s="138"/>
      <c r="L949" s="138"/>
      <c r="M949" s="138"/>
      <c r="N949" s="138"/>
      <c r="O949" s="138"/>
      <c r="P949" s="138"/>
      <c r="Q949" s="138"/>
      <c r="R949" s="138"/>
      <c r="S949" s="138"/>
      <c r="T949" s="138"/>
      <c r="U949" s="138"/>
      <c r="V949" s="138"/>
      <c r="W949" s="138"/>
      <c r="X949" s="138"/>
      <c r="Y949" s="138"/>
      <c r="Z949" s="138"/>
      <c r="AA949" s="138"/>
      <c r="AB949" s="138"/>
      <c r="AC949" s="138"/>
    </row>
    <row r="950">
      <c r="A950" s="161"/>
      <c r="B950" s="161"/>
      <c r="C950" s="138"/>
      <c r="D950" s="160"/>
      <c r="E950" s="161"/>
      <c r="F950" s="161"/>
      <c r="G950" s="161"/>
      <c r="H950" s="161"/>
      <c r="I950" s="138"/>
      <c r="J950" s="138"/>
      <c r="K950" s="138"/>
      <c r="L950" s="138"/>
      <c r="M950" s="138"/>
      <c r="N950" s="138"/>
      <c r="O950" s="138"/>
      <c r="P950" s="138"/>
      <c r="Q950" s="138"/>
      <c r="R950" s="138"/>
      <c r="S950" s="138"/>
      <c r="T950" s="138"/>
      <c r="U950" s="138"/>
      <c r="V950" s="138"/>
      <c r="W950" s="138"/>
      <c r="X950" s="138"/>
      <c r="Y950" s="138"/>
      <c r="Z950" s="138"/>
      <c r="AA950" s="138"/>
      <c r="AB950" s="138"/>
      <c r="AC950" s="138"/>
    </row>
    <row r="951">
      <c r="A951" s="161"/>
      <c r="B951" s="161"/>
      <c r="C951" s="138"/>
      <c r="D951" s="160"/>
      <c r="E951" s="161"/>
      <c r="F951" s="161"/>
      <c r="G951" s="161"/>
      <c r="H951" s="161"/>
      <c r="I951" s="138"/>
      <c r="J951" s="138"/>
      <c r="K951" s="138"/>
      <c r="L951" s="138"/>
      <c r="M951" s="138"/>
      <c r="N951" s="138"/>
      <c r="O951" s="138"/>
      <c r="P951" s="138"/>
      <c r="Q951" s="138"/>
      <c r="R951" s="138"/>
      <c r="S951" s="138"/>
      <c r="T951" s="138"/>
      <c r="U951" s="138"/>
      <c r="V951" s="138"/>
      <c r="W951" s="138"/>
      <c r="X951" s="138"/>
      <c r="Y951" s="138"/>
      <c r="Z951" s="138"/>
      <c r="AA951" s="138"/>
      <c r="AB951" s="138"/>
      <c r="AC951" s="138"/>
    </row>
    <row r="952">
      <c r="A952" s="161"/>
      <c r="B952" s="161"/>
      <c r="C952" s="138"/>
      <c r="D952" s="160"/>
      <c r="E952" s="161"/>
      <c r="F952" s="161"/>
      <c r="G952" s="161"/>
      <c r="H952" s="161"/>
      <c r="I952" s="138"/>
      <c r="J952" s="138"/>
      <c r="K952" s="138"/>
      <c r="L952" s="138"/>
      <c r="M952" s="138"/>
      <c r="N952" s="138"/>
      <c r="O952" s="138"/>
      <c r="P952" s="138"/>
      <c r="Q952" s="138"/>
      <c r="R952" s="138"/>
      <c r="S952" s="138"/>
      <c r="T952" s="138"/>
      <c r="U952" s="138"/>
      <c r="V952" s="138"/>
      <c r="W952" s="138"/>
      <c r="X952" s="138"/>
      <c r="Y952" s="138"/>
      <c r="Z952" s="138"/>
      <c r="AA952" s="138"/>
      <c r="AB952" s="138"/>
      <c r="AC952" s="138"/>
    </row>
    <row r="953">
      <c r="A953" s="161"/>
      <c r="B953" s="161"/>
      <c r="C953" s="138"/>
      <c r="D953" s="160"/>
      <c r="E953" s="161"/>
      <c r="F953" s="161"/>
      <c r="G953" s="161"/>
      <c r="H953" s="161"/>
      <c r="I953" s="138"/>
      <c r="J953" s="138"/>
      <c r="K953" s="138"/>
      <c r="L953" s="138"/>
      <c r="M953" s="138"/>
      <c r="N953" s="138"/>
      <c r="O953" s="138"/>
      <c r="P953" s="138"/>
      <c r="Q953" s="138"/>
      <c r="R953" s="138"/>
      <c r="S953" s="138"/>
      <c r="T953" s="138"/>
      <c r="U953" s="138"/>
      <c r="V953" s="138"/>
      <c r="W953" s="138"/>
      <c r="X953" s="138"/>
      <c r="Y953" s="138"/>
      <c r="Z953" s="138"/>
      <c r="AA953" s="138"/>
      <c r="AB953" s="138"/>
      <c r="AC953" s="138"/>
    </row>
    <row r="954">
      <c r="A954" s="161"/>
      <c r="B954" s="161"/>
      <c r="C954" s="138"/>
      <c r="D954" s="160"/>
      <c r="E954" s="161"/>
      <c r="F954" s="161"/>
      <c r="G954" s="161"/>
      <c r="H954" s="161"/>
      <c r="I954" s="138"/>
      <c r="J954" s="138"/>
      <c r="K954" s="138"/>
      <c r="L954" s="138"/>
      <c r="M954" s="138"/>
      <c r="N954" s="138"/>
      <c r="O954" s="138"/>
      <c r="P954" s="138"/>
      <c r="Q954" s="138"/>
      <c r="R954" s="138"/>
      <c r="S954" s="138"/>
      <c r="T954" s="138"/>
      <c r="U954" s="138"/>
      <c r="V954" s="138"/>
      <c r="W954" s="138"/>
      <c r="X954" s="138"/>
      <c r="Y954" s="138"/>
      <c r="Z954" s="138"/>
      <c r="AA954" s="138"/>
      <c r="AB954" s="138"/>
      <c r="AC954" s="138"/>
    </row>
    <row r="955">
      <c r="A955" s="161"/>
      <c r="B955" s="161"/>
      <c r="C955" s="138"/>
      <c r="D955" s="160"/>
      <c r="E955" s="161"/>
      <c r="F955" s="161"/>
      <c r="G955" s="161"/>
      <c r="H955" s="161"/>
      <c r="I955" s="138"/>
      <c r="J955" s="138"/>
      <c r="K955" s="138"/>
      <c r="L955" s="138"/>
      <c r="M955" s="138"/>
      <c r="N955" s="138"/>
      <c r="O955" s="138"/>
      <c r="P955" s="138"/>
      <c r="Q955" s="138"/>
      <c r="R955" s="138"/>
      <c r="S955" s="138"/>
      <c r="T955" s="138"/>
      <c r="U955" s="138"/>
      <c r="V955" s="138"/>
      <c r="W955" s="138"/>
      <c r="X955" s="138"/>
      <c r="Y955" s="138"/>
      <c r="Z955" s="138"/>
      <c r="AA955" s="138"/>
      <c r="AB955" s="138"/>
      <c r="AC955" s="138"/>
    </row>
    <row r="956">
      <c r="A956" s="161"/>
      <c r="B956" s="161"/>
      <c r="C956" s="138"/>
      <c r="D956" s="160"/>
      <c r="E956" s="161"/>
      <c r="F956" s="161"/>
      <c r="G956" s="161"/>
      <c r="H956" s="161"/>
      <c r="I956" s="138"/>
      <c r="J956" s="138"/>
      <c r="K956" s="138"/>
      <c r="L956" s="138"/>
      <c r="M956" s="138"/>
      <c r="N956" s="138"/>
      <c r="O956" s="138"/>
      <c r="P956" s="138"/>
      <c r="Q956" s="138"/>
      <c r="R956" s="138"/>
      <c r="S956" s="138"/>
      <c r="T956" s="138"/>
      <c r="U956" s="138"/>
      <c r="V956" s="138"/>
      <c r="W956" s="138"/>
      <c r="X956" s="138"/>
      <c r="Y956" s="138"/>
      <c r="Z956" s="138"/>
      <c r="AA956" s="138"/>
      <c r="AB956" s="138"/>
      <c r="AC956" s="138"/>
    </row>
    <row r="957">
      <c r="A957" s="161"/>
      <c r="B957" s="161"/>
      <c r="C957" s="138"/>
      <c r="D957" s="160"/>
      <c r="E957" s="161"/>
      <c r="F957" s="161"/>
      <c r="G957" s="161"/>
      <c r="H957" s="161"/>
      <c r="I957" s="138"/>
      <c r="J957" s="138"/>
      <c r="K957" s="138"/>
      <c r="L957" s="138"/>
      <c r="M957" s="138"/>
      <c r="N957" s="138"/>
      <c r="O957" s="138"/>
      <c r="P957" s="138"/>
      <c r="Q957" s="138"/>
      <c r="R957" s="138"/>
      <c r="S957" s="138"/>
      <c r="T957" s="138"/>
      <c r="U957" s="138"/>
      <c r="V957" s="138"/>
      <c r="W957" s="138"/>
      <c r="X957" s="138"/>
      <c r="Y957" s="138"/>
      <c r="Z957" s="138"/>
      <c r="AA957" s="138"/>
      <c r="AB957" s="138"/>
      <c r="AC957" s="138"/>
    </row>
    <row r="958">
      <c r="A958" s="161"/>
      <c r="B958" s="161"/>
      <c r="C958" s="138"/>
      <c r="D958" s="160"/>
      <c r="E958" s="161"/>
      <c r="F958" s="161"/>
      <c r="G958" s="161"/>
      <c r="H958" s="161"/>
      <c r="I958" s="138"/>
      <c r="J958" s="138"/>
      <c r="K958" s="138"/>
      <c r="L958" s="138"/>
      <c r="M958" s="138"/>
      <c r="N958" s="138"/>
      <c r="O958" s="138"/>
      <c r="P958" s="138"/>
      <c r="Q958" s="138"/>
      <c r="R958" s="138"/>
      <c r="S958" s="138"/>
      <c r="T958" s="138"/>
      <c r="U958" s="138"/>
      <c r="V958" s="138"/>
      <c r="W958" s="138"/>
      <c r="X958" s="138"/>
      <c r="Y958" s="138"/>
      <c r="Z958" s="138"/>
      <c r="AA958" s="138"/>
      <c r="AB958" s="138"/>
      <c r="AC958" s="138"/>
    </row>
    <row r="959">
      <c r="A959" s="161"/>
      <c r="B959" s="161"/>
      <c r="C959" s="138"/>
      <c r="D959" s="160"/>
      <c r="E959" s="161"/>
      <c r="F959" s="161"/>
      <c r="G959" s="161"/>
      <c r="H959" s="161"/>
      <c r="I959" s="138"/>
      <c r="J959" s="138"/>
      <c r="K959" s="138"/>
      <c r="L959" s="138"/>
      <c r="M959" s="138"/>
      <c r="N959" s="138"/>
      <c r="O959" s="138"/>
      <c r="P959" s="138"/>
      <c r="Q959" s="138"/>
      <c r="R959" s="138"/>
      <c r="S959" s="138"/>
      <c r="T959" s="138"/>
      <c r="U959" s="138"/>
      <c r="V959" s="138"/>
      <c r="W959" s="138"/>
      <c r="X959" s="138"/>
      <c r="Y959" s="138"/>
      <c r="Z959" s="138"/>
      <c r="AA959" s="138"/>
      <c r="AB959" s="138"/>
      <c r="AC959" s="138"/>
    </row>
    <row r="960">
      <c r="A960" s="161"/>
      <c r="B960" s="161"/>
      <c r="C960" s="138"/>
      <c r="D960" s="160"/>
      <c r="E960" s="161"/>
      <c r="F960" s="161"/>
      <c r="G960" s="161"/>
      <c r="H960" s="161"/>
      <c r="I960" s="138"/>
      <c r="J960" s="138"/>
      <c r="K960" s="138"/>
      <c r="L960" s="138"/>
      <c r="M960" s="138"/>
      <c r="N960" s="138"/>
      <c r="O960" s="138"/>
      <c r="P960" s="138"/>
      <c r="Q960" s="138"/>
      <c r="R960" s="138"/>
      <c r="S960" s="138"/>
      <c r="T960" s="138"/>
      <c r="U960" s="138"/>
      <c r="V960" s="138"/>
      <c r="W960" s="138"/>
      <c r="X960" s="138"/>
      <c r="Y960" s="138"/>
      <c r="Z960" s="138"/>
      <c r="AA960" s="138"/>
      <c r="AB960" s="138"/>
      <c r="AC960" s="138"/>
    </row>
    <row r="961">
      <c r="A961" s="161"/>
      <c r="B961" s="161"/>
      <c r="C961" s="138"/>
      <c r="D961" s="160"/>
      <c r="E961" s="161"/>
      <c r="F961" s="161"/>
      <c r="G961" s="161"/>
      <c r="H961" s="161"/>
      <c r="I961" s="138"/>
      <c r="J961" s="138"/>
      <c r="K961" s="138"/>
      <c r="L961" s="138"/>
      <c r="M961" s="138"/>
      <c r="N961" s="138"/>
      <c r="O961" s="138"/>
      <c r="P961" s="138"/>
      <c r="Q961" s="138"/>
      <c r="R961" s="138"/>
      <c r="S961" s="138"/>
      <c r="T961" s="138"/>
      <c r="U961" s="138"/>
      <c r="V961" s="138"/>
      <c r="W961" s="138"/>
      <c r="X961" s="138"/>
      <c r="Y961" s="138"/>
      <c r="Z961" s="138"/>
      <c r="AA961" s="138"/>
      <c r="AB961" s="138"/>
      <c r="AC961" s="138"/>
    </row>
    <row r="962">
      <c r="A962" s="161"/>
      <c r="B962" s="161"/>
      <c r="C962" s="138"/>
      <c r="D962" s="160"/>
      <c r="E962" s="161"/>
      <c r="F962" s="161"/>
      <c r="G962" s="161"/>
      <c r="H962" s="161"/>
      <c r="I962" s="138"/>
      <c r="J962" s="138"/>
      <c r="K962" s="138"/>
      <c r="L962" s="138"/>
      <c r="M962" s="138"/>
      <c r="N962" s="138"/>
      <c r="O962" s="138"/>
      <c r="P962" s="138"/>
      <c r="Q962" s="138"/>
      <c r="R962" s="138"/>
      <c r="S962" s="138"/>
      <c r="T962" s="138"/>
      <c r="U962" s="138"/>
      <c r="V962" s="138"/>
      <c r="W962" s="138"/>
      <c r="X962" s="138"/>
      <c r="Y962" s="138"/>
      <c r="Z962" s="138"/>
      <c r="AA962" s="138"/>
      <c r="AB962" s="138"/>
      <c r="AC962" s="138"/>
    </row>
    <row r="963">
      <c r="A963" s="161"/>
      <c r="B963" s="161"/>
      <c r="C963" s="138"/>
      <c r="D963" s="160"/>
      <c r="E963" s="161"/>
      <c r="F963" s="161"/>
      <c r="G963" s="161"/>
      <c r="H963" s="161"/>
      <c r="I963" s="138"/>
      <c r="J963" s="138"/>
      <c r="K963" s="138"/>
      <c r="L963" s="138"/>
      <c r="M963" s="138"/>
      <c r="N963" s="138"/>
      <c r="O963" s="138"/>
      <c r="P963" s="138"/>
      <c r="Q963" s="138"/>
      <c r="R963" s="138"/>
      <c r="S963" s="138"/>
      <c r="T963" s="138"/>
      <c r="U963" s="138"/>
      <c r="V963" s="138"/>
      <c r="W963" s="138"/>
      <c r="X963" s="138"/>
      <c r="Y963" s="138"/>
      <c r="Z963" s="138"/>
      <c r="AA963" s="138"/>
      <c r="AB963" s="138"/>
      <c r="AC963" s="138"/>
    </row>
    <row r="964">
      <c r="A964" s="161"/>
      <c r="B964" s="161"/>
      <c r="C964" s="138"/>
      <c r="D964" s="160"/>
      <c r="E964" s="161"/>
      <c r="F964" s="161"/>
      <c r="G964" s="161"/>
      <c r="H964" s="161"/>
      <c r="I964" s="138"/>
      <c r="J964" s="138"/>
      <c r="K964" s="138"/>
      <c r="L964" s="138"/>
      <c r="M964" s="138"/>
      <c r="N964" s="138"/>
      <c r="O964" s="138"/>
      <c r="P964" s="138"/>
      <c r="Q964" s="138"/>
      <c r="R964" s="138"/>
      <c r="S964" s="138"/>
      <c r="T964" s="138"/>
      <c r="U964" s="138"/>
      <c r="V964" s="138"/>
      <c r="W964" s="138"/>
      <c r="X964" s="138"/>
      <c r="Y964" s="138"/>
      <c r="Z964" s="138"/>
      <c r="AA964" s="138"/>
      <c r="AB964" s="138"/>
      <c r="AC964" s="138"/>
    </row>
    <row r="965">
      <c r="A965" s="161"/>
      <c r="B965" s="161"/>
      <c r="C965" s="138"/>
      <c r="D965" s="160"/>
      <c r="E965" s="161"/>
      <c r="F965" s="161"/>
      <c r="G965" s="161"/>
      <c r="H965" s="161"/>
      <c r="I965" s="138"/>
      <c r="J965" s="138"/>
      <c r="K965" s="138"/>
      <c r="L965" s="138"/>
      <c r="M965" s="138"/>
      <c r="N965" s="138"/>
      <c r="O965" s="138"/>
      <c r="P965" s="138"/>
      <c r="Q965" s="138"/>
      <c r="R965" s="138"/>
      <c r="S965" s="138"/>
      <c r="T965" s="138"/>
      <c r="U965" s="138"/>
      <c r="V965" s="138"/>
      <c r="W965" s="138"/>
      <c r="X965" s="138"/>
      <c r="Y965" s="138"/>
      <c r="Z965" s="138"/>
      <c r="AA965" s="138"/>
      <c r="AB965" s="138"/>
      <c r="AC965" s="138"/>
    </row>
    <row r="966">
      <c r="A966" s="161"/>
      <c r="B966" s="161"/>
      <c r="C966" s="138"/>
      <c r="D966" s="160"/>
      <c r="E966" s="161"/>
      <c r="F966" s="161"/>
      <c r="G966" s="161"/>
      <c r="H966" s="161"/>
      <c r="I966" s="138"/>
      <c r="J966" s="138"/>
      <c r="K966" s="138"/>
      <c r="L966" s="138"/>
      <c r="M966" s="138"/>
      <c r="N966" s="138"/>
      <c r="O966" s="138"/>
      <c r="P966" s="138"/>
      <c r="Q966" s="138"/>
      <c r="R966" s="138"/>
      <c r="S966" s="138"/>
      <c r="T966" s="138"/>
      <c r="U966" s="138"/>
      <c r="V966" s="138"/>
      <c r="W966" s="138"/>
      <c r="X966" s="138"/>
      <c r="Y966" s="138"/>
      <c r="Z966" s="138"/>
      <c r="AA966" s="138"/>
      <c r="AB966" s="138"/>
      <c r="AC966" s="138"/>
    </row>
    <row r="967">
      <c r="A967" s="161"/>
      <c r="B967" s="161"/>
      <c r="C967" s="138"/>
      <c r="D967" s="160"/>
      <c r="E967" s="161"/>
      <c r="F967" s="161"/>
      <c r="G967" s="161"/>
      <c r="H967" s="161"/>
      <c r="I967" s="138"/>
      <c r="J967" s="138"/>
      <c r="K967" s="138"/>
      <c r="L967" s="138"/>
      <c r="M967" s="138"/>
      <c r="N967" s="138"/>
      <c r="O967" s="138"/>
      <c r="P967" s="138"/>
      <c r="Q967" s="138"/>
      <c r="R967" s="138"/>
      <c r="S967" s="138"/>
      <c r="T967" s="138"/>
      <c r="U967" s="138"/>
      <c r="V967" s="138"/>
      <c r="W967" s="138"/>
      <c r="X967" s="138"/>
      <c r="Y967" s="138"/>
      <c r="Z967" s="138"/>
      <c r="AA967" s="138"/>
      <c r="AB967" s="138"/>
      <c r="AC967" s="138"/>
    </row>
    <row r="968">
      <c r="A968" s="161"/>
      <c r="B968" s="161"/>
      <c r="C968" s="138"/>
      <c r="D968" s="160"/>
      <c r="E968" s="161"/>
      <c r="F968" s="161"/>
      <c r="G968" s="161"/>
      <c r="H968" s="161"/>
      <c r="I968" s="138"/>
      <c r="J968" s="138"/>
      <c r="K968" s="138"/>
      <c r="L968" s="138"/>
      <c r="M968" s="138"/>
      <c r="N968" s="138"/>
      <c r="O968" s="138"/>
      <c r="P968" s="138"/>
      <c r="Q968" s="138"/>
      <c r="R968" s="138"/>
      <c r="S968" s="138"/>
      <c r="T968" s="138"/>
      <c r="U968" s="138"/>
      <c r="V968" s="138"/>
      <c r="W968" s="138"/>
      <c r="X968" s="138"/>
      <c r="Y968" s="138"/>
      <c r="Z968" s="138"/>
      <c r="AA968" s="138"/>
      <c r="AB968" s="138"/>
      <c r="AC968" s="138"/>
    </row>
    <row r="969">
      <c r="A969" s="161"/>
      <c r="B969" s="161"/>
      <c r="C969" s="138"/>
      <c r="D969" s="160"/>
      <c r="E969" s="161"/>
      <c r="F969" s="161"/>
      <c r="G969" s="161"/>
      <c r="H969" s="161"/>
      <c r="I969" s="138"/>
      <c r="J969" s="138"/>
      <c r="K969" s="138"/>
      <c r="L969" s="138"/>
      <c r="M969" s="138"/>
      <c r="N969" s="138"/>
      <c r="O969" s="138"/>
      <c r="P969" s="138"/>
      <c r="Q969" s="138"/>
      <c r="R969" s="138"/>
      <c r="S969" s="138"/>
      <c r="T969" s="138"/>
      <c r="U969" s="138"/>
      <c r="V969" s="138"/>
      <c r="W969" s="138"/>
      <c r="X969" s="138"/>
      <c r="Y969" s="138"/>
      <c r="Z969" s="138"/>
      <c r="AA969" s="138"/>
      <c r="AB969" s="138"/>
      <c r="AC969" s="138"/>
    </row>
    <row r="970">
      <c r="A970" s="161"/>
      <c r="B970" s="161"/>
      <c r="C970" s="138"/>
      <c r="D970" s="160"/>
      <c r="E970" s="161"/>
      <c r="F970" s="161"/>
      <c r="G970" s="161"/>
      <c r="H970" s="161"/>
      <c r="I970" s="138"/>
      <c r="J970" s="138"/>
      <c r="K970" s="138"/>
      <c r="L970" s="138"/>
      <c r="M970" s="138"/>
      <c r="N970" s="138"/>
      <c r="O970" s="138"/>
      <c r="P970" s="138"/>
      <c r="Q970" s="138"/>
      <c r="R970" s="138"/>
      <c r="S970" s="138"/>
      <c r="T970" s="138"/>
      <c r="U970" s="138"/>
      <c r="V970" s="138"/>
      <c r="W970" s="138"/>
      <c r="X970" s="138"/>
      <c r="Y970" s="138"/>
      <c r="Z970" s="138"/>
      <c r="AA970" s="138"/>
      <c r="AB970" s="138"/>
      <c r="AC970" s="138"/>
    </row>
    <row r="971">
      <c r="A971" s="161"/>
      <c r="B971" s="161"/>
      <c r="C971" s="138"/>
      <c r="D971" s="160"/>
      <c r="E971" s="161"/>
      <c r="F971" s="161"/>
      <c r="G971" s="161"/>
      <c r="H971" s="161"/>
      <c r="I971" s="138"/>
      <c r="J971" s="138"/>
      <c r="K971" s="138"/>
      <c r="L971" s="138"/>
      <c r="M971" s="138"/>
      <c r="N971" s="138"/>
      <c r="O971" s="138"/>
      <c r="P971" s="138"/>
      <c r="Q971" s="138"/>
      <c r="R971" s="138"/>
      <c r="S971" s="138"/>
      <c r="T971" s="138"/>
      <c r="U971" s="138"/>
      <c r="V971" s="138"/>
      <c r="W971" s="138"/>
      <c r="X971" s="138"/>
      <c r="Y971" s="138"/>
      <c r="Z971" s="138"/>
      <c r="AA971" s="138"/>
      <c r="AB971" s="138"/>
      <c r="AC971" s="138"/>
    </row>
    <row r="972">
      <c r="A972" s="161"/>
      <c r="B972" s="161"/>
      <c r="C972" s="138"/>
      <c r="D972" s="160"/>
      <c r="E972" s="161"/>
      <c r="F972" s="161"/>
      <c r="G972" s="161"/>
      <c r="H972" s="161"/>
      <c r="I972" s="138"/>
      <c r="J972" s="138"/>
      <c r="K972" s="138"/>
      <c r="L972" s="138"/>
      <c r="M972" s="138"/>
      <c r="N972" s="138"/>
      <c r="O972" s="138"/>
      <c r="P972" s="138"/>
      <c r="Q972" s="138"/>
      <c r="R972" s="138"/>
      <c r="S972" s="138"/>
      <c r="T972" s="138"/>
      <c r="U972" s="138"/>
      <c r="V972" s="138"/>
      <c r="W972" s="138"/>
      <c r="X972" s="138"/>
      <c r="Y972" s="138"/>
      <c r="Z972" s="138"/>
      <c r="AA972" s="138"/>
      <c r="AB972" s="138"/>
      <c r="AC972" s="138"/>
    </row>
    <row r="973">
      <c r="A973" s="161"/>
      <c r="B973" s="161"/>
      <c r="C973" s="138"/>
      <c r="D973" s="160"/>
      <c r="E973" s="161"/>
      <c r="F973" s="161"/>
      <c r="G973" s="161"/>
      <c r="H973" s="161"/>
      <c r="I973" s="138"/>
      <c r="J973" s="138"/>
      <c r="K973" s="138"/>
      <c r="L973" s="138"/>
      <c r="M973" s="138"/>
      <c r="N973" s="138"/>
      <c r="O973" s="138"/>
      <c r="P973" s="138"/>
      <c r="Q973" s="138"/>
      <c r="R973" s="138"/>
      <c r="S973" s="138"/>
      <c r="T973" s="138"/>
      <c r="U973" s="138"/>
      <c r="V973" s="138"/>
      <c r="W973" s="138"/>
      <c r="X973" s="138"/>
      <c r="Y973" s="138"/>
      <c r="Z973" s="138"/>
      <c r="AA973" s="138"/>
      <c r="AB973" s="138"/>
      <c r="AC973" s="138"/>
    </row>
    <row r="974">
      <c r="A974" s="161"/>
      <c r="B974" s="161"/>
      <c r="C974" s="138"/>
      <c r="D974" s="160"/>
      <c r="E974" s="161"/>
      <c r="F974" s="161"/>
      <c r="G974" s="161"/>
      <c r="H974" s="161"/>
      <c r="I974" s="138"/>
      <c r="J974" s="138"/>
      <c r="K974" s="138"/>
      <c r="L974" s="138"/>
      <c r="M974" s="138"/>
      <c r="N974" s="138"/>
      <c r="O974" s="138"/>
      <c r="P974" s="138"/>
      <c r="Q974" s="138"/>
      <c r="R974" s="138"/>
      <c r="S974" s="138"/>
      <c r="T974" s="138"/>
      <c r="U974" s="138"/>
      <c r="V974" s="138"/>
      <c r="W974" s="138"/>
      <c r="X974" s="138"/>
      <c r="Y974" s="138"/>
      <c r="Z974" s="138"/>
      <c r="AA974" s="138"/>
      <c r="AB974" s="138"/>
      <c r="AC974" s="138"/>
    </row>
    <row r="975">
      <c r="A975" s="161"/>
      <c r="B975" s="161"/>
      <c r="C975" s="138"/>
      <c r="D975" s="160"/>
      <c r="E975" s="161"/>
      <c r="F975" s="161"/>
      <c r="G975" s="161"/>
      <c r="H975" s="161"/>
      <c r="I975" s="138"/>
      <c r="J975" s="138"/>
      <c r="K975" s="138"/>
      <c r="L975" s="138"/>
      <c r="M975" s="138"/>
      <c r="N975" s="138"/>
      <c r="O975" s="138"/>
      <c r="P975" s="138"/>
      <c r="Q975" s="138"/>
      <c r="R975" s="138"/>
      <c r="S975" s="138"/>
      <c r="T975" s="138"/>
      <c r="U975" s="138"/>
      <c r="V975" s="138"/>
      <c r="W975" s="138"/>
      <c r="X975" s="138"/>
      <c r="Y975" s="138"/>
      <c r="Z975" s="138"/>
      <c r="AA975" s="138"/>
      <c r="AB975" s="138"/>
      <c r="AC975" s="138"/>
    </row>
    <row r="976">
      <c r="A976" s="161"/>
      <c r="B976" s="161"/>
      <c r="C976" s="138"/>
      <c r="D976" s="160"/>
      <c r="E976" s="161"/>
      <c r="F976" s="161"/>
      <c r="G976" s="161"/>
      <c r="H976" s="161"/>
      <c r="I976" s="138"/>
      <c r="J976" s="138"/>
      <c r="K976" s="138"/>
      <c r="L976" s="138"/>
      <c r="M976" s="138"/>
      <c r="N976" s="138"/>
      <c r="O976" s="138"/>
      <c r="P976" s="138"/>
      <c r="Q976" s="138"/>
      <c r="R976" s="138"/>
      <c r="S976" s="138"/>
      <c r="T976" s="138"/>
      <c r="U976" s="138"/>
      <c r="V976" s="138"/>
      <c r="W976" s="138"/>
      <c r="X976" s="138"/>
      <c r="Y976" s="138"/>
      <c r="Z976" s="138"/>
      <c r="AA976" s="138"/>
      <c r="AB976" s="138"/>
      <c r="AC976" s="138"/>
    </row>
    <row r="977">
      <c r="A977" s="161"/>
      <c r="B977" s="161"/>
      <c r="C977" s="138"/>
      <c r="D977" s="160"/>
      <c r="E977" s="161"/>
      <c r="F977" s="161"/>
      <c r="G977" s="161"/>
      <c r="H977" s="161"/>
      <c r="I977" s="138"/>
      <c r="J977" s="138"/>
      <c r="K977" s="138"/>
      <c r="L977" s="138"/>
      <c r="M977" s="138"/>
      <c r="N977" s="138"/>
      <c r="O977" s="138"/>
      <c r="P977" s="138"/>
      <c r="Q977" s="138"/>
      <c r="R977" s="138"/>
      <c r="S977" s="138"/>
      <c r="T977" s="138"/>
      <c r="U977" s="138"/>
      <c r="V977" s="138"/>
      <c r="W977" s="138"/>
      <c r="X977" s="138"/>
      <c r="Y977" s="138"/>
      <c r="Z977" s="138"/>
      <c r="AA977" s="138"/>
      <c r="AB977" s="138"/>
      <c r="AC977" s="138"/>
    </row>
    <row r="978">
      <c r="A978" s="161"/>
      <c r="B978" s="161"/>
      <c r="C978" s="138"/>
      <c r="D978" s="160"/>
      <c r="E978" s="161"/>
      <c r="F978" s="161"/>
      <c r="G978" s="161"/>
      <c r="H978" s="161"/>
      <c r="I978" s="138"/>
      <c r="J978" s="138"/>
      <c r="K978" s="138"/>
      <c r="L978" s="138"/>
      <c r="M978" s="138"/>
      <c r="N978" s="138"/>
      <c r="O978" s="138"/>
      <c r="P978" s="138"/>
      <c r="Q978" s="138"/>
      <c r="R978" s="138"/>
      <c r="S978" s="138"/>
      <c r="T978" s="138"/>
      <c r="U978" s="138"/>
      <c r="V978" s="138"/>
      <c r="W978" s="138"/>
      <c r="X978" s="138"/>
      <c r="Y978" s="138"/>
      <c r="Z978" s="138"/>
      <c r="AA978" s="138"/>
      <c r="AB978" s="138"/>
      <c r="AC978" s="138"/>
    </row>
    <row r="979">
      <c r="A979" s="161"/>
      <c r="B979" s="161"/>
      <c r="C979" s="138"/>
      <c r="D979" s="160"/>
      <c r="E979" s="161"/>
      <c r="F979" s="161"/>
      <c r="G979" s="161"/>
      <c r="H979" s="161"/>
      <c r="I979" s="138"/>
      <c r="J979" s="138"/>
      <c r="K979" s="138"/>
      <c r="L979" s="138"/>
      <c r="M979" s="138"/>
      <c r="N979" s="138"/>
      <c r="O979" s="138"/>
      <c r="P979" s="138"/>
      <c r="Q979" s="138"/>
      <c r="R979" s="138"/>
      <c r="S979" s="138"/>
      <c r="T979" s="138"/>
      <c r="U979" s="138"/>
      <c r="V979" s="138"/>
      <c r="W979" s="138"/>
      <c r="X979" s="138"/>
      <c r="Y979" s="138"/>
      <c r="Z979" s="138"/>
      <c r="AA979" s="138"/>
      <c r="AB979" s="138"/>
      <c r="AC979" s="138"/>
    </row>
    <row r="980">
      <c r="A980" s="161"/>
      <c r="B980" s="161"/>
      <c r="C980" s="138"/>
      <c r="D980" s="160"/>
      <c r="E980" s="161"/>
      <c r="F980" s="161"/>
      <c r="G980" s="161"/>
      <c r="H980" s="161"/>
      <c r="I980" s="138"/>
      <c r="J980" s="138"/>
      <c r="K980" s="138"/>
      <c r="L980" s="138"/>
      <c r="M980" s="138"/>
      <c r="N980" s="138"/>
      <c r="O980" s="138"/>
      <c r="P980" s="138"/>
      <c r="Q980" s="138"/>
      <c r="R980" s="138"/>
      <c r="S980" s="138"/>
      <c r="T980" s="138"/>
      <c r="U980" s="138"/>
      <c r="V980" s="138"/>
      <c r="W980" s="138"/>
      <c r="X980" s="138"/>
      <c r="Y980" s="138"/>
      <c r="Z980" s="138"/>
      <c r="AA980" s="138"/>
      <c r="AB980" s="138"/>
      <c r="AC980" s="138"/>
    </row>
    <row r="981">
      <c r="A981" s="161"/>
      <c r="B981" s="161"/>
      <c r="C981" s="138"/>
      <c r="D981" s="160"/>
      <c r="E981" s="161"/>
      <c r="F981" s="161"/>
      <c r="G981" s="161"/>
      <c r="H981" s="161"/>
      <c r="I981" s="138"/>
      <c r="J981" s="138"/>
      <c r="K981" s="138"/>
      <c r="L981" s="138"/>
      <c r="M981" s="138"/>
      <c r="N981" s="138"/>
      <c r="O981" s="138"/>
      <c r="P981" s="138"/>
      <c r="Q981" s="138"/>
      <c r="R981" s="138"/>
      <c r="S981" s="138"/>
      <c r="T981" s="138"/>
      <c r="U981" s="138"/>
      <c r="V981" s="138"/>
      <c r="W981" s="138"/>
      <c r="X981" s="138"/>
      <c r="Y981" s="138"/>
      <c r="Z981" s="138"/>
      <c r="AA981" s="138"/>
      <c r="AB981" s="138"/>
      <c r="AC981" s="138"/>
    </row>
    <row r="982">
      <c r="A982" s="161"/>
      <c r="B982" s="161"/>
      <c r="C982" s="138"/>
      <c r="D982" s="160"/>
      <c r="E982" s="161"/>
      <c r="F982" s="161"/>
      <c r="G982" s="161"/>
      <c r="H982" s="161"/>
      <c r="I982" s="138"/>
      <c r="J982" s="138"/>
      <c r="K982" s="138"/>
      <c r="L982" s="138"/>
      <c r="M982" s="138"/>
      <c r="N982" s="138"/>
      <c r="O982" s="138"/>
      <c r="P982" s="138"/>
      <c r="Q982" s="138"/>
      <c r="R982" s="138"/>
      <c r="S982" s="138"/>
      <c r="T982" s="138"/>
      <c r="U982" s="138"/>
      <c r="V982" s="138"/>
      <c r="W982" s="138"/>
      <c r="X982" s="138"/>
      <c r="Y982" s="138"/>
      <c r="Z982" s="138"/>
      <c r="AA982" s="138"/>
      <c r="AB982" s="138"/>
      <c r="AC982" s="138"/>
    </row>
    <row r="983">
      <c r="A983" s="161"/>
      <c r="B983" s="161"/>
      <c r="C983" s="138"/>
      <c r="D983" s="160"/>
      <c r="E983" s="161"/>
      <c r="F983" s="161"/>
      <c r="G983" s="161"/>
      <c r="H983" s="161"/>
      <c r="I983" s="138"/>
      <c r="J983" s="138"/>
      <c r="K983" s="138"/>
      <c r="L983" s="138"/>
      <c r="M983" s="138"/>
      <c r="N983" s="138"/>
      <c r="O983" s="138"/>
      <c r="P983" s="138"/>
      <c r="Q983" s="138"/>
      <c r="R983" s="138"/>
      <c r="S983" s="138"/>
      <c r="T983" s="138"/>
      <c r="U983" s="138"/>
      <c r="V983" s="138"/>
      <c r="W983" s="138"/>
      <c r="X983" s="138"/>
      <c r="Y983" s="138"/>
      <c r="Z983" s="138"/>
      <c r="AA983" s="138"/>
      <c r="AB983" s="138"/>
      <c r="AC983" s="138"/>
    </row>
    <row r="984">
      <c r="A984" s="161"/>
      <c r="B984" s="161"/>
      <c r="C984" s="138"/>
      <c r="D984" s="160"/>
      <c r="E984" s="161"/>
      <c r="F984" s="161"/>
      <c r="G984" s="161"/>
      <c r="H984" s="161"/>
      <c r="I984" s="138"/>
      <c r="J984" s="138"/>
      <c r="K984" s="138"/>
      <c r="L984" s="138"/>
      <c r="M984" s="138"/>
      <c r="N984" s="138"/>
      <c r="O984" s="138"/>
      <c r="P984" s="138"/>
      <c r="Q984" s="138"/>
      <c r="R984" s="138"/>
      <c r="S984" s="138"/>
      <c r="T984" s="138"/>
      <c r="U984" s="138"/>
      <c r="V984" s="138"/>
      <c r="W984" s="138"/>
      <c r="X984" s="138"/>
      <c r="Y984" s="138"/>
      <c r="Z984" s="138"/>
      <c r="AA984" s="138"/>
      <c r="AB984" s="138"/>
      <c r="AC984" s="138"/>
    </row>
    <row r="985">
      <c r="A985" s="161"/>
      <c r="B985" s="161"/>
      <c r="C985" s="138"/>
      <c r="D985" s="160"/>
      <c r="E985" s="161"/>
      <c r="F985" s="161"/>
      <c r="G985" s="161"/>
      <c r="H985" s="161"/>
      <c r="I985" s="138"/>
      <c r="J985" s="138"/>
      <c r="K985" s="138"/>
      <c r="L985" s="138"/>
      <c r="M985" s="138"/>
      <c r="N985" s="138"/>
      <c r="O985" s="138"/>
      <c r="P985" s="138"/>
      <c r="Q985" s="138"/>
      <c r="R985" s="138"/>
      <c r="S985" s="138"/>
      <c r="T985" s="138"/>
      <c r="U985" s="138"/>
      <c r="V985" s="138"/>
      <c r="W985" s="138"/>
      <c r="X985" s="138"/>
      <c r="Y985" s="138"/>
      <c r="Z985" s="138"/>
      <c r="AA985" s="138"/>
      <c r="AB985" s="138"/>
      <c r="AC985" s="138"/>
    </row>
    <row r="986">
      <c r="A986" s="161"/>
      <c r="B986" s="161"/>
      <c r="C986" s="138"/>
      <c r="D986" s="160"/>
      <c r="E986" s="161"/>
      <c r="F986" s="161"/>
      <c r="G986" s="161"/>
      <c r="H986" s="161"/>
      <c r="I986" s="138"/>
      <c r="J986" s="138"/>
      <c r="K986" s="138"/>
      <c r="L986" s="138"/>
      <c r="M986" s="138"/>
      <c r="N986" s="138"/>
      <c r="O986" s="138"/>
      <c r="P986" s="138"/>
      <c r="Q986" s="138"/>
      <c r="R986" s="138"/>
      <c r="S986" s="138"/>
      <c r="T986" s="138"/>
      <c r="U986" s="138"/>
      <c r="V986" s="138"/>
      <c r="W986" s="138"/>
      <c r="X986" s="138"/>
      <c r="Y986" s="138"/>
      <c r="Z986" s="138"/>
      <c r="AA986" s="138"/>
      <c r="AB986" s="138"/>
      <c r="AC986" s="138"/>
    </row>
    <row r="987">
      <c r="A987" s="161"/>
      <c r="B987" s="161"/>
      <c r="C987" s="138"/>
      <c r="D987" s="160"/>
      <c r="E987" s="161"/>
      <c r="F987" s="161"/>
      <c r="G987" s="161"/>
      <c r="H987" s="161"/>
      <c r="I987" s="138"/>
      <c r="J987" s="138"/>
      <c r="K987" s="138"/>
      <c r="L987" s="138"/>
      <c r="M987" s="138"/>
      <c r="N987" s="138"/>
      <c r="O987" s="138"/>
      <c r="P987" s="138"/>
      <c r="Q987" s="138"/>
      <c r="R987" s="138"/>
      <c r="S987" s="138"/>
      <c r="T987" s="138"/>
      <c r="U987" s="138"/>
      <c r="V987" s="138"/>
      <c r="W987" s="138"/>
      <c r="X987" s="138"/>
      <c r="Y987" s="138"/>
      <c r="Z987" s="138"/>
      <c r="AA987" s="138"/>
      <c r="AB987" s="138"/>
      <c r="AC987" s="138"/>
    </row>
    <row r="988">
      <c r="A988" s="161"/>
      <c r="B988" s="161"/>
      <c r="C988" s="138"/>
      <c r="D988" s="160"/>
      <c r="E988" s="161"/>
      <c r="F988" s="161"/>
      <c r="G988" s="161"/>
      <c r="H988" s="161"/>
      <c r="I988" s="138"/>
      <c r="J988" s="138"/>
      <c r="K988" s="138"/>
      <c r="L988" s="138"/>
      <c r="M988" s="138"/>
      <c r="N988" s="138"/>
      <c r="O988" s="138"/>
      <c r="P988" s="138"/>
      <c r="Q988" s="138"/>
      <c r="R988" s="138"/>
      <c r="S988" s="138"/>
      <c r="T988" s="138"/>
      <c r="U988" s="138"/>
      <c r="V988" s="138"/>
      <c r="W988" s="138"/>
      <c r="X988" s="138"/>
      <c r="Y988" s="138"/>
      <c r="Z988" s="138"/>
      <c r="AA988" s="138"/>
      <c r="AB988" s="138"/>
      <c r="AC988" s="138"/>
    </row>
    <row r="989">
      <c r="A989" s="161"/>
      <c r="B989" s="161"/>
      <c r="C989" s="138"/>
      <c r="D989" s="160"/>
      <c r="E989" s="161"/>
      <c r="F989" s="161"/>
      <c r="G989" s="161"/>
      <c r="H989" s="161"/>
      <c r="I989" s="138"/>
      <c r="J989" s="138"/>
      <c r="K989" s="138"/>
      <c r="L989" s="138"/>
      <c r="M989" s="138"/>
      <c r="N989" s="138"/>
      <c r="O989" s="138"/>
      <c r="P989" s="138"/>
      <c r="Q989" s="138"/>
      <c r="R989" s="138"/>
      <c r="S989" s="138"/>
      <c r="T989" s="138"/>
      <c r="U989" s="138"/>
      <c r="V989" s="138"/>
      <c r="W989" s="138"/>
      <c r="X989" s="138"/>
      <c r="Y989" s="138"/>
      <c r="Z989" s="138"/>
      <c r="AA989" s="138"/>
      <c r="AB989" s="138"/>
      <c r="AC989" s="138"/>
    </row>
    <row r="990">
      <c r="A990" s="161"/>
      <c r="B990" s="161"/>
      <c r="C990" s="138"/>
      <c r="D990" s="160"/>
      <c r="E990" s="161"/>
      <c r="F990" s="161"/>
      <c r="G990" s="161"/>
      <c r="H990" s="161"/>
      <c r="I990" s="138"/>
      <c r="J990" s="138"/>
      <c r="K990" s="138"/>
      <c r="L990" s="138"/>
      <c r="M990" s="138"/>
      <c r="N990" s="138"/>
      <c r="O990" s="138"/>
      <c r="P990" s="138"/>
      <c r="Q990" s="138"/>
      <c r="R990" s="138"/>
      <c r="S990" s="138"/>
      <c r="T990" s="138"/>
      <c r="U990" s="138"/>
      <c r="V990" s="138"/>
      <c r="W990" s="138"/>
      <c r="X990" s="138"/>
      <c r="Y990" s="138"/>
      <c r="Z990" s="138"/>
      <c r="AA990" s="138"/>
      <c r="AB990" s="138"/>
      <c r="AC990" s="138"/>
    </row>
    <row r="991">
      <c r="A991" s="161"/>
      <c r="B991" s="161"/>
      <c r="C991" s="138"/>
      <c r="D991" s="160"/>
      <c r="E991" s="161"/>
      <c r="F991" s="161"/>
      <c r="G991" s="161"/>
      <c r="H991" s="161"/>
      <c r="I991" s="138"/>
      <c r="J991" s="138"/>
      <c r="K991" s="138"/>
      <c r="L991" s="138"/>
      <c r="M991" s="138"/>
      <c r="N991" s="138"/>
      <c r="O991" s="138"/>
      <c r="P991" s="138"/>
      <c r="Q991" s="138"/>
      <c r="R991" s="138"/>
      <c r="S991" s="138"/>
      <c r="T991" s="138"/>
      <c r="U991" s="138"/>
      <c r="V991" s="138"/>
      <c r="W991" s="138"/>
      <c r="X991" s="138"/>
      <c r="Y991" s="138"/>
      <c r="Z991" s="138"/>
      <c r="AA991" s="138"/>
      <c r="AB991" s="138"/>
      <c r="AC991" s="138"/>
    </row>
    <row r="992">
      <c r="A992" s="161"/>
      <c r="B992" s="161"/>
      <c r="C992" s="138"/>
      <c r="D992" s="160"/>
      <c r="E992" s="161"/>
      <c r="F992" s="161"/>
      <c r="G992" s="161"/>
      <c r="H992" s="161"/>
      <c r="I992" s="138"/>
      <c r="J992" s="138"/>
      <c r="K992" s="138"/>
      <c r="L992" s="138"/>
      <c r="M992" s="138"/>
      <c r="N992" s="138"/>
      <c r="O992" s="138"/>
      <c r="P992" s="138"/>
      <c r="Q992" s="138"/>
      <c r="R992" s="138"/>
      <c r="S992" s="138"/>
      <c r="T992" s="138"/>
      <c r="U992" s="138"/>
      <c r="V992" s="138"/>
      <c r="W992" s="138"/>
      <c r="X992" s="138"/>
      <c r="Y992" s="138"/>
      <c r="Z992" s="138"/>
      <c r="AA992" s="138"/>
      <c r="AB992" s="138"/>
      <c r="AC992" s="138"/>
    </row>
    <row r="993">
      <c r="A993" s="161"/>
      <c r="B993" s="161"/>
      <c r="C993" s="138"/>
      <c r="D993" s="160"/>
      <c r="E993" s="161"/>
      <c r="F993" s="161"/>
      <c r="G993" s="161"/>
      <c r="H993" s="161"/>
      <c r="I993" s="138"/>
      <c r="J993" s="138"/>
      <c r="K993" s="138"/>
      <c r="L993" s="138"/>
      <c r="M993" s="138"/>
      <c r="N993" s="138"/>
      <c r="O993" s="138"/>
      <c r="P993" s="138"/>
      <c r="Q993" s="138"/>
      <c r="R993" s="138"/>
      <c r="S993" s="138"/>
      <c r="T993" s="138"/>
      <c r="U993" s="138"/>
      <c r="V993" s="138"/>
      <c r="W993" s="138"/>
      <c r="X993" s="138"/>
      <c r="Y993" s="138"/>
      <c r="Z993" s="138"/>
      <c r="AA993" s="138"/>
      <c r="AB993" s="138"/>
      <c r="AC993" s="138"/>
    </row>
    <row r="994">
      <c r="A994" s="161"/>
      <c r="B994" s="161"/>
      <c r="C994" s="138"/>
      <c r="D994" s="160"/>
      <c r="E994" s="161"/>
      <c r="F994" s="161"/>
      <c r="G994" s="161"/>
      <c r="H994" s="161"/>
      <c r="I994" s="138"/>
      <c r="J994" s="138"/>
      <c r="K994" s="138"/>
      <c r="L994" s="138"/>
      <c r="M994" s="138"/>
      <c r="N994" s="138"/>
      <c r="O994" s="138"/>
      <c r="P994" s="138"/>
      <c r="Q994" s="138"/>
      <c r="R994" s="138"/>
      <c r="S994" s="138"/>
      <c r="T994" s="138"/>
      <c r="U994" s="138"/>
      <c r="V994" s="138"/>
      <c r="W994" s="138"/>
      <c r="X994" s="138"/>
      <c r="Y994" s="138"/>
      <c r="Z994" s="138"/>
      <c r="AA994" s="138"/>
      <c r="AB994" s="138"/>
      <c r="AC994" s="138"/>
    </row>
    <row r="995">
      <c r="A995" s="161"/>
      <c r="B995" s="161"/>
      <c r="C995" s="138"/>
      <c r="D995" s="160"/>
      <c r="E995" s="161"/>
      <c r="F995" s="161"/>
      <c r="G995" s="161"/>
      <c r="H995" s="161"/>
      <c r="I995" s="138"/>
      <c r="J995" s="138"/>
      <c r="K995" s="138"/>
      <c r="L995" s="138"/>
      <c r="M995" s="138"/>
      <c r="N995" s="138"/>
      <c r="O995" s="138"/>
      <c r="P995" s="138"/>
      <c r="Q995" s="138"/>
      <c r="R995" s="138"/>
      <c r="S995" s="138"/>
      <c r="T995" s="138"/>
      <c r="U995" s="138"/>
      <c r="V995" s="138"/>
      <c r="W995" s="138"/>
      <c r="X995" s="138"/>
      <c r="Y995" s="138"/>
      <c r="Z995" s="138"/>
      <c r="AA995" s="138"/>
      <c r="AB995" s="138"/>
      <c r="AC995" s="138"/>
    </row>
    <row r="996">
      <c r="A996" s="161"/>
      <c r="B996" s="161"/>
      <c r="C996" s="138"/>
      <c r="D996" s="160"/>
      <c r="E996" s="161"/>
      <c r="F996" s="161"/>
      <c r="G996" s="161"/>
      <c r="H996" s="161"/>
      <c r="I996" s="138"/>
      <c r="J996" s="138"/>
      <c r="K996" s="138"/>
      <c r="L996" s="138"/>
      <c r="M996" s="138"/>
      <c r="N996" s="138"/>
      <c r="O996" s="138"/>
      <c r="P996" s="138"/>
      <c r="Q996" s="138"/>
      <c r="R996" s="138"/>
      <c r="S996" s="138"/>
      <c r="T996" s="138"/>
      <c r="U996" s="138"/>
      <c r="V996" s="138"/>
      <c r="W996" s="138"/>
      <c r="X996" s="138"/>
      <c r="Y996" s="138"/>
      <c r="Z996" s="138"/>
      <c r="AA996" s="138"/>
      <c r="AB996" s="138"/>
      <c r="AC996" s="138"/>
    </row>
    <row r="997">
      <c r="A997" s="161"/>
      <c r="B997" s="161"/>
      <c r="C997" s="138"/>
      <c r="D997" s="160"/>
      <c r="E997" s="161"/>
      <c r="F997" s="161"/>
      <c r="G997" s="161"/>
      <c r="H997" s="161"/>
      <c r="I997" s="138"/>
      <c r="J997" s="138"/>
      <c r="K997" s="138"/>
      <c r="L997" s="138"/>
      <c r="M997" s="138"/>
      <c r="N997" s="138"/>
      <c r="O997" s="138"/>
      <c r="P997" s="138"/>
      <c r="Q997" s="138"/>
      <c r="R997" s="138"/>
      <c r="S997" s="138"/>
      <c r="T997" s="138"/>
      <c r="U997" s="138"/>
      <c r="V997" s="138"/>
      <c r="W997" s="138"/>
      <c r="X997" s="138"/>
      <c r="Y997" s="138"/>
      <c r="Z997" s="138"/>
      <c r="AA997" s="138"/>
      <c r="AB997" s="138"/>
      <c r="AC997" s="138"/>
    </row>
    <row r="998">
      <c r="A998" s="161"/>
      <c r="B998" s="161"/>
      <c r="C998" s="138"/>
      <c r="D998" s="160"/>
      <c r="E998" s="161"/>
      <c r="F998" s="161"/>
      <c r="G998" s="161"/>
      <c r="H998" s="161"/>
      <c r="I998" s="138"/>
      <c r="J998" s="138"/>
      <c r="K998" s="138"/>
      <c r="L998" s="138"/>
      <c r="M998" s="138"/>
      <c r="N998" s="138"/>
      <c r="O998" s="138"/>
      <c r="P998" s="138"/>
      <c r="Q998" s="138"/>
      <c r="R998" s="138"/>
      <c r="S998" s="138"/>
      <c r="T998" s="138"/>
      <c r="U998" s="138"/>
      <c r="V998" s="138"/>
      <c r="W998" s="138"/>
      <c r="X998" s="138"/>
      <c r="Y998" s="138"/>
      <c r="Z998" s="138"/>
      <c r="AA998" s="138"/>
      <c r="AB998" s="138"/>
      <c r="AC998" s="138"/>
    </row>
    <row r="999">
      <c r="A999" s="161"/>
      <c r="B999" s="161"/>
      <c r="C999" s="138"/>
      <c r="D999" s="160"/>
      <c r="E999" s="161"/>
      <c r="F999" s="161"/>
      <c r="G999" s="161"/>
      <c r="H999" s="161"/>
      <c r="I999" s="138"/>
      <c r="J999" s="138"/>
      <c r="K999" s="138"/>
      <c r="L999" s="138"/>
      <c r="M999" s="138"/>
      <c r="N999" s="138"/>
      <c r="O999" s="138"/>
      <c r="P999" s="138"/>
      <c r="Q999" s="138"/>
      <c r="R999" s="138"/>
      <c r="S999" s="138"/>
      <c r="T999" s="138"/>
      <c r="U999" s="138"/>
      <c r="V999" s="138"/>
      <c r="W999" s="138"/>
      <c r="X999" s="138"/>
      <c r="Y999" s="138"/>
      <c r="Z999" s="138"/>
      <c r="AA999" s="138"/>
      <c r="AB999" s="138"/>
      <c r="AC999" s="138"/>
    </row>
    <row r="1000">
      <c r="A1000" s="161"/>
      <c r="B1000" s="161"/>
      <c r="C1000" s="138"/>
      <c r="D1000" s="160"/>
      <c r="E1000" s="161"/>
      <c r="F1000" s="161"/>
      <c r="G1000" s="161"/>
      <c r="H1000" s="161"/>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row>
    <row r="1001">
      <c r="A1001" s="161"/>
      <c r="B1001" s="161"/>
      <c r="C1001" s="138"/>
      <c r="D1001" s="160"/>
      <c r="E1001" s="161"/>
      <c r="F1001" s="161"/>
      <c r="G1001" s="161"/>
      <c r="H1001" s="161"/>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c r="AC1001" s="138"/>
    </row>
    <row r="1002">
      <c r="A1002" s="161"/>
      <c r="B1002" s="161"/>
      <c r="C1002" s="138"/>
      <c r="D1002" s="160"/>
      <c r="E1002" s="161"/>
      <c r="F1002" s="161"/>
      <c r="G1002" s="161"/>
      <c r="H1002" s="161"/>
      <c r="I1002" s="138"/>
      <c r="J1002" s="138"/>
      <c r="K1002" s="138"/>
      <c r="L1002" s="138"/>
      <c r="M1002" s="138"/>
      <c r="N1002" s="138"/>
      <c r="O1002" s="138"/>
      <c r="P1002" s="138"/>
      <c r="Q1002" s="138"/>
      <c r="R1002" s="138"/>
      <c r="S1002" s="138"/>
      <c r="T1002" s="138"/>
      <c r="U1002" s="138"/>
      <c r="V1002" s="138"/>
      <c r="W1002" s="138"/>
      <c r="X1002" s="138"/>
      <c r="Y1002" s="138"/>
      <c r="Z1002" s="138"/>
      <c r="AA1002" s="138"/>
      <c r="AB1002" s="138"/>
      <c r="AC1002" s="138"/>
    </row>
    <row r="1003">
      <c r="A1003" s="161"/>
      <c r="B1003" s="161"/>
      <c r="C1003" s="138"/>
      <c r="D1003" s="160"/>
      <c r="E1003" s="161"/>
      <c r="F1003" s="161"/>
      <c r="G1003" s="161"/>
      <c r="H1003" s="161"/>
      <c r="I1003" s="138"/>
      <c r="J1003" s="138"/>
      <c r="K1003" s="138"/>
      <c r="L1003" s="138"/>
      <c r="M1003" s="138"/>
      <c r="N1003" s="138"/>
      <c r="O1003" s="138"/>
      <c r="P1003" s="138"/>
      <c r="Q1003" s="138"/>
      <c r="R1003" s="138"/>
      <c r="S1003" s="138"/>
      <c r="T1003" s="138"/>
      <c r="U1003" s="138"/>
      <c r="V1003" s="138"/>
      <c r="W1003" s="138"/>
      <c r="X1003" s="138"/>
      <c r="Y1003" s="138"/>
      <c r="Z1003" s="138"/>
      <c r="AA1003" s="138"/>
      <c r="AB1003" s="138"/>
      <c r="AC1003" s="138"/>
    </row>
    <row r="1004">
      <c r="A1004" s="161"/>
      <c r="B1004" s="161"/>
      <c r="C1004" s="138"/>
      <c r="D1004" s="160"/>
      <c r="E1004" s="161"/>
      <c r="F1004" s="161"/>
      <c r="G1004" s="161"/>
      <c r="H1004" s="161"/>
      <c r="I1004" s="138"/>
      <c r="J1004" s="138"/>
      <c r="K1004" s="138"/>
      <c r="L1004" s="138"/>
      <c r="M1004" s="138"/>
      <c r="N1004" s="138"/>
      <c r="O1004" s="138"/>
      <c r="P1004" s="138"/>
      <c r="Q1004" s="138"/>
      <c r="R1004" s="138"/>
      <c r="S1004" s="138"/>
      <c r="T1004" s="138"/>
      <c r="U1004" s="138"/>
      <c r="V1004" s="138"/>
      <c r="W1004" s="138"/>
      <c r="X1004" s="138"/>
      <c r="Y1004" s="138"/>
      <c r="Z1004" s="138"/>
      <c r="AA1004" s="138"/>
      <c r="AB1004" s="138"/>
      <c r="AC1004" s="138"/>
    </row>
    <row r="1005">
      <c r="A1005" s="161"/>
      <c r="B1005" s="161"/>
      <c r="C1005" s="138"/>
      <c r="D1005" s="160"/>
      <c r="E1005" s="161"/>
      <c r="F1005" s="161"/>
      <c r="G1005" s="161"/>
      <c r="H1005" s="161"/>
      <c r="I1005" s="138"/>
      <c r="J1005" s="138"/>
      <c r="K1005" s="138"/>
      <c r="L1005" s="138"/>
      <c r="M1005" s="138"/>
      <c r="N1005" s="138"/>
      <c r="O1005" s="138"/>
      <c r="P1005" s="138"/>
      <c r="Q1005" s="138"/>
      <c r="R1005" s="138"/>
      <c r="S1005" s="138"/>
      <c r="T1005" s="138"/>
      <c r="U1005" s="138"/>
      <c r="V1005" s="138"/>
      <c r="W1005" s="138"/>
      <c r="X1005" s="138"/>
      <c r="Y1005" s="138"/>
      <c r="Z1005" s="138"/>
      <c r="AA1005" s="138"/>
      <c r="AB1005" s="138"/>
      <c r="AC1005" s="138"/>
    </row>
    <row r="1006">
      <c r="A1006" s="161"/>
      <c r="B1006" s="161"/>
      <c r="C1006" s="138"/>
      <c r="D1006" s="160"/>
      <c r="E1006" s="161"/>
      <c r="F1006" s="161"/>
      <c r="G1006" s="161"/>
      <c r="H1006" s="161"/>
      <c r="I1006" s="138"/>
      <c r="J1006" s="138"/>
      <c r="K1006" s="138"/>
      <c r="L1006" s="138"/>
      <c r="M1006" s="138"/>
      <c r="N1006" s="138"/>
      <c r="O1006" s="138"/>
      <c r="P1006" s="138"/>
      <c r="Q1006" s="138"/>
      <c r="R1006" s="138"/>
      <c r="S1006" s="138"/>
      <c r="T1006" s="138"/>
      <c r="U1006" s="138"/>
      <c r="V1006" s="138"/>
      <c r="W1006" s="138"/>
      <c r="X1006" s="138"/>
      <c r="Y1006" s="138"/>
      <c r="Z1006" s="138"/>
      <c r="AA1006" s="138"/>
      <c r="AB1006" s="138"/>
      <c r="AC1006" s="138"/>
    </row>
    <row r="1007">
      <c r="A1007" s="161"/>
      <c r="B1007" s="161"/>
      <c r="C1007" s="138"/>
      <c r="D1007" s="160"/>
      <c r="E1007" s="161"/>
      <c r="F1007" s="161"/>
      <c r="G1007" s="161"/>
      <c r="H1007" s="161"/>
      <c r="I1007" s="138"/>
      <c r="J1007" s="138"/>
      <c r="K1007" s="138"/>
      <c r="L1007" s="138"/>
      <c r="M1007" s="138"/>
      <c r="N1007" s="138"/>
      <c r="O1007" s="138"/>
      <c r="P1007" s="138"/>
      <c r="Q1007" s="138"/>
      <c r="R1007" s="138"/>
      <c r="S1007" s="138"/>
      <c r="T1007" s="138"/>
      <c r="U1007" s="138"/>
      <c r="V1007" s="138"/>
      <c r="W1007" s="138"/>
      <c r="X1007" s="138"/>
      <c r="Y1007" s="138"/>
      <c r="Z1007" s="138"/>
      <c r="AA1007" s="138"/>
      <c r="AB1007" s="138"/>
      <c r="AC1007" s="138"/>
    </row>
    <row r="1008">
      <c r="A1008" s="161"/>
      <c r="B1008" s="161"/>
      <c r="C1008" s="138"/>
      <c r="D1008" s="160"/>
      <c r="E1008" s="161"/>
      <c r="F1008" s="161"/>
      <c r="G1008" s="161"/>
      <c r="H1008" s="161"/>
      <c r="I1008" s="138"/>
      <c r="J1008" s="138"/>
      <c r="K1008" s="138"/>
      <c r="L1008" s="138"/>
      <c r="M1008" s="138"/>
      <c r="N1008" s="138"/>
      <c r="O1008" s="138"/>
      <c r="P1008" s="138"/>
      <c r="Q1008" s="138"/>
      <c r="R1008" s="138"/>
      <c r="S1008" s="138"/>
      <c r="T1008" s="138"/>
      <c r="U1008" s="138"/>
      <c r="V1008" s="138"/>
      <c r="W1008" s="138"/>
      <c r="X1008" s="138"/>
      <c r="Y1008" s="138"/>
      <c r="Z1008" s="138"/>
      <c r="AA1008" s="138"/>
      <c r="AB1008" s="138"/>
      <c r="AC1008" s="138"/>
    </row>
    <row r="1009">
      <c r="A1009" s="161"/>
      <c r="B1009" s="161"/>
      <c r="C1009" s="138"/>
      <c r="D1009" s="160"/>
      <c r="E1009" s="161"/>
      <c r="F1009" s="161"/>
      <c r="G1009" s="161"/>
      <c r="H1009" s="161"/>
      <c r="I1009" s="138"/>
      <c r="J1009" s="138"/>
      <c r="K1009" s="138"/>
      <c r="L1009" s="138"/>
      <c r="M1009" s="138"/>
      <c r="N1009" s="138"/>
      <c r="O1009" s="138"/>
      <c r="P1009" s="138"/>
      <c r="Q1009" s="138"/>
      <c r="R1009" s="138"/>
      <c r="S1009" s="138"/>
      <c r="T1009" s="138"/>
      <c r="U1009" s="138"/>
      <c r="V1009" s="138"/>
      <c r="W1009" s="138"/>
      <c r="X1009" s="138"/>
      <c r="Y1009" s="138"/>
      <c r="Z1009" s="138"/>
      <c r="AA1009" s="138"/>
      <c r="AB1009" s="138"/>
      <c r="AC1009" s="138"/>
    </row>
    <row r="1010">
      <c r="A1010" s="161"/>
      <c r="B1010" s="161"/>
      <c r="C1010" s="138"/>
      <c r="D1010" s="160"/>
      <c r="E1010" s="161"/>
      <c r="F1010" s="161"/>
      <c r="G1010" s="161"/>
      <c r="H1010" s="161"/>
      <c r="I1010" s="138"/>
      <c r="J1010" s="138"/>
      <c r="K1010" s="138"/>
      <c r="L1010" s="138"/>
      <c r="M1010" s="138"/>
      <c r="N1010" s="138"/>
      <c r="O1010" s="138"/>
      <c r="P1010" s="138"/>
      <c r="Q1010" s="138"/>
      <c r="R1010" s="138"/>
      <c r="S1010" s="138"/>
      <c r="T1010" s="138"/>
      <c r="U1010" s="138"/>
      <c r="V1010" s="138"/>
      <c r="W1010" s="138"/>
      <c r="X1010" s="138"/>
      <c r="Y1010" s="138"/>
      <c r="Z1010" s="138"/>
      <c r="AA1010" s="138"/>
      <c r="AB1010" s="138"/>
      <c r="AC1010" s="138"/>
    </row>
    <row r="1011">
      <c r="A1011" s="161"/>
      <c r="B1011" s="161"/>
      <c r="C1011" s="138"/>
      <c r="D1011" s="160"/>
      <c r="E1011" s="161"/>
      <c r="F1011" s="161"/>
      <c r="G1011" s="161"/>
      <c r="H1011" s="161"/>
      <c r="I1011" s="138"/>
      <c r="J1011" s="138"/>
      <c r="K1011" s="138"/>
      <c r="L1011" s="138"/>
      <c r="M1011" s="138"/>
      <c r="N1011" s="138"/>
      <c r="O1011" s="138"/>
      <c r="P1011" s="138"/>
      <c r="Q1011" s="138"/>
      <c r="R1011" s="138"/>
      <c r="S1011" s="138"/>
      <c r="T1011" s="138"/>
      <c r="U1011" s="138"/>
      <c r="V1011" s="138"/>
      <c r="W1011" s="138"/>
      <c r="X1011" s="138"/>
      <c r="Y1011" s="138"/>
      <c r="Z1011" s="138"/>
      <c r="AA1011" s="138"/>
      <c r="AB1011" s="138"/>
      <c r="AC1011" s="138"/>
    </row>
    <row r="1012">
      <c r="A1012" s="161"/>
      <c r="B1012" s="161"/>
      <c r="C1012" s="138"/>
      <c r="D1012" s="160"/>
      <c r="E1012" s="161"/>
      <c r="F1012" s="161"/>
      <c r="G1012" s="161"/>
      <c r="H1012" s="161"/>
      <c r="I1012" s="138"/>
      <c r="J1012" s="138"/>
      <c r="K1012" s="138"/>
      <c r="L1012" s="138"/>
      <c r="M1012" s="138"/>
      <c r="N1012" s="138"/>
      <c r="O1012" s="138"/>
      <c r="P1012" s="138"/>
      <c r="Q1012" s="138"/>
      <c r="R1012" s="138"/>
      <c r="S1012" s="138"/>
      <c r="T1012" s="138"/>
      <c r="U1012" s="138"/>
      <c r="V1012" s="138"/>
      <c r="W1012" s="138"/>
      <c r="X1012" s="138"/>
      <c r="Y1012" s="138"/>
      <c r="Z1012" s="138"/>
      <c r="AA1012" s="138"/>
      <c r="AB1012" s="138"/>
      <c r="AC1012" s="138"/>
    </row>
    <row r="1013">
      <c r="A1013" s="161"/>
      <c r="B1013" s="161"/>
      <c r="C1013" s="138"/>
      <c r="D1013" s="160"/>
      <c r="E1013" s="161"/>
      <c r="F1013" s="161"/>
      <c r="G1013" s="161"/>
      <c r="H1013" s="161"/>
      <c r="I1013" s="138"/>
      <c r="J1013" s="138"/>
      <c r="K1013" s="138"/>
      <c r="L1013" s="138"/>
      <c r="M1013" s="138"/>
      <c r="N1013" s="138"/>
      <c r="O1013" s="138"/>
      <c r="P1013" s="138"/>
      <c r="Q1013" s="138"/>
      <c r="R1013" s="138"/>
      <c r="S1013" s="138"/>
      <c r="T1013" s="138"/>
      <c r="U1013" s="138"/>
      <c r="V1013" s="138"/>
      <c r="W1013" s="138"/>
      <c r="X1013" s="138"/>
      <c r="Y1013" s="138"/>
      <c r="Z1013" s="138"/>
      <c r="AA1013" s="138"/>
      <c r="AB1013" s="138"/>
      <c r="AC1013" s="138"/>
    </row>
    <row r="1014">
      <c r="A1014" s="161"/>
      <c r="B1014" s="161"/>
      <c r="C1014" s="138"/>
      <c r="D1014" s="160"/>
      <c r="E1014" s="161"/>
      <c r="F1014" s="161"/>
      <c r="G1014" s="161"/>
      <c r="H1014" s="161"/>
      <c r="I1014" s="138"/>
      <c r="J1014" s="138"/>
      <c r="K1014" s="138"/>
      <c r="L1014" s="138"/>
      <c r="M1014" s="138"/>
      <c r="N1014" s="138"/>
      <c r="O1014" s="138"/>
      <c r="P1014" s="138"/>
      <c r="Q1014" s="138"/>
      <c r="R1014" s="138"/>
      <c r="S1014" s="138"/>
      <c r="T1014" s="138"/>
      <c r="U1014" s="138"/>
      <c r="V1014" s="138"/>
      <c r="W1014" s="138"/>
      <c r="X1014" s="138"/>
      <c r="Y1014" s="138"/>
      <c r="Z1014" s="138"/>
      <c r="AA1014" s="138"/>
      <c r="AB1014" s="138"/>
      <c r="AC1014" s="138"/>
    </row>
    <row r="1015">
      <c r="A1015" s="161"/>
      <c r="B1015" s="161"/>
      <c r="C1015" s="138"/>
      <c r="D1015" s="160"/>
      <c r="E1015" s="161"/>
      <c r="F1015" s="161"/>
      <c r="G1015" s="161"/>
      <c r="H1015" s="161"/>
      <c r="I1015" s="138"/>
      <c r="J1015" s="138"/>
      <c r="K1015" s="138"/>
      <c r="L1015" s="138"/>
      <c r="M1015" s="138"/>
      <c r="N1015" s="138"/>
      <c r="O1015" s="138"/>
      <c r="P1015" s="138"/>
      <c r="Q1015" s="138"/>
      <c r="R1015" s="138"/>
      <c r="S1015" s="138"/>
      <c r="T1015" s="138"/>
      <c r="U1015" s="138"/>
      <c r="V1015" s="138"/>
      <c r="W1015" s="138"/>
      <c r="X1015" s="138"/>
      <c r="Y1015" s="138"/>
      <c r="Z1015" s="138"/>
      <c r="AA1015" s="138"/>
      <c r="AB1015" s="138"/>
      <c r="AC1015" s="138"/>
    </row>
    <row r="1016">
      <c r="A1016" s="161"/>
      <c r="B1016" s="161"/>
      <c r="C1016" s="138"/>
      <c r="D1016" s="160"/>
      <c r="E1016" s="161"/>
      <c r="F1016" s="161"/>
      <c r="G1016" s="161"/>
      <c r="H1016" s="161"/>
      <c r="I1016" s="138"/>
      <c r="J1016" s="138"/>
      <c r="K1016" s="138"/>
      <c r="L1016" s="138"/>
      <c r="M1016" s="138"/>
      <c r="N1016" s="138"/>
      <c r="O1016" s="138"/>
      <c r="P1016" s="138"/>
      <c r="Q1016" s="138"/>
      <c r="R1016" s="138"/>
      <c r="S1016" s="138"/>
      <c r="T1016" s="138"/>
      <c r="U1016" s="138"/>
      <c r="V1016" s="138"/>
      <c r="W1016" s="138"/>
      <c r="X1016" s="138"/>
      <c r="Y1016" s="138"/>
      <c r="Z1016" s="138"/>
      <c r="AA1016" s="138"/>
      <c r="AB1016" s="138"/>
      <c r="AC1016" s="138"/>
    </row>
    <row r="1017">
      <c r="A1017" s="161"/>
      <c r="B1017" s="161"/>
      <c r="C1017" s="138"/>
      <c r="D1017" s="160"/>
      <c r="E1017" s="161"/>
      <c r="F1017" s="161"/>
      <c r="G1017" s="161"/>
      <c r="H1017" s="161"/>
      <c r="I1017" s="138"/>
      <c r="J1017" s="138"/>
      <c r="K1017" s="138"/>
      <c r="L1017" s="138"/>
      <c r="M1017" s="138"/>
      <c r="N1017" s="138"/>
      <c r="O1017" s="138"/>
      <c r="P1017" s="138"/>
      <c r="Q1017" s="138"/>
      <c r="R1017" s="138"/>
      <c r="S1017" s="138"/>
      <c r="T1017" s="138"/>
      <c r="U1017" s="138"/>
      <c r="V1017" s="138"/>
      <c r="W1017" s="138"/>
      <c r="X1017" s="138"/>
      <c r="Y1017" s="138"/>
      <c r="Z1017" s="138"/>
      <c r="AA1017" s="138"/>
      <c r="AB1017" s="138"/>
      <c r="AC1017" s="138"/>
    </row>
    <row r="1018">
      <c r="A1018" s="161"/>
      <c r="B1018" s="161"/>
      <c r="C1018" s="138"/>
      <c r="D1018" s="160"/>
      <c r="E1018" s="161"/>
      <c r="F1018" s="161"/>
      <c r="G1018" s="161"/>
      <c r="H1018" s="161"/>
      <c r="I1018" s="138"/>
      <c r="J1018" s="138"/>
      <c r="K1018" s="138"/>
      <c r="L1018" s="138"/>
      <c r="M1018" s="138"/>
      <c r="N1018" s="138"/>
      <c r="O1018" s="138"/>
      <c r="P1018" s="138"/>
      <c r="Q1018" s="138"/>
      <c r="R1018" s="138"/>
      <c r="S1018" s="138"/>
      <c r="T1018" s="138"/>
      <c r="U1018" s="138"/>
      <c r="V1018" s="138"/>
      <c r="W1018" s="138"/>
      <c r="X1018" s="138"/>
      <c r="Y1018" s="138"/>
      <c r="Z1018" s="138"/>
      <c r="AA1018" s="138"/>
      <c r="AB1018" s="138"/>
      <c r="AC1018" s="138"/>
    </row>
    <row r="1019">
      <c r="A1019" s="161"/>
      <c r="B1019" s="161"/>
      <c r="C1019" s="138"/>
      <c r="D1019" s="160"/>
      <c r="E1019" s="161"/>
      <c r="F1019" s="161"/>
      <c r="G1019" s="161"/>
      <c r="H1019" s="161"/>
      <c r="I1019" s="138"/>
      <c r="J1019" s="138"/>
      <c r="K1019" s="138"/>
      <c r="L1019" s="138"/>
      <c r="M1019" s="138"/>
      <c r="N1019" s="138"/>
      <c r="O1019" s="138"/>
      <c r="P1019" s="138"/>
      <c r="Q1019" s="138"/>
      <c r="R1019" s="138"/>
      <c r="S1019" s="138"/>
      <c r="T1019" s="138"/>
      <c r="U1019" s="138"/>
      <c r="V1019" s="138"/>
      <c r="W1019" s="138"/>
      <c r="X1019" s="138"/>
      <c r="Y1019" s="138"/>
      <c r="Z1019" s="138"/>
      <c r="AA1019" s="138"/>
      <c r="AB1019" s="138"/>
      <c r="AC1019" s="138"/>
    </row>
    <row r="1020">
      <c r="A1020" s="161"/>
      <c r="B1020" s="161"/>
      <c r="C1020" s="138"/>
      <c r="D1020" s="160"/>
      <c r="E1020" s="161"/>
      <c r="F1020" s="161"/>
      <c r="G1020" s="161"/>
      <c r="H1020" s="161"/>
      <c r="I1020" s="138"/>
      <c r="J1020" s="138"/>
      <c r="K1020" s="138"/>
      <c r="L1020" s="138"/>
      <c r="M1020" s="138"/>
      <c r="N1020" s="138"/>
      <c r="O1020" s="138"/>
      <c r="P1020" s="138"/>
      <c r="Q1020" s="138"/>
      <c r="R1020" s="138"/>
      <c r="S1020" s="138"/>
      <c r="T1020" s="138"/>
      <c r="U1020" s="138"/>
      <c r="V1020" s="138"/>
      <c r="W1020" s="138"/>
      <c r="X1020" s="138"/>
      <c r="Y1020" s="138"/>
      <c r="Z1020" s="138"/>
      <c r="AA1020" s="138"/>
      <c r="AB1020" s="138"/>
      <c r="AC1020" s="138"/>
    </row>
    <row r="1021">
      <c r="A1021" s="161"/>
      <c r="B1021" s="161"/>
      <c r="C1021" s="138"/>
      <c r="D1021" s="160"/>
      <c r="E1021" s="161"/>
      <c r="F1021" s="161"/>
      <c r="G1021" s="161"/>
      <c r="H1021" s="161"/>
      <c r="I1021" s="138"/>
      <c r="J1021" s="138"/>
      <c r="K1021" s="138"/>
      <c r="L1021" s="138"/>
      <c r="M1021" s="138"/>
      <c r="N1021" s="138"/>
      <c r="O1021" s="138"/>
      <c r="P1021" s="138"/>
      <c r="Q1021" s="138"/>
      <c r="R1021" s="138"/>
      <c r="S1021" s="138"/>
      <c r="T1021" s="138"/>
      <c r="U1021" s="138"/>
      <c r="V1021" s="138"/>
      <c r="W1021" s="138"/>
      <c r="X1021" s="138"/>
      <c r="Y1021" s="138"/>
      <c r="Z1021" s="138"/>
      <c r="AA1021" s="138"/>
      <c r="AB1021" s="138"/>
      <c r="AC1021" s="138"/>
    </row>
    <row r="1022">
      <c r="A1022" s="161"/>
      <c r="B1022" s="161"/>
      <c r="C1022" s="138"/>
      <c r="D1022" s="160"/>
      <c r="E1022" s="161"/>
      <c r="F1022" s="161"/>
      <c r="G1022" s="161"/>
      <c r="H1022" s="161"/>
      <c r="I1022" s="138"/>
      <c r="J1022" s="138"/>
      <c r="K1022" s="138"/>
      <c r="L1022" s="138"/>
      <c r="M1022" s="138"/>
      <c r="N1022" s="138"/>
      <c r="O1022" s="138"/>
      <c r="P1022" s="138"/>
      <c r="Q1022" s="138"/>
      <c r="R1022" s="138"/>
      <c r="S1022" s="138"/>
      <c r="T1022" s="138"/>
      <c r="U1022" s="138"/>
      <c r="V1022" s="138"/>
      <c r="W1022" s="138"/>
      <c r="X1022" s="138"/>
      <c r="Y1022" s="138"/>
      <c r="Z1022" s="138"/>
      <c r="AA1022" s="138"/>
      <c r="AB1022" s="138"/>
      <c r="AC1022" s="138"/>
    </row>
    <row r="1023">
      <c r="A1023" s="161"/>
      <c r="B1023" s="161"/>
      <c r="C1023" s="138"/>
      <c r="D1023" s="160"/>
      <c r="E1023" s="161"/>
      <c r="F1023" s="161"/>
      <c r="G1023" s="161"/>
      <c r="H1023" s="161"/>
      <c r="I1023" s="138"/>
      <c r="J1023" s="138"/>
      <c r="K1023" s="138"/>
      <c r="L1023" s="138"/>
      <c r="M1023" s="138"/>
      <c r="N1023" s="138"/>
      <c r="O1023" s="138"/>
      <c r="P1023" s="138"/>
      <c r="Q1023" s="138"/>
      <c r="R1023" s="138"/>
      <c r="S1023" s="138"/>
      <c r="T1023" s="138"/>
      <c r="U1023" s="138"/>
      <c r="V1023" s="138"/>
      <c r="W1023" s="138"/>
      <c r="X1023" s="138"/>
      <c r="Y1023" s="138"/>
      <c r="Z1023" s="138"/>
      <c r="AA1023" s="138"/>
      <c r="AB1023" s="138"/>
      <c r="AC1023" s="138"/>
    </row>
    <row r="1024">
      <c r="A1024" s="161"/>
      <c r="B1024" s="161"/>
      <c r="C1024" s="138"/>
      <c r="D1024" s="160"/>
      <c r="E1024" s="161"/>
      <c r="F1024" s="161"/>
      <c r="G1024" s="161"/>
      <c r="H1024" s="161"/>
      <c r="I1024" s="138"/>
      <c r="J1024" s="138"/>
      <c r="K1024" s="138"/>
      <c r="L1024" s="138"/>
      <c r="M1024" s="138"/>
      <c r="N1024" s="138"/>
      <c r="O1024" s="138"/>
      <c r="P1024" s="138"/>
      <c r="Q1024" s="138"/>
      <c r="R1024" s="138"/>
      <c r="S1024" s="138"/>
      <c r="T1024" s="138"/>
      <c r="U1024" s="138"/>
      <c r="V1024" s="138"/>
      <c r="W1024" s="138"/>
      <c r="X1024" s="138"/>
      <c r="Y1024" s="138"/>
      <c r="Z1024" s="138"/>
      <c r="AA1024" s="138"/>
      <c r="AB1024" s="138"/>
      <c r="AC1024" s="138"/>
    </row>
    <row r="1025">
      <c r="A1025" s="161"/>
      <c r="B1025" s="161"/>
      <c r="C1025" s="138"/>
      <c r="D1025" s="160"/>
      <c r="E1025" s="161"/>
      <c r="F1025" s="161"/>
      <c r="G1025" s="161"/>
      <c r="H1025" s="161"/>
      <c r="I1025" s="138"/>
      <c r="J1025" s="138"/>
      <c r="K1025" s="138"/>
      <c r="L1025" s="138"/>
      <c r="M1025" s="138"/>
      <c r="N1025" s="138"/>
      <c r="O1025" s="138"/>
      <c r="P1025" s="138"/>
      <c r="Q1025" s="138"/>
      <c r="R1025" s="138"/>
      <c r="S1025" s="138"/>
      <c r="T1025" s="138"/>
      <c r="U1025" s="138"/>
      <c r="V1025" s="138"/>
      <c r="W1025" s="138"/>
      <c r="X1025" s="138"/>
      <c r="Y1025" s="138"/>
      <c r="Z1025" s="138"/>
      <c r="AA1025" s="138"/>
      <c r="AB1025" s="138"/>
      <c r="AC1025" s="138"/>
    </row>
    <row r="1026">
      <c r="A1026" s="161"/>
      <c r="B1026" s="161"/>
      <c r="C1026" s="138"/>
      <c r="D1026" s="160"/>
      <c r="E1026" s="161"/>
      <c r="F1026" s="161"/>
      <c r="G1026" s="161"/>
      <c r="H1026" s="161"/>
      <c r="I1026" s="138"/>
      <c r="J1026" s="138"/>
      <c r="K1026" s="138"/>
      <c r="L1026" s="138"/>
      <c r="M1026" s="138"/>
      <c r="N1026" s="138"/>
      <c r="O1026" s="138"/>
      <c r="P1026" s="138"/>
      <c r="Q1026" s="138"/>
      <c r="R1026" s="138"/>
      <c r="S1026" s="138"/>
      <c r="T1026" s="138"/>
      <c r="U1026" s="138"/>
      <c r="V1026" s="138"/>
      <c r="W1026" s="138"/>
      <c r="X1026" s="138"/>
      <c r="Y1026" s="138"/>
      <c r="Z1026" s="138"/>
      <c r="AA1026" s="138"/>
      <c r="AB1026" s="138"/>
      <c r="AC1026" s="138"/>
    </row>
    <row r="1027">
      <c r="A1027" s="161"/>
      <c r="B1027" s="161"/>
      <c r="C1027" s="138"/>
      <c r="D1027" s="160"/>
      <c r="E1027" s="161"/>
      <c r="F1027" s="161"/>
      <c r="G1027" s="161"/>
      <c r="H1027" s="161"/>
      <c r="I1027" s="138"/>
      <c r="J1027" s="138"/>
      <c r="K1027" s="138"/>
      <c r="L1027" s="138"/>
      <c r="M1027" s="138"/>
      <c r="N1027" s="138"/>
      <c r="O1027" s="138"/>
      <c r="P1027" s="138"/>
      <c r="Q1027" s="138"/>
      <c r="R1027" s="138"/>
      <c r="S1027" s="138"/>
      <c r="T1027" s="138"/>
      <c r="U1027" s="138"/>
      <c r="V1027" s="138"/>
      <c r="W1027" s="138"/>
      <c r="X1027" s="138"/>
      <c r="Y1027" s="138"/>
      <c r="Z1027" s="138"/>
      <c r="AA1027" s="138"/>
      <c r="AB1027" s="138"/>
      <c r="AC1027" s="138"/>
    </row>
    <row r="1028">
      <c r="A1028" s="161"/>
      <c r="B1028" s="161"/>
      <c r="C1028" s="138"/>
      <c r="D1028" s="160"/>
      <c r="E1028" s="161"/>
      <c r="F1028" s="161"/>
      <c r="G1028" s="161"/>
      <c r="H1028" s="161"/>
      <c r="I1028" s="138"/>
      <c r="J1028" s="138"/>
      <c r="K1028" s="138"/>
      <c r="L1028" s="138"/>
      <c r="M1028" s="138"/>
      <c r="N1028" s="138"/>
      <c r="O1028" s="138"/>
      <c r="P1028" s="138"/>
      <c r="Q1028" s="138"/>
      <c r="R1028" s="138"/>
      <c r="S1028" s="138"/>
      <c r="T1028" s="138"/>
      <c r="U1028" s="138"/>
      <c r="V1028" s="138"/>
      <c r="W1028" s="138"/>
      <c r="X1028" s="138"/>
      <c r="Y1028" s="138"/>
      <c r="Z1028" s="138"/>
      <c r="AA1028" s="138"/>
      <c r="AB1028" s="138"/>
      <c r="AC1028" s="138"/>
    </row>
    <row r="1029">
      <c r="A1029" s="161"/>
      <c r="B1029" s="161"/>
      <c r="C1029" s="138"/>
      <c r="D1029" s="160"/>
      <c r="E1029" s="161"/>
      <c r="F1029" s="161"/>
      <c r="G1029" s="161"/>
      <c r="H1029" s="161"/>
      <c r="I1029" s="138"/>
      <c r="J1029" s="138"/>
      <c r="K1029" s="138"/>
      <c r="L1029" s="138"/>
      <c r="M1029" s="138"/>
      <c r="N1029" s="138"/>
      <c r="O1029" s="138"/>
      <c r="P1029" s="138"/>
      <c r="Q1029" s="138"/>
      <c r="R1029" s="138"/>
      <c r="S1029" s="138"/>
      <c r="T1029" s="138"/>
      <c r="U1029" s="138"/>
      <c r="V1029" s="138"/>
      <c r="W1029" s="138"/>
      <c r="X1029" s="138"/>
      <c r="Y1029" s="138"/>
      <c r="Z1029" s="138"/>
      <c r="AA1029" s="138"/>
      <c r="AB1029" s="138"/>
      <c r="AC1029" s="138"/>
    </row>
    <row r="1030">
      <c r="A1030" s="161"/>
      <c r="B1030" s="161"/>
      <c r="C1030" s="138"/>
      <c r="D1030" s="160"/>
      <c r="E1030" s="161"/>
      <c r="F1030" s="161"/>
      <c r="G1030" s="161"/>
      <c r="H1030" s="161"/>
      <c r="I1030" s="138"/>
      <c r="J1030" s="138"/>
      <c r="K1030" s="138"/>
      <c r="L1030" s="138"/>
      <c r="M1030" s="138"/>
      <c r="N1030" s="138"/>
      <c r="O1030" s="138"/>
      <c r="P1030" s="138"/>
      <c r="Q1030" s="138"/>
      <c r="R1030" s="138"/>
      <c r="S1030" s="138"/>
      <c r="T1030" s="138"/>
      <c r="U1030" s="138"/>
      <c r="V1030" s="138"/>
      <c r="W1030" s="138"/>
      <c r="X1030" s="138"/>
      <c r="Y1030" s="138"/>
      <c r="Z1030" s="138"/>
      <c r="AA1030" s="138"/>
      <c r="AB1030" s="138"/>
      <c r="AC1030" s="138"/>
    </row>
    <row r="1031">
      <c r="A1031" s="161"/>
      <c r="B1031" s="161"/>
      <c r="C1031" s="138"/>
      <c r="D1031" s="160"/>
      <c r="E1031" s="161"/>
      <c r="F1031" s="161"/>
      <c r="G1031" s="161"/>
      <c r="H1031" s="161"/>
      <c r="I1031" s="138"/>
      <c r="J1031" s="138"/>
      <c r="K1031" s="138"/>
      <c r="L1031" s="138"/>
      <c r="M1031" s="138"/>
      <c r="N1031" s="138"/>
      <c r="O1031" s="138"/>
      <c r="P1031" s="138"/>
      <c r="Q1031" s="138"/>
      <c r="R1031" s="138"/>
      <c r="S1031" s="138"/>
      <c r="T1031" s="138"/>
      <c r="U1031" s="138"/>
      <c r="V1031" s="138"/>
      <c r="W1031" s="138"/>
      <c r="X1031" s="138"/>
      <c r="Y1031" s="138"/>
      <c r="Z1031" s="138"/>
      <c r="AA1031" s="138"/>
      <c r="AB1031" s="138"/>
      <c r="AC1031" s="138"/>
    </row>
    <row r="1032">
      <c r="A1032" s="161"/>
      <c r="B1032" s="161"/>
      <c r="C1032" s="138"/>
      <c r="D1032" s="160"/>
      <c r="E1032" s="161"/>
      <c r="F1032" s="161"/>
      <c r="G1032" s="161"/>
      <c r="H1032" s="161"/>
      <c r="I1032" s="138"/>
      <c r="J1032" s="138"/>
      <c r="K1032" s="138"/>
      <c r="L1032" s="138"/>
      <c r="M1032" s="138"/>
      <c r="N1032" s="138"/>
      <c r="O1032" s="138"/>
      <c r="P1032" s="138"/>
      <c r="Q1032" s="138"/>
      <c r="R1032" s="138"/>
      <c r="S1032" s="138"/>
      <c r="T1032" s="138"/>
      <c r="U1032" s="138"/>
      <c r="V1032" s="138"/>
      <c r="W1032" s="138"/>
      <c r="X1032" s="138"/>
      <c r="Y1032" s="138"/>
      <c r="Z1032" s="138"/>
      <c r="AA1032" s="138"/>
      <c r="AB1032" s="138"/>
      <c r="AC1032" s="138"/>
    </row>
    <row r="1033">
      <c r="A1033" s="161"/>
      <c r="B1033" s="161"/>
      <c r="C1033" s="138"/>
      <c r="D1033" s="160"/>
      <c r="E1033" s="161"/>
      <c r="F1033" s="161"/>
      <c r="G1033" s="161"/>
      <c r="H1033" s="161"/>
      <c r="I1033" s="138"/>
      <c r="J1033" s="138"/>
      <c r="K1033" s="138"/>
      <c r="L1033" s="138"/>
      <c r="M1033" s="138"/>
      <c r="N1033" s="138"/>
      <c r="O1033" s="138"/>
      <c r="P1033" s="138"/>
      <c r="Q1033" s="138"/>
      <c r="R1033" s="138"/>
      <c r="S1033" s="138"/>
      <c r="T1033" s="138"/>
      <c r="U1033" s="138"/>
      <c r="V1033" s="138"/>
      <c r="W1033" s="138"/>
      <c r="X1033" s="138"/>
      <c r="Y1033" s="138"/>
      <c r="Z1033" s="138"/>
      <c r="AA1033" s="138"/>
      <c r="AB1033" s="138"/>
      <c r="AC1033" s="138"/>
    </row>
    <row r="1034">
      <c r="A1034" s="161"/>
      <c r="B1034" s="161"/>
      <c r="C1034" s="138"/>
      <c r="D1034" s="160"/>
      <c r="E1034" s="161"/>
      <c r="F1034" s="161"/>
      <c r="G1034" s="161"/>
      <c r="H1034" s="161"/>
      <c r="I1034" s="138"/>
      <c r="J1034" s="138"/>
      <c r="K1034" s="138"/>
      <c r="L1034" s="138"/>
      <c r="M1034" s="138"/>
      <c r="N1034" s="138"/>
      <c r="O1034" s="138"/>
      <c r="P1034" s="138"/>
      <c r="Q1034" s="138"/>
      <c r="R1034" s="138"/>
      <c r="S1034" s="138"/>
      <c r="T1034" s="138"/>
      <c r="U1034" s="138"/>
      <c r="V1034" s="138"/>
      <c r="W1034" s="138"/>
      <c r="X1034" s="138"/>
      <c r="Y1034" s="138"/>
      <c r="Z1034" s="138"/>
      <c r="AA1034" s="138"/>
      <c r="AB1034" s="138"/>
      <c r="AC1034" s="138"/>
    </row>
    <row r="1035">
      <c r="A1035" s="161"/>
      <c r="B1035" s="161"/>
      <c r="C1035" s="138"/>
      <c r="D1035" s="160"/>
      <c r="E1035" s="161"/>
      <c r="F1035" s="161"/>
      <c r="G1035" s="161"/>
      <c r="H1035" s="161"/>
      <c r="I1035" s="138"/>
      <c r="J1035" s="138"/>
      <c r="K1035" s="138"/>
      <c r="L1035" s="138"/>
      <c r="M1035" s="138"/>
      <c r="N1035" s="138"/>
      <c r="O1035" s="138"/>
      <c r="P1035" s="138"/>
      <c r="Q1035" s="138"/>
      <c r="R1035" s="138"/>
      <c r="S1035" s="138"/>
      <c r="T1035" s="138"/>
      <c r="U1035" s="138"/>
      <c r="V1035" s="138"/>
      <c r="W1035" s="138"/>
      <c r="X1035" s="138"/>
      <c r="Y1035" s="138"/>
      <c r="Z1035" s="138"/>
      <c r="AA1035" s="138"/>
      <c r="AB1035" s="138"/>
      <c r="AC1035" s="138"/>
    </row>
    <row r="1036">
      <c r="A1036" s="161"/>
      <c r="B1036" s="161"/>
      <c r="C1036" s="138"/>
      <c r="D1036" s="160"/>
      <c r="E1036" s="161"/>
      <c r="F1036" s="161"/>
      <c r="G1036" s="161"/>
      <c r="H1036" s="161"/>
      <c r="I1036" s="138"/>
      <c r="J1036" s="138"/>
      <c r="K1036" s="138"/>
      <c r="L1036" s="138"/>
      <c r="M1036" s="138"/>
      <c r="N1036" s="138"/>
      <c r="O1036" s="138"/>
      <c r="P1036" s="138"/>
      <c r="Q1036" s="138"/>
      <c r="R1036" s="138"/>
      <c r="S1036" s="138"/>
      <c r="T1036" s="138"/>
      <c r="U1036" s="138"/>
      <c r="V1036" s="138"/>
      <c r="W1036" s="138"/>
      <c r="X1036" s="138"/>
      <c r="Y1036" s="138"/>
      <c r="Z1036" s="138"/>
      <c r="AA1036" s="138"/>
      <c r="AB1036" s="138"/>
      <c r="AC1036" s="138"/>
    </row>
    <row r="1037">
      <c r="A1037" s="161"/>
      <c r="B1037" s="161"/>
      <c r="C1037" s="138"/>
      <c r="D1037" s="160"/>
      <c r="E1037" s="161"/>
      <c r="F1037" s="161"/>
      <c r="G1037" s="161"/>
      <c r="H1037" s="161"/>
      <c r="I1037" s="138"/>
      <c r="J1037" s="138"/>
      <c r="K1037" s="138"/>
      <c r="L1037" s="138"/>
      <c r="M1037" s="138"/>
      <c r="N1037" s="138"/>
      <c r="O1037" s="138"/>
      <c r="P1037" s="138"/>
      <c r="Q1037" s="138"/>
      <c r="R1037" s="138"/>
      <c r="S1037" s="138"/>
      <c r="T1037" s="138"/>
      <c r="U1037" s="138"/>
      <c r="V1037" s="138"/>
      <c r="W1037" s="138"/>
      <c r="X1037" s="138"/>
      <c r="Y1037" s="138"/>
      <c r="Z1037" s="138"/>
      <c r="AA1037" s="138"/>
      <c r="AB1037" s="138"/>
      <c r="AC1037" s="138"/>
    </row>
    <row r="1038">
      <c r="A1038" s="161"/>
      <c r="B1038" s="161"/>
      <c r="C1038" s="138"/>
      <c r="D1038" s="160"/>
      <c r="E1038" s="161"/>
      <c r="F1038" s="161"/>
      <c r="G1038" s="161"/>
      <c r="H1038" s="161"/>
      <c r="I1038" s="138"/>
      <c r="J1038" s="138"/>
      <c r="K1038" s="138"/>
      <c r="L1038" s="138"/>
      <c r="M1038" s="138"/>
      <c r="N1038" s="138"/>
      <c r="O1038" s="138"/>
      <c r="P1038" s="138"/>
      <c r="Q1038" s="138"/>
      <c r="R1038" s="138"/>
      <c r="S1038" s="138"/>
      <c r="T1038" s="138"/>
      <c r="U1038" s="138"/>
      <c r="V1038" s="138"/>
      <c r="W1038" s="138"/>
      <c r="X1038" s="138"/>
      <c r="Y1038" s="138"/>
      <c r="Z1038" s="138"/>
      <c r="AA1038" s="138"/>
      <c r="AB1038" s="138"/>
      <c r="AC1038" s="138"/>
    </row>
    <row r="1039">
      <c r="A1039" s="161"/>
      <c r="B1039" s="161"/>
      <c r="C1039" s="138"/>
      <c r="D1039" s="160"/>
      <c r="E1039" s="161"/>
      <c r="F1039" s="161"/>
      <c r="G1039" s="161"/>
      <c r="H1039" s="161"/>
      <c r="I1039" s="138"/>
      <c r="J1039" s="138"/>
      <c r="K1039" s="138"/>
      <c r="L1039" s="138"/>
      <c r="M1039" s="138"/>
      <c r="N1039" s="138"/>
      <c r="O1039" s="138"/>
      <c r="P1039" s="138"/>
      <c r="Q1039" s="138"/>
      <c r="R1039" s="138"/>
      <c r="S1039" s="138"/>
      <c r="T1039" s="138"/>
      <c r="U1039" s="138"/>
      <c r="V1039" s="138"/>
      <c r="W1039" s="138"/>
      <c r="X1039" s="138"/>
      <c r="Y1039" s="138"/>
      <c r="Z1039" s="138"/>
      <c r="AA1039" s="138"/>
      <c r="AB1039" s="138"/>
      <c r="AC1039" s="138"/>
    </row>
    <row r="1040">
      <c r="A1040" s="161"/>
      <c r="B1040" s="161"/>
      <c r="C1040" s="138"/>
      <c r="D1040" s="160"/>
      <c r="E1040" s="161"/>
      <c r="F1040" s="161"/>
      <c r="G1040" s="161"/>
      <c r="H1040" s="161"/>
      <c r="I1040" s="138"/>
      <c r="J1040" s="138"/>
      <c r="K1040" s="138"/>
      <c r="L1040" s="138"/>
      <c r="M1040" s="138"/>
      <c r="N1040" s="138"/>
      <c r="O1040" s="138"/>
      <c r="P1040" s="138"/>
      <c r="Q1040" s="138"/>
      <c r="R1040" s="138"/>
      <c r="S1040" s="138"/>
      <c r="T1040" s="138"/>
      <c r="U1040" s="138"/>
      <c r="V1040" s="138"/>
      <c r="W1040" s="138"/>
      <c r="X1040" s="138"/>
      <c r="Y1040" s="138"/>
      <c r="Z1040" s="138"/>
      <c r="AA1040" s="138"/>
      <c r="AB1040" s="138"/>
      <c r="AC1040" s="138"/>
    </row>
    <row r="1041">
      <c r="A1041" s="161"/>
      <c r="B1041" s="161"/>
      <c r="C1041" s="138"/>
      <c r="D1041" s="160"/>
      <c r="E1041" s="161"/>
      <c r="F1041" s="161"/>
      <c r="G1041" s="161"/>
      <c r="H1041" s="161"/>
      <c r="I1041" s="138"/>
      <c r="J1041" s="138"/>
      <c r="K1041" s="138"/>
      <c r="L1041" s="138"/>
      <c r="M1041" s="138"/>
      <c r="N1041" s="138"/>
      <c r="O1041" s="138"/>
      <c r="P1041" s="138"/>
      <c r="Q1041" s="138"/>
      <c r="R1041" s="138"/>
      <c r="S1041" s="138"/>
      <c r="T1041" s="138"/>
      <c r="U1041" s="138"/>
      <c r="V1041" s="138"/>
      <c r="W1041" s="138"/>
      <c r="X1041" s="138"/>
      <c r="Y1041" s="138"/>
      <c r="Z1041" s="138"/>
      <c r="AA1041" s="138"/>
      <c r="AB1041" s="138"/>
      <c r="AC1041" s="138"/>
    </row>
    <row r="1042">
      <c r="A1042" s="161"/>
      <c r="B1042" s="161"/>
      <c r="C1042" s="138"/>
      <c r="D1042" s="160"/>
      <c r="E1042" s="161"/>
      <c r="F1042" s="161"/>
      <c r="G1042" s="161"/>
      <c r="H1042" s="161"/>
      <c r="I1042" s="138"/>
      <c r="J1042" s="138"/>
      <c r="K1042" s="138"/>
      <c r="L1042" s="138"/>
      <c r="M1042" s="138"/>
      <c r="N1042" s="138"/>
      <c r="O1042" s="138"/>
      <c r="P1042" s="138"/>
      <c r="Q1042" s="138"/>
      <c r="R1042" s="138"/>
      <c r="S1042" s="138"/>
      <c r="T1042" s="138"/>
      <c r="U1042" s="138"/>
      <c r="V1042" s="138"/>
      <c r="W1042" s="138"/>
      <c r="X1042" s="138"/>
      <c r="Y1042" s="138"/>
      <c r="Z1042" s="138"/>
      <c r="AA1042" s="138"/>
      <c r="AB1042" s="138"/>
      <c r="AC1042" s="138"/>
    </row>
    <row r="1043">
      <c r="A1043" s="161"/>
      <c r="B1043" s="161"/>
      <c r="C1043" s="138"/>
      <c r="D1043" s="160"/>
      <c r="E1043" s="161"/>
      <c r="F1043" s="161"/>
      <c r="G1043" s="161"/>
      <c r="H1043" s="161"/>
      <c r="I1043" s="138"/>
      <c r="J1043" s="138"/>
      <c r="K1043" s="138"/>
      <c r="L1043" s="138"/>
      <c r="M1043" s="138"/>
      <c r="N1043" s="138"/>
      <c r="O1043" s="138"/>
      <c r="P1043" s="138"/>
      <c r="Q1043" s="138"/>
      <c r="R1043" s="138"/>
      <c r="S1043" s="138"/>
      <c r="T1043" s="138"/>
      <c r="U1043" s="138"/>
      <c r="V1043" s="138"/>
      <c r="W1043" s="138"/>
      <c r="X1043" s="138"/>
      <c r="Y1043" s="138"/>
      <c r="Z1043" s="138"/>
      <c r="AA1043" s="138"/>
      <c r="AB1043" s="138"/>
      <c r="AC1043" s="138"/>
    </row>
    <row r="1044">
      <c r="A1044" s="161"/>
      <c r="B1044" s="161"/>
      <c r="C1044" s="138"/>
      <c r="D1044" s="160"/>
      <c r="E1044" s="161"/>
      <c r="F1044" s="161"/>
      <c r="G1044" s="161"/>
      <c r="H1044" s="161"/>
      <c r="I1044" s="138"/>
      <c r="J1044" s="138"/>
      <c r="K1044" s="138"/>
      <c r="L1044" s="138"/>
      <c r="M1044" s="138"/>
      <c r="N1044" s="138"/>
      <c r="O1044" s="138"/>
      <c r="P1044" s="138"/>
      <c r="Q1044" s="138"/>
      <c r="R1044" s="138"/>
      <c r="S1044" s="138"/>
      <c r="T1044" s="138"/>
      <c r="U1044" s="138"/>
      <c r="V1044" s="138"/>
      <c r="W1044" s="138"/>
      <c r="X1044" s="138"/>
      <c r="Y1044" s="138"/>
      <c r="Z1044" s="138"/>
      <c r="AA1044" s="138"/>
      <c r="AB1044" s="138"/>
      <c r="AC1044" s="138"/>
    </row>
    <row r="1045">
      <c r="A1045" s="161"/>
      <c r="B1045" s="161"/>
      <c r="C1045" s="138"/>
      <c r="D1045" s="160"/>
      <c r="E1045" s="161"/>
      <c r="F1045" s="161"/>
      <c r="G1045" s="161"/>
      <c r="H1045" s="161"/>
      <c r="I1045" s="138"/>
      <c r="J1045" s="138"/>
      <c r="K1045" s="138"/>
      <c r="L1045" s="138"/>
      <c r="M1045" s="138"/>
      <c r="N1045" s="138"/>
      <c r="O1045" s="138"/>
      <c r="P1045" s="138"/>
      <c r="Q1045" s="138"/>
      <c r="R1045" s="138"/>
      <c r="S1045" s="138"/>
      <c r="T1045" s="138"/>
      <c r="U1045" s="138"/>
      <c r="V1045" s="138"/>
      <c r="W1045" s="138"/>
      <c r="X1045" s="138"/>
      <c r="Y1045" s="138"/>
      <c r="Z1045" s="138"/>
      <c r="AA1045" s="138"/>
      <c r="AB1045" s="138"/>
      <c r="AC1045" s="138"/>
    </row>
    <row r="1046">
      <c r="A1046" s="161"/>
      <c r="B1046" s="161"/>
      <c r="C1046" s="138"/>
      <c r="D1046" s="160"/>
      <c r="E1046" s="161"/>
      <c r="F1046" s="161"/>
      <c r="G1046" s="161"/>
      <c r="H1046" s="161"/>
      <c r="I1046" s="138"/>
      <c r="J1046" s="138"/>
      <c r="K1046" s="138"/>
      <c r="L1046" s="138"/>
      <c r="M1046" s="138"/>
      <c r="N1046" s="138"/>
      <c r="O1046" s="138"/>
      <c r="P1046" s="138"/>
      <c r="Q1046" s="138"/>
      <c r="R1046" s="138"/>
      <c r="S1046" s="138"/>
      <c r="T1046" s="138"/>
      <c r="U1046" s="138"/>
      <c r="V1046" s="138"/>
      <c r="W1046" s="138"/>
      <c r="X1046" s="138"/>
      <c r="Y1046" s="138"/>
      <c r="Z1046" s="138"/>
      <c r="AA1046" s="138"/>
      <c r="AB1046" s="138"/>
      <c r="AC1046" s="138"/>
    </row>
    <row r="1047">
      <c r="A1047" s="161"/>
      <c r="B1047" s="161"/>
      <c r="C1047" s="138"/>
      <c r="D1047" s="160"/>
      <c r="E1047" s="161"/>
      <c r="F1047" s="161"/>
      <c r="G1047" s="161"/>
      <c r="H1047" s="161"/>
      <c r="I1047" s="138"/>
      <c r="J1047" s="138"/>
      <c r="K1047" s="138"/>
      <c r="L1047" s="138"/>
      <c r="M1047" s="138"/>
      <c r="N1047" s="138"/>
      <c r="O1047" s="138"/>
      <c r="P1047" s="138"/>
      <c r="Q1047" s="138"/>
      <c r="R1047" s="138"/>
      <c r="S1047" s="138"/>
      <c r="T1047" s="138"/>
      <c r="U1047" s="138"/>
      <c r="V1047" s="138"/>
      <c r="W1047" s="138"/>
      <c r="X1047" s="138"/>
      <c r="Y1047" s="138"/>
      <c r="Z1047" s="138"/>
      <c r="AA1047" s="138"/>
      <c r="AB1047" s="138"/>
      <c r="AC1047" s="138"/>
    </row>
    <row r="1048">
      <c r="A1048" s="161"/>
      <c r="B1048" s="161"/>
      <c r="C1048" s="138"/>
      <c r="D1048" s="160"/>
      <c r="E1048" s="161"/>
      <c r="F1048" s="161"/>
      <c r="G1048" s="161"/>
      <c r="H1048" s="161"/>
      <c r="I1048" s="138"/>
      <c r="J1048" s="138"/>
      <c r="K1048" s="138"/>
      <c r="L1048" s="138"/>
      <c r="M1048" s="138"/>
      <c r="N1048" s="138"/>
      <c r="O1048" s="138"/>
      <c r="P1048" s="138"/>
      <c r="Q1048" s="138"/>
      <c r="R1048" s="138"/>
      <c r="S1048" s="138"/>
      <c r="T1048" s="138"/>
      <c r="U1048" s="138"/>
      <c r="V1048" s="138"/>
      <c r="W1048" s="138"/>
      <c r="X1048" s="138"/>
      <c r="Y1048" s="138"/>
      <c r="Z1048" s="138"/>
      <c r="AA1048" s="138"/>
      <c r="AB1048" s="138"/>
      <c r="AC1048" s="138"/>
    </row>
    <row r="1049">
      <c r="A1049" s="161"/>
      <c r="B1049" s="161"/>
      <c r="C1049" s="138"/>
      <c r="D1049" s="160"/>
      <c r="E1049" s="161"/>
      <c r="F1049" s="161"/>
      <c r="G1049" s="161"/>
      <c r="H1049" s="161"/>
      <c r="I1049" s="138"/>
      <c r="J1049" s="138"/>
      <c r="K1049" s="138"/>
      <c r="L1049" s="138"/>
      <c r="M1049" s="138"/>
      <c r="N1049" s="138"/>
      <c r="O1049" s="138"/>
      <c r="P1049" s="138"/>
      <c r="Q1049" s="138"/>
      <c r="R1049" s="138"/>
      <c r="S1049" s="138"/>
      <c r="T1049" s="138"/>
      <c r="U1049" s="138"/>
      <c r="V1049" s="138"/>
      <c r="W1049" s="138"/>
      <c r="X1049" s="138"/>
      <c r="Y1049" s="138"/>
      <c r="Z1049" s="138"/>
      <c r="AA1049" s="138"/>
      <c r="AB1049" s="138"/>
      <c r="AC1049" s="138"/>
    </row>
    <row r="1050">
      <c r="A1050" s="161"/>
      <c r="B1050" s="161"/>
      <c r="C1050" s="138"/>
      <c r="D1050" s="160"/>
      <c r="E1050" s="161"/>
      <c r="F1050" s="161"/>
      <c r="G1050" s="161"/>
      <c r="H1050" s="161"/>
      <c r="I1050" s="138"/>
      <c r="J1050" s="138"/>
      <c r="K1050" s="138"/>
      <c r="L1050" s="138"/>
      <c r="M1050" s="138"/>
      <c r="N1050" s="138"/>
      <c r="O1050" s="138"/>
      <c r="P1050" s="138"/>
      <c r="Q1050" s="138"/>
      <c r="R1050" s="138"/>
      <c r="S1050" s="138"/>
      <c r="T1050" s="138"/>
      <c r="U1050" s="138"/>
      <c r="V1050" s="138"/>
      <c r="W1050" s="138"/>
      <c r="X1050" s="138"/>
      <c r="Y1050" s="138"/>
      <c r="Z1050" s="138"/>
      <c r="AA1050" s="138"/>
      <c r="AB1050" s="138"/>
      <c r="AC1050" s="138"/>
    </row>
    <row r="1051">
      <c r="A1051" s="161"/>
      <c r="B1051" s="161"/>
      <c r="C1051" s="138"/>
      <c r="D1051" s="160"/>
      <c r="E1051" s="161"/>
      <c r="F1051" s="161"/>
      <c r="G1051" s="161"/>
      <c r="H1051" s="161"/>
      <c r="I1051" s="138"/>
      <c r="J1051" s="138"/>
      <c r="K1051" s="138"/>
      <c r="L1051" s="138"/>
      <c r="M1051" s="138"/>
      <c r="N1051" s="138"/>
      <c r="O1051" s="138"/>
      <c r="P1051" s="138"/>
      <c r="Q1051" s="138"/>
      <c r="R1051" s="138"/>
      <c r="S1051" s="138"/>
      <c r="T1051" s="138"/>
      <c r="U1051" s="138"/>
      <c r="V1051" s="138"/>
      <c r="W1051" s="138"/>
      <c r="X1051" s="138"/>
      <c r="Y1051" s="138"/>
      <c r="Z1051" s="138"/>
      <c r="AA1051" s="138"/>
      <c r="AB1051" s="138"/>
      <c r="AC1051" s="138"/>
    </row>
    <row r="1052">
      <c r="A1052" s="161"/>
      <c r="B1052" s="161"/>
      <c r="C1052" s="138"/>
      <c r="D1052" s="160"/>
      <c r="E1052" s="161"/>
      <c r="F1052" s="161"/>
      <c r="G1052" s="161"/>
      <c r="H1052" s="161"/>
      <c r="I1052" s="138"/>
      <c r="J1052" s="138"/>
      <c r="K1052" s="138"/>
      <c r="L1052" s="138"/>
      <c r="M1052" s="138"/>
      <c r="N1052" s="138"/>
      <c r="O1052" s="138"/>
      <c r="P1052" s="138"/>
      <c r="Q1052" s="138"/>
      <c r="R1052" s="138"/>
      <c r="S1052" s="138"/>
      <c r="T1052" s="138"/>
      <c r="U1052" s="138"/>
      <c r="V1052" s="138"/>
      <c r="W1052" s="138"/>
      <c r="X1052" s="138"/>
      <c r="Y1052" s="138"/>
      <c r="Z1052" s="138"/>
      <c r="AA1052" s="138"/>
      <c r="AB1052" s="138"/>
      <c r="AC1052" s="138"/>
    </row>
    <row r="1053">
      <c r="A1053" s="161"/>
      <c r="B1053" s="161"/>
      <c r="C1053" s="138"/>
      <c r="D1053" s="160"/>
      <c r="E1053" s="161"/>
      <c r="F1053" s="161"/>
      <c r="G1053" s="161"/>
      <c r="H1053" s="161"/>
      <c r="I1053" s="138"/>
      <c r="J1053" s="138"/>
      <c r="K1053" s="138"/>
      <c r="L1053" s="138"/>
      <c r="M1053" s="138"/>
      <c r="N1053" s="138"/>
      <c r="O1053" s="138"/>
      <c r="P1053" s="138"/>
      <c r="Q1053" s="138"/>
      <c r="R1053" s="138"/>
      <c r="S1053" s="138"/>
      <c r="T1053" s="138"/>
      <c r="U1053" s="138"/>
      <c r="V1053" s="138"/>
      <c r="W1053" s="138"/>
      <c r="X1053" s="138"/>
      <c r="Y1053" s="138"/>
      <c r="Z1053" s="138"/>
      <c r="AA1053" s="138"/>
      <c r="AB1053" s="138"/>
      <c r="AC1053" s="138"/>
    </row>
    <row r="1054">
      <c r="A1054" s="161"/>
      <c r="B1054" s="161"/>
      <c r="C1054" s="138"/>
      <c r="D1054" s="160"/>
      <c r="E1054" s="161"/>
      <c r="F1054" s="161"/>
      <c r="G1054" s="161"/>
      <c r="H1054" s="161"/>
      <c r="I1054" s="138"/>
      <c r="J1054" s="138"/>
      <c r="K1054" s="138"/>
      <c r="L1054" s="138"/>
      <c r="M1054" s="138"/>
      <c r="N1054" s="138"/>
      <c r="O1054" s="138"/>
      <c r="P1054" s="138"/>
      <c r="Q1054" s="138"/>
      <c r="R1054" s="138"/>
      <c r="S1054" s="138"/>
      <c r="T1054" s="138"/>
      <c r="U1054" s="138"/>
      <c r="V1054" s="138"/>
      <c r="W1054" s="138"/>
      <c r="X1054" s="138"/>
      <c r="Y1054" s="138"/>
      <c r="Z1054" s="138"/>
      <c r="AA1054" s="138"/>
      <c r="AB1054" s="138"/>
      <c r="AC1054" s="138"/>
    </row>
    <row r="1055">
      <c r="A1055" s="161"/>
      <c r="B1055" s="161"/>
      <c r="C1055" s="138"/>
      <c r="D1055" s="160"/>
      <c r="E1055" s="161"/>
      <c r="F1055" s="161"/>
      <c r="G1055" s="161"/>
      <c r="H1055" s="161"/>
      <c r="I1055" s="138"/>
      <c r="J1055" s="138"/>
      <c r="K1055" s="138"/>
      <c r="L1055" s="138"/>
      <c r="M1055" s="138"/>
      <c r="N1055" s="138"/>
      <c r="O1055" s="138"/>
      <c r="P1055" s="138"/>
      <c r="Q1055" s="138"/>
      <c r="R1055" s="138"/>
      <c r="S1055" s="138"/>
      <c r="T1055" s="138"/>
      <c r="U1055" s="138"/>
      <c r="V1055" s="138"/>
      <c r="W1055" s="138"/>
      <c r="X1055" s="138"/>
      <c r="Y1055" s="138"/>
      <c r="Z1055" s="138"/>
      <c r="AA1055" s="138"/>
      <c r="AB1055" s="138"/>
      <c r="AC1055" s="138"/>
    </row>
    <row r="1056">
      <c r="A1056" s="161"/>
      <c r="B1056" s="161"/>
      <c r="C1056" s="138"/>
      <c r="D1056" s="160"/>
      <c r="E1056" s="161"/>
      <c r="F1056" s="161"/>
      <c r="G1056" s="161"/>
      <c r="H1056" s="161"/>
      <c r="I1056" s="138"/>
      <c r="J1056" s="138"/>
      <c r="K1056" s="138"/>
      <c r="L1056" s="138"/>
      <c r="M1056" s="138"/>
      <c r="N1056" s="138"/>
      <c r="O1056" s="138"/>
      <c r="P1056" s="138"/>
      <c r="Q1056" s="138"/>
      <c r="R1056" s="138"/>
      <c r="S1056" s="138"/>
      <c r="T1056" s="138"/>
      <c r="U1056" s="138"/>
      <c r="V1056" s="138"/>
      <c r="W1056" s="138"/>
      <c r="X1056" s="138"/>
      <c r="Y1056" s="138"/>
      <c r="Z1056" s="138"/>
      <c r="AA1056" s="138"/>
      <c r="AB1056" s="138"/>
      <c r="AC1056" s="138"/>
    </row>
    <row r="1057">
      <c r="A1057" s="161"/>
      <c r="B1057" s="161"/>
      <c r="C1057" s="138"/>
      <c r="D1057" s="160"/>
      <c r="E1057" s="161"/>
      <c r="F1057" s="161"/>
      <c r="G1057" s="161"/>
      <c r="H1057" s="161"/>
      <c r="I1057" s="138"/>
      <c r="J1057" s="138"/>
      <c r="K1057" s="138"/>
      <c r="L1057" s="138"/>
      <c r="M1057" s="138"/>
      <c r="N1057" s="138"/>
      <c r="O1057" s="138"/>
      <c r="P1057" s="138"/>
      <c r="Q1057" s="138"/>
      <c r="R1057" s="138"/>
      <c r="S1057" s="138"/>
      <c r="T1057" s="138"/>
      <c r="U1057" s="138"/>
      <c r="V1057" s="138"/>
      <c r="W1057" s="138"/>
      <c r="X1057" s="138"/>
      <c r="Y1057" s="138"/>
      <c r="Z1057" s="138"/>
      <c r="AA1057" s="138"/>
      <c r="AB1057" s="138"/>
      <c r="AC1057" s="138"/>
    </row>
    <row r="1058">
      <c r="A1058" s="161"/>
      <c r="B1058" s="161"/>
      <c r="C1058" s="138"/>
      <c r="D1058" s="160"/>
      <c r="E1058" s="161"/>
      <c r="F1058" s="161"/>
      <c r="G1058" s="161"/>
      <c r="H1058" s="161"/>
      <c r="I1058" s="138"/>
      <c r="J1058" s="138"/>
      <c r="K1058" s="138"/>
      <c r="L1058" s="138"/>
      <c r="M1058" s="138"/>
      <c r="N1058" s="138"/>
      <c r="O1058" s="138"/>
      <c r="P1058" s="138"/>
      <c r="Q1058" s="138"/>
      <c r="R1058" s="138"/>
      <c r="S1058" s="138"/>
      <c r="T1058" s="138"/>
      <c r="U1058" s="138"/>
      <c r="V1058" s="138"/>
      <c r="W1058" s="138"/>
      <c r="X1058" s="138"/>
      <c r="Y1058" s="138"/>
      <c r="Z1058" s="138"/>
      <c r="AA1058" s="138"/>
      <c r="AB1058" s="138"/>
      <c r="AC1058" s="138"/>
    </row>
    <row r="1059">
      <c r="A1059" s="161"/>
      <c r="B1059" s="161"/>
      <c r="C1059" s="138"/>
      <c r="D1059" s="160"/>
      <c r="E1059" s="161"/>
      <c r="F1059" s="161"/>
      <c r="G1059" s="161"/>
      <c r="H1059" s="161"/>
      <c r="I1059" s="138"/>
      <c r="J1059" s="138"/>
      <c r="K1059" s="138"/>
      <c r="L1059" s="138"/>
      <c r="M1059" s="138"/>
      <c r="N1059" s="138"/>
      <c r="O1059" s="138"/>
      <c r="P1059" s="138"/>
      <c r="Q1059" s="138"/>
      <c r="R1059" s="138"/>
      <c r="S1059" s="138"/>
      <c r="T1059" s="138"/>
      <c r="U1059" s="138"/>
      <c r="V1059" s="138"/>
      <c r="W1059" s="138"/>
      <c r="X1059" s="138"/>
      <c r="Y1059" s="138"/>
      <c r="Z1059" s="138"/>
      <c r="AA1059" s="138"/>
      <c r="AB1059" s="138"/>
      <c r="AC1059" s="138"/>
    </row>
    <row r="1060">
      <c r="A1060" s="161"/>
      <c r="B1060" s="161"/>
      <c r="C1060" s="138"/>
      <c r="D1060" s="160"/>
      <c r="E1060" s="161"/>
      <c r="F1060" s="161"/>
      <c r="G1060" s="161"/>
      <c r="H1060" s="161"/>
      <c r="I1060" s="138"/>
      <c r="J1060" s="138"/>
      <c r="K1060" s="138"/>
      <c r="L1060" s="138"/>
      <c r="M1060" s="138"/>
      <c r="N1060" s="138"/>
      <c r="O1060" s="138"/>
      <c r="P1060" s="138"/>
      <c r="Q1060" s="138"/>
      <c r="R1060" s="138"/>
      <c r="S1060" s="138"/>
      <c r="T1060" s="138"/>
      <c r="U1060" s="138"/>
      <c r="V1060" s="138"/>
      <c r="W1060" s="138"/>
      <c r="X1060" s="138"/>
      <c r="Y1060" s="138"/>
      <c r="Z1060" s="138"/>
      <c r="AA1060" s="138"/>
      <c r="AB1060" s="138"/>
      <c r="AC1060" s="138"/>
    </row>
    <row r="1061">
      <c r="A1061" s="161"/>
      <c r="B1061" s="161"/>
      <c r="C1061" s="138"/>
      <c r="D1061" s="160"/>
      <c r="E1061" s="161"/>
      <c r="F1061" s="161"/>
      <c r="G1061" s="161"/>
      <c r="H1061" s="161"/>
      <c r="I1061" s="138"/>
      <c r="J1061" s="138"/>
      <c r="K1061" s="138"/>
      <c r="L1061" s="138"/>
      <c r="M1061" s="138"/>
      <c r="N1061" s="138"/>
      <c r="O1061" s="138"/>
      <c r="P1061" s="138"/>
      <c r="Q1061" s="138"/>
      <c r="R1061" s="138"/>
      <c r="S1061" s="138"/>
      <c r="T1061" s="138"/>
      <c r="U1061" s="138"/>
      <c r="V1061" s="138"/>
      <c r="W1061" s="138"/>
      <c r="X1061" s="138"/>
      <c r="Y1061" s="138"/>
      <c r="Z1061" s="138"/>
      <c r="AA1061" s="138"/>
      <c r="AB1061" s="138"/>
      <c r="AC1061" s="138"/>
    </row>
    <row r="1062">
      <c r="A1062" s="161"/>
      <c r="B1062" s="161"/>
      <c r="C1062" s="138"/>
      <c r="D1062" s="160"/>
      <c r="E1062" s="161"/>
      <c r="F1062" s="161"/>
      <c r="G1062" s="161"/>
      <c r="H1062" s="161"/>
      <c r="I1062" s="138"/>
      <c r="J1062" s="138"/>
      <c r="K1062" s="138"/>
      <c r="L1062" s="138"/>
      <c r="M1062" s="138"/>
      <c r="N1062" s="138"/>
      <c r="O1062" s="138"/>
      <c r="P1062" s="138"/>
      <c r="Q1062" s="138"/>
      <c r="R1062" s="138"/>
      <c r="S1062" s="138"/>
      <c r="T1062" s="138"/>
      <c r="U1062" s="138"/>
      <c r="V1062" s="138"/>
      <c r="W1062" s="138"/>
      <c r="X1062" s="138"/>
      <c r="Y1062" s="138"/>
      <c r="Z1062" s="138"/>
      <c r="AA1062" s="138"/>
      <c r="AB1062" s="138"/>
      <c r="AC1062" s="138"/>
    </row>
    <row r="1063">
      <c r="A1063" s="161"/>
      <c r="B1063" s="161"/>
      <c r="C1063" s="138"/>
      <c r="D1063" s="160"/>
      <c r="E1063" s="161"/>
      <c r="F1063" s="161"/>
      <c r="G1063" s="161"/>
      <c r="H1063" s="161"/>
      <c r="I1063" s="138"/>
      <c r="J1063" s="138"/>
      <c r="K1063" s="138"/>
      <c r="L1063" s="138"/>
      <c r="M1063" s="138"/>
      <c r="N1063" s="138"/>
      <c r="O1063" s="138"/>
      <c r="P1063" s="138"/>
      <c r="Q1063" s="138"/>
      <c r="R1063" s="138"/>
      <c r="S1063" s="138"/>
      <c r="T1063" s="138"/>
      <c r="U1063" s="138"/>
      <c r="V1063" s="138"/>
      <c r="W1063" s="138"/>
      <c r="X1063" s="138"/>
      <c r="Y1063" s="138"/>
      <c r="Z1063" s="138"/>
      <c r="AA1063" s="138"/>
      <c r="AB1063" s="138"/>
      <c r="AC1063" s="138"/>
    </row>
    <row r="1064">
      <c r="A1064" s="161"/>
      <c r="B1064" s="161"/>
      <c r="C1064" s="138"/>
      <c r="D1064" s="160"/>
      <c r="E1064" s="161"/>
      <c r="F1064" s="161"/>
      <c r="G1064" s="161"/>
      <c r="H1064" s="161"/>
      <c r="I1064" s="138"/>
      <c r="J1064" s="138"/>
      <c r="K1064" s="138"/>
      <c r="L1064" s="138"/>
      <c r="M1064" s="138"/>
      <c r="N1064" s="138"/>
      <c r="O1064" s="138"/>
      <c r="P1064" s="138"/>
      <c r="Q1064" s="138"/>
      <c r="R1064" s="138"/>
      <c r="S1064" s="138"/>
      <c r="T1064" s="138"/>
      <c r="U1064" s="138"/>
      <c r="V1064" s="138"/>
      <c r="W1064" s="138"/>
      <c r="X1064" s="138"/>
      <c r="Y1064" s="138"/>
      <c r="Z1064" s="138"/>
      <c r="AA1064" s="138"/>
      <c r="AB1064" s="138"/>
      <c r="AC1064" s="138"/>
    </row>
    <row r="1065">
      <c r="A1065" s="161"/>
      <c r="B1065" s="161"/>
      <c r="C1065" s="138"/>
      <c r="D1065" s="160"/>
      <c r="E1065" s="161"/>
      <c r="F1065" s="161"/>
      <c r="G1065" s="161"/>
      <c r="H1065" s="161"/>
      <c r="I1065" s="138"/>
      <c r="J1065" s="138"/>
      <c r="K1065" s="138"/>
      <c r="L1065" s="138"/>
      <c r="M1065" s="138"/>
      <c r="N1065" s="138"/>
      <c r="O1065" s="138"/>
      <c r="P1065" s="138"/>
      <c r="Q1065" s="138"/>
      <c r="R1065" s="138"/>
      <c r="S1065" s="138"/>
      <c r="T1065" s="138"/>
      <c r="U1065" s="138"/>
      <c r="V1065" s="138"/>
      <c r="W1065" s="138"/>
      <c r="X1065" s="138"/>
      <c r="Y1065" s="138"/>
      <c r="Z1065" s="138"/>
      <c r="AA1065" s="138"/>
      <c r="AB1065" s="138"/>
      <c r="AC1065" s="138"/>
    </row>
    <row r="1066">
      <c r="A1066" s="161"/>
      <c r="B1066" s="161"/>
      <c r="C1066" s="138"/>
      <c r="D1066" s="160"/>
      <c r="E1066" s="161"/>
      <c r="F1066" s="161"/>
      <c r="G1066" s="161"/>
      <c r="H1066" s="161"/>
      <c r="I1066" s="138"/>
      <c r="J1066" s="138"/>
      <c r="K1066" s="138"/>
      <c r="L1066" s="138"/>
      <c r="M1066" s="138"/>
      <c r="N1066" s="138"/>
      <c r="O1066" s="138"/>
      <c r="P1066" s="138"/>
      <c r="Q1066" s="138"/>
      <c r="R1066" s="138"/>
      <c r="S1066" s="138"/>
      <c r="T1066" s="138"/>
      <c r="U1066" s="138"/>
      <c r="V1066" s="138"/>
      <c r="W1066" s="138"/>
      <c r="X1066" s="138"/>
      <c r="Y1066" s="138"/>
      <c r="Z1066" s="138"/>
      <c r="AA1066" s="138"/>
      <c r="AB1066" s="138"/>
      <c r="AC1066" s="138"/>
    </row>
    <row r="1067">
      <c r="A1067" s="161"/>
      <c r="B1067" s="161"/>
      <c r="C1067" s="138"/>
      <c r="D1067" s="160"/>
      <c r="E1067" s="161"/>
      <c r="F1067" s="161"/>
      <c r="G1067" s="161"/>
      <c r="H1067" s="161"/>
      <c r="I1067" s="138"/>
      <c r="J1067" s="138"/>
      <c r="K1067" s="138"/>
      <c r="L1067" s="138"/>
      <c r="M1067" s="138"/>
      <c r="N1067" s="138"/>
      <c r="O1067" s="138"/>
      <c r="P1067" s="138"/>
      <c r="Q1067" s="138"/>
      <c r="R1067" s="138"/>
      <c r="S1067" s="138"/>
      <c r="T1067" s="138"/>
      <c r="U1067" s="138"/>
      <c r="V1067" s="138"/>
      <c r="W1067" s="138"/>
      <c r="X1067" s="138"/>
      <c r="Y1067" s="138"/>
      <c r="Z1067" s="138"/>
      <c r="AA1067" s="138"/>
      <c r="AB1067" s="138"/>
      <c r="AC1067" s="138"/>
    </row>
    <row r="1068">
      <c r="A1068" s="161"/>
      <c r="B1068" s="161"/>
      <c r="C1068" s="138"/>
      <c r="D1068" s="160"/>
      <c r="E1068" s="161"/>
      <c r="F1068" s="161"/>
      <c r="G1068" s="161"/>
      <c r="H1068" s="161"/>
      <c r="I1068" s="138"/>
      <c r="J1068" s="138"/>
      <c r="K1068" s="138"/>
      <c r="L1068" s="138"/>
      <c r="M1068" s="138"/>
      <c r="N1068" s="138"/>
      <c r="O1068" s="138"/>
      <c r="P1068" s="138"/>
      <c r="Q1068" s="138"/>
      <c r="R1068" s="138"/>
      <c r="S1068" s="138"/>
      <c r="T1068" s="138"/>
      <c r="U1068" s="138"/>
      <c r="V1068" s="138"/>
      <c r="W1068" s="138"/>
      <c r="X1068" s="138"/>
      <c r="Y1068" s="138"/>
      <c r="Z1068" s="138"/>
      <c r="AA1068" s="138"/>
      <c r="AB1068" s="138"/>
      <c r="AC1068" s="138"/>
    </row>
    <row r="1069">
      <c r="A1069" s="161"/>
      <c r="B1069" s="161"/>
      <c r="C1069" s="138"/>
      <c r="D1069" s="160"/>
      <c r="E1069" s="161"/>
      <c r="F1069" s="161"/>
      <c r="G1069" s="161"/>
      <c r="H1069" s="161"/>
      <c r="I1069" s="138"/>
      <c r="J1069" s="138"/>
      <c r="K1069" s="138"/>
      <c r="L1069" s="138"/>
      <c r="M1069" s="138"/>
      <c r="N1069" s="138"/>
      <c r="O1069" s="138"/>
      <c r="P1069" s="138"/>
      <c r="Q1069" s="138"/>
      <c r="R1069" s="138"/>
      <c r="S1069" s="138"/>
      <c r="T1069" s="138"/>
      <c r="U1069" s="138"/>
      <c r="V1069" s="138"/>
      <c r="W1069" s="138"/>
      <c r="X1069" s="138"/>
      <c r="Y1069" s="138"/>
      <c r="Z1069" s="138"/>
      <c r="AA1069" s="138"/>
      <c r="AB1069" s="138"/>
      <c r="AC1069" s="138"/>
    </row>
    <row r="1070">
      <c r="A1070" s="161"/>
      <c r="B1070" s="161"/>
      <c r="C1070" s="138"/>
      <c r="D1070" s="160"/>
      <c r="E1070" s="161"/>
      <c r="F1070" s="161"/>
      <c r="G1070" s="161"/>
      <c r="H1070" s="161"/>
      <c r="I1070" s="138"/>
      <c r="J1070" s="138"/>
      <c r="K1070" s="138"/>
      <c r="L1070" s="138"/>
      <c r="M1070" s="138"/>
      <c r="N1070" s="138"/>
      <c r="O1070" s="138"/>
      <c r="P1070" s="138"/>
      <c r="Q1070" s="138"/>
      <c r="R1070" s="138"/>
      <c r="S1070" s="138"/>
      <c r="T1070" s="138"/>
      <c r="U1070" s="138"/>
      <c r="V1070" s="138"/>
      <c r="W1070" s="138"/>
      <c r="X1070" s="138"/>
      <c r="Y1070" s="138"/>
      <c r="Z1070" s="138"/>
      <c r="AA1070" s="138"/>
      <c r="AB1070" s="138"/>
      <c r="AC1070" s="138"/>
    </row>
    <row r="1071">
      <c r="A1071" s="161"/>
      <c r="B1071" s="161"/>
      <c r="C1071" s="138"/>
      <c r="D1071" s="160"/>
      <c r="E1071" s="161"/>
      <c r="F1071" s="161"/>
      <c r="G1071" s="161"/>
      <c r="H1071" s="161"/>
      <c r="I1071" s="138"/>
      <c r="J1071" s="138"/>
      <c r="K1071" s="138"/>
      <c r="L1071" s="138"/>
      <c r="M1071" s="138"/>
      <c r="N1071" s="138"/>
      <c r="O1071" s="138"/>
      <c r="P1071" s="138"/>
      <c r="Q1071" s="138"/>
      <c r="R1071" s="138"/>
      <c r="S1071" s="138"/>
      <c r="T1071" s="138"/>
      <c r="U1071" s="138"/>
      <c r="V1071" s="138"/>
      <c r="W1071" s="138"/>
      <c r="X1071" s="138"/>
      <c r="Y1071" s="138"/>
      <c r="Z1071" s="138"/>
      <c r="AA1071" s="138"/>
      <c r="AB1071" s="138"/>
      <c r="AC1071" s="138"/>
    </row>
    <row r="1072">
      <c r="A1072" s="161"/>
      <c r="B1072" s="161"/>
      <c r="C1072" s="138"/>
      <c r="D1072" s="160"/>
      <c r="E1072" s="161"/>
      <c r="F1072" s="161"/>
      <c r="G1072" s="161"/>
      <c r="H1072" s="161"/>
      <c r="I1072" s="138"/>
      <c r="J1072" s="138"/>
      <c r="K1072" s="138"/>
      <c r="L1072" s="138"/>
      <c r="M1072" s="138"/>
      <c r="N1072" s="138"/>
      <c r="O1072" s="138"/>
      <c r="P1072" s="138"/>
      <c r="Q1072" s="138"/>
      <c r="R1072" s="138"/>
      <c r="S1072" s="138"/>
      <c r="T1072" s="138"/>
      <c r="U1072" s="138"/>
      <c r="V1072" s="138"/>
      <c r="W1072" s="138"/>
      <c r="X1072" s="138"/>
      <c r="Y1072" s="138"/>
      <c r="Z1072" s="138"/>
      <c r="AA1072" s="138"/>
      <c r="AB1072" s="138"/>
      <c r="AC1072" s="138"/>
    </row>
    <row r="1073">
      <c r="A1073" s="161"/>
      <c r="B1073" s="161"/>
      <c r="C1073" s="138"/>
      <c r="D1073" s="160"/>
      <c r="E1073" s="161"/>
      <c r="F1073" s="161"/>
      <c r="G1073" s="161"/>
      <c r="H1073" s="161"/>
      <c r="I1073" s="138"/>
      <c r="J1073" s="138"/>
      <c r="K1073" s="138"/>
      <c r="L1073" s="138"/>
      <c r="M1073" s="138"/>
      <c r="N1073" s="138"/>
      <c r="O1073" s="138"/>
      <c r="P1073" s="138"/>
      <c r="Q1073" s="138"/>
      <c r="R1073" s="138"/>
      <c r="S1073" s="138"/>
      <c r="T1073" s="138"/>
      <c r="U1073" s="138"/>
      <c r="V1073" s="138"/>
      <c r="W1073" s="138"/>
      <c r="X1073" s="138"/>
      <c r="Y1073" s="138"/>
      <c r="Z1073" s="138"/>
      <c r="AA1073" s="138"/>
      <c r="AB1073" s="138"/>
      <c r="AC1073" s="138"/>
    </row>
    <row r="1074">
      <c r="A1074" s="161"/>
      <c r="B1074" s="161"/>
      <c r="C1074" s="138"/>
      <c r="D1074" s="160"/>
      <c r="E1074" s="161"/>
      <c r="F1074" s="161"/>
      <c r="G1074" s="161"/>
      <c r="H1074" s="161"/>
      <c r="I1074" s="138"/>
      <c r="J1074" s="138"/>
      <c r="K1074" s="138"/>
      <c r="L1074" s="138"/>
      <c r="M1074" s="138"/>
      <c r="N1074" s="138"/>
      <c r="O1074" s="138"/>
      <c r="P1074" s="138"/>
      <c r="Q1074" s="138"/>
      <c r="R1074" s="138"/>
      <c r="S1074" s="138"/>
      <c r="T1074" s="138"/>
      <c r="U1074" s="138"/>
      <c r="V1074" s="138"/>
      <c r="W1074" s="138"/>
      <c r="X1074" s="138"/>
      <c r="Y1074" s="138"/>
      <c r="Z1074" s="138"/>
      <c r="AA1074" s="138"/>
      <c r="AB1074" s="138"/>
      <c r="AC1074" s="138"/>
    </row>
    <row r="1075">
      <c r="A1075" s="161"/>
      <c r="B1075" s="161"/>
      <c r="C1075" s="138"/>
      <c r="D1075" s="160"/>
      <c r="E1075" s="161"/>
      <c r="F1075" s="161"/>
      <c r="G1075" s="161"/>
      <c r="H1075" s="161"/>
      <c r="I1075" s="138"/>
      <c r="J1075" s="138"/>
      <c r="K1075" s="138"/>
      <c r="L1075" s="138"/>
      <c r="M1075" s="138"/>
      <c r="N1075" s="138"/>
      <c r="O1075" s="138"/>
      <c r="P1075" s="138"/>
      <c r="Q1075" s="138"/>
      <c r="R1075" s="138"/>
      <c r="S1075" s="138"/>
      <c r="T1075" s="138"/>
      <c r="U1075" s="138"/>
      <c r="V1075" s="138"/>
      <c r="W1075" s="138"/>
      <c r="X1075" s="138"/>
      <c r="Y1075" s="138"/>
      <c r="Z1075" s="138"/>
      <c r="AA1075" s="138"/>
      <c r="AB1075" s="138"/>
      <c r="AC1075" s="138"/>
    </row>
    <row r="1076">
      <c r="A1076" s="161"/>
      <c r="B1076" s="161"/>
      <c r="C1076" s="138"/>
      <c r="D1076" s="160"/>
      <c r="E1076" s="161"/>
      <c r="F1076" s="161"/>
      <c r="G1076" s="161"/>
      <c r="H1076" s="161"/>
      <c r="I1076" s="138"/>
      <c r="J1076" s="138"/>
      <c r="K1076" s="138"/>
      <c r="L1076" s="138"/>
      <c r="M1076" s="138"/>
      <c r="N1076" s="138"/>
      <c r="O1076" s="138"/>
      <c r="P1076" s="138"/>
      <c r="Q1076" s="138"/>
      <c r="R1076" s="138"/>
      <c r="S1076" s="138"/>
      <c r="T1076" s="138"/>
      <c r="U1076" s="138"/>
      <c r="V1076" s="138"/>
      <c r="W1076" s="138"/>
      <c r="X1076" s="138"/>
      <c r="Y1076" s="138"/>
      <c r="Z1076" s="138"/>
      <c r="AA1076" s="138"/>
      <c r="AB1076" s="138"/>
      <c r="AC1076" s="138"/>
    </row>
    <row r="1077">
      <c r="A1077" s="161"/>
      <c r="B1077" s="161"/>
      <c r="C1077" s="138"/>
      <c r="D1077" s="160"/>
      <c r="E1077" s="161"/>
      <c r="F1077" s="161"/>
      <c r="G1077" s="161"/>
      <c r="H1077" s="161"/>
      <c r="I1077" s="138"/>
      <c r="J1077" s="138"/>
      <c r="K1077" s="138"/>
      <c r="L1077" s="138"/>
      <c r="M1077" s="138"/>
      <c r="N1077" s="138"/>
      <c r="O1077" s="138"/>
      <c r="P1077" s="138"/>
      <c r="Q1077" s="138"/>
      <c r="R1077" s="138"/>
      <c r="S1077" s="138"/>
      <c r="T1077" s="138"/>
      <c r="U1077" s="138"/>
      <c r="V1077" s="138"/>
      <c r="W1077" s="138"/>
      <c r="X1077" s="138"/>
      <c r="Y1077" s="138"/>
      <c r="Z1077" s="138"/>
      <c r="AA1077" s="138"/>
      <c r="AB1077" s="138"/>
      <c r="AC1077" s="138"/>
    </row>
    <row r="1078">
      <c r="A1078" s="161"/>
      <c r="B1078" s="161"/>
      <c r="C1078" s="138"/>
      <c r="D1078" s="160"/>
      <c r="E1078" s="161"/>
      <c r="F1078" s="161"/>
      <c r="G1078" s="161"/>
      <c r="H1078" s="161"/>
      <c r="I1078" s="138"/>
      <c r="J1078" s="138"/>
      <c r="K1078" s="138"/>
      <c r="L1078" s="138"/>
      <c r="M1078" s="138"/>
      <c r="N1078" s="138"/>
      <c r="O1078" s="138"/>
      <c r="P1078" s="138"/>
      <c r="Q1078" s="138"/>
      <c r="R1078" s="138"/>
      <c r="S1078" s="138"/>
      <c r="T1078" s="138"/>
      <c r="U1078" s="138"/>
      <c r="V1078" s="138"/>
      <c r="W1078" s="138"/>
      <c r="X1078" s="138"/>
      <c r="Y1078" s="138"/>
      <c r="Z1078" s="138"/>
      <c r="AA1078" s="138"/>
      <c r="AB1078" s="138"/>
      <c r="AC1078" s="138"/>
    </row>
    <row r="1079">
      <c r="A1079" s="161"/>
      <c r="B1079" s="161"/>
      <c r="C1079" s="138"/>
      <c r="D1079" s="160"/>
      <c r="E1079" s="161"/>
      <c r="F1079" s="161"/>
      <c r="G1079" s="161"/>
      <c r="H1079" s="161"/>
      <c r="I1079" s="138"/>
      <c r="J1079" s="138"/>
      <c r="K1079" s="138"/>
      <c r="L1079" s="138"/>
      <c r="M1079" s="138"/>
      <c r="N1079" s="138"/>
      <c r="O1079" s="138"/>
      <c r="P1079" s="138"/>
      <c r="Q1079" s="138"/>
      <c r="R1079" s="138"/>
      <c r="S1079" s="138"/>
      <c r="T1079" s="138"/>
      <c r="U1079" s="138"/>
      <c r="V1079" s="138"/>
      <c r="W1079" s="138"/>
      <c r="X1079" s="138"/>
      <c r="Y1079" s="138"/>
      <c r="Z1079" s="138"/>
      <c r="AA1079" s="138"/>
      <c r="AB1079" s="138"/>
      <c r="AC1079" s="138"/>
    </row>
    <row r="1080">
      <c r="A1080" s="161"/>
      <c r="B1080" s="161"/>
      <c r="C1080" s="138"/>
      <c r="D1080" s="160"/>
      <c r="E1080" s="161"/>
      <c r="F1080" s="161"/>
      <c r="G1080" s="161"/>
      <c r="H1080" s="161"/>
      <c r="I1080" s="138"/>
      <c r="J1080" s="138"/>
      <c r="K1080" s="138"/>
      <c r="L1080" s="138"/>
      <c r="M1080" s="138"/>
      <c r="N1080" s="138"/>
      <c r="O1080" s="138"/>
      <c r="P1080" s="138"/>
      <c r="Q1080" s="138"/>
      <c r="R1080" s="138"/>
      <c r="S1080" s="138"/>
      <c r="T1080" s="138"/>
      <c r="U1080" s="138"/>
      <c r="V1080" s="138"/>
      <c r="W1080" s="138"/>
      <c r="X1080" s="138"/>
      <c r="Y1080" s="138"/>
      <c r="Z1080" s="138"/>
      <c r="AA1080" s="138"/>
      <c r="AB1080" s="138"/>
      <c r="AC1080" s="138"/>
    </row>
    <row r="1081">
      <c r="A1081" s="161"/>
      <c r="B1081" s="161"/>
      <c r="C1081" s="138"/>
      <c r="D1081" s="160"/>
      <c r="E1081" s="161"/>
      <c r="F1081" s="161"/>
      <c r="G1081" s="161"/>
      <c r="H1081" s="161"/>
      <c r="I1081" s="138"/>
      <c r="J1081" s="138"/>
      <c r="K1081" s="138"/>
      <c r="L1081" s="138"/>
      <c r="M1081" s="138"/>
      <c r="N1081" s="138"/>
      <c r="O1081" s="138"/>
      <c r="P1081" s="138"/>
      <c r="Q1081" s="138"/>
      <c r="R1081" s="138"/>
      <c r="S1081" s="138"/>
      <c r="T1081" s="138"/>
      <c r="U1081" s="138"/>
      <c r="V1081" s="138"/>
      <c r="W1081" s="138"/>
      <c r="X1081" s="138"/>
      <c r="Y1081" s="138"/>
      <c r="Z1081" s="138"/>
      <c r="AA1081" s="138"/>
      <c r="AB1081" s="138"/>
      <c r="AC1081" s="138"/>
    </row>
    <row r="1082">
      <c r="A1082" s="161"/>
      <c r="B1082" s="161"/>
      <c r="C1082" s="138"/>
      <c r="D1082" s="160"/>
      <c r="E1082" s="161"/>
      <c r="F1082" s="161"/>
      <c r="G1082" s="161"/>
      <c r="H1082" s="161"/>
      <c r="I1082" s="138"/>
      <c r="J1082" s="138"/>
      <c r="K1082" s="138"/>
      <c r="L1082" s="138"/>
      <c r="M1082" s="138"/>
      <c r="N1082" s="138"/>
      <c r="O1082" s="138"/>
      <c r="P1082" s="138"/>
      <c r="Q1082" s="138"/>
      <c r="R1082" s="138"/>
      <c r="S1082" s="138"/>
      <c r="T1082" s="138"/>
      <c r="U1082" s="138"/>
      <c r="V1082" s="138"/>
      <c r="W1082" s="138"/>
      <c r="X1082" s="138"/>
      <c r="Y1082" s="138"/>
      <c r="Z1082" s="138"/>
      <c r="AA1082" s="138"/>
      <c r="AB1082" s="138"/>
      <c r="AC1082" s="138"/>
    </row>
    <row r="1083">
      <c r="A1083" s="161"/>
      <c r="B1083" s="161"/>
      <c r="C1083" s="138"/>
      <c r="D1083" s="160"/>
      <c r="E1083" s="161"/>
      <c r="F1083" s="161"/>
      <c r="G1083" s="161"/>
      <c r="H1083" s="161"/>
      <c r="I1083" s="138"/>
      <c r="J1083" s="138"/>
      <c r="K1083" s="138"/>
      <c r="L1083" s="138"/>
      <c r="M1083" s="138"/>
      <c r="N1083" s="138"/>
      <c r="O1083" s="138"/>
      <c r="P1083" s="138"/>
      <c r="Q1083" s="138"/>
      <c r="R1083" s="138"/>
      <c r="S1083" s="138"/>
      <c r="T1083" s="138"/>
      <c r="U1083" s="138"/>
      <c r="V1083" s="138"/>
      <c r="W1083" s="138"/>
      <c r="X1083" s="138"/>
      <c r="Y1083" s="138"/>
      <c r="Z1083" s="138"/>
      <c r="AA1083" s="138"/>
      <c r="AB1083" s="138"/>
      <c r="AC1083" s="138"/>
    </row>
    <row r="1084">
      <c r="A1084" s="161"/>
      <c r="B1084" s="161"/>
      <c r="C1084" s="138"/>
      <c r="D1084" s="160"/>
      <c r="E1084" s="161"/>
      <c r="F1084" s="161"/>
      <c r="G1084" s="161"/>
      <c r="H1084" s="161"/>
      <c r="I1084" s="138"/>
      <c r="J1084" s="138"/>
      <c r="K1084" s="138"/>
      <c r="L1084" s="138"/>
      <c r="M1084" s="138"/>
      <c r="N1084" s="138"/>
      <c r="O1084" s="138"/>
      <c r="P1084" s="138"/>
      <c r="Q1084" s="138"/>
      <c r="R1084" s="138"/>
      <c r="S1084" s="138"/>
      <c r="T1084" s="138"/>
      <c r="U1084" s="138"/>
      <c r="V1084" s="138"/>
      <c r="W1084" s="138"/>
      <c r="X1084" s="138"/>
      <c r="Y1084" s="138"/>
      <c r="Z1084" s="138"/>
      <c r="AA1084" s="138"/>
      <c r="AB1084" s="138"/>
      <c r="AC1084" s="138"/>
    </row>
    <row r="1085">
      <c r="A1085" s="161"/>
      <c r="B1085" s="161"/>
      <c r="C1085" s="138"/>
      <c r="D1085" s="160"/>
      <c r="E1085" s="161"/>
      <c r="F1085" s="161"/>
      <c r="G1085" s="161"/>
      <c r="H1085" s="161"/>
      <c r="I1085" s="138"/>
      <c r="J1085" s="138"/>
      <c r="K1085" s="138"/>
      <c r="L1085" s="138"/>
      <c r="M1085" s="138"/>
      <c r="N1085" s="138"/>
      <c r="O1085" s="138"/>
      <c r="P1085" s="138"/>
      <c r="Q1085" s="138"/>
      <c r="R1085" s="138"/>
      <c r="S1085" s="138"/>
      <c r="T1085" s="138"/>
      <c r="U1085" s="138"/>
      <c r="V1085" s="138"/>
      <c r="W1085" s="138"/>
      <c r="X1085" s="138"/>
      <c r="Y1085" s="138"/>
      <c r="Z1085" s="138"/>
      <c r="AA1085" s="138"/>
      <c r="AB1085" s="138"/>
      <c r="AC1085" s="138"/>
    </row>
    <row r="1086">
      <c r="A1086" s="161"/>
      <c r="B1086" s="161"/>
      <c r="C1086" s="138"/>
      <c r="D1086" s="160"/>
      <c r="E1086" s="161"/>
      <c r="F1086" s="161"/>
      <c r="G1086" s="161"/>
      <c r="H1086" s="161"/>
      <c r="I1086" s="138"/>
      <c r="J1086" s="138"/>
      <c r="K1086" s="138"/>
      <c r="L1086" s="138"/>
      <c r="M1086" s="138"/>
      <c r="N1086" s="138"/>
      <c r="O1086" s="138"/>
      <c r="P1086" s="138"/>
      <c r="Q1086" s="138"/>
      <c r="R1086" s="138"/>
      <c r="S1086" s="138"/>
      <c r="T1086" s="138"/>
      <c r="U1086" s="138"/>
      <c r="V1086" s="138"/>
      <c r="W1086" s="138"/>
      <c r="X1086" s="138"/>
      <c r="Y1086" s="138"/>
      <c r="Z1086" s="138"/>
      <c r="AA1086" s="138"/>
      <c r="AB1086" s="138"/>
      <c r="AC1086" s="138"/>
    </row>
    <row r="1087">
      <c r="A1087" s="161"/>
      <c r="B1087" s="161"/>
      <c r="C1087" s="138"/>
      <c r="D1087" s="160"/>
      <c r="E1087" s="161"/>
      <c r="F1087" s="161"/>
      <c r="G1087" s="161"/>
      <c r="H1087" s="161"/>
      <c r="I1087" s="138"/>
      <c r="J1087" s="138"/>
      <c r="K1087" s="138"/>
      <c r="L1087" s="138"/>
      <c r="M1087" s="138"/>
      <c r="N1087" s="138"/>
      <c r="O1087" s="138"/>
      <c r="P1087" s="138"/>
      <c r="Q1087" s="138"/>
      <c r="R1087" s="138"/>
      <c r="S1087" s="138"/>
      <c r="T1087" s="138"/>
      <c r="U1087" s="138"/>
      <c r="V1087" s="138"/>
      <c r="W1087" s="138"/>
      <c r="X1087" s="138"/>
      <c r="Y1087" s="138"/>
      <c r="Z1087" s="138"/>
      <c r="AA1087" s="138"/>
      <c r="AB1087" s="138"/>
      <c r="AC1087" s="138"/>
    </row>
    <row r="1088">
      <c r="A1088" s="161"/>
      <c r="B1088" s="161"/>
      <c r="C1088" s="138"/>
      <c r="D1088" s="160"/>
      <c r="E1088" s="161"/>
      <c r="F1088" s="161"/>
      <c r="G1088" s="161"/>
      <c r="H1088" s="161"/>
      <c r="I1088" s="138"/>
      <c r="J1088" s="138"/>
      <c r="K1088" s="138"/>
      <c r="L1088" s="138"/>
      <c r="M1088" s="138"/>
      <c r="N1088" s="138"/>
      <c r="O1088" s="138"/>
      <c r="P1088" s="138"/>
      <c r="Q1088" s="138"/>
      <c r="R1088" s="138"/>
      <c r="S1088" s="138"/>
      <c r="T1088" s="138"/>
      <c r="U1088" s="138"/>
      <c r="V1088" s="138"/>
      <c r="W1088" s="138"/>
      <c r="X1088" s="138"/>
      <c r="Y1088" s="138"/>
      <c r="Z1088" s="138"/>
      <c r="AA1088" s="138"/>
      <c r="AB1088" s="138"/>
      <c r="AC1088" s="138"/>
    </row>
    <row r="1089">
      <c r="A1089" s="161"/>
      <c r="B1089" s="161"/>
      <c r="C1089" s="138"/>
      <c r="D1089" s="160"/>
      <c r="E1089" s="161"/>
      <c r="F1089" s="161"/>
      <c r="G1089" s="161"/>
      <c r="H1089" s="161"/>
      <c r="I1089" s="138"/>
      <c r="J1089" s="138"/>
      <c r="K1089" s="138"/>
      <c r="L1089" s="138"/>
      <c r="M1089" s="138"/>
      <c r="N1089" s="138"/>
      <c r="O1089" s="138"/>
      <c r="P1089" s="138"/>
      <c r="Q1089" s="138"/>
      <c r="R1089" s="138"/>
      <c r="S1089" s="138"/>
      <c r="T1089" s="138"/>
      <c r="U1089" s="138"/>
      <c r="V1089" s="138"/>
      <c r="W1089" s="138"/>
      <c r="X1089" s="138"/>
      <c r="Y1089" s="138"/>
      <c r="Z1089" s="138"/>
      <c r="AA1089" s="138"/>
      <c r="AB1089" s="138"/>
      <c r="AC1089" s="138"/>
    </row>
    <row r="1090">
      <c r="A1090" s="161"/>
      <c r="B1090" s="161"/>
      <c r="C1090" s="138"/>
      <c r="D1090" s="160"/>
      <c r="E1090" s="161"/>
      <c r="F1090" s="161"/>
      <c r="G1090" s="161"/>
      <c r="H1090" s="161"/>
      <c r="I1090" s="138"/>
      <c r="J1090" s="138"/>
      <c r="K1090" s="138"/>
      <c r="L1090" s="138"/>
      <c r="M1090" s="138"/>
      <c r="N1090" s="138"/>
      <c r="O1090" s="138"/>
      <c r="P1090" s="138"/>
      <c r="Q1090" s="138"/>
      <c r="R1090" s="138"/>
      <c r="S1090" s="138"/>
      <c r="T1090" s="138"/>
      <c r="U1090" s="138"/>
      <c r="V1090" s="138"/>
      <c r="W1090" s="138"/>
      <c r="X1090" s="138"/>
      <c r="Y1090" s="138"/>
      <c r="Z1090" s="138"/>
      <c r="AA1090" s="138"/>
      <c r="AB1090" s="138"/>
      <c r="AC1090" s="138"/>
    </row>
    <row r="1091">
      <c r="A1091" s="161"/>
      <c r="B1091" s="161"/>
      <c r="C1091" s="138"/>
      <c r="D1091" s="160"/>
      <c r="E1091" s="161"/>
      <c r="F1091" s="161"/>
      <c r="G1091" s="161"/>
      <c r="H1091" s="161"/>
      <c r="I1091" s="138"/>
      <c r="J1091" s="138"/>
      <c r="K1091" s="138"/>
      <c r="L1091" s="138"/>
      <c r="M1091" s="138"/>
      <c r="N1091" s="138"/>
      <c r="O1091" s="138"/>
      <c r="P1091" s="138"/>
      <c r="Q1091" s="138"/>
      <c r="R1091" s="138"/>
      <c r="S1091" s="138"/>
      <c r="T1091" s="138"/>
      <c r="U1091" s="138"/>
      <c r="V1091" s="138"/>
      <c r="W1091" s="138"/>
      <c r="X1091" s="138"/>
      <c r="Y1091" s="138"/>
      <c r="Z1091" s="138"/>
      <c r="AA1091" s="138"/>
      <c r="AB1091" s="138"/>
      <c r="AC1091" s="138"/>
    </row>
    <row r="1092">
      <c r="A1092" s="161"/>
      <c r="B1092" s="161"/>
      <c r="C1092" s="138"/>
      <c r="D1092" s="160"/>
      <c r="E1092" s="161"/>
      <c r="F1092" s="161"/>
      <c r="G1092" s="161"/>
      <c r="H1092" s="161"/>
      <c r="I1092" s="138"/>
      <c r="J1092" s="138"/>
      <c r="K1092" s="138"/>
      <c r="L1092" s="138"/>
      <c r="M1092" s="138"/>
      <c r="N1092" s="138"/>
      <c r="O1092" s="138"/>
      <c r="P1092" s="138"/>
      <c r="Q1092" s="138"/>
      <c r="R1092" s="138"/>
      <c r="S1092" s="138"/>
      <c r="T1092" s="138"/>
      <c r="U1092" s="138"/>
      <c r="V1092" s="138"/>
      <c r="W1092" s="138"/>
      <c r="X1092" s="138"/>
      <c r="Y1092" s="138"/>
      <c r="Z1092" s="138"/>
      <c r="AA1092" s="138"/>
      <c r="AB1092" s="138"/>
      <c r="AC1092" s="138"/>
    </row>
    <row r="1093">
      <c r="A1093" s="161"/>
      <c r="B1093" s="161"/>
      <c r="C1093" s="138"/>
      <c r="D1093" s="160"/>
      <c r="E1093" s="161"/>
      <c r="F1093" s="161"/>
      <c r="G1093" s="161"/>
      <c r="H1093" s="161"/>
      <c r="I1093" s="138"/>
      <c r="J1093" s="138"/>
      <c r="K1093" s="138"/>
      <c r="L1093" s="138"/>
      <c r="M1093" s="138"/>
      <c r="N1093" s="138"/>
      <c r="O1093" s="138"/>
      <c r="P1093" s="138"/>
      <c r="Q1093" s="138"/>
      <c r="R1093" s="138"/>
      <c r="S1093" s="138"/>
      <c r="T1093" s="138"/>
      <c r="U1093" s="138"/>
      <c r="V1093" s="138"/>
      <c r="W1093" s="138"/>
      <c r="X1093" s="138"/>
      <c r="Y1093" s="138"/>
      <c r="Z1093" s="138"/>
      <c r="AA1093" s="138"/>
      <c r="AB1093" s="138"/>
      <c r="AC1093" s="138"/>
    </row>
    <row r="1094">
      <c r="A1094" s="161"/>
      <c r="B1094" s="161"/>
      <c r="C1094" s="138"/>
      <c r="D1094" s="160"/>
      <c r="E1094" s="161"/>
      <c r="F1094" s="161"/>
      <c r="G1094" s="161"/>
      <c r="H1094" s="161"/>
      <c r="I1094" s="138"/>
      <c r="J1094" s="138"/>
      <c r="K1094" s="138"/>
      <c r="L1094" s="138"/>
      <c r="M1094" s="138"/>
      <c r="N1094" s="138"/>
      <c r="O1094" s="138"/>
      <c r="P1094" s="138"/>
      <c r="Q1094" s="138"/>
      <c r="R1094" s="138"/>
      <c r="S1094" s="138"/>
      <c r="T1094" s="138"/>
      <c r="U1094" s="138"/>
      <c r="V1094" s="138"/>
      <c r="W1094" s="138"/>
      <c r="X1094" s="138"/>
      <c r="Y1094" s="138"/>
      <c r="Z1094" s="138"/>
      <c r="AA1094" s="138"/>
      <c r="AB1094" s="138"/>
      <c r="AC1094" s="138"/>
    </row>
    <row r="1095">
      <c r="A1095" s="161"/>
      <c r="B1095" s="161"/>
      <c r="C1095" s="138"/>
      <c r="D1095" s="160"/>
      <c r="E1095" s="161"/>
      <c r="F1095" s="161"/>
      <c r="G1095" s="161"/>
      <c r="H1095" s="161"/>
      <c r="I1095" s="138"/>
      <c r="J1095" s="138"/>
      <c r="K1095" s="138"/>
      <c r="L1095" s="138"/>
      <c r="M1095" s="138"/>
      <c r="N1095" s="138"/>
      <c r="O1095" s="138"/>
      <c r="P1095" s="138"/>
      <c r="Q1095" s="138"/>
      <c r="R1095" s="138"/>
      <c r="S1095" s="138"/>
      <c r="T1095" s="138"/>
      <c r="U1095" s="138"/>
      <c r="V1095" s="138"/>
      <c r="W1095" s="138"/>
      <c r="X1095" s="138"/>
      <c r="Y1095" s="138"/>
      <c r="Z1095" s="138"/>
      <c r="AA1095" s="138"/>
      <c r="AB1095" s="138"/>
      <c r="AC1095" s="138"/>
    </row>
    <row r="1096">
      <c r="A1096" s="161"/>
      <c r="B1096" s="161"/>
      <c r="C1096" s="138"/>
      <c r="D1096" s="160"/>
      <c r="E1096" s="161"/>
      <c r="F1096" s="161"/>
      <c r="G1096" s="161"/>
      <c r="H1096" s="161"/>
      <c r="I1096" s="138"/>
      <c r="J1096" s="138"/>
      <c r="K1096" s="138"/>
      <c r="L1096" s="138"/>
      <c r="M1096" s="138"/>
      <c r="N1096" s="138"/>
      <c r="O1096" s="138"/>
      <c r="P1096" s="138"/>
      <c r="Q1096" s="138"/>
      <c r="R1096" s="138"/>
      <c r="S1096" s="138"/>
      <c r="T1096" s="138"/>
      <c r="U1096" s="138"/>
      <c r="V1096" s="138"/>
      <c r="W1096" s="138"/>
      <c r="X1096" s="138"/>
      <c r="Y1096" s="138"/>
      <c r="Z1096" s="138"/>
      <c r="AA1096" s="138"/>
      <c r="AB1096" s="138"/>
      <c r="AC1096" s="138"/>
    </row>
    <row r="1097">
      <c r="A1097" s="161"/>
      <c r="B1097" s="161"/>
      <c r="C1097" s="138"/>
      <c r="D1097" s="160"/>
      <c r="E1097" s="161"/>
      <c r="F1097" s="161"/>
      <c r="G1097" s="161"/>
      <c r="H1097" s="161"/>
      <c r="I1097" s="138"/>
      <c r="J1097" s="138"/>
      <c r="K1097" s="138"/>
      <c r="L1097" s="138"/>
      <c r="M1097" s="138"/>
      <c r="N1097" s="138"/>
      <c r="O1097" s="138"/>
      <c r="P1097" s="138"/>
      <c r="Q1097" s="138"/>
      <c r="R1097" s="138"/>
      <c r="S1097" s="138"/>
      <c r="T1097" s="138"/>
      <c r="U1097" s="138"/>
      <c r="V1097" s="138"/>
      <c r="W1097" s="138"/>
      <c r="X1097" s="138"/>
      <c r="Y1097" s="138"/>
      <c r="Z1097" s="138"/>
      <c r="AA1097" s="138"/>
      <c r="AB1097" s="138"/>
      <c r="AC1097" s="138"/>
    </row>
    <row r="1098">
      <c r="A1098" s="161"/>
      <c r="B1098" s="161"/>
      <c r="C1098" s="138"/>
      <c r="D1098" s="160"/>
      <c r="E1098" s="161"/>
      <c r="F1098" s="161"/>
      <c r="G1098" s="161"/>
      <c r="H1098" s="161"/>
      <c r="I1098" s="138"/>
      <c r="J1098" s="138"/>
      <c r="K1098" s="138"/>
      <c r="L1098" s="138"/>
      <c r="M1098" s="138"/>
      <c r="N1098" s="138"/>
      <c r="O1098" s="138"/>
      <c r="P1098" s="138"/>
      <c r="Q1098" s="138"/>
      <c r="R1098" s="138"/>
      <c r="S1098" s="138"/>
      <c r="T1098" s="138"/>
      <c r="U1098" s="138"/>
      <c r="V1098" s="138"/>
      <c r="W1098" s="138"/>
      <c r="X1098" s="138"/>
      <c r="Y1098" s="138"/>
      <c r="Z1098" s="138"/>
      <c r="AA1098" s="138"/>
      <c r="AB1098" s="138"/>
      <c r="AC1098" s="138"/>
    </row>
    <row r="1099">
      <c r="A1099" s="161"/>
      <c r="B1099" s="161"/>
      <c r="C1099" s="138"/>
      <c r="D1099" s="160"/>
      <c r="E1099" s="161"/>
      <c r="F1099" s="161"/>
      <c r="G1099" s="161"/>
      <c r="H1099" s="161"/>
      <c r="I1099" s="138"/>
      <c r="J1099" s="138"/>
      <c r="K1099" s="138"/>
      <c r="L1099" s="138"/>
      <c r="M1099" s="138"/>
      <c r="N1099" s="138"/>
      <c r="O1099" s="138"/>
      <c r="P1099" s="138"/>
      <c r="Q1099" s="138"/>
      <c r="R1099" s="138"/>
      <c r="S1099" s="138"/>
      <c r="T1099" s="138"/>
      <c r="U1099" s="138"/>
      <c r="V1099" s="138"/>
      <c r="W1099" s="138"/>
      <c r="X1099" s="138"/>
      <c r="Y1099" s="138"/>
      <c r="Z1099" s="138"/>
      <c r="AA1099" s="138"/>
      <c r="AB1099" s="138"/>
      <c r="AC1099" s="138"/>
    </row>
    <row r="1100">
      <c r="A1100" s="161"/>
      <c r="B1100" s="161"/>
      <c r="C1100" s="138"/>
      <c r="D1100" s="160"/>
      <c r="E1100" s="161"/>
      <c r="F1100" s="161"/>
      <c r="G1100" s="161"/>
      <c r="H1100" s="161"/>
      <c r="I1100" s="138"/>
      <c r="J1100" s="138"/>
      <c r="K1100" s="138"/>
      <c r="L1100" s="138"/>
      <c r="M1100" s="138"/>
      <c r="N1100" s="138"/>
      <c r="O1100" s="138"/>
      <c r="P1100" s="138"/>
      <c r="Q1100" s="138"/>
      <c r="R1100" s="138"/>
      <c r="S1100" s="138"/>
      <c r="T1100" s="138"/>
      <c r="U1100" s="138"/>
      <c r="V1100" s="138"/>
      <c r="W1100" s="138"/>
      <c r="X1100" s="138"/>
      <c r="Y1100" s="138"/>
      <c r="Z1100" s="138"/>
      <c r="AA1100" s="138"/>
      <c r="AB1100" s="138"/>
      <c r="AC1100" s="138"/>
    </row>
    <row r="1101">
      <c r="A1101" s="161"/>
      <c r="B1101" s="161"/>
      <c r="C1101" s="138"/>
      <c r="D1101" s="160"/>
      <c r="E1101" s="161"/>
      <c r="F1101" s="161"/>
      <c r="G1101" s="161"/>
      <c r="H1101" s="161"/>
      <c r="I1101" s="138"/>
      <c r="J1101" s="138"/>
      <c r="K1101" s="138"/>
      <c r="L1101" s="138"/>
      <c r="M1101" s="138"/>
      <c r="N1101" s="138"/>
      <c r="O1101" s="138"/>
      <c r="P1101" s="138"/>
      <c r="Q1101" s="138"/>
      <c r="R1101" s="138"/>
      <c r="S1101" s="138"/>
      <c r="T1101" s="138"/>
      <c r="U1101" s="138"/>
      <c r="V1101" s="138"/>
      <c r="W1101" s="138"/>
      <c r="X1101" s="138"/>
      <c r="Y1101" s="138"/>
      <c r="Z1101" s="138"/>
      <c r="AA1101" s="138"/>
      <c r="AB1101" s="138"/>
      <c r="AC1101" s="138"/>
    </row>
    <row r="1102">
      <c r="A1102" s="161"/>
      <c r="B1102" s="161"/>
      <c r="C1102" s="138"/>
      <c r="D1102" s="160"/>
      <c r="E1102" s="161"/>
      <c r="F1102" s="161"/>
      <c r="G1102" s="161"/>
      <c r="H1102" s="161"/>
      <c r="I1102" s="138"/>
      <c r="J1102" s="138"/>
      <c r="K1102" s="138"/>
      <c r="L1102" s="138"/>
      <c r="M1102" s="138"/>
      <c r="N1102" s="138"/>
      <c r="O1102" s="138"/>
      <c r="P1102" s="138"/>
      <c r="Q1102" s="138"/>
      <c r="R1102" s="138"/>
      <c r="S1102" s="138"/>
      <c r="T1102" s="138"/>
      <c r="U1102" s="138"/>
      <c r="V1102" s="138"/>
      <c r="W1102" s="138"/>
      <c r="X1102" s="138"/>
      <c r="Y1102" s="138"/>
      <c r="Z1102" s="138"/>
      <c r="AA1102" s="138"/>
      <c r="AB1102" s="138"/>
      <c r="AC1102" s="138"/>
    </row>
    <row r="1103">
      <c r="A1103" s="161"/>
      <c r="B1103" s="161"/>
      <c r="C1103" s="138"/>
      <c r="D1103" s="160"/>
      <c r="E1103" s="161"/>
      <c r="F1103" s="161"/>
      <c r="G1103" s="161"/>
      <c r="H1103" s="161"/>
      <c r="I1103" s="138"/>
      <c r="J1103" s="138"/>
      <c r="K1103" s="138"/>
      <c r="L1103" s="138"/>
      <c r="M1103" s="138"/>
      <c r="N1103" s="138"/>
      <c r="O1103" s="138"/>
      <c r="P1103" s="138"/>
      <c r="Q1103" s="138"/>
      <c r="R1103" s="138"/>
      <c r="S1103" s="138"/>
      <c r="T1103" s="138"/>
      <c r="U1103" s="138"/>
      <c r="V1103" s="138"/>
      <c r="W1103" s="138"/>
      <c r="X1103" s="138"/>
      <c r="Y1103" s="138"/>
      <c r="Z1103" s="138"/>
      <c r="AA1103" s="138"/>
      <c r="AB1103" s="138"/>
      <c r="AC1103" s="138"/>
    </row>
    <row r="1104">
      <c r="A1104" s="161"/>
      <c r="B1104" s="161"/>
      <c r="C1104" s="138"/>
      <c r="D1104" s="160"/>
      <c r="E1104" s="161"/>
      <c r="F1104" s="161"/>
      <c r="G1104" s="161"/>
      <c r="H1104" s="161"/>
      <c r="I1104" s="138"/>
      <c r="J1104" s="138"/>
      <c r="K1104" s="138"/>
      <c r="L1104" s="138"/>
      <c r="M1104" s="138"/>
      <c r="N1104" s="138"/>
      <c r="O1104" s="138"/>
      <c r="P1104" s="138"/>
      <c r="Q1104" s="138"/>
      <c r="R1104" s="138"/>
      <c r="S1104" s="138"/>
      <c r="T1104" s="138"/>
      <c r="U1104" s="138"/>
      <c r="V1104" s="138"/>
      <c r="W1104" s="138"/>
      <c r="X1104" s="138"/>
      <c r="Y1104" s="138"/>
      <c r="Z1104" s="138"/>
      <c r="AA1104" s="138"/>
      <c r="AB1104" s="138"/>
      <c r="AC1104" s="138"/>
    </row>
    <row r="1105">
      <c r="A1105" s="161"/>
      <c r="B1105" s="161"/>
      <c r="C1105" s="138"/>
      <c r="D1105" s="160"/>
      <c r="E1105" s="161"/>
      <c r="F1105" s="161"/>
      <c r="G1105" s="161"/>
      <c r="H1105" s="161"/>
      <c r="I1105" s="138"/>
      <c r="J1105" s="138"/>
      <c r="K1105" s="138"/>
      <c r="L1105" s="138"/>
      <c r="M1105" s="138"/>
      <c r="N1105" s="138"/>
      <c r="O1105" s="138"/>
      <c r="P1105" s="138"/>
      <c r="Q1105" s="138"/>
      <c r="R1105" s="138"/>
      <c r="S1105" s="138"/>
      <c r="T1105" s="138"/>
      <c r="U1105" s="138"/>
      <c r="V1105" s="138"/>
      <c r="W1105" s="138"/>
      <c r="X1105" s="138"/>
      <c r="Y1105" s="138"/>
      <c r="Z1105" s="138"/>
      <c r="AA1105" s="138"/>
      <c r="AB1105" s="138"/>
      <c r="AC1105" s="138"/>
    </row>
    <row r="1106">
      <c r="A1106" s="161"/>
      <c r="B1106" s="161"/>
      <c r="C1106" s="138"/>
      <c r="D1106" s="160"/>
      <c r="E1106" s="161"/>
      <c r="F1106" s="161"/>
      <c r="G1106" s="161"/>
      <c r="H1106" s="161"/>
      <c r="I1106" s="138"/>
      <c r="J1106" s="138"/>
      <c r="K1106" s="138"/>
      <c r="L1106" s="138"/>
      <c r="M1106" s="138"/>
      <c r="N1106" s="138"/>
      <c r="O1106" s="138"/>
      <c r="P1106" s="138"/>
      <c r="Q1106" s="138"/>
      <c r="R1106" s="138"/>
      <c r="S1106" s="138"/>
      <c r="T1106" s="138"/>
      <c r="U1106" s="138"/>
      <c r="V1106" s="138"/>
      <c r="W1106" s="138"/>
      <c r="X1106" s="138"/>
      <c r="Y1106" s="138"/>
      <c r="Z1106" s="138"/>
      <c r="AA1106" s="138"/>
      <c r="AB1106" s="138"/>
      <c r="AC1106" s="138"/>
    </row>
    <row r="1107">
      <c r="A1107" s="161"/>
      <c r="B1107" s="161"/>
      <c r="C1107" s="138"/>
      <c r="D1107" s="160"/>
      <c r="E1107" s="161"/>
      <c r="F1107" s="161"/>
      <c r="G1107" s="161"/>
      <c r="H1107" s="161"/>
      <c r="I1107" s="138"/>
      <c r="J1107" s="138"/>
      <c r="K1107" s="138"/>
      <c r="L1107" s="138"/>
      <c r="M1107" s="138"/>
      <c r="N1107" s="138"/>
      <c r="O1107" s="138"/>
      <c r="P1107" s="138"/>
      <c r="Q1107" s="138"/>
      <c r="R1107" s="138"/>
      <c r="S1107" s="138"/>
      <c r="T1107" s="138"/>
      <c r="U1107" s="138"/>
      <c r="V1107" s="138"/>
      <c r="W1107" s="138"/>
      <c r="X1107" s="138"/>
      <c r="Y1107" s="138"/>
      <c r="Z1107" s="138"/>
      <c r="AA1107" s="138"/>
      <c r="AB1107" s="138"/>
      <c r="AC1107" s="138"/>
    </row>
    <row r="1108">
      <c r="A1108" s="161"/>
      <c r="B1108" s="161"/>
      <c r="C1108" s="138"/>
      <c r="D1108" s="160"/>
      <c r="E1108" s="161"/>
      <c r="F1108" s="161"/>
      <c r="G1108" s="161"/>
      <c r="H1108" s="161"/>
      <c r="I1108" s="138"/>
      <c r="J1108" s="138"/>
      <c r="K1108" s="138"/>
      <c r="L1108" s="138"/>
      <c r="M1108" s="138"/>
      <c r="N1108" s="138"/>
      <c r="O1108" s="138"/>
      <c r="P1108" s="138"/>
      <c r="Q1108" s="138"/>
      <c r="R1108" s="138"/>
      <c r="S1108" s="138"/>
      <c r="T1108" s="138"/>
      <c r="U1108" s="138"/>
      <c r="V1108" s="138"/>
      <c r="W1108" s="138"/>
      <c r="X1108" s="138"/>
      <c r="Y1108" s="138"/>
      <c r="Z1108" s="138"/>
      <c r="AA1108" s="138"/>
      <c r="AB1108" s="138"/>
      <c r="AC1108" s="138"/>
    </row>
    <row r="1109">
      <c r="A1109" s="161"/>
      <c r="B1109" s="161"/>
      <c r="C1109" s="138"/>
      <c r="D1109" s="160"/>
      <c r="E1109" s="161"/>
      <c r="F1109" s="161"/>
      <c r="G1109" s="161"/>
      <c r="H1109" s="161"/>
      <c r="I1109" s="138"/>
      <c r="J1109" s="138"/>
      <c r="K1109" s="138"/>
      <c r="L1109" s="138"/>
      <c r="M1109" s="138"/>
      <c r="N1109" s="138"/>
      <c r="O1109" s="138"/>
      <c r="P1109" s="138"/>
      <c r="Q1109" s="138"/>
      <c r="R1109" s="138"/>
      <c r="S1109" s="138"/>
      <c r="T1109" s="138"/>
      <c r="U1109" s="138"/>
      <c r="V1109" s="138"/>
      <c r="W1109" s="138"/>
      <c r="X1109" s="138"/>
      <c r="Y1109" s="138"/>
      <c r="Z1109" s="138"/>
      <c r="AA1109" s="138"/>
      <c r="AB1109" s="138"/>
      <c r="AC1109" s="138"/>
    </row>
    <row r="1110">
      <c r="A1110" s="161"/>
      <c r="B1110" s="161"/>
      <c r="C1110" s="138"/>
      <c r="D1110" s="160"/>
      <c r="E1110" s="161"/>
      <c r="F1110" s="161"/>
      <c r="G1110" s="161"/>
      <c r="H1110" s="161"/>
      <c r="I1110" s="138"/>
      <c r="J1110" s="138"/>
      <c r="K1110" s="138"/>
      <c r="L1110" s="138"/>
      <c r="M1110" s="138"/>
      <c r="N1110" s="138"/>
      <c r="O1110" s="138"/>
      <c r="P1110" s="138"/>
      <c r="Q1110" s="138"/>
      <c r="R1110" s="138"/>
      <c r="S1110" s="138"/>
      <c r="T1110" s="138"/>
      <c r="U1110" s="138"/>
      <c r="V1110" s="138"/>
      <c r="W1110" s="138"/>
      <c r="X1110" s="138"/>
      <c r="Y1110" s="138"/>
      <c r="Z1110" s="138"/>
      <c r="AA1110" s="138"/>
      <c r="AB1110" s="138"/>
      <c r="AC1110" s="138"/>
    </row>
    <row r="1111">
      <c r="A1111" s="161"/>
      <c r="B1111" s="161"/>
      <c r="C1111" s="138"/>
      <c r="D1111" s="160"/>
      <c r="E1111" s="161"/>
      <c r="F1111" s="161"/>
      <c r="G1111" s="161"/>
      <c r="H1111" s="161"/>
      <c r="I1111" s="138"/>
      <c r="J1111" s="138"/>
      <c r="K1111" s="138"/>
      <c r="L1111" s="138"/>
      <c r="M1111" s="138"/>
      <c r="N1111" s="138"/>
      <c r="O1111" s="138"/>
      <c r="P1111" s="138"/>
      <c r="Q1111" s="138"/>
      <c r="R1111" s="138"/>
      <c r="S1111" s="138"/>
      <c r="T1111" s="138"/>
      <c r="U1111" s="138"/>
      <c r="V1111" s="138"/>
      <c r="W1111" s="138"/>
      <c r="X1111" s="138"/>
      <c r="Y1111" s="138"/>
      <c r="Z1111" s="138"/>
      <c r="AA1111" s="138"/>
      <c r="AB1111" s="138"/>
      <c r="AC1111" s="138"/>
    </row>
    <row r="1112">
      <c r="A1112" s="161"/>
      <c r="B1112" s="161"/>
      <c r="C1112" s="138"/>
      <c r="D1112" s="160"/>
      <c r="E1112" s="161"/>
      <c r="F1112" s="161"/>
      <c r="G1112" s="161"/>
      <c r="H1112" s="161"/>
      <c r="I1112" s="138"/>
      <c r="J1112" s="138"/>
      <c r="K1112" s="138"/>
      <c r="L1112" s="138"/>
      <c r="M1112" s="138"/>
      <c r="N1112" s="138"/>
      <c r="O1112" s="138"/>
      <c r="P1112" s="138"/>
      <c r="Q1112" s="138"/>
      <c r="R1112" s="138"/>
      <c r="S1112" s="138"/>
      <c r="T1112" s="138"/>
      <c r="U1112" s="138"/>
      <c r="V1112" s="138"/>
      <c r="W1112" s="138"/>
      <c r="X1112" s="138"/>
      <c r="Y1112" s="138"/>
      <c r="Z1112" s="138"/>
      <c r="AA1112" s="138"/>
      <c r="AB1112" s="138"/>
      <c r="AC1112" s="138"/>
    </row>
    <row r="1113">
      <c r="A1113" s="161"/>
      <c r="B1113" s="161"/>
      <c r="C1113" s="138"/>
      <c r="D1113" s="160"/>
      <c r="E1113" s="161"/>
      <c r="F1113" s="161"/>
      <c r="G1113" s="161"/>
      <c r="H1113" s="161"/>
      <c r="I1113" s="138"/>
      <c r="J1113" s="138"/>
      <c r="K1113" s="138"/>
      <c r="L1113" s="138"/>
      <c r="M1113" s="138"/>
      <c r="N1113" s="138"/>
      <c r="O1113" s="138"/>
      <c r="P1113" s="138"/>
      <c r="Q1113" s="138"/>
      <c r="R1113" s="138"/>
      <c r="S1113" s="138"/>
      <c r="T1113" s="138"/>
      <c r="U1113" s="138"/>
      <c r="V1113" s="138"/>
      <c r="W1113" s="138"/>
      <c r="X1113" s="138"/>
      <c r="Y1113" s="138"/>
      <c r="Z1113" s="138"/>
      <c r="AA1113" s="138"/>
      <c r="AB1113" s="138"/>
      <c r="AC1113" s="138"/>
    </row>
    <row r="1114">
      <c r="A1114" s="161"/>
      <c r="B1114" s="161"/>
      <c r="C1114" s="138"/>
      <c r="D1114" s="160"/>
      <c r="E1114" s="161"/>
      <c r="F1114" s="161"/>
      <c r="G1114" s="161"/>
      <c r="H1114" s="161"/>
      <c r="I1114" s="138"/>
      <c r="J1114" s="138"/>
      <c r="K1114" s="138"/>
      <c r="L1114" s="138"/>
      <c r="M1114" s="138"/>
      <c r="N1114" s="138"/>
      <c r="O1114" s="138"/>
      <c r="P1114" s="138"/>
      <c r="Q1114" s="138"/>
      <c r="R1114" s="138"/>
      <c r="S1114" s="138"/>
      <c r="T1114" s="138"/>
      <c r="U1114" s="138"/>
      <c r="V1114" s="138"/>
      <c r="W1114" s="138"/>
      <c r="X1114" s="138"/>
      <c r="Y1114" s="138"/>
      <c r="Z1114" s="138"/>
      <c r="AA1114" s="138"/>
      <c r="AB1114" s="138"/>
      <c r="AC1114" s="138"/>
    </row>
    <row r="1115">
      <c r="A1115" s="161"/>
      <c r="B1115" s="161"/>
      <c r="C1115" s="138"/>
      <c r="D1115" s="160"/>
      <c r="E1115" s="161"/>
      <c r="F1115" s="161"/>
      <c r="G1115" s="161"/>
      <c r="H1115" s="161"/>
      <c r="I1115" s="138"/>
      <c r="J1115" s="138"/>
      <c r="K1115" s="138"/>
      <c r="L1115" s="138"/>
      <c r="M1115" s="138"/>
      <c r="N1115" s="138"/>
      <c r="O1115" s="138"/>
      <c r="P1115" s="138"/>
      <c r="Q1115" s="138"/>
      <c r="R1115" s="138"/>
      <c r="S1115" s="138"/>
      <c r="T1115" s="138"/>
      <c r="U1115" s="138"/>
      <c r="V1115" s="138"/>
      <c r="W1115" s="138"/>
      <c r="X1115" s="138"/>
      <c r="Y1115" s="138"/>
      <c r="Z1115" s="138"/>
      <c r="AA1115" s="138"/>
      <c r="AB1115" s="138"/>
      <c r="AC1115" s="138"/>
    </row>
    <row r="1116">
      <c r="A1116" s="161"/>
      <c r="B1116" s="161"/>
      <c r="C1116" s="138"/>
      <c r="D1116" s="160"/>
      <c r="E1116" s="161"/>
      <c r="F1116" s="161"/>
      <c r="G1116" s="161"/>
      <c r="H1116" s="161"/>
      <c r="I1116" s="138"/>
      <c r="J1116" s="138"/>
      <c r="K1116" s="138"/>
      <c r="L1116" s="138"/>
      <c r="M1116" s="138"/>
      <c r="N1116" s="138"/>
      <c r="O1116" s="138"/>
      <c r="P1116" s="138"/>
      <c r="Q1116" s="138"/>
      <c r="R1116" s="138"/>
      <c r="S1116" s="138"/>
      <c r="T1116" s="138"/>
      <c r="U1116" s="138"/>
      <c r="V1116" s="138"/>
      <c r="W1116" s="138"/>
      <c r="X1116" s="138"/>
      <c r="Y1116" s="138"/>
      <c r="Z1116" s="138"/>
      <c r="AA1116" s="138"/>
      <c r="AB1116" s="138"/>
      <c r="AC1116" s="138"/>
    </row>
    <row r="1117">
      <c r="A1117" s="161"/>
      <c r="B1117" s="161"/>
      <c r="C1117" s="138"/>
      <c r="D1117" s="160"/>
      <c r="E1117" s="161"/>
      <c r="F1117" s="161"/>
      <c r="G1117" s="161"/>
      <c r="H1117" s="161"/>
      <c r="I1117" s="138"/>
      <c r="J1117" s="138"/>
      <c r="K1117" s="138"/>
      <c r="L1117" s="138"/>
      <c r="M1117" s="138"/>
      <c r="N1117" s="138"/>
      <c r="O1117" s="138"/>
      <c r="P1117" s="138"/>
      <c r="Q1117" s="138"/>
      <c r="R1117" s="138"/>
      <c r="S1117" s="138"/>
      <c r="T1117" s="138"/>
      <c r="U1117" s="138"/>
      <c r="V1117" s="138"/>
      <c r="W1117" s="138"/>
      <c r="X1117" s="138"/>
      <c r="Y1117" s="138"/>
      <c r="Z1117" s="138"/>
      <c r="AA1117" s="138"/>
      <c r="AB1117" s="138"/>
      <c r="AC1117" s="138"/>
    </row>
    <row r="1118">
      <c r="A1118" s="161"/>
      <c r="B1118" s="161"/>
      <c r="C1118" s="138"/>
      <c r="D1118" s="160"/>
      <c r="E1118" s="161"/>
      <c r="F1118" s="161"/>
      <c r="G1118" s="161"/>
      <c r="H1118" s="161"/>
      <c r="I1118" s="138"/>
      <c r="J1118" s="138"/>
      <c r="K1118" s="138"/>
      <c r="L1118" s="138"/>
      <c r="M1118" s="138"/>
      <c r="N1118" s="138"/>
      <c r="O1118" s="138"/>
      <c r="P1118" s="138"/>
      <c r="Q1118" s="138"/>
      <c r="R1118" s="138"/>
      <c r="S1118" s="138"/>
      <c r="T1118" s="138"/>
      <c r="U1118" s="138"/>
      <c r="V1118" s="138"/>
      <c r="W1118" s="138"/>
      <c r="X1118" s="138"/>
      <c r="Y1118" s="138"/>
      <c r="Z1118" s="138"/>
      <c r="AA1118" s="138"/>
      <c r="AB1118" s="138"/>
      <c r="AC1118" s="138"/>
    </row>
    <row r="1119">
      <c r="A1119" s="161"/>
      <c r="B1119" s="161"/>
      <c r="C1119" s="138"/>
      <c r="D1119" s="160"/>
      <c r="E1119" s="161"/>
      <c r="F1119" s="161"/>
      <c r="G1119" s="161"/>
      <c r="H1119" s="161"/>
      <c r="I1119" s="138"/>
      <c r="J1119" s="138"/>
      <c r="K1119" s="138"/>
      <c r="L1119" s="138"/>
      <c r="M1119" s="138"/>
      <c r="N1119" s="138"/>
      <c r="O1119" s="138"/>
      <c r="P1119" s="138"/>
      <c r="Q1119" s="138"/>
      <c r="R1119" s="138"/>
      <c r="S1119" s="138"/>
      <c r="T1119" s="138"/>
      <c r="U1119" s="138"/>
      <c r="V1119" s="138"/>
      <c r="W1119" s="138"/>
      <c r="X1119" s="138"/>
      <c r="Y1119" s="138"/>
      <c r="Z1119" s="138"/>
      <c r="AA1119" s="138"/>
      <c r="AB1119" s="138"/>
      <c r="AC1119" s="138"/>
    </row>
    <row r="1120">
      <c r="A1120" s="161"/>
      <c r="B1120" s="161"/>
      <c r="C1120" s="138"/>
      <c r="D1120" s="160"/>
      <c r="E1120" s="161"/>
      <c r="F1120" s="161"/>
      <c r="G1120" s="161"/>
      <c r="H1120" s="161"/>
      <c r="I1120" s="138"/>
      <c r="J1120" s="138"/>
      <c r="K1120" s="138"/>
      <c r="L1120" s="138"/>
      <c r="M1120" s="138"/>
      <c r="N1120" s="138"/>
      <c r="O1120" s="138"/>
      <c r="P1120" s="138"/>
      <c r="Q1120" s="138"/>
      <c r="R1120" s="138"/>
      <c r="S1120" s="138"/>
      <c r="T1120" s="138"/>
      <c r="U1120" s="138"/>
      <c r="V1120" s="138"/>
      <c r="W1120" s="138"/>
      <c r="X1120" s="138"/>
      <c r="Y1120" s="138"/>
      <c r="Z1120" s="138"/>
      <c r="AA1120" s="138"/>
      <c r="AB1120" s="138"/>
      <c r="AC1120" s="138"/>
    </row>
    <row r="1121">
      <c r="A1121" s="161"/>
      <c r="B1121" s="161"/>
      <c r="C1121" s="138"/>
      <c r="D1121" s="160"/>
      <c r="E1121" s="161"/>
      <c r="F1121" s="161"/>
      <c r="G1121" s="161"/>
      <c r="H1121" s="161"/>
      <c r="I1121" s="138"/>
      <c r="J1121" s="138"/>
      <c r="K1121" s="138"/>
      <c r="L1121" s="138"/>
      <c r="M1121" s="138"/>
      <c r="N1121" s="138"/>
      <c r="O1121" s="138"/>
      <c r="P1121" s="138"/>
      <c r="Q1121" s="138"/>
      <c r="R1121" s="138"/>
      <c r="S1121" s="138"/>
      <c r="T1121" s="138"/>
      <c r="U1121" s="138"/>
      <c r="V1121" s="138"/>
      <c r="W1121" s="138"/>
      <c r="X1121" s="138"/>
      <c r="Y1121" s="138"/>
      <c r="Z1121" s="138"/>
      <c r="AA1121" s="138"/>
      <c r="AB1121" s="138"/>
      <c r="AC1121" s="138"/>
    </row>
    <row r="1122">
      <c r="A1122" s="161"/>
      <c r="B1122" s="161"/>
      <c r="C1122" s="138"/>
      <c r="D1122" s="160"/>
      <c r="E1122" s="161"/>
      <c r="F1122" s="161"/>
      <c r="G1122" s="161"/>
      <c r="H1122" s="161"/>
      <c r="I1122" s="138"/>
      <c r="J1122" s="138"/>
      <c r="K1122" s="138"/>
      <c r="L1122" s="138"/>
      <c r="M1122" s="138"/>
      <c r="N1122" s="138"/>
      <c r="O1122" s="138"/>
      <c r="P1122" s="138"/>
      <c r="Q1122" s="138"/>
      <c r="R1122" s="138"/>
      <c r="S1122" s="138"/>
      <c r="T1122" s="138"/>
      <c r="U1122" s="138"/>
      <c r="V1122" s="138"/>
      <c r="W1122" s="138"/>
      <c r="X1122" s="138"/>
      <c r="Y1122" s="138"/>
      <c r="Z1122" s="138"/>
      <c r="AA1122" s="138"/>
      <c r="AB1122" s="138"/>
      <c r="AC1122" s="138"/>
    </row>
    <row r="1123">
      <c r="A1123" s="161"/>
      <c r="B1123" s="161"/>
      <c r="C1123" s="138"/>
      <c r="D1123" s="160"/>
      <c r="E1123" s="161"/>
      <c r="F1123" s="161"/>
      <c r="G1123" s="161"/>
      <c r="H1123" s="161"/>
      <c r="I1123" s="138"/>
      <c r="J1123" s="138"/>
      <c r="K1123" s="138"/>
      <c r="L1123" s="138"/>
      <c r="M1123" s="138"/>
      <c r="N1123" s="138"/>
      <c r="O1123" s="138"/>
      <c r="P1123" s="138"/>
      <c r="Q1123" s="138"/>
      <c r="R1123" s="138"/>
      <c r="S1123" s="138"/>
      <c r="T1123" s="138"/>
      <c r="U1123" s="138"/>
      <c r="V1123" s="138"/>
      <c r="W1123" s="138"/>
      <c r="X1123" s="138"/>
      <c r="Y1123" s="138"/>
      <c r="Z1123" s="138"/>
      <c r="AA1123" s="138"/>
      <c r="AB1123" s="138"/>
      <c r="AC1123" s="138"/>
    </row>
    <row r="1124">
      <c r="A1124" s="161"/>
      <c r="B1124" s="161"/>
      <c r="C1124" s="138"/>
      <c r="D1124" s="160"/>
      <c r="E1124" s="161"/>
      <c r="F1124" s="161"/>
      <c r="G1124" s="161"/>
      <c r="H1124" s="161"/>
      <c r="I1124" s="138"/>
      <c r="J1124" s="138"/>
      <c r="K1124" s="138"/>
      <c r="L1124" s="138"/>
      <c r="M1124" s="138"/>
      <c r="N1124" s="138"/>
      <c r="O1124" s="138"/>
      <c r="P1124" s="138"/>
      <c r="Q1124" s="138"/>
      <c r="R1124" s="138"/>
      <c r="S1124" s="138"/>
      <c r="T1124" s="138"/>
      <c r="U1124" s="138"/>
      <c r="V1124" s="138"/>
      <c r="W1124" s="138"/>
      <c r="X1124" s="138"/>
      <c r="Y1124" s="138"/>
      <c r="Z1124" s="138"/>
      <c r="AA1124" s="138"/>
      <c r="AB1124" s="138"/>
      <c r="AC1124" s="138"/>
    </row>
    <row r="1125">
      <c r="A1125" s="161"/>
      <c r="B1125" s="161"/>
      <c r="C1125" s="138"/>
      <c r="D1125" s="160"/>
      <c r="E1125" s="161"/>
      <c r="F1125" s="161"/>
      <c r="G1125" s="161"/>
      <c r="H1125" s="161"/>
      <c r="I1125" s="138"/>
      <c r="J1125" s="138"/>
      <c r="K1125" s="138"/>
      <c r="L1125" s="138"/>
      <c r="M1125" s="138"/>
      <c r="N1125" s="138"/>
      <c r="O1125" s="138"/>
      <c r="P1125" s="138"/>
      <c r="Q1125" s="138"/>
      <c r="R1125" s="138"/>
      <c r="S1125" s="138"/>
      <c r="T1125" s="138"/>
      <c r="U1125" s="138"/>
      <c r="V1125" s="138"/>
      <c r="W1125" s="138"/>
      <c r="X1125" s="138"/>
      <c r="Y1125" s="138"/>
      <c r="Z1125" s="138"/>
      <c r="AA1125" s="138"/>
      <c r="AB1125" s="138"/>
      <c r="AC1125" s="138"/>
    </row>
    <row r="1126">
      <c r="A1126" s="161"/>
      <c r="B1126" s="161"/>
      <c r="C1126" s="138"/>
      <c r="D1126" s="160"/>
      <c r="E1126" s="161"/>
      <c r="F1126" s="161"/>
      <c r="G1126" s="161"/>
      <c r="H1126" s="161"/>
      <c r="I1126" s="138"/>
      <c r="J1126" s="138"/>
      <c r="K1126" s="138"/>
      <c r="L1126" s="138"/>
      <c r="M1126" s="138"/>
      <c r="N1126" s="138"/>
      <c r="O1126" s="138"/>
      <c r="P1126" s="138"/>
      <c r="Q1126" s="138"/>
      <c r="R1126" s="138"/>
      <c r="S1126" s="138"/>
      <c r="T1126" s="138"/>
      <c r="U1126" s="138"/>
      <c r="V1126" s="138"/>
      <c r="W1126" s="138"/>
      <c r="X1126" s="138"/>
      <c r="Y1126" s="138"/>
      <c r="Z1126" s="138"/>
      <c r="AA1126" s="138"/>
      <c r="AB1126" s="138"/>
      <c r="AC1126" s="138"/>
    </row>
    <row r="1127">
      <c r="A1127" s="161"/>
      <c r="B1127" s="161"/>
      <c r="C1127" s="138"/>
      <c r="D1127" s="160"/>
      <c r="E1127" s="161"/>
      <c r="F1127" s="161"/>
      <c r="G1127" s="161"/>
      <c r="H1127" s="161"/>
      <c r="I1127" s="138"/>
      <c r="J1127" s="138"/>
      <c r="K1127" s="138"/>
      <c r="L1127" s="138"/>
      <c r="M1127" s="138"/>
      <c r="N1127" s="138"/>
      <c r="O1127" s="138"/>
      <c r="P1127" s="138"/>
      <c r="Q1127" s="138"/>
      <c r="R1127" s="138"/>
      <c r="S1127" s="138"/>
      <c r="T1127" s="138"/>
      <c r="U1127" s="138"/>
      <c r="V1127" s="138"/>
      <c r="W1127" s="138"/>
      <c r="X1127" s="138"/>
      <c r="Y1127" s="138"/>
      <c r="Z1127" s="138"/>
      <c r="AA1127" s="138"/>
      <c r="AB1127" s="138"/>
      <c r="AC1127" s="138"/>
    </row>
    <row r="1128">
      <c r="A1128" s="161"/>
      <c r="B1128" s="161"/>
      <c r="C1128" s="138"/>
      <c r="D1128" s="160"/>
      <c r="E1128" s="161"/>
      <c r="F1128" s="161"/>
      <c r="G1128" s="161"/>
      <c r="H1128" s="161"/>
      <c r="I1128" s="138"/>
      <c r="J1128" s="138"/>
      <c r="K1128" s="138"/>
      <c r="L1128" s="138"/>
      <c r="M1128" s="138"/>
      <c r="N1128" s="138"/>
      <c r="O1128" s="138"/>
      <c r="P1128" s="138"/>
      <c r="Q1128" s="138"/>
      <c r="R1128" s="138"/>
      <c r="S1128" s="138"/>
      <c r="T1128" s="138"/>
      <c r="U1128" s="138"/>
      <c r="V1128" s="138"/>
      <c r="W1128" s="138"/>
      <c r="X1128" s="138"/>
      <c r="Y1128" s="138"/>
      <c r="Z1128" s="138"/>
      <c r="AA1128" s="138"/>
      <c r="AB1128" s="138"/>
      <c r="AC1128" s="138"/>
    </row>
    <row r="1129">
      <c r="A1129" s="161"/>
      <c r="B1129" s="161"/>
      <c r="C1129" s="138"/>
      <c r="D1129" s="160"/>
      <c r="E1129" s="161"/>
      <c r="F1129" s="161"/>
      <c r="G1129" s="161"/>
      <c r="H1129" s="161"/>
      <c r="I1129" s="138"/>
      <c r="J1129" s="138"/>
      <c r="K1129" s="138"/>
      <c r="L1129" s="138"/>
      <c r="M1129" s="138"/>
      <c r="N1129" s="138"/>
      <c r="O1129" s="138"/>
      <c r="P1129" s="138"/>
      <c r="Q1129" s="138"/>
      <c r="R1129" s="138"/>
      <c r="S1129" s="138"/>
      <c r="T1129" s="138"/>
      <c r="U1129" s="138"/>
      <c r="V1129" s="138"/>
      <c r="W1129" s="138"/>
      <c r="X1129" s="138"/>
      <c r="Y1129" s="138"/>
      <c r="Z1129" s="138"/>
      <c r="AA1129" s="138"/>
      <c r="AB1129" s="138"/>
      <c r="AC1129" s="138"/>
    </row>
    <row r="1130">
      <c r="A1130" s="161"/>
      <c r="B1130" s="161"/>
      <c r="C1130" s="138"/>
      <c r="D1130" s="160"/>
      <c r="E1130" s="161"/>
      <c r="F1130" s="161"/>
      <c r="G1130" s="161"/>
      <c r="H1130" s="161"/>
      <c r="I1130" s="138"/>
      <c r="J1130" s="138"/>
      <c r="K1130" s="138"/>
      <c r="L1130" s="138"/>
      <c r="M1130" s="138"/>
      <c r="N1130" s="138"/>
      <c r="O1130" s="138"/>
      <c r="P1130" s="138"/>
      <c r="Q1130" s="138"/>
      <c r="R1130" s="138"/>
      <c r="S1130" s="138"/>
      <c r="T1130" s="138"/>
      <c r="U1130" s="138"/>
      <c r="V1130" s="138"/>
      <c r="W1130" s="138"/>
      <c r="X1130" s="138"/>
      <c r="Y1130" s="138"/>
      <c r="Z1130" s="138"/>
      <c r="AA1130" s="138"/>
      <c r="AB1130" s="138"/>
      <c r="AC1130" s="138"/>
    </row>
    <row r="1131">
      <c r="A1131" s="161"/>
      <c r="B1131" s="161"/>
      <c r="C1131" s="138"/>
      <c r="D1131" s="160"/>
      <c r="E1131" s="161"/>
      <c r="F1131" s="161"/>
      <c r="G1131" s="161"/>
      <c r="H1131" s="161"/>
      <c r="I1131" s="138"/>
      <c r="J1131" s="138"/>
      <c r="K1131" s="138"/>
      <c r="L1131" s="138"/>
      <c r="M1131" s="138"/>
      <c r="N1131" s="138"/>
      <c r="O1131" s="138"/>
      <c r="P1131" s="138"/>
      <c r="Q1131" s="138"/>
      <c r="R1131" s="138"/>
      <c r="S1131" s="138"/>
      <c r="T1131" s="138"/>
      <c r="U1131" s="138"/>
      <c r="V1131" s="138"/>
      <c r="W1131" s="138"/>
      <c r="X1131" s="138"/>
      <c r="Y1131" s="138"/>
      <c r="Z1131" s="138"/>
      <c r="AA1131" s="138"/>
      <c r="AB1131" s="138"/>
      <c r="AC1131" s="138"/>
    </row>
    <row r="1132">
      <c r="A1132" s="161"/>
      <c r="B1132" s="161"/>
      <c r="C1132" s="138"/>
      <c r="D1132" s="160"/>
      <c r="E1132" s="161"/>
      <c r="F1132" s="161"/>
      <c r="G1132" s="161"/>
      <c r="H1132" s="161"/>
      <c r="I1132" s="138"/>
      <c r="J1132" s="138"/>
      <c r="K1132" s="138"/>
      <c r="L1132" s="138"/>
      <c r="M1132" s="138"/>
      <c r="N1132" s="138"/>
      <c r="O1132" s="138"/>
      <c r="P1132" s="138"/>
      <c r="Q1132" s="138"/>
      <c r="R1132" s="138"/>
      <c r="S1132" s="138"/>
      <c r="T1132" s="138"/>
      <c r="U1132" s="138"/>
      <c r="V1132" s="138"/>
      <c r="W1132" s="138"/>
      <c r="X1132" s="138"/>
      <c r="Y1132" s="138"/>
      <c r="Z1132" s="138"/>
      <c r="AA1132" s="138"/>
      <c r="AB1132" s="138"/>
      <c r="AC1132" s="138"/>
    </row>
    <row r="1133">
      <c r="A1133" s="161"/>
      <c r="B1133" s="161"/>
      <c r="C1133" s="138"/>
      <c r="D1133" s="160"/>
      <c r="E1133" s="161"/>
      <c r="F1133" s="161"/>
      <c r="G1133" s="161"/>
      <c r="H1133" s="161"/>
      <c r="I1133" s="138"/>
      <c r="J1133" s="138"/>
      <c r="K1133" s="138"/>
      <c r="L1133" s="138"/>
      <c r="M1133" s="138"/>
      <c r="N1133" s="138"/>
      <c r="O1133" s="138"/>
      <c r="P1133" s="138"/>
      <c r="Q1133" s="138"/>
      <c r="R1133" s="138"/>
      <c r="S1133" s="138"/>
      <c r="T1133" s="138"/>
      <c r="U1133" s="138"/>
      <c r="V1133" s="138"/>
      <c r="W1133" s="138"/>
      <c r="X1133" s="138"/>
      <c r="Y1133" s="138"/>
      <c r="Z1133" s="138"/>
      <c r="AA1133" s="138"/>
      <c r="AB1133" s="138"/>
      <c r="AC1133" s="138"/>
    </row>
    <row r="1134">
      <c r="A1134" s="161"/>
      <c r="B1134" s="161"/>
      <c r="C1134" s="138"/>
      <c r="D1134" s="160"/>
      <c r="E1134" s="161"/>
      <c r="F1134" s="161"/>
      <c r="G1134" s="161"/>
      <c r="H1134" s="161"/>
      <c r="I1134" s="138"/>
      <c r="J1134" s="138"/>
      <c r="K1134" s="138"/>
      <c r="L1134" s="138"/>
      <c r="M1134" s="138"/>
      <c r="N1134" s="138"/>
      <c r="O1134" s="138"/>
      <c r="P1134" s="138"/>
      <c r="Q1134" s="138"/>
      <c r="R1134" s="138"/>
      <c r="S1134" s="138"/>
      <c r="T1134" s="138"/>
      <c r="U1134" s="138"/>
      <c r="V1134" s="138"/>
      <c r="W1134" s="138"/>
      <c r="X1134" s="138"/>
      <c r="Y1134" s="138"/>
      <c r="Z1134" s="138"/>
      <c r="AA1134" s="138"/>
      <c r="AB1134" s="138"/>
      <c r="AC1134" s="138"/>
    </row>
    <row r="1135">
      <c r="A1135" s="161"/>
      <c r="B1135" s="161"/>
      <c r="C1135" s="138"/>
      <c r="D1135" s="160"/>
      <c r="E1135" s="161"/>
      <c r="F1135" s="161"/>
      <c r="G1135" s="161"/>
      <c r="H1135" s="161"/>
      <c r="I1135" s="138"/>
      <c r="J1135" s="138"/>
      <c r="K1135" s="138"/>
      <c r="L1135" s="138"/>
      <c r="M1135" s="138"/>
      <c r="N1135" s="138"/>
      <c r="O1135" s="138"/>
      <c r="P1135" s="138"/>
      <c r="Q1135" s="138"/>
      <c r="R1135" s="138"/>
      <c r="S1135" s="138"/>
      <c r="T1135" s="138"/>
      <c r="U1135" s="138"/>
      <c r="V1135" s="138"/>
      <c r="W1135" s="138"/>
      <c r="X1135" s="138"/>
      <c r="Y1135" s="138"/>
      <c r="Z1135" s="138"/>
      <c r="AA1135" s="138"/>
      <c r="AB1135" s="138"/>
      <c r="AC1135" s="138"/>
    </row>
    <row r="1136">
      <c r="A1136" s="161"/>
      <c r="B1136" s="161"/>
      <c r="C1136" s="138"/>
      <c r="D1136" s="160"/>
      <c r="E1136" s="161"/>
      <c r="F1136" s="161"/>
      <c r="G1136" s="161"/>
      <c r="H1136" s="161"/>
      <c r="I1136" s="138"/>
      <c r="J1136" s="138"/>
      <c r="K1136" s="138"/>
      <c r="L1136" s="138"/>
      <c r="M1136" s="138"/>
      <c r="N1136" s="138"/>
      <c r="O1136" s="138"/>
      <c r="P1136" s="138"/>
      <c r="Q1136" s="138"/>
      <c r="R1136" s="138"/>
      <c r="S1136" s="138"/>
      <c r="T1136" s="138"/>
      <c r="U1136" s="138"/>
      <c r="V1136" s="138"/>
      <c r="W1136" s="138"/>
      <c r="X1136" s="138"/>
      <c r="Y1136" s="138"/>
      <c r="Z1136" s="138"/>
      <c r="AA1136" s="138"/>
      <c r="AB1136" s="138"/>
      <c r="AC1136" s="138"/>
    </row>
    <row r="1137">
      <c r="A1137" s="161"/>
      <c r="B1137" s="161"/>
      <c r="C1137" s="138"/>
      <c r="D1137" s="160"/>
      <c r="E1137" s="161"/>
      <c r="F1137" s="161"/>
      <c r="G1137" s="161"/>
      <c r="H1137" s="161"/>
      <c r="I1137" s="138"/>
      <c r="J1137" s="138"/>
      <c r="K1137" s="138"/>
      <c r="L1137" s="138"/>
      <c r="M1137" s="138"/>
      <c r="N1137" s="138"/>
      <c r="O1137" s="138"/>
      <c r="P1137" s="138"/>
      <c r="Q1137" s="138"/>
      <c r="R1137" s="138"/>
      <c r="S1137" s="138"/>
      <c r="T1137" s="138"/>
      <c r="U1137" s="138"/>
      <c r="V1137" s="138"/>
      <c r="W1137" s="138"/>
      <c r="X1137" s="138"/>
      <c r="Y1137" s="138"/>
      <c r="Z1137" s="138"/>
      <c r="AA1137" s="138"/>
      <c r="AB1137" s="138"/>
      <c r="AC1137" s="138"/>
    </row>
    <row r="1138">
      <c r="A1138" s="161"/>
      <c r="B1138" s="161"/>
      <c r="C1138" s="138"/>
      <c r="D1138" s="160"/>
      <c r="E1138" s="161"/>
      <c r="F1138" s="161"/>
      <c r="G1138" s="161"/>
      <c r="H1138" s="161"/>
      <c r="I1138" s="138"/>
      <c r="J1138" s="138"/>
      <c r="K1138" s="138"/>
      <c r="L1138" s="138"/>
      <c r="M1138" s="138"/>
      <c r="N1138" s="138"/>
      <c r="O1138" s="138"/>
      <c r="P1138" s="138"/>
      <c r="Q1138" s="138"/>
      <c r="R1138" s="138"/>
      <c r="S1138" s="138"/>
      <c r="T1138" s="138"/>
      <c r="U1138" s="138"/>
      <c r="V1138" s="138"/>
      <c r="W1138" s="138"/>
      <c r="X1138" s="138"/>
      <c r="Y1138" s="138"/>
      <c r="Z1138" s="138"/>
      <c r="AA1138" s="138"/>
      <c r="AB1138" s="138"/>
      <c r="AC1138" s="138"/>
    </row>
    <row r="1139">
      <c r="A1139" s="161"/>
      <c r="B1139" s="161"/>
      <c r="C1139" s="138"/>
      <c r="D1139" s="160"/>
      <c r="E1139" s="161"/>
      <c r="F1139" s="161"/>
      <c r="G1139" s="161"/>
      <c r="H1139" s="161"/>
      <c r="I1139" s="138"/>
      <c r="J1139" s="138"/>
      <c r="K1139" s="138"/>
      <c r="L1139" s="138"/>
      <c r="M1139" s="138"/>
      <c r="N1139" s="138"/>
      <c r="O1139" s="138"/>
      <c r="P1139" s="138"/>
      <c r="Q1139" s="138"/>
      <c r="R1139" s="138"/>
      <c r="S1139" s="138"/>
      <c r="T1139" s="138"/>
      <c r="U1139" s="138"/>
      <c r="V1139" s="138"/>
      <c r="W1139" s="138"/>
      <c r="X1139" s="138"/>
      <c r="Y1139" s="138"/>
      <c r="Z1139" s="138"/>
      <c r="AA1139" s="138"/>
      <c r="AB1139" s="138"/>
      <c r="AC1139" s="138"/>
    </row>
    <row r="1140">
      <c r="A1140" s="161"/>
      <c r="B1140" s="161"/>
      <c r="C1140" s="138"/>
      <c r="D1140" s="160"/>
      <c r="E1140" s="161"/>
      <c r="F1140" s="161"/>
      <c r="G1140" s="161"/>
      <c r="H1140" s="161"/>
      <c r="I1140" s="138"/>
      <c r="J1140" s="138"/>
      <c r="K1140" s="138"/>
      <c r="L1140" s="138"/>
      <c r="M1140" s="138"/>
      <c r="N1140" s="138"/>
      <c r="O1140" s="138"/>
      <c r="P1140" s="138"/>
      <c r="Q1140" s="138"/>
      <c r="R1140" s="138"/>
      <c r="S1140" s="138"/>
      <c r="T1140" s="138"/>
      <c r="U1140" s="138"/>
      <c r="V1140" s="138"/>
      <c r="W1140" s="138"/>
      <c r="X1140" s="138"/>
      <c r="Y1140" s="138"/>
      <c r="Z1140" s="138"/>
      <c r="AA1140" s="138"/>
      <c r="AB1140" s="138"/>
      <c r="AC1140" s="138"/>
    </row>
    <row r="1141">
      <c r="A1141" s="161"/>
      <c r="B1141" s="161"/>
      <c r="C1141" s="138"/>
      <c r="D1141" s="160"/>
      <c r="E1141" s="161"/>
      <c r="F1141" s="161"/>
      <c r="G1141" s="161"/>
      <c r="H1141" s="161"/>
      <c r="I1141" s="138"/>
      <c r="J1141" s="138"/>
      <c r="K1141" s="138"/>
      <c r="L1141" s="138"/>
      <c r="M1141" s="138"/>
      <c r="N1141" s="138"/>
      <c r="O1141" s="138"/>
      <c r="P1141" s="138"/>
      <c r="Q1141" s="138"/>
      <c r="R1141" s="138"/>
      <c r="S1141" s="138"/>
      <c r="T1141" s="138"/>
      <c r="U1141" s="138"/>
      <c r="V1141" s="138"/>
      <c r="W1141" s="138"/>
      <c r="X1141" s="138"/>
      <c r="Y1141" s="138"/>
      <c r="Z1141" s="138"/>
      <c r="AA1141" s="138"/>
      <c r="AB1141" s="138"/>
      <c r="AC1141" s="138"/>
    </row>
    <row r="1142">
      <c r="A1142" s="161"/>
      <c r="B1142" s="161"/>
      <c r="C1142" s="138"/>
      <c r="D1142" s="160"/>
      <c r="E1142" s="161"/>
      <c r="F1142" s="161"/>
      <c r="G1142" s="161"/>
      <c r="H1142" s="161"/>
      <c r="I1142" s="138"/>
      <c r="J1142" s="138"/>
      <c r="K1142" s="138"/>
      <c r="L1142" s="138"/>
      <c r="M1142" s="138"/>
      <c r="N1142" s="138"/>
      <c r="O1142" s="138"/>
      <c r="P1142" s="138"/>
      <c r="Q1142" s="138"/>
      <c r="R1142" s="138"/>
      <c r="S1142" s="138"/>
      <c r="T1142" s="138"/>
      <c r="U1142" s="138"/>
      <c r="V1142" s="138"/>
      <c r="W1142" s="138"/>
      <c r="X1142" s="138"/>
      <c r="Y1142" s="138"/>
      <c r="Z1142" s="138"/>
      <c r="AA1142" s="138"/>
      <c r="AB1142" s="138"/>
      <c r="AC1142" s="138"/>
    </row>
    <row r="1143">
      <c r="A1143" s="161"/>
      <c r="B1143" s="161"/>
      <c r="C1143" s="138"/>
      <c r="D1143" s="160"/>
      <c r="E1143" s="161"/>
      <c r="F1143" s="161"/>
      <c r="G1143" s="161"/>
      <c r="H1143" s="161"/>
      <c r="I1143" s="138"/>
      <c r="J1143" s="138"/>
      <c r="K1143" s="138"/>
      <c r="L1143" s="138"/>
      <c r="M1143" s="138"/>
      <c r="N1143" s="138"/>
      <c r="O1143" s="138"/>
      <c r="P1143" s="138"/>
      <c r="Q1143" s="138"/>
      <c r="R1143" s="138"/>
      <c r="S1143" s="138"/>
      <c r="T1143" s="138"/>
      <c r="U1143" s="138"/>
      <c r="V1143" s="138"/>
      <c r="W1143" s="138"/>
      <c r="X1143" s="138"/>
      <c r="Y1143" s="138"/>
      <c r="Z1143" s="138"/>
      <c r="AA1143" s="138"/>
      <c r="AB1143" s="138"/>
      <c r="AC1143" s="138"/>
    </row>
    <row r="1144">
      <c r="A1144" s="161"/>
      <c r="B1144" s="161"/>
      <c r="C1144" s="138"/>
      <c r="D1144" s="160"/>
      <c r="E1144" s="161"/>
      <c r="F1144" s="161"/>
      <c r="G1144" s="161"/>
      <c r="H1144" s="161"/>
      <c r="I1144" s="138"/>
      <c r="J1144" s="138"/>
      <c r="K1144" s="138"/>
      <c r="L1144" s="138"/>
      <c r="M1144" s="138"/>
      <c r="N1144" s="138"/>
      <c r="O1144" s="138"/>
      <c r="P1144" s="138"/>
      <c r="Q1144" s="138"/>
      <c r="R1144" s="138"/>
      <c r="S1144" s="138"/>
      <c r="T1144" s="138"/>
      <c r="U1144" s="138"/>
      <c r="V1144" s="138"/>
      <c r="W1144" s="138"/>
      <c r="X1144" s="138"/>
      <c r="Y1144" s="138"/>
      <c r="Z1144" s="138"/>
      <c r="AA1144" s="138"/>
      <c r="AB1144" s="138"/>
      <c r="AC1144" s="138"/>
    </row>
    <row r="1145">
      <c r="A1145" s="161"/>
      <c r="B1145" s="161"/>
      <c r="C1145" s="138"/>
      <c r="D1145" s="160"/>
      <c r="E1145" s="161"/>
      <c r="F1145" s="161"/>
      <c r="G1145" s="161"/>
      <c r="H1145" s="161"/>
      <c r="I1145" s="138"/>
      <c r="J1145" s="138"/>
      <c r="K1145" s="138"/>
      <c r="L1145" s="138"/>
      <c r="M1145" s="138"/>
      <c r="N1145" s="138"/>
      <c r="O1145" s="138"/>
      <c r="P1145" s="138"/>
      <c r="Q1145" s="138"/>
      <c r="R1145" s="138"/>
      <c r="S1145" s="138"/>
      <c r="T1145" s="138"/>
      <c r="U1145" s="138"/>
      <c r="V1145" s="138"/>
      <c r="W1145" s="138"/>
      <c r="X1145" s="138"/>
      <c r="Y1145" s="138"/>
      <c r="Z1145" s="138"/>
      <c r="AA1145" s="138"/>
      <c r="AB1145" s="138"/>
      <c r="AC1145" s="138"/>
    </row>
    <row r="1146">
      <c r="A1146" s="161"/>
      <c r="B1146" s="161"/>
      <c r="C1146" s="138"/>
      <c r="D1146" s="160"/>
      <c r="E1146" s="161"/>
      <c r="F1146" s="161"/>
      <c r="G1146" s="161"/>
      <c r="H1146" s="161"/>
      <c r="I1146" s="138"/>
      <c r="J1146" s="138"/>
      <c r="K1146" s="138"/>
      <c r="L1146" s="138"/>
      <c r="M1146" s="138"/>
      <c r="N1146" s="138"/>
      <c r="O1146" s="138"/>
      <c r="P1146" s="138"/>
      <c r="Q1146" s="138"/>
      <c r="R1146" s="138"/>
      <c r="S1146" s="138"/>
      <c r="T1146" s="138"/>
      <c r="U1146" s="138"/>
      <c r="V1146" s="138"/>
      <c r="W1146" s="138"/>
      <c r="X1146" s="138"/>
      <c r="Y1146" s="138"/>
      <c r="Z1146" s="138"/>
      <c r="AA1146" s="138"/>
      <c r="AB1146" s="138"/>
      <c r="AC1146" s="138"/>
    </row>
    <row r="1147">
      <c r="A1147" s="161"/>
      <c r="B1147" s="161"/>
      <c r="C1147" s="138"/>
      <c r="D1147" s="160"/>
      <c r="E1147" s="161"/>
      <c r="F1147" s="161"/>
      <c r="G1147" s="161"/>
      <c r="H1147" s="161"/>
      <c r="I1147" s="138"/>
      <c r="J1147" s="138"/>
      <c r="K1147" s="138"/>
      <c r="L1147" s="138"/>
      <c r="M1147" s="138"/>
      <c r="N1147" s="138"/>
      <c r="O1147" s="138"/>
      <c r="P1147" s="138"/>
      <c r="Q1147" s="138"/>
      <c r="R1147" s="138"/>
      <c r="S1147" s="138"/>
      <c r="T1147" s="138"/>
      <c r="U1147" s="138"/>
      <c r="V1147" s="138"/>
      <c r="W1147" s="138"/>
      <c r="X1147" s="138"/>
      <c r="Y1147" s="138"/>
      <c r="Z1147" s="138"/>
      <c r="AA1147" s="138"/>
      <c r="AB1147" s="138"/>
      <c r="AC1147" s="138"/>
    </row>
    <row r="1148">
      <c r="A1148" s="161"/>
      <c r="B1148" s="161"/>
      <c r="C1148" s="138"/>
      <c r="D1148" s="160"/>
      <c r="E1148" s="161"/>
      <c r="F1148" s="161"/>
      <c r="G1148" s="161"/>
      <c r="H1148" s="161"/>
      <c r="I1148" s="138"/>
      <c r="J1148" s="138"/>
      <c r="K1148" s="138"/>
      <c r="L1148" s="138"/>
      <c r="M1148" s="138"/>
      <c r="N1148" s="138"/>
      <c r="O1148" s="138"/>
      <c r="P1148" s="138"/>
      <c r="Q1148" s="138"/>
      <c r="R1148" s="138"/>
      <c r="S1148" s="138"/>
      <c r="T1148" s="138"/>
      <c r="U1148" s="138"/>
      <c r="V1148" s="138"/>
      <c r="W1148" s="138"/>
      <c r="X1148" s="138"/>
      <c r="Y1148" s="138"/>
      <c r="Z1148" s="138"/>
      <c r="AA1148" s="138"/>
      <c r="AB1148" s="138"/>
      <c r="AC1148" s="138"/>
    </row>
    <row r="1149">
      <c r="A1149" s="161"/>
      <c r="B1149" s="161"/>
      <c r="C1149" s="138"/>
      <c r="D1149" s="160"/>
      <c r="E1149" s="161"/>
      <c r="F1149" s="161"/>
      <c r="G1149" s="161"/>
      <c r="H1149" s="161"/>
      <c r="I1149" s="138"/>
      <c r="J1149" s="138"/>
      <c r="K1149" s="138"/>
      <c r="L1149" s="138"/>
      <c r="M1149" s="138"/>
      <c r="N1149" s="138"/>
      <c r="O1149" s="138"/>
      <c r="P1149" s="138"/>
      <c r="Q1149" s="138"/>
      <c r="R1149" s="138"/>
      <c r="S1149" s="138"/>
      <c r="T1149" s="138"/>
      <c r="U1149" s="138"/>
      <c r="V1149" s="138"/>
      <c r="W1149" s="138"/>
      <c r="X1149" s="138"/>
      <c r="Y1149" s="138"/>
      <c r="Z1149" s="138"/>
      <c r="AA1149" s="138"/>
      <c r="AB1149" s="138"/>
      <c r="AC1149" s="138"/>
    </row>
    <row r="1150">
      <c r="A1150" s="161"/>
      <c r="B1150" s="161"/>
      <c r="C1150" s="138"/>
      <c r="D1150" s="160"/>
      <c r="E1150" s="161"/>
      <c r="F1150" s="161"/>
      <c r="G1150" s="161"/>
      <c r="H1150" s="161"/>
      <c r="I1150" s="138"/>
      <c r="J1150" s="138"/>
      <c r="K1150" s="138"/>
      <c r="L1150" s="138"/>
      <c r="M1150" s="138"/>
      <c r="N1150" s="138"/>
      <c r="O1150" s="138"/>
      <c r="P1150" s="138"/>
      <c r="Q1150" s="138"/>
      <c r="R1150" s="138"/>
      <c r="S1150" s="138"/>
      <c r="T1150" s="138"/>
      <c r="U1150" s="138"/>
      <c r="V1150" s="138"/>
      <c r="W1150" s="138"/>
      <c r="X1150" s="138"/>
      <c r="Y1150" s="138"/>
      <c r="Z1150" s="138"/>
      <c r="AA1150" s="138"/>
      <c r="AB1150" s="138"/>
      <c r="AC1150" s="138"/>
    </row>
    <row r="1151">
      <c r="A1151" s="161"/>
      <c r="B1151" s="161"/>
      <c r="C1151" s="138"/>
      <c r="D1151" s="160"/>
      <c r="E1151" s="161"/>
      <c r="F1151" s="161"/>
      <c r="G1151" s="161"/>
      <c r="H1151" s="161"/>
      <c r="I1151" s="138"/>
      <c r="J1151" s="138"/>
      <c r="K1151" s="138"/>
      <c r="L1151" s="138"/>
      <c r="M1151" s="138"/>
      <c r="N1151" s="138"/>
      <c r="O1151" s="138"/>
      <c r="P1151" s="138"/>
      <c r="Q1151" s="138"/>
      <c r="R1151" s="138"/>
      <c r="S1151" s="138"/>
      <c r="T1151" s="138"/>
      <c r="U1151" s="138"/>
      <c r="V1151" s="138"/>
      <c r="W1151" s="138"/>
      <c r="X1151" s="138"/>
      <c r="Y1151" s="138"/>
      <c r="Z1151" s="138"/>
      <c r="AA1151" s="138"/>
      <c r="AB1151" s="138"/>
      <c r="AC1151" s="138"/>
    </row>
    <row r="1152">
      <c r="A1152" s="161"/>
      <c r="B1152" s="161"/>
      <c r="C1152" s="138"/>
      <c r="D1152" s="160"/>
      <c r="E1152" s="161"/>
      <c r="F1152" s="161"/>
      <c r="G1152" s="161"/>
      <c r="H1152" s="161"/>
      <c r="I1152" s="138"/>
      <c r="J1152" s="138"/>
      <c r="K1152" s="138"/>
      <c r="L1152" s="138"/>
      <c r="M1152" s="138"/>
      <c r="N1152" s="138"/>
      <c r="O1152" s="138"/>
      <c r="P1152" s="138"/>
      <c r="Q1152" s="138"/>
      <c r="R1152" s="138"/>
      <c r="S1152" s="138"/>
      <c r="T1152" s="138"/>
      <c r="U1152" s="138"/>
      <c r="V1152" s="138"/>
      <c r="W1152" s="138"/>
      <c r="X1152" s="138"/>
      <c r="Y1152" s="138"/>
      <c r="Z1152" s="138"/>
      <c r="AA1152" s="138"/>
      <c r="AB1152" s="138"/>
      <c r="AC1152" s="138"/>
    </row>
    <row r="1153">
      <c r="A1153" s="161"/>
      <c r="B1153" s="161"/>
      <c r="C1153" s="138"/>
      <c r="D1153" s="160"/>
      <c r="E1153" s="161"/>
      <c r="F1153" s="161"/>
      <c r="G1153" s="161"/>
      <c r="H1153" s="161"/>
      <c r="I1153" s="138"/>
      <c r="J1153" s="138"/>
      <c r="K1153" s="138"/>
      <c r="L1153" s="138"/>
      <c r="M1153" s="138"/>
      <c r="N1153" s="138"/>
      <c r="O1153" s="138"/>
      <c r="P1153" s="138"/>
      <c r="Q1153" s="138"/>
      <c r="R1153" s="138"/>
      <c r="S1153" s="138"/>
      <c r="T1153" s="138"/>
      <c r="U1153" s="138"/>
      <c r="V1153" s="138"/>
      <c r="W1153" s="138"/>
      <c r="X1153" s="138"/>
      <c r="Y1153" s="138"/>
      <c r="Z1153" s="138"/>
      <c r="AA1153" s="138"/>
      <c r="AB1153" s="138"/>
      <c r="AC1153" s="138"/>
    </row>
    <row r="1154">
      <c r="A1154" s="161"/>
      <c r="B1154" s="161"/>
      <c r="C1154" s="138"/>
      <c r="D1154" s="160"/>
      <c r="E1154" s="161"/>
      <c r="F1154" s="161"/>
      <c r="G1154" s="161"/>
      <c r="H1154" s="161"/>
      <c r="I1154" s="138"/>
      <c r="J1154" s="138"/>
      <c r="K1154" s="138"/>
      <c r="L1154" s="138"/>
      <c r="M1154" s="138"/>
      <c r="N1154" s="138"/>
      <c r="O1154" s="138"/>
      <c r="P1154" s="138"/>
      <c r="Q1154" s="138"/>
      <c r="R1154" s="138"/>
      <c r="S1154" s="138"/>
      <c r="T1154" s="138"/>
      <c r="U1154" s="138"/>
      <c r="V1154" s="138"/>
      <c r="W1154" s="138"/>
      <c r="X1154" s="138"/>
      <c r="Y1154" s="138"/>
      <c r="Z1154" s="138"/>
      <c r="AA1154" s="138"/>
      <c r="AB1154" s="138"/>
      <c r="AC1154" s="138"/>
    </row>
    <row r="1155">
      <c r="A1155" s="161"/>
      <c r="B1155" s="161"/>
      <c r="C1155" s="138"/>
      <c r="D1155" s="160"/>
      <c r="E1155" s="161"/>
      <c r="F1155" s="161"/>
      <c r="G1155" s="161"/>
      <c r="H1155" s="161"/>
      <c r="I1155" s="138"/>
      <c r="J1155" s="138"/>
      <c r="K1155" s="138"/>
      <c r="L1155" s="138"/>
      <c r="M1155" s="138"/>
      <c r="N1155" s="138"/>
      <c r="O1155" s="138"/>
      <c r="P1155" s="138"/>
      <c r="Q1155" s="138"/>
      <c r="R1155" s="138"/>
      <c r="S1155" s="138"/>
      <c r="T1155" s="138"/>
      <c r="U1155" s="138"/>
      <c r="V1155" s="138"/>
      <c r="W1155" s="138"/>
      <c r="X1155" s="138"/>
      <c r="Y1155" s="138"/>
      <c r="Z1155" s="138"/>
      <c r="AA1155" s="138"/>
      <c r="AB1155" s="138"/>
      <c r="AC1155" s="138"/>
    </row>
    <row r="1156">
      <c r="A1156" s="161"/>
      <c r="B1156" s="161"/>
      <c r="C1156" s="138"/>
      <c r="D1156" s="160"/>
      <c r="E1156" s="161"/>
      <c r="F1156" s="161"/>
      <c r="G1156" s="161"/>
      <c r="H1156" s="161"/>
      <c r="I1156" s="138"/>
      <c r="J1156" s="138"/>
      <c r="K1156" s="138"/>
      <c r="L1156" s="138"/>
      <c r="M1156" s="138"/>
      <c r="N1156" s="138"/>
      <c r="O1156" s="138"/>
      <c r="P1156" s="138"/>
      <c r="Q1156" s="138"/>
      <c r="R1156" s="138"/>
      <c r="S1156" s="138"/>
      <c r="T1156" s="138"/>
      <c r="U1156" s="138"/>
      <c r="V1156" s="138"/>
      <c r="W1156" s="138"/>
      <c r="X1156" s="138"/>
      <c r="Y1156" s="138"/>
      <c r="Z1156" s="138"/>
      <c r="AA1156" s="138"/>
      <c r="AB1156" s="138"/>
      <c r="AC1156" s="138"/>
    </row>
    <row r="1157">
      <c r="A1157" s="161"/>
      <c r="B1157" s="161"/>
      <c r="C1157" s="138"/>
      <c r="D1157" s="160"/>
      <c r="E1157" s="161"/>
      <c r="F1157" s="161"/>
      <c r="G1157" s="161"/>
      <c r="H1157" s="161"/>
      <c r="I1157" s="138"/>
      <c r="J1157" s="138"/>
      <c r="K1157" s="138"/>
      <c r="L1157" s="138"/>
      <c r="M1157" s="138"/>
      <c r="N1157" s="138"/>
      <c r="O1157" s="138"/>
      <c r="P1157" s="138"/>
      <c r="Q1157" s="138"/>
      <c r="R1157" s="138"/>
      <c r="S1157" s="138"/>
      <c r="T1157" s="138"/>
      <c r="U1157" s="138"/>
      <c r="V1157" s="138"/>
      <c r="W1157" s="138"/>
      <c r="X1157" s="138"/>
      <c r="Y1157" s="138"/>
      <c r="Z1157" s="138"/>
      <c r="AA1157" s="138"/>
      <c r="AB1157" s="138"/>
      <c r="AC1157" s="138"/>
    </row>
    <row r="1158">
      <c r="A1158" s="161"/>
      <c r="B1158" s="161"/>
      <c r="C1158" s="138"/>
      <c r="D1158" s="160"/>
      <c r="E1158" s="161"/>
      <c r="F1158" s="161"/>
      <c r="G1158" s="161"/>
      <c r="H1158" s="161"/>
      <c r="I1158" s="138"/>
      <c r="J1158" s="138"/>
      <c r="K1158" s="138"/>
      <c r="L1158" s="138"/>
      <c r="M1158" s="138"/>
      <c r="N1158" s="138"/>
      <c r="O1158" s="138"/>
      <c r="P1158" s="138"/>
      <c r="Q1158" s="138"/>
      <c r="R1158" s="138"/>
      <c r="S1158" s="138"/>
      <c r="T1158" s="138"/>
      <c r="U1158" s="138"/>
      <c r="V1158" s="138"/>
      <c r="W1158" s="138"/>
      <c r="X1158" s="138"/>
      <c r="Y1158" s="138"/>
      <c r="Z1158" s="138"/>
      <c r="AA1158" s="138"/>
      <c r="AB1158" s="138"/>
      <c r="AC1158" s="138"/>
    </row>
    <row r="1159">
      <c r="A1159" s="161"/>
      <c r="B1159" s="161"/>
      <c r="C1159" s="138"/>
      <c r="D1159" s="160"/>
      <c r="E1159" s="161"/>
      <c r="F1159" s="161"/>
      <c r="G1159" s="161"/>
      <c r="H1159" s="161"/>
      <c r="I1159" s="138"/>
      <c r="J1159" s="138"/>
      <c r="K1159" s="138"/>
      <c r="L1159" s="138"/>
      <c r="M1159" s="138"/>
      <c r="N1159" s="138"/>
      <c r="O1159" s="138"/>
      <c r="P1159" s="138"/>
      <c r="Q1159" s="138"/>
      <c r="R1159" s="138"/>
      <c r="S1159" s="138"/>
      <c r="T1159" s="138"/>
      <c r="U1159" s="138"/>
      <c r="V1159" s="138"/>
      <c r="W1159" s="138"/>
      <c r="X1159" s="138"/>
      <c r="Y1159" s="138"/>
      <c r="Z1159" s="138"/>
      <c r="AA1159" s="138"/>
      <c r="AB1159" s="138"/>
      <c r="AC1159" s="138"/>
    </row>
    <row r="1160">
      <c r="A1160" s="161"/>
      <c r="B1160" s="161"/>
      <c r="C1160" s="138"/>
      <c r="D1160" s="160"/>
      <c r="E1160" s="161"/>
      <c r="F1160" s="161"/>
      <c r="G1160" s="161"/>
      <c r="H1160" s="161"/>
      <c r="I1160" s="138"/>
      <c r="J1160" s="138"/>
      <c r="K1160" s="138"/>
      <c r="L1160" s="138"/>
      <c r="M1160" s="138"/>
      <c r="N1160" s="138"/>
      <c r="O1160" s="138"/>
      <c r="P1160" s="138"/>
      <c r="Q1160" s="138"/>
      <c r="R1160" s="138"/>
      <c r="S1160" s="138"/>
      <c r="T1160" s="138"/>
      <c r="U1160" s="138"/>
      <c r="V1160" s="138"/>
      <c r="W1160" s="138"/>
      <c r="X1160" s="138"/>
      <c r="Y1160" s="138"/>
      <c r="Z1160" s="138"/>
      <c r="AA1160" s="138"/>
      <c r="AB1160" s="138"/>
      <c r="AC1160" s="138"/>
    </row>
    <row r="1161">
      <c r="A1161" s="161"/>
      <c r="B1161" s="161"/>
      <c r="C1161" s="138"/>
      <c r="D1161" s="160"/>
      <c r="E1161" s="161"/>
      <c r="F1161" s="161"/>
      <c r="G1161" s="161"/>
      <c r="H1161" s="161"/>
      <c r="I1161" s="138"/>
      <c r="J1161" s="138"/>
      <c r="K1161" s="138"/>
      <c r="L1161" s="138"/>
      <c r="M1161" s="138"/>
      <c r="N1161" s="138"/>
      <c r="O1161" s="138"/>
      <c r="P1161" s="138"/>
      <c r="Q1161" s="138"/>
      <c r="R1161" s="138"/>
      <c r="S1161" s="138"/>
      <c r="T1161" s="138"/>
      <c r="U1161" s="138"/>
      <c r="V1161" s="138"/>
      <c r="W1161" s="138"/>
      <c r="X1161" s="138"/>
      <c r="Y1161" s="138"/>
      <c r="Z1161" s="138"/>
      <c r="AA1161" s="138"/>
      <c r="AB1161" s="138"/>
      <c r="AC1161" s="138"/>
    </row>
    <row r="1162">
      <c r="A1162" s="161"/>
      <c r="B1162" s="161"/>
      <c r="C1162" s="138"/>
      <c r="D1162" s="160"/>
      <c r="E1162" s="161"/>
      <c r="F1162" s="161"/>
      <c r="G1162" s="161"/>
      <c r="H1162" s="161"/>
      <c r="I1162" s="138"/>
      <c r="J1162" s="138"/>
      <c r="K1162" s="138"/>
      <c r="L1162" s="138"/>
      <c r="M1162" s="138"/>
      <c r="N1162" s="138"/>
      <c r="O1162" s="138"/>
      <c r="P1162" s="138"/>
      <c r="Q1162" s="138"/>
      <c r="R1162" s="138"/>
      <c r="S1162" s="138"/>
      <c r="T1162" s="138"/>
      <c r="U1162" s="138"/>
      <c r="V1162" s="138"/>
      <c r="W1162" s="138"/>
      <c r="X1162" s="138"/>
      <c r="Y1162" s="138"/>
      <c r="Z1162" s="138"/>
      <c r="AA1162" s="138"/>
      <c r="AB1162" s="138"/>
      <c r="AC1162" s="138"/>
    </row>
    <row r="1163">
      <c r="A1163" s="161"/>
      <c r="B1163" s="161"/>
      <c r="C1163" s="138"/>
      <c r="D1163" s="160"/>
      <c r="E1163" s="161"/>
      <c r="F1163" s="161"/>
      <c r="G1163" s="161"/>
      <c r="H1163" s="161"/>
      <c r="I1163" s="138"/>
      <c r="J1163" s="138"/>
      <c r="K1163" s="138"/>
      <c r="L1163" s="138"/>
      <c r="M1163" s="138"/>
      <c r="N1163" s="138"/>
      <c r="O1163" s="138"/>
      <c r="P1163" s="138"/>
      <c r="Q1163" s="138"/>
      <c r="R1163" s="138"/>
      <c r="S1163" s="138"/>
      <c r="T1163" s="138"/>
      <c r="U1163" s="138"/>
      <c r="V1163" s="138"/>
      <c r="W1163" s="138"/>
      <c r="X1163" s="138"/>
      <c r="Y1163" s="138"/>
      <c r="Z1163" s="138"/>
      <c r="AA1163" s="138"/>
      <c r="AB1163" s="138"/>
      <c r="AC1163" s="138"/>
    </row>
    <row r="1164">
      <c r="A1164" s="161"/>
      <c r="B1164" s="161"/>
      <c r="C1164" s="138"/>
      <c r="D1164" s="160"/>
      <c r="E1164" s="161"/>
      <c r="F1164" s="161"/>
      <c r="G1164" s="161"/>
      <c r="H1164" s="161"/>
      <c r="I1164" s="138"/>
      <c r="J1164" s="138"/>
      <c r="K1164" s="138"/>
      <c r="L1164" s="138"/>
      <c r="M1164" s="138"/>
      <c r="N1164" s="138"/>
      <c r="O1164" s="138"/>
      <c r="P1164" s="138"/>
      <c r="Q1164" s="138"/>
      <c r="R1164" s="138"/>
      <c r="S1164" s="138"/>
      <c r="T1164" s="138"/>
      <c r="U1164" s="138"/>
      <c r="V1164" s="138"/>
      <c r="W1164" s="138"/>
      <c r="X1164" s="138"/>
      <c r="Y1164" s="138"/>
      <c r="Z1164" s="138"/>
      <c r="AA1164" s="138"/>
      <c r="AB1164" s="138"/>
      <c r="AC1164" s="138"/>
    </row>
    <row r="1165">
      <c r="A1165" s="161"/>
      <c r="B1165" s="161"/>
      <c r="C1165" s="138"/>
      <c r="D1165" s="160"/>
      <c r="E1165" s="161"/>
      <c r="F1165" s="161"/>
      <c r="G1165" s="161"/>
      <c r="H1165" s="161"/>
      <c r="I1165" s="138"/>
      <c r="J1165" s="138"/>
      <c r="K1165" s="138"/>
      <c r="L1165" s="138"/>
      <c r="M1165" s="138"/>
      <c r="N1165" s="138"/>
      <c r="O1165" s="138"/>
      <c r="P1165" s="138"/>
      <c r="Q1165" s="138"/>
      <c r="R1165" s="138"/>
      <c r="S1165" s="138"/>
      <c r="T1165" s="138"/>
      <c r="U1165" s="138"/>
      <c r="V1165" s="138"/>
      <c r="W1165" s="138"/>
      <c r="X1165" s="138"/>
      <c r="Y1165" s="138"/>
      <c r="Z1165" s="138"/>
      <c r="AA1165" s="138"/>
      <c r="AB1165" s="138"/>
      <c r="AC1165" s="138"/>
    </row>
    <row r="1166">
      <c r="A1166" s="161"/>
      <c r="B1166" s="161"/>
      <c r="C1166" s="138"/>
      <c r="D1166" s="160"/>
      <c r="E1166" s="161"/>
      <c r="F1166" s="161"/>
      <c r="G1166" s="161"/>
      <c r="H1166" s="161"/>
      <c r="I1166" s="138"/>
      <c r="J1166" s="138"/>
      <c r="K1166" s="138"/>
      <c r="L1166" s="138"/>
      <c r="M1166" s="138"/>
      <c r="N1166" s="138"/>
      <c r="O1166" s="138"/>
      <c r="P1166" s="138"/>
      <c r="Q1166" s="138"/>
      <c r="R1166" s="138"/>
      <c r="S1166" s="138"/>
      <c r="T1166" s="138"/>
      <c r="U1166" s="138"/>
      <c r="V1166" s="138"/>
      <c r="W1166" s="138"/>
      <c r="X1166" s="138"/>
      <c r="Y1166" s="138"/>
      <c r="Z1166" s="138"/>
      <c r="AA1166" s="138"/>
      <c r="AB1166" s="138"/>
      <c r="AC1166" s="138"/>
    </row>
    <row r="1167">
      <c r="A1167" s="161"/>
      <c r="B1167" s="161"/>
      <c r="C1167" s="138"/>
      <c r="D1167" s="160"/>
      <c r="E1167" s="161"/>
      <c r="F1167" s="161"/>
      <c r="G1167" s="161"/>
      <c r="H1167" s="161"/>
      <c r="I1167" s="138"/>
      <c r="J1167" s="138"/>
      <c r="K1167" s="138"/>
      <c r="L1167" s="138"/>
      <c r="M1167" s="138"/>
      <c r="N1167" s="138"/>
      <c r="O1167" s="138"/>
      <c r="P1167" s="138"/>
      <c r="Q1167" s="138"/>
      <c r="R1167" s="138"/>
      <c r="S1167" s="138"/>
      <c r="T1167" s="138"/>
      <c r="U1167" s="138"/>
      <c r="V1167" s="138"/>
      <c r="W1167" s="138"/>
      <c r="X1167" s="138"/>
      <c r="Y1167" s="138"/>
      <c r="Z1167" s="138"/>
      <c r="AA1167" s="138"/>
      <c r="AB1167" s="138"/>
      <c r="AC1167" s="138"/>
    </row>
    <row r="1168">
      <c r="A1168" s="161"/>
      <c r="B1168" s="161"/>
      <c r="C1168" s="138"/>
      <c r="D1168" s="160"/>
      <c r="E1168" s="161"/>
      <c r="F1168" s="161"/>
      <c r="G1168" s="161"/>
      <c r="H1168" s="161"/>
      <c r="I1168" s="138"/>
      <c r="J1168" s="138"/>
      <c r="K1168" s="138"/>
      <c r="L1168" s="138"/>
      <c r="M1168" s="138"/>
      <c r="N1168" s="138"/>
      <c r="O1168" s="138"/>
      <c r="P1168" s="138"/>
      <c r="Q1168" s="138"/>
      <c r="R1168" s="138"/>
      <c r="S1168" s="138"/>
      <c r="T1168" s="138"/>
      <c r="U1168" s="138"/>
      <c r="V1168" s="138"/>
      <c r="W1168" s="138"/>
      <c r="X1168" s="138"/>
      <c r="Y1168" s="138"/>
      <c r="Z1168" s="138"/>
      <c r="AA1168" s="138"/>
      <c r="AB1168" s="138"/>
      <c r="AC1168" s="138"/>
    </row>
    <row r="1169">
      <c r="A1169" s="161"/>
      <c r="B1169" s="161"/>
      <c r="C1169" s="138"/>
      <c r="D1169" s="160"/>
      <c r="E1169" s="161"/>
      <c r="F1169" s="161"/>
      <c r="G1169" s="161"/>
      <c r="H1169" s="161"/>
      <c r="I1169" s="138"/>
      <c r="J1169" s="138"/>
      <c r="K1169" s="138"/>
      <c r="L1169" s="138"/>
      <c r="M1169" s="138"/>
      <c r="N1169" s="138"/>
      <c r="O1169" s="138"/>
      <c r="P1169" s="138"/>
      <c r="Q1169" s="138"/>
      <c r="R1169" s="138"/>
      <c r="S1169" s="138"/>
      <c r="T1169" s="138"/>
      <c r="U1169" s="138"/>
      <c r="V1169" s="138"/>
      <c r="W1169" s="138"/>
      <c r="X1169" s="138"/>
      <c r="Y1169" s="138"/>
      <c r="Z1169" s="138"/>
      <c r="AA1169" s="138"/>
      <c r="AB1169" s="138"/>
      <c r="AC1169" s="138"/>
    </row>
    <row r="1170">
      <c r="A1170" s="161"/>
      <c r="B1170" s="161"/>
      <c r="C1170" s="138"/>
      <c r="D1170" s="160"/>
      <c r="E1170" s="161"/>
      <c r="F1170" s="161"/>
      <c r="G1170" s="161"/>
      <c r="H1170" s="161"/>
      <c r="I1170" s="138"/>
      <c r="J1170" s="138"/>
      <c r="K1170" s="138"/>
      <c r="L1170" s="138"/>
      <c r="M1170" s="138"/>
      <c r="N1170" s="138"/>
      <c r="O1170" s="138"/>
      <c r="P1170" s="138"/>
      <c r="Q1170" s="138"/>
      <c r="R1170" s="138"/>
      <c r="S1170" s="138"/>
      <c r="T1170" s="138"/>
      <c r="U1170" s="138"/>
      <c r="V1170" s="138"/>
      <c r="W1170" s="138"/>
      <c r="X1170" s="138"/>
      <c r="Y1170" s="138"/>
      <c r="Z1170" s="138"/>
      <c r="AA1170" s="138"/>
      <c r="AB1170" s="138"/>
      <c r="AC1170" s="138"/>
    </row>
    <row r="1171">
      <c r="A1171" s="161"/>
      <c r="B1171" s="161"/>
      <c r="C1171" s="138"/>
      <c r="D1171" s="160"/>
      <c r="E1171" s="161"/>
      <c r="F1171" s="161"/>
      <c r="G1171" s="161"/>
      <c r="H1171" s="161"/>
      <c r="I1171" s="138"/>
      <c r="J1171" s="138"/>
      <c r="K1171" s="138"/>
      <c r="L1171" s="138"/>
      <c r="M1171" s="138"/>
      <c r="N1171" s="138"/>
      <c r="O1171" s="138"/>
      <c r="P1171" s="138"/>
      <c r="Q1171" s="138"/>
      <c r="R1171" s="138"/>
      <c r="S1171" s="138"/>
      <c r="T1171" s="138"/>
      <c r="U1171" s="138"/>
      <c r="V1171" s="138"/>
      <c r="W1171" s="138"/>
      <c r="X1171" s="138"/>
      <c r="Y1171" s="138"/>
      <c r="Z1171" s="138"/>
      <c r="AA1171" s="138"/>
      <c r="AB1171" s="138"/>
      <c r="AC1171" s="138"/>
    </row>
    <row r="1172">
      <c r="A1172" s="161"/>
      <c r="B1172" s="161"/>
      <c r="C1172" s="138"/>
      <c r="D1172" s="160"/>
      <c r="E1172" s="161"/>
      <c r="F1172" s="161"/>
      <c r="G1172" s="161"/>
      <c r="H1172" s="161"/>
      <c r="I1172" s="138"/>
      <c r="J1172" s="138"/>
      <c r="K1172" s="138"/>
      <c r="L1172" s="138"/>
      <c r="M1172" s="138"/>
      <c r="N1172" s="138"/>
      <c r="O1172" s="138"/>
      <c r="P1172" s="138"/>
      <c r="Q1172" s="138"/>
      <c r="R1172" s="138"/>
      <c r="S1172" s="138"/>
      <c r="T1172" s="138"/>
      <c r="U1172" s="138"/>
      <c r="V1172" s="138"/>
      <c r="W1172" s="138"/>
      <c r="X1172" s="138"/>
      <c r="Y1172" s="138"/>
      <c r="Z1172" s="138"/>
      <c r="AA1172" s="138"/>
      <c r="AB1172" s="138"/>
      <c r="AC1172" s="138"/>
    </row>
    <row r="1173">
      <c r="A1173" s="161"/>
      <c r="B1173" s="161"/>
      <c r="C1173" s="138"/>
      <c r="D1173" s="160"/>
      <c r="E1173" s="161"/>
      <c r="F1173" s="161"/>
      <c r="G1173" s="161"/>
      <c r="H1173" s="161"/>
      <c r="I1173" s="138"/>
      <c r="J1173" s="138"/>
      <c r="K1173" s="138"/>
      <c r="L1173" s="138"/>
      <c r="M1173" s="138"/>
      <c r="N1173" s="138"/>
      <c r="O1173" s="138"/>
      <c r="P1173" s="138"/>
      <c r="Q1173" s="138"/>
      <c r="R1173" s="138"/>
      <c r="S1173" s="138"/>
      <c r="T1173" s="138"/>
      <c r="U1173" s="138"/>
      <c r="V1173" s="138"/>
      <c r="W1173" s="138"/>
      <c r="X1173" s="138"/>
      <c r="Y1173" s="138"/>
      <c r="Z1173" s="138"/>
      <c r="AA1173" s="138"/>
      <c r="AB1173" s="138"/>
      <c r="AC1173" s="138"/>
    </row>
    <row r="1174">
      <c r="A1174" s="161"/>
      <c r="B1174" s="161"/>
      <c r="C1174" s="138"/>
      <c r="D1174" s="160"/>
      <c r="E1174" s="161"/>
      <c r="F1174" s="161"/>
      <c r="G1174" s="161"/>
      <c r="H1174" s="161"/>
      <c r="I1174" s="138"/>
      <c r="J1174" s="138"/>
      <c r="K1174" s="138"/>
      <c r="L1174" s="138"/>
      <c r="M1174" s="138"/>
      <c r="N1174" s="138"/>
      <c r="O1174" s="138"/>
      <c r="P1174" s="138"/>
      <c r="Q1174" s="138"/>
      <c r="R1174" s="138"/>
      <c r="S1174" s="138"/>
      <c r="T1174" s="138"/>
      <c r="U1174" s="138"/>
      <c r="V1174" s="138"/>
      <c r="W1174" s="138"/>
      <c r="X1174" s="138"/>
      <c r="Y1174" s="138"/>
      <c r="Z1174" s="138"/>
      <c r="AA1174" s="138"/>
      <c r="AB1174" s="138"/>
      <c r="AC1174" s="138"/>
    </row>
    <row r="1175">
      <c r="A1175" s="161"/>
      <c r="B1175" s="161"/>
      <c r="C1175" s="138"/>
      <c r="D1175" s="160"/>
      <c r="E1175" s="161"/>
      <c r="F1175" s="161"/>
      <c r="G1175" s="161"/>
      <c r="H1175" s="161"/>
      <c r="I1175" s="138"/>
      <c r="J1175" s="138"/>
      <c r="K1175" s="138"/>
      <c r="L1175" s="138"/>
      <c r="M1175" s="138"/>
      <c r="N1175" s="138"/>
      <c r="O1175" s="138"/>
      <c r="P1175" s="138"/>
      <c r="Q1175" s="138"/>
      <c r="R1175" s="138"/>
      <c r="S1175" s="138"/>
      <c r="T1175" s="138"/>
      <c r="U1175" s="138"/>
      <c r="V1175" s="138"/>
      <c r="W1175" s="138"/>
      <c r="X1175" s="138"/>
      <c r="Y1175" s="138"/>
      <c r="Z1175" s="138"/>
      <c r="AA1175" s="138"/>
      <c r="AB1175" s="138"/>
      <c r="AC1175" s="138"/>
    </row>
    <row r="1176">
      <c r="A1176" s="161"/>
      <c r="B1176" s="161"/>
      <c r="C1176" s="138"/>
      <c r="D1176" s="160"/>
      <c r="E1176" s="161"/>
      <c r="F1176" s="161"/>
      <c r="G1176" s="161"/>
      <c r="H1176" s="161"/>
      <c r="I1176" s="138"/>
      <c r="J1176" s="138"/>
      <c r="K1176" s="138"/>
      <c r="L1176" s="138"/>
      <c r="M1176" s="138"/>
      <c r="N1176" s="138"/>
      <c r="O1176" s="138"/>
      <c r="P1176" s="138"/>
      <c r="Q1176" s="138"/>
      <c r="R1176" s="138"/>
      <c r="S1176" s="138"/>
      <c r="T1176" s="138"/>
      <c r="U1176" s="138"/>
      <c r="V1176" s="138"/>
      <c r="W1176" s="138"/>
      <c r="X1176" s="138"/>
      <c r="Y1176" s="138"/>
      <c r="Z1176" s="138"/>
      <c r="AA1176" s="138"/>
      <c r="AB1176" s="138"/>
      <c r="AC1176" s="138"/>
    </row>
    <row r="1177">
      <c r="A1177" s="161"/>
      <c r="B1177" s="161"/>
      <c r="C1177" s="138"/>
      <c r="D1177" s="160"/>
      <c r="E1177" s="161"/>
      <c r="F1177" s="161"/>
      <c r="G1177" s="161"/>
      <c r="H1177" s="161"/>
      <c r="I1177" s="138"/>
      <c r="J1177" s="138"/>
      <c r="K1177" s="138"/>
      <c r="L1177" s="138"/>
      <c r="M1177" s="138"/>
      <c r="N1177" s="138"/>
      <c r="O1177" s="138"/>
      <c r="P1177" s="138"/>
      <c r="Q1177" s="138"/>
      <c r="R1177" s="138"/>
      <c r="S1177" s="138"/>
      <c r="T1177" s="138"/>
      <c r="U1177" s="138"/>
      <c r="V1177" s="138"/>
      <c r="W1177" s="138"/>
      <c r="X1177" s="138"/>
      <c r="Y1177" s="138"/>
      <c r="Z1177" s="138"/>
      <c r="AA1177" s="138"/>
      <c r="AB1177" s="138"/>
      <c r="AC1177" s="138"/>
    </row>
    <row r="1178">
      <c r="A1178" s="161"/>
      <c r="B1178" s="161"/>
      <c r="C1178" s="138"/>
      <c r="D1178" s="160"/>
      <c r="E1178" s="161"/>
      <c r="F1178" s="161"/>
      <c r="G1178" s="161"/>
      <c r="H1178" s="161"/>
      <c r="I1178" s="138"/>
      <c r="J1178" s="138"/>
      <c r="K1178" s="138"/>
      <c r="L1178" s="138"/>
      <c r="M1178" s="138"/>
      <c r="N1178" s="138"/>
      <c r="O1178" s="138"/>
      <c r="P1178" s="138"/>
      <c r="Q1178" s="138"/>
      <c r="R1178" s="138"/>
      <c r="S1178" s="138"/>
      <c r="T1178" s="138"/>
      <c r="U1178" s="138"/>
      <c r="V1178" s="138"/>
      <c r="W1178" s="138"/>
      <c r="X1178" s="138"/>
      <c r="Y1178" s="138"/>
      <c r="Z1178" s="138"/>
      <c r="AA1178" s="138"/>
      <c r="AB1178" s="138"/>
      <c r="AC1178" s="138"/>
    </row>
    <row r="1179">
      <c r="A1179" s="161"/>
      <c r="B1179" s="161"/>
      <c r="C1179" s="138"/>
      <c r="D1179" s="160"/>
      <c r="E1179" s="161"/>
      <c r="F1179" s="161"/>
      <c r="G1179" s="161"/>
      <c r="H1179" s="161"/>
      <c r="I1179" s="138"/>
      <c r="J1179" s="138"/>
      <c r="K1179" s="138"/>
      <c r="L1179" s="138"/>
      <c r="M1179" s="138"/>
      <c r="N1179" s="138"/>
      <c r="O1179" s="138"/>
      <c r="P1179" s="138"/>
      <c r="Q1179" s="138"/>
      <c r="R1179" s="138"/>
      <c r="S1179" s="138"/>
      <c r="T1179" s="138"/>
      <c r="U1179" s="138"/>
      <c r="V1179" s="138"/>
      <c r="W1179" s="138"/>
      <c r="X1179" s="138"/>
      <c r="Y1179" s="138"/>
      <c r="Z1179" s="138"/>
      <c r="AA1179" s="138"/>
      <c r="AB1179" s="138"/>
      <c r="AC1179" s="138"/>
    </row>
    <row r="1180">
      <c r="A1180" s="161"/>
      <c r="B1180" s="161"/>
      <c r="C1180" s="138"/>
      <c r="D1180" s="160"/>
      <c r="E1180" s="161"/>
      <c r="F1180" s="161"/>
      <c r="G1180" s="161"/>
      <c r="H1180" s="161"/>
      <c r="I1180" s="138"/>
      <c r="J1180" s="138"/>
      <c r="K1180" s="138"/>
      <c r="L1180" s="138"/>
      <c r="M1180" s="138"/>
      <c r="N1180" s="138"/>
      <c r="O1180" s="138"/>
      <c r="P1180" s="138"/>
      <c r="Q1180" s="138"/>
      <c r="R1180" s="138"/>
      <c r="S1180" s="138"/>
      <c r="T1180" s="138"/>
      <c r="U1180" s="138"/>
      <c r="V1180" s="138"/>
      <c r="W1180" s="138"/>
      <c r="X1180" s="138"/>
      <c r="Y1180" s="138"/>
      <c r="Z1180" s="138"/>
      <c r="AA1180" s="138"/>
      <c r="AB1180" s="138"/>
      <c r="AC1180" s="138"/>
    </row>
    <row r="1181">
      <c r="A1181" s="161"/>
      <c r="B1181" s="161"/>
      <c r="C1181" s="138"/>
      <c r="D1181" s="160"/>
      <c r="E1181" s="161"/>
      <c r="F1181" s="161"/>
      <c r="G1181" s="161"/>
      <c r="H1181" s="161"/>
      <c r="I1181" s="138"/>
      <c r="J1181" s="138"/>
      <c r="K1181" s="138"/>
      <c r="L1181" s="138"/>
      <c r="M1181" s="138"/>
      <c r="N1181" s="138"/>
      <c r="O1181" s="138"/>
      <c r="P1181" s="138"/>
      <c r="Q1181" s="138"/>
      <c r="R1181" s="138"/>
      <c r="S1181" s="138"/>
      <c r="T1181" s="138"/>
      <c r="U1181" s="138"/>
      <c r="V1181" s="138"/>
      <c r="W1181" s="138"/>
      <c r="X1181" s="138"/>
      <c r="Y1181" s="138"/>
      <c r="Z1181" s="138"/>
      <c r="AA1181" s="138"/>
      <c r="AB1181" s="138"/>
      <c r="AC1181" s="138"/>
    </row>
    <row r="1182">
      <c r="A1182" s="161"/>
      <c r="B1182" s="161"/>
      <c r="C1182" s="138"/>
      <c r="D1182" s="160"/>
      <c r="E1182" s="161"/>
      <c r="F1182" s="161"/>
      <c r="G1182" s="161"/>
      <c r="H1182" s="161"/>
      <c r="I1182" s="138"/>
      <c r="J1182" s="138"/>
      <c r="K1182" s="138"/>
      <c r="L1182" s="138"/>
      <c r="M1182" s="138"/>
      <c r="N1182" s="138"/>
      <c r="O1182" s="138"/>
      <c r="P1182" s="138"/>
      <c r="Q1182" s="138"/>
      <c r="R1182" s="138"/>
      <c r="S1182" s="138"/>
      <c r="T1182" s="138"/>
      <c r="U1182" s="138"/>
      <c r="V1182" s="138"/>
      <c r="W1182" s="138"/>
      <c r="X1182" s="138"/>
      <c r="Y1182" s="138"/>
      <c r="Z1182" s="138"/>
      <c r="AA1182" s="138"/>
      <c r="AB1182" s="138"/>
      <c r="AC1182" s="138"/>
    </row>
  </sheetData>
  <mergeCells count="694">
    <mergeCell ref="B131:B133"/>
    <mergeCell ref="B134:B135"/>
    <mergeCell ref="B136:B138"/>
    <mergeCell ref="B139:B141"/>
    <mergeCell ref="B142:B143"/>
    <mergeCell ref="B144:B146"/>
    <mergeCell ref="B147:B149"/>
    <mergeCell ref="B150:B152"/>
    <mergeCell ref="B153:B155"/>
    <mergeCell ref="C175:C176"/>
    <mergeCell ref="D175:D176"/>
    <mergeCell ref="E175:E176"/>
    <mergeCell ref="F175:F176"/>
    <mergeCell ref="I175:I176"/>
    <mergeCell ref="I196:I197"/>
    <mergeCell ref="I198:I199"/>
    <mergeCell ref="I200:I202"/>
    <mergeCell ref="I203:I205"/>
    <mergeCell ref="I206:I207"/>
    <mergeCell ref="I208:I209"/>
    <mergeCell ref="I177:I179"/>
    <mergeCell ref="I180:I181"/>
    <mergeCell ref="I183:I185"/>
    <mergeCell ref="I186:I188"/>
    <mergeCell ref="I189:I190"/>
    <mergeCell ref="I191:I192"/>
    <mergeCell ref="I193:I195"/>
    <mergeCell ref="B156:B158"/>
    <mergeCell ref="B159:B160"/>
    <mergeCell ref="B161:B163"/>
    <mergeCell ref="B164:B165"/>
    <mergeCell ref="B166:B168"/>
    <mergeCell ref="B169:B171"/>
    <mergeCell ref="B172:B174"/>
    <mergeCell ref="B175:B176"/>
    <mergeCell ref="B177:B179"/>
    <mergeCell ref="C177:C179"/>
    <mergeCell ref="D177:D179"/>
    <mergeCell ref="E177:E179"/>
    <mergeCell ref="F177:F179"/>
    <mergeCell ref="C180:C181"/>
    <mergeCell ref="F180:F181"/>
    <mergeCell ref="D180:D181"/>
    <mergeCell ref="E180:E181"/>
    <mergeCell ref="C183:C185"/>
    <mergeCell ref="D183:D185"/>
    <mergeCell ref="E183:E185"/>
    <mergeCell ref="F183:F185"/>
    <mergeCell ref="F186:F188"/>
    <mergeCell ref="D186:D188"/>
    <mergeCell ref="E186:E188"/>
    <mergeCell ref="D189:D190"/>
    <mergeCell ref="E189:E190"/>
    <mergeCell ref="F189:F190"/>
    <mergeCell ref="E191:E192"/>
    <mergeCell ref="F191:F192"/>
    <mergeCell ref="D191:D192"/>
    <mergeCell ref="D193:D195"/>
    <mergeCell ref="E193:E195"/>
    <mergeCell ref="F193:F195"/>
    <mergeCell ref="D196:D197"/>
    <mergeCell ref="E196:E197"/>
    <mergeCell ref="F196:F197"/>
    <mergeCell ref="E203:E205"/>
    <mergeCell ref="F203:F205"/>
    <mergeCell ref="D198:D199"/>
    <mergeCell ref="E198:E199"/>
    <mergeCell ref="F198:F199"/>
    <mergeCell ref="D200:D202"/>
    <mergeCell ref="E200:E202"/>
    <mergeCell ref="F200:F202"/>
    <mergeCell ref="D203:D205"/>
    <mergeCell ref="C11:C13"/>
    <mergeCell ref="D11:D13"/>
    <mergeCell ref="C14:C16"/>
    <mergeCell ref="D14:D16"/>
    <mergeCell ref="D17:D19"/>
    <mergeCell ref="E17:E19"/>
    <mergeCell ref="F17:F19"/>
    <mergeCell ref="C17:C19"/>
    <mergeCell ref="C20:C22"/>
    <mergeCell ref="D20:D22"/>
    <mergeCell ref="E20:E22"/>
    <mergeCell ref="F20:F22"/>
    <mergeCell ref="C23:C25"/>
    <mergeCell ref="D23:D25"/>
    <mergeCell ref="C26:C28"/>
    <mergeCell ref="D26:D28"/>
    <mergeCell ref="E26:E28"/>
    <mergeCell ref="F26:F28"/>
    <mergeCell ref="I26:I28"/>
    <mergeCell ref="B26:B28"/>
    <mergeCell ref="B29:B31"/>
    <mergeCell ref="C29:C31"/>
    <mergeCell ref="D29:D31"/>
    <mergeCell ref="E29:E31"/>
    <mergeCell ref="F29:F31"/>
    <mergeCell ref="I29:I31"/>
    <mergeCell ref="B40:B42"/>
    <mergeCell ref="B46:B47"/>
    <mergeCell ref="A37:A49"/>
    <mergeCell ref="B37:B39"/>
    <mergeCell ref="C37:C39"/>
    <mergeCell ref="D37:D39"/>
    <mergeCell ref="E37:E39"/>
    <mergeCell ref="F37:F39"/>
    <mergeCell ref="F43:F45"/>
    <mergeCell ref="F48:F49"/>
    <mergeCell ref="B48:B49"/>
    <mergeCell ref="C48:C49"/>
    <mergeCell ref="C50:C52"/>
    <mergeCell ref="D50:D52"/>
    <mergeCell ref="E50:E52"/>
    <mergeCell ref="F50:F52"/>
    <mergeCell ref="C53:C55"/>
    <mergeCell ref="F53:F55"/>
    <mergeCell ref="D53:D55"/>
    <mergeCell ref="E53:E55"/>
    <mergeCell ref="C56:C58"/>
    <mergeCell ref="D56:D58"/>
    <mergeCell ref="E56:E58"/>
    <mergeCell ref="F56:F58"/>
    <mergeCell ref="C59:C60"/>
    <mergeCell ref="F59:F60"/>
    <mergeCell ref="D64:D66"/>
    <mergeCell ref="E64:E66"/>
    <mergeCell ref="D59:D60"/>
    <mergeCell ref="E59:E60"/>
    <mergeCell ref="C61:C63"/>
    <mergeCell ref="D61:D63"/>
    <mergeCell ref="E61:E63"/>
    <mergeCell ref="F61:F63"/>
    <mergeCell ref="F64:F66"/>
    <mergeCell ref="I233:I235"/>
    <mergeCell ref="I236:I238"/>
    <mergeCell ref="I239:I241"/>
    <mergeCell ref="I242:I244"/>
    <mergeCell ref="I245:I246"/>
    <mergeCell ref="I247:I248"/>
    <mergeCell ref="I249:I251"/>
    <mergeCell ref="I270:I272"/>
    <mergeCell ref="I273:I275"/>
    <mergeCell ref="I276:I277"/>
    <mergeCell ref="I252:I253"/>
    <mergeCell ref="I254:I256"/>
    <mergeCell ref="I257:I259"/>
    <mergeCell ref="I260:I261"/>
    <mergeCell ref="I262:I264"/>
    <mergeCell ref="I265:I266"/>
    <mergeCell ref="I267:I269"/>
    <mergeCell ref="E276:E277"/>
    <mergeCell ref="F276:F277"/>
    <mergeCell ref="C270:C272"/>
    <mergeCell ref="C273:C275"/>
    <mergeCell ref="D273:D275"/>
    <mergeCell ref="E273:E275"/>
    <mergeCell ref="F273:F275"/>
    <mergeCell ref="C276:C277"/>
    <mergeCell ref="D276:D277"/>
    <mergeCell ref="A1:B1"/>
    <mergeCell ref="C1:D1"/>
    <mergeCell ref="A2:B2"/>
    <mergeCell ref="C2:D2"/>
    <mergeCell ref="A3:B3"/>
    <mergeCell ref="C3:D3"/>
    <mergeCell ref="C4:D4"/>
    <mergeCell ref="E11:E13"/>
    <mergeCell ref="F11:F13"/>
    <mergeCell ref="E14:E16"/>
    <mergeCell ref="F14:F16"/>
    <mergeCell ref="I14:I16"/>
    <mergeCell ref="I17:I19"/>
    <mergeCell ref="I20:I22"/>
    <mergeCell ref="A4:B4"/>
    <mergeCell ref="C8:C10"/>
    <mergeCell ref="D8:D10"/>
    <mergeCell ref="E8:E10"/>
    <mergeCell ref="F8:F10"/>
    <mergeCell ref="I8:I10"/>
    <mergeCell ref="I11:I13"/>
    <mergeCell ref="E23:E25"/>
    <mergeCell ref="F23:F25"/>
    <mergeCell ref="I23:I25"/>
    <mergeCell ref="C32:C33"/>
    <mergeCell ref="D32:D33"/>
    <mergeCell ref="E32:E33"/>
    <mergeCell ref="F32:F33"/>
    <mergeCell ref="I32:I33"/>
    <mergeCell ref="B32:B33"/>
    <mergeCell ref="B34:B36"/>
    <mergeCell ref="C34:C36"/>
    <mergeCell ref="D34:D36"/>
    <mergeCell ref="E34:E36"/>
    <mergeCell ref="F34:F36"/>
    <mergeCell ref="I34:I36"/>
    <mergeCell ref="I37:I39"/>
    <mergeCell ref="I53:I55"/>
    <mergeCell ref="I56:I58"/>
    <mergeCell ref="I59:I60"/>
    <mergeCell ref="I61:I63"/>
    <mergeCell ref="I64:I66"/>
    <mergeCell ref="I67:I69"/>
    <mergeCell ref="I70:I71"/>
    <mergeCell ref="I72:I74"/>
    <mergeCell ref="C40:C42"/>
    <mergeCell ref="D40:D42"/>
    <mergeCell ref="I40:I42"/>
    <mergeCell ref="I43:I45"/>
    <mergeCell ref="I46:I47"/>
    <mergeCell ref="I48:I49"/>
    <mergeCell ref="I50:I52"/>
    <mergeCell ref="E40:E42"/>
    <mergeCell ref="F40:F42"/>
    <mergeCell ref="B43:B45"/>
    <mergeCell ref="C43:C45"/>
    <mergeCell ref="D43:D45"/>
    <mergeCell ref="E43:E45"/>
    <mergeCell ref="C46:C47"/>
    <mergeCell ref="D46:D47"/>
    <mergeCell ref="E46:E47"/>
    <mergeCell ref="F46:F47"/>
    <mergeCell ref="D48:D49"/>
    <mergeCell ref="E48:E49"/>
    <mergeCell ref="C72:C74"/>
    <mergeCell ref="D72:D74"/>
    <mergeCell ref="E72:E74"/>
    <mergeCell ref="F72:F74"/>
    <mergeCell ref="C87:C89"/>
    <mergeCell ref="D87:D89"/>
    <mergeCell ref="E87:E89"/>
    <mergeCell ref="F87:F89"/>
    <mergeCell ref="D90:D91"/>
    <mergeCell ref="E90:E91"/>
    <mergeCell ref="F90:F91"/>
    <mergeCell ref="C90:C91"/>
    <mergeCell ref="C92:C94"/>
    <mergeCell ref="D92:D94"/>
    <mergeCell ref="E92:E94"/>
    <mergeCell ref="F92:F94"/>
    <mergeCell ref="C95:C96"/>
    <mergeCell ref="D95:D96"/>
    <mergeCell ref="C97:C99"/>
    <mergeCell ref="D97:D99"/>
    <mergeCell ref="E97:E99"/>
    <mergeCell ref="F97:F99"/>
    <mergeCell ref="D100:D101"/>
    <mergeCell ref="E100:E101"/>
    <mergeCell ref="F100:F101"/>
    <mergeCell ref="E105:E107"/>
    <mergeCell ref="F105:F107"/>
    <mergeCell ref="C100:C101"/>
    <mergeCell ref="C102:C104"/>
    <mergeCell ref="D102:D104"/>
    <mergeCell ref="E102:E104"/>
    <mergeCell ref="F102:F104"/>
    <mergeCell ref="C105:C107"/>
    <mergeCell ref="D105:D107"/>
    <mergeCell ref="E116:E118"/>
    <mergeCell ref="F116:F118"/>
    <mergeCell ref="C119:C120"/>
    <mergeCell ref="D119:D120"/>
    <mergeCell ref="E119:E120"/>
    <mergeCell ref="F119:F120"/>
    <mergeCell ref="I116:I118"/>
    <mergeCell ref="I119:I120"/>
    <mergeCell ref="I97:I99"/>
    <mergeCell ref="I100:I101"/>
    <mergeCell ref="I102:I104"/>
    <mergeCell ref="I105:I107"/>
    <mergeCell ref="I108:I110"/>
    <mergeCell ref="I111:I112"/>
    <mergeCell ref="I113:I115"/>
    <mergeCell ref="E70:E71"/>
    <mergeCell ref="F70:F71"/>
    <mergeCell ref="C64:C66"/>
    <mergeCell ref="C67:C69"/>
    <mergeCell ref="D67:D69"/>
    <mergeCell ref="E67:E69"/>
    <mergeCell ref="F67:F69"/>
    <mergeCell ref="C70:C71"/>
    <mergeCell ref="D70:D71"/>
    <mergeCell ref="E77:E79"/>
    <mergeCell ref="F77:F79"/>
    <mergeCell ref="E80:E81"/>
    <mergeCell ref="F80:F81"/>
    <mergeCell ref="E82:E83"/>
    <mergeCell ref="F82:F83"/>
    <mergeCell ref="E84:E86"/>
    <mergeCell ref="F84:F86"/>
    <mergeCell ref="C75:C76"/>
    <mergeCell ref="D75:D76"/>
    <mergeCell ref="E75:E76"/>
    <mergeCell ref="F75:F76"/>
    <mergeCell ref="I75:I76"/>
    <mergeCell ref="D77:D79"/>
    <mergeCell ref="I77:I79"/>
    <mergeCell ref="C77:C79"/>
    <mergeCell ref="C80:C81"/>
    <mergeCell ref="D80:D81"/>
    <mergeCell ref="C82:C83"/>
    <mergeCell ref="D82:D83"/>
    <mergeCell ref="C84:C86"/>
    <mergeCell ref="D84:D86"/>
    <mergeCell ref="E95:E96"/>
    <mergeCell ref="F95:F96"/>
    <mergeCell ref="I80:I81"/>
    <mergeCell ref="I82:I83"/>
    <mergeCell ref="I84:I86"/>
    <mergeCell ref="I87:I89"/>
    <mergeCell ref="I90:I91"/>
    <mergeCell ref="I92:I94"/>
    <mergeCell ref="I95:I96"/>
    <mergeCell ref="C142:C143"/>
    <mergeCell ref="D142:D143"/>
    <mergeCell ref="E142:E143"/>
    <mergeCell ref="F142:F143"/>
    <mergeCell ref="C131:C133"/>
    <mergeCell ref="C134:C135"/>
    <mergeCell ref="D134:D135"/>
    <mergeCell ref="C136:C138"/>
    <mergeCell ref="D136:D138"/>
    <mergeCell ref="C139:C141"/>
    <mergeCell ref="D139:D141"/>
    <mergeCell ref="C108:C110"/>
    <mergeCell ref="D108:D110"/>
    <mergeCell ref="E108:E110"/>
    <mergeCell ref="F108:F110"/>
    <mergeCell ref="D111:D112"/>
    <mergeCell ref="E111:E112"/>
    <mergeCell ref="F111:F112"/>
    <mergeCell ref="C111:C112"/>
    <mergeCell ref="C113:C115"/>
    <mergeCell ref="D113:D115"/>
    <mergeCell ref="E113:E115"/>
    <mergeCell ref="F113:F115"/>
    <mergeCell ref="C116:C118"/>
    <mergeCell ref="D116:D118"/>
    <mergeCell ref="C121:C123"/>
    <mergeCell ref="D121:D123"/>
    <mergeCell ref="E121:E123"/>
    <mergeCell ref="F121:F123"/>
    <mergeCell ref="I121:I123"/>
    <mergeCell ref="C124:C125"/>
    <mergeCell ref="D124:D125"/>
    <mergeCell ref="I124:I125"/>
    <mergeCell ref="E124:E125"/>
    <mergeCell ref="F124:F125"/>
    <mergeCell ref="C126:C128"/>
    <mergeCell ref="D126:D128"/>
    <mergeCell ref="E126:E128"/>
    <mergeCell ref="F126:F128"/>
    <mergeCell ref="I126:I128"/>
    <mergeCell ref="E131:E133"/>
    <mergeCell ref="F131:F133"/>
    <mergeCell ref="E134:E135"/>
    <mergeCell ref="F134:F135"/>
    <mergeCell ref="E136:E138"/>
    <mergeCell ref="F136:F138"/>
    <mergeCell ref="E139:E141"/>
    <mergeCell ref="F139:F141"/>
    <mergeCell ref="I134:I135"/>
    <mergeCell ref="I136:I138"/>
    <mergeCell ref="I139:I141"/>
    <mergeCell ref="I142:I143"/>
    <mergeCell ref="C129:C130"/>
    <mergeCell ref="D129:D130"/>
    <mergeCell ref="E129:E130"/>
    <mergeCell ref="F129:F130"/>
    <mergeCell ref="I129:I130"/>
    <mergeCell ref="D131:D133"/>
    <mergeCell ref="I131:I133"/>
    <mergeCell ref="C164:C165"/>
    <mergeCell ref="D164:D165"/>
    <mergeCell ref="E164:E165"/>
    <mergeCell ref="F164:F165"/>
    <mergeCell ref="I164:I165"/>
    <mergeCell ref="C166:C168"/>
    <mergeCell ref="D166:D168"/>
    <mergeCell ref="I166:I168"/>
    <mergeCell ref="E166:E168"/>
    <mergeCell ref="F166:F168"/>
    <mergeCell ref="C169:C171"/>
    <mergeCell ref="D169:D171"/>
    <mergeCell ref="E169:E171"/>
    <mergeCell ref="F169:F171"/>
    <mergeCell ref="I169:I171"/>
    <mergeCell ref="B108:B110"/>
    <mergeCell ref="B111:B112"/>
    <mergeCell ref="B113:B115"/>
    <mergeCell ref="B116:B118"/>
    <mergeCell ref="B119:B120"/>
    <mergeCell ref="B121:B123"/>
    <mergeCell ref="B124:B125"/>
    <mergeCell ref="B126:B128"/>
    <mergeCell ref="B129:B130"/>
    <mergeCell ref="C144:C146"/>
    <mergeCell ref="D144:D146"/>
    <mergeCell ref="E144:E146"/>
    <mergeCell ref="F144:F146"/>
    <mergeCell ref="I144:I146"/>
    <mergeCell ref="C147:C149"/>
    <mergeCell ref="D147:D149"/>
    <mergeCell ref="E147:E149"/>
    <mergeCell ref="F147:F149"/>
    <mergeCell ref="I147:I149"/>
    <mergeCell ref="C150:C152"/>
    <mergeCell ref="D150:D152"/>
    <mergeCell ref="I150:I152"/>
    <mergeCell ref="E150:E152"/>
    <mergeCell ref="F150:F152"/>
    <mergeCell ref="C153:C155"/>
    <mergeCell ref="D153:D155"/>
    <mergeCell ref="E153:E155"/>
    <mergeCell ref="F153:F155"/>
    <mergeCell ref="I153:I155"/>
    <mergeCell ref="C156:C158"/>
    <mergeCell ref="D156:D158"/>
    <mergeCell ref="E156:E158"/>
    <mergeCell ref="F156:F158"/>
    <mergeCell ref="I156:I158"/>
    <mergeCell ref="C159:C160"/>
    <mergeCell ref="D159:D160"/>
    <mergeCell ref="I159:I160"/>
    <mergeCell ref="E159:E160"/>
    <mergeCell ref="F159:F160"/>
    <mergeCell ref="C161:C163"/>
    <mergeCell ref="D161:D163"/>
    <mergeCell ref="E161:E163"/>
    <mergeCell ref="F161:F163"/>
    <mergeCell ref="I161:I163"/>
    <mergeCell ref="C172:C174"/>
    <mergeCell ref="D172:D174"/>
    <mergeCell ref="E172:E174"/>
    <mergeCell ref="F172:F174"/>
    <mergeCell ref="I172:I174"/>
    <mergeCell ref="B8:B10"/>
    <mergeCell ref="B11:B13"/>
    <mergeCell ref="A8:A16"/>
    <mergeCell ref="B14:B16"/>
    <mergeCell ref="A17:A25"/>
    <mergeCell ref="B17:B19"/>
    <mergeCell ref="B20:B22"/>
    <mergeCell ref="B23:B25"/>
    <mergeCell ref="A26:A36"/>
    <mergeCell ref="B64:B66"/>
    <mergeCell ref="B67:B69"/>
    <mergeCell ref="A50:A63"/>
    <mergeCell ref="B50:B52"/>
    <mergeCell ref="B53:B55"/>
    <mergeCell ref="B56:B58"/>
    <mergeCell ref="B59:B60"/>
    <mergeCell ref="B61:B63"/>
    <mergeCell ref="B75:B76"/>
    <mergeCell ref="B70:B71"/>
    <mergeCell ref="B72:B74"/>
    <mergeCell ref="B77:B79"/>
    <mergeCell ref="B80:B81"/>
    <mergeCell ref="B82:B83"/>
    <mergeCell ref="B84:B86"/>
    <mergeCell ref="B87:B89"/>
    <mergeCell ref="B90:B91"/>
    <mergeCell ref="B92:B94"/>
    <mergeCell ref="B95:B96"/>
    <mergeCell ref="B97:B99"/>
    <mergeCell ref="B100:B101"/>
    <mergeCell ref="B102:B104"/>
    <mergeCell ref="B105:B107"/>
    <mergeCell ref="A64:A76"/>
    <mergeCell ref="A77:A86"/>
    <mergeCell ref="A87:A99"/>
    <mergeCell ref="A100:A115"/>
    <mergeCell ref="A116:A123"/>
    <mergeCell ref="A124:A135"/>
    <mergeCell ref="A136:A155"/>
    <mergeCell ref="B233:B235"/>
    <mergeCell ref="B236:B238"/>
    <mergeCell ref="B217:B218"/>
    <mergeCell ref="B219:B221"/>
    <mergeCell ref="B222:B224"/>
    <mergeCell ref="B225:B226"/>
    <mergeCell ref="B227:B228"/>
    <mergeCell ref="B229:B230"/>
    <mergeCell ref="B231:B232"/>
    <mergeCell ref="B270:B272"/>
    <mergeCell ref="B273:B275"/>
    <mergeCell ref="B252:B253"/>
    <mergeCell ref="B254:B256"/>
    <mergeCell ref="B257:B259"/>
    <mergeCell ref="B260:B261"/>
    <mergeCell ref="B262:B264"/>
    <mergeCell ref="B265:B266"/>
    <mergeCell ref="B267:B269"/>
    <mergeCell ref="B292:B293"/>
    <mergeCell ref="A296:B296"/>
    <mergeCell ref="A297:B297"/>
    <mergeCell ref="A298:B298"/>
    <mergeCell ref="A299:B299"/>
    <mergeCell ref="A300:B300"/>
    <mergeCell ref="A301:B301"/>
    <mergeCell ref="B276:B277"/>
    <mergeCell ref="B278:B279"/>
    <mergeCell ref="B280:B282"/>
    <mergeCell ref="B283:B284"/>
    <mergeCell ref="B285:B286"/>
    <mergeCell ref="B287:B288"/>
    <mergeCell ref="B289:B291"/>
    <mergeCell ref="B193:B195"/>
    <mergeCell ref="B196:B197"/>
    <mergeCell ref="B191:B192"/>
    <mergeCell ref="B198:B199"/>
    <mergeCell ref="B200:B202"/>
    <mergeCell ref="B203:B205"/>
    <mergeCell ref="B206:B207"/>
    <mergeCell ref="B208:B209"/>
    <mergeCell ref="A198:A216"/>
    <mergeCell ref="A217:A235"/>
    <mergeCell ref="A236:A251"/>
    <mergeCell ref="A252:A261"/>
    <mergeCell ref="A262:A277"/>
    <mergeCell ref="A278:A293"/>
    <mergeCell ref="A156:A179"/>
    <mergeCell ref="A180:A197"/>
    <mergeCell ref="B180:B181"/>
    <mergeCell ref="B183:B185"/>
    <mergeCell ref="B186:B188"/>
    <mergeCell ref="B189:B190"/>
    <mergeCell ref="B215:B216"/>
    <mergeCell ref="B210:B211"/>
    <mergeCell ref="B212:B214"/>
    <mergeCell ref="B239:B241"/>
    <mergeCell ref="B242:B244"/>
    <mergeCell ref="B245:B246"/>
    <mergeCell ref="B247:B248"/>
    <mergeCell ref="B249:B251"/>
    <mergeCell ref="E233:E235"/>
    <mergeCell ref="F233:F235"/>
    <mergeCell ref="D229:D230"/>
    <mergeCell ref="E229:E230"/>
    <mergeCell ref="F229:F230"/>
    <mergeCell ref="D231:D232"/>
    <mergeCell ref="E231:E232"/>
    <mergeCell ref="F231:F232"/>
    <mergeCell ref="D233:D235"/>
    <mergeCell ref="E242:E244"/>
    <mergeCell ref="F242:F244"/>
    <mergeCell ref="D236:D238"/>
    <mergeCell ref="E236:E238"/>
    <mergeCell ref="F236:F238"/>
    <mergeCell ref="D239:D241"/>
    <mergeCell ref="E239:E241"/>
    <mergeCell ref="F239:F241"/>
    <mergeCell ref="D242:D244"/>
    <mergeCell ref="D252:D253"/>
    <mergeCell ref="E252:E253"/>
    <mergeCell ref="F252:F253"/>
    <mergeCell ref="D254:D256"/>
    <mergeCell ref="E254:E256"/>
    <mergeCell ref="F254:F256"/>
    <mergeCell ref="D245:D246"/>
    <mergeCell ref="E245:E246"/>
    <mergeCell ref="F245:F246"/>
    <mergeCell ref="D247:D248"/>
    <mergeCell ref="E247:E248"/>
    <mergeCell ref="F247:F248"/>
    <mergeCell ref="D249:D251"/>
    <mergeCell ref="I289:I291"/>
    <mergeCell ref="I292:I293"/>
    <mergeCell ref="E249:E251"/>
    <mergeCell ref="F249:F251"/>
    <mergeCell ref="I278:I279"/>
    <mergeCell ref="I280:I282"/>
    <mergeCell ref="I283:I284"/>
    <mergeCell ref="I285:I286"/>
    <mergeCell ref="I287:I288"/>
    <mergeCell ref="E210:E211"/>
    <mergeCell ref="F210:F211"/>
    <mergeCell ref="I210:I211"/>
    <mergeCell ref="D206:D207"/>
    <mergeCell ref="E206:E207"/>
    <mergeCell ref="F206:F207"/>
    <mergeCell ref="D208:D209"/>
    <mergeCell ref="E208:E209"/>
    <mergeCell ref="F208:F209"/>
    <mergeCell ref="D210:D211"/>
    <mergeCell ref="D212:D214"/>
    <mergeCell ref="E212:E214"/>
    <mergeCell ref="F212:F214"/>
    <mergeCell ref="I212:I214"/>
    <mergeCell ref="E215:E216"/>
    <mergeCell ref="F215:F216"/>
    <mergeCell ref="I215:I216"/>
    <mergeCell ref="D215:D216"/>
    <mergeCell ref="D217:D218"/>
    <mergeCell ref="E217:E218"/>
    <mergeCell ref="F217:F218"/>
    <mergeCell ref="D219:D221"/>
    <mergeCell ref="E219:E221"/>
    <mergeCell ref="F219:F221"/>
    <mergeCell ref="E227:E228"/>
    <mergeCell ref="F227:F228"/>
    <mergeCell ref="D222:D224"/>
    <mergeCell ref="E222:E224"/>
    <mergeCell ref="F222:F224"/>
    <mergeCell ref="D225:D226"/>
    <mergeCell ref="E225:E226"/>
    <mergeCell ref="F225:F226"/>
    <mergeCell ref="D227:D228"/>
    <mergeCell ref="I217:I218"/>
    <mergeCell ref="I219:I221"/>
    <mergeCell ref="I222:I224"/>
    <mergeCell ref="I225:I226"/>
    <mergeCell ref="I227:I228"/>
    <mergeCell ref="I229:I230"/>
    <mergeCell ref="I231:I232"/>
    <mergeCell ref="C260:C261"/>
    <mergeCell ref="C262:C264"/>
    <mergeCell ref="D262:D264"/>
    <mergeCell ref="E262:E264"/>
    <mergeCell ref="F262:F264"/>
    <mergeCell ref="C265:C266"/>
    <mergeCell ref="D265:D266"/>
    <mergeCell ref="C267:C269"/>
    <mergeCell ref="D267:D269"/>
    <mergeCell ref="E267:E269"/>
    <mergeCell ref="F267:F269"/>
    <mergeCell ref="D270:D272"/>
    <mergeCell ref="E270:E272"/>
    <mergeCell ref="F270:F272"/>
    <mergeCell ref="C278:C279"/>
    <mergeCell ref="D278:D279"/>
    <mergeCell ref="E278:E279"/>
    <mergeCell ref="F278:F279"/>
    <mergeCell ref="D280:D282"/>
    <mergeCell ref="E280:E282"/>
    <mergeCell ref="F280:F282"/>
    <mergeCell ref="C280:C282"/>
    <mergeCell ref="C283:C284"/>
    <mergeCell ref="D283:D284"/>
    <mergeCell ref="E283:E284"/>
    <mergeCell ref="F283:F284"/>
    <mergeCell ref="C285:C286"/>
    <mergeCell ref="D285:D286"/>
    <mergeCell ref="D289:D291"/>
    <mergeCell ref="E289:E291"/>
    <mergeCell ref="E285:E286"/>
    <mergeCell ref="F285:F286"/>
    <mergeCell ref="C287:C288"/>
    <mergeCell ref="D287:D288"/>
    <mergeCell ref="E287:E288"/>
    <mergeCell ref="F287:F288"/>
    <mergeCell ref="F289:F291"/>
    <mergeCell ref="C186:C188"/>
    <mergeCell ref="C189:C190"/>
    <mergeCell ref="C191:C192"/>
    <mergeCell ref="C193:C195"/>
    <mergeCell ref="C196:C197"/>
    <mergeCell ref="C198:C199"/>
    <mergeCell ref="C200:C202"/>
    <mergeCell ref="C203:C205"/>
    <mergeCell ref="C206:C207"/>
    <mergeCell ref="C208:C209"/>
    <mergeCell ref="C210:C211"/>
    <mergeCell ref="C212:C214"/>
    <mergeCell ref="C215:C216"/>
    <mergeCell ref="C217:C218"/>
    <mergeCell ref="C219:C221"/>
    <mergeCell ref="C222:C224"/>
    <mergeCell ref="C225:C226"/>
    <mergeCell ref="C227:C228"/>
    <mergeCell ref="C229:C230"/>
    <mergeCell ref="C231:C232"/>
    <mergeCell ref="C233:C235"/>
    <mergeCell ref="C254:C256"/>
    <mergeCell ref="C257:C259"/>
    <mergeCell ref="D257:D259"/>
    <mergeCell ref="E257:E259"/>
    <mergeCell ref="F257:F259"/>
    <mergeCell ref="D260:D261"/>
    <mergeCell ref="E260:E261"/>
    <mergeCell ref="F260:F261"/>
    <mergeCell ref="C236:C238"/>
    <mergeCell ref="C239:C241"/>
    <mergeCell ref="C242:C244"/>
    <mergeCell ref="C245:C246"/>
    <mergeCell ref="C247:C248"/>
    <mergeCell ref="C249:C251"/>
    <mergeCell ref="C252:C253"/>
    <mergeCell ref="E265:E266"/>
    <mergeCell ref="F265:F266"/>
    <mergeCell ref="C289:C291"/>
    <mergeCell ref="C292:C293"/>
    <mergeCell ref="D292:D293"/>
    <mergeCell ref="E292:E293"/>
    <mergeCell ref="F292:F293"/>
  </mergeCells>
  <dataValidations>
    <dataValidation type="list" allowBlank="1" showErrorMessage="1" sqref="D8 D11 D14 D17 D20 D23 D26 D29 D32 D34 D37 D40 D43 D46 D48 D50 D53 D56 D59 D61 D64 D67 D70 D72 D75 D77 D80 D82 D84 D87 D90 D92 D95 D97 D100 D102 D105 D108 D111 D113 D116 D119 D121 D124 D126 D129 D131 D134 D136 D139 D142 D144 D147 D150 D153 D156 D159 D161 D164 D166 D169 D172 D175 D177 D180 D182:D183 D186 D189 D191 D193 D196 D198 D200 D203 D206 D208 D210 D212 D215 D217 D219 D222 D225 D227 D229 D231 D233 D236 D239 D242 D245 D247 D249 D252 D254 D257 D260 D262 D265 D267 D270 D273 D276 D278 D280 D283 D285 D287 D289 D292">
      <formula1>"Critical,High,Medium"</formula1>
    </dataValidation>
    <dataValidation type="list" allowBlank="1" showErrorMessage="1" sqref="F8 F11 F14 F17 F20 F23 F26 F29 F32 F34 F37 F40 F43 F46 F48 F50 F53 F56 F59 F61 F64 F67 F70 F72 F75 F77 F80 F82 F84 F87 F90 F92 F95 F97 F100 F102 F105 F108 F111 F113 F116 F119 F121 F124 F126 F129 F131 F134 F136 F139 F142 F144 F147 F150 F153 F156 F159 F161 F164 F166 F169 F172 F175 F177 F180 F182:F183 F186 F189 F191 F193 F196 F198 F200 F203 F206 F208 F210 F212 F215 F217 F219 F222 F225 F227 F229 F231 F233 F236 F239 F242 F245 F247 F249 F252 F254 F257 F260 F262 F265 F267 F270 F273 F276 F278 F280 F283 F285 F287 F289 F292">
      <formula1>"Bùi Cao Chung,Bùi Huy Hoàng,Nguyễn Văn Tiến Anh,Vũ Mạnh Cường"</formula1>
    </dataValidation>
    <dataValidation type="list" allowBlank="1" showErrorMessage="1" sqref="I8 I11 I14 I17 I20 I23 I26 I29 I32 I34 I37 I40 I43 I46 I48 I50 I53 I56 I59 I61 I64 I67 I70 I72 I75 I77 I80 I82 I84 I87 I90 I92 I95 I97 I100 I102 I105 I108 I111 I113 I116 I119 I121 I124 I126 I129 I131 I134 I136 I139 I142 I144 I147 I150 I153 I156 I159 I161 I164 I166 I169 I172 I175 I177 I180 I182:I183 I186 I189 I191 I193 I196 I198 I200 I203 I206 I208 I210 I212 I215 I217 I219 I222 I225 I227 I229 I231 I233 I236 I239 I242 I245 I247 I249 I252 I254 I257 I260 I262 I265 I267 I270 I273 I276 I278 I280 I283 I285 I287 I289 I292">
      <formula1>"Chưa bắt đầu,Đã hoàn thành,Đang thực hiện"</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0"/>
    <col customWidth="1" min="2" max="2" width="17.25"/>
    <col customWidth="1" min="3" max="3" width="34.13"/>
    <col customWidth="1" min="4" max="4" width="32.5"/>
    <col customWidth="1" min="5" max="5" width="41.25"/>
    <col customWidth="1" min="6" max="6" width="32.5"/>
    <col customWidth="1" min="7" max="8" width="26.38"/>
    <col customWidth="1" min="9" max="9" width="16.0"/>
    <col customWidth="1" min="10" max="10" width="18.0"/>
    <col customWidth="1" min="11" max="11" width="18.63"/>
    <col customWidth="1" min="12" max="12" width="18.0"/>
  </cols>
  <sheetData>
    <row r="1" ht="27.0" customHeight="1">
      <c r="A1" s="166" t="s">
        <v>1388</v>
      </c>
      <c r="M1" s="8"/>
      <c r="N1" s="8"/>
      <c r="O1" s="8"/>
      <c r="P1" s="8"/>
      <c r="Q1" s="8"/>
      <c r="R1" s="8"/>
      <c r="S1" s="8"/>
      <c r="T1" s="8"/>
      <c r="U1" s="8"/>
      <c r="V1" s="8"/>
      <c r="W1" s="8"/>
      <c r="X1" s="8"/>
      <c r="Y1" s="8"/>
      <c r="Z1" s="8"/>
      <c r="AA1" s="8"/>
      <c r="AB1" s="8"/>
      <c r="AC1" s="8"/>
      <c r="AD1" s="8"/>
    </row>
    <row r="2" ht="44.25" customHeight="1">
      <c r="A2" s="167" t="s">
        <v>1389</v>
      </c>
      <c r="B2" s="167" t="s">
        <v>187</v>
      </c>
      <c r="C2" s="167" t="s">
        <v>1390</v>
      </c>
      <c r="D2" s="167" t="s">
        <v>1391</v>
      </c>
      <c r="E2" s="168" t="s">
        <v>1392</v>
      </c>
      <c r="F2" s="168" t="s">
        <v>1393</v>
      </c>
      <c r="G2" s="167" t="s">
        <v>1394</v>
      </c>
      <c r="H2" s="168" t="s">
        <v>1395</v>
      </c>
      <c r="I2" s="167" t="s">
        <v>1396</v>
      </c>
      <c r="J2" s="167" t="s">
        <v>1397</v>
      </c>
      <c r="K2" s="168" t="s">
        <v>1398</v>
      </c>
      <c r="L2" s="167" t="s">
        <v>1399</v>
      </c>
      <c r="M2" s="8"/>
      <c r="N2" s="8"/>
      <c r="O2" s="8"/>
      <c r="P2" s="8"/>
      <c r="Q2" s="8"/>
      <c r="R2" s="8"/>
      <c r="S2" s="8"/>
      <c r="T2" s="8"/>
      <c r="U2" s="8"/>
      <c r="V2" s="8"/>
      <c r="W2" s="8"/>
      <c r="X2" s="8"/>
      <c r="Y2" s="8"/>
      <c r="Z2" s="8"/>
      <c r="AA2" s="8"/>
      <c r="AB2" s="8"/>
      <c r="AC2" s="8"/>
      <c r="AD2" s="8"/>
    </row>
    <row r="3">
      <c r="A3" s="169" t="s">
        <v>703</v>
      </c>
      <c r="B3" s="169" t="s">
        <v>196</v>
      </c>
      <c r="C3" s="170" t="s">
        <v>704</v>
      </c>
      <c r="D3" s="170" t="s">
        <v>1400</v>
      </c>
      <c r="E3" s="171" t="s">
        <v>1401</v>
      </c>
      <c r="F3" s="171" t="s">
        <v>1402</v>
      </c>
      <c r="G3" s="170" t="s">
        <v>1403</v>
      </c>
      <c r="H3" s="170" t="s">
        <v>1404</v>
      </c>
      <c r="I3" s="172" t="s">
        <v>1405</v>
      </c>
      <c r="J3" s="173" t="s">
        <v>16</v>
      </c>
      <c r="K3" s="174"/>
      <c r="L3" s="175"/>
      <c r="M3" s="8"/>
      <c r="N3" s="8"/>
      <c r="O3" s="8"/>
      <c r="P3" s="8"/>
      <c r="Q3" s="8"/>
      <c r="R3" s="8"/>
      <c r="S3" s="8"/>
      <c r="T3" s="8"/>
      <c r="U3" s="8"/>
      <c r="V3" s="8"/>
      <c r="W3" s="8"/>
      <c r="X3" s="8"/>
      <c r="Y3" s="8"/>
      <c r="Z3" s="8"/>
      <c r="AA3" s="8"/>
      <c r="AB3" s="8"/>
      <c r="AC3" s="8"/>
      <c r="AD3" s="8"/>
    </row>
    <row r="4">
      <c r="A4" s="169" t="s">
        <v>705</v>
      </c>
      <c r="B4" s="169" t="s">
        <v>196</v>
      </c>
      <c r="C4" s="170" t="s">
        <v>706</v>
      </c>
      <c r="D4" s="170" t="s">
        <v>1406</v>
      </c>
      <c r="E4" s="176" t="s">
        <v>1407</v>
      </c>
      <c r="F4" s="176" t="s">
        <v>1408</v>
      </c>
      <c r="G4" s="170" t="s">
        <v>1409</v>
      </c>
      <c r="H4" s="170" t="s">
        <v>1410</v>
      </c>
      <c r="I4" s="177" t="s">
        <v>1411</v>
      </c>
      <c r="J4" s="178" t="s">
        <v>16</v>
      </c>
      <c r="K4" s="174"/>
      <c r="L4" s="175"/>
      <c r="M4" s="8"/>
      <c r="N4" s="8"/>
      <c r="O4" s="8"/>
      <c r="P4" s="8"/>
      <c r="Q4" s="8"/>
      <c r="R4" s="8"/>
      <c r="S4" s="8"/>
      <c r="T4" s="8"/>
      <c r="U4" s="8"/>
      <c r="V4" s="8"/>
      <c r="W4" s="8"/>
      <c r="X4" s="8"/>
      <c r="Y4" s="8"/>
      <c r="Z4" s="8"/>
      <c r="AA4" s="8"/>
      <c r="AB4" s="8"/>
      <c r="AC4" s="8"/>
      <c r="AD4" s="8"/>
    </row>
    <row r="5">
      <c r="A5" s="169" t="s">
        <v>707</v>
      </c>
      <c r="B5" s="169" t="s">
        <v>196</v>
      </c>
      <c r="C5" s="170" t="s">
        <v>708</v>
      </c>
      <c r="D5" s="170" t="s">
        <v>1412</v>
      </c>
      <c r="E5" s="171" t="s">
        <v>1413</v>
      </c>
      <c r="F5" s="171" t="s">
        <v>1414</v>
      </c>
      <c r="G5" s="170" t="s">
        <v>1415</v>
      </c>
      <c r="H5" s="170" t="s">
        <v>1415</v>
      </c>
      <c r="I5" s="179" t="s">
        <v>1416</v>
      </c>
      <c r="J5" s="173" t="s">
        <v>16</v>
      </c>
      <c r="K5" s="174"/>
      <c r="L5" s="175"/>
      <c r="M5" s="8"/>
      <c r="N5" s="8"/>
      <c r="O5" s="8"/>
      <c r="P5" s="8"/>
      <c r="Q5" s="8"/>
      <c r="R5" s="8"/>
      <c r="S5" s="8"/>
      <c r="T5" s="8"/>
      <c r="U5" s="8"/>
      <c r="V5" s="8"/>
      <c r="W5" s="8"/>
      <c r="X5" s="8"/>
      <c r="Y5" s="8"/>
      <c r="Z5" s="8"/>
      <c r="AA5" s="8"/>
      <c r="AB5" s="8"/>
      <c r="AC5" s="8"/>
      <c r="AD5" s="8"/>
    </row>
    <row r="6">
      <c r="A6" s="169" t="s">
        <v>710</v>
      </c>
      <c r="B6" s="169" t="s">
        <v>203</v>
      </c>
      <c r="C6" s="170" t="s">
        <v>711</v>
      </c>
      <c r="D6" s="170" t="s">
        <v>1417</v>
      </c>
      <c r="E6" s="176" t="s">
        <v>1418</v>
      </c>
      <c r="F6" s="176" t="s">
        <v>1419</v>
      </c>
      <c r="G6" s="170" t="s">
        <v>1420</v>
      </c>
      <c r="H6" s="170" t="s">
        <v>1421</v>
      </c>
      <c r="I6" s="177" t="s">
        <v>1411</v>
      </c>
      <c r="J6" s="178" t="s">
        <v>16</v>
      </c>
      <c r="K6" s="174"/>
      <c r="L6" s="175"/>
      <c r="M6" s="8"/>
      <c r="N6" s="8"/>
      <c r="O6" s="8"/>
      <c r="P6" s="8"/>
      <c r="Q6" s="8"/>
      <c r="R6" s="8"/>
      <c r="S6" s="8"/>
      <c r="T6" s="8"/>
      <c r="U6" s="8"/>
      <c r="V6" s="8"/>
      <c r="W6" s="8"/>
      <c r="X6" s="8"/>
      <c r="Y6" s="8"/>
      <c r="Z6" s="8"/>
      <c r="AA6" s="8"/>
      <c r="AB6" s="8"/>
      <c r="AC6" s="8"/>
      <c r="AD6" s="8"/>
    </row>
    <row r="7">
      <c r="A7" s="169" t="s">
        <v>712</v>
      </c>
      <c r="B7" s="169" t="s">
        <v>203</v>
      </c>
      <c r="C7" s="170" t="s">
        <v>713</v>
      </c>
      <c r="D7" s="170" t="s">
        <v>1422</v>
      </c>
      <c r="E7" s="171" t="s">
        <v>1423</v>
      </c>
      <c r="F7" s="171" t="s">
        <v>1424</v>
      </c>
      <c r="G7" s="170" t="s">
        <v>1425</v>
      </c>
      <c r="H7" s="170" t="s">
        <v>1421</v>
      </c>
      <c r="I7" s="177" t="s">
        <v>1411</v>
      </c>
      <c r="J7" s="173" t="s">
        <v>16</v>
      </c>
      <c r="K7" s="174"/>
      <c r="L7" s="175"/>
      <c r="M7" s="8"/>
      <c r="N7" s="8"/>
      <c r="O7" s="8"/>
      <c r="P7" s="8"/>
      <c r="Q7" s="8"/>
      <c r="R7" s="8"/>
      <c r="S7" s="8"/>
      <c r="T7" s="8"/>
      <c r="U7" s="8"/>
      <c r="V7" s="8"/>
      <c r="W7" s="8"/>
      <c r="X7" s="8"/>
      <c r="Y7" s="8"/>
      <c r="Z7" s="8"/>
      <c r="AA7" s="8"/>
      <c r="AB7" s="8"/>
      <c r="AC7" s="8"/>
      <c r="AD7" s="8"/>
    </row>
    <row r="8">
      <c r="A8" s="169" t="s">
        <v>714</v>
      </c>
      <c r="B8" s="169" t="s">
        <v>203</v>
      </c>
      <c r="C8" s="170" t="s">
        <v>715</v>
      </c>
      <c r="D8" s="170" t="s">
        <v>1426</v>
      </c>
      <c r="E8" s="176" t="s">
        <v>1427</v>
      </c>
      <c r="F8" s="176" t="s">
        <v>1428</v>
      </c>
      <c r="G8" s="170" t="s">
        <v>1429</v>
      </c>
      <c r="H8" s="170" t="s">
        <v>1430</v>
      </c>
      <c r="I8" s="177" t="s">
        <v>1411</v>
      </c>
      <c r="J8" s="178" t="s">
        <v>16</v>
      </c>
      <c r="K8" s="174"/>
      <c r="L8" s="175"/>
      <c r="M8" s="8"/>
      <c r="N8" s="8"/>
      <c r="O8" s="8"/>
      <c r="P8" s="8"/>
      <c r="Q8" s="8"/>
      <c r="R8" s="8"/>
      <c r="S8" s="8"/>
      <c r="T8" s="8"/>
      <c r="U8" s="8"/>
      <c r="V8" s="8"/>
      <c r="W8" s="8"/>
      <c r="X8" s="8"/>
      <c r="Y8" s="8"/>
      <c r="Z8" s="8"/>
      <c r="AA8" s="8"/>
      <c r="AB8" s="8"/>
      <c r="AC8" s="8"/>
      <c r="AD8" s="8"/>
    </row>
    <row r="9">
      <c r="A9" s="169" t="s">
        <v>717</v>
      </c>
      <c r="B9" s="169" t="s">
        <v>210</v>
      </c>
      <c r="C9" s="170" t="s">
        <v>718</v>
      </c>
      <c r="D9" s="170" t="s">
        <v>1431</v>
      </c>
      <c r="E9" s="171" t="s">
        <v>1432</v>
      </c>
      <c r="F9" s="171" t="s">
        <v>1433</v>
      </c>
      <c r="G9" s="170" t="s">
        <v>1434</v>
      </c>
      <c r="H9" s="170" t="s">
        <v>1410</v>
      </c>
      <c r="I9" s="177" t="s">
        <v>1411</v>
      </c>
      <c r="J9" s="173" t="s">
        <v>16</v>
      </c>
      <c r="K9" s="174"/>
      <c r="L9" s="175"/>
      <c r="M9" s="8"/>
      <c r="N9" s="8"/>
      <c r="O9" s="8"/>
      <c r="P9" s="8"/>
      <c r="Q9" s="8"/>
      <c r="R9" s="8"/>
      <c r="S9" s="8"/>
      <c r="T9" s="8"/>
      <c r="U9" s="8"/>
      <c r="V9" s="8"/>
      <c r="W9" s="8"/>
      <c r="X9" s="8"/>
      <c r="Y9" s="8"/>
      <c r="Z9" s="8"/>
      <c r="AA9" s="8"/>
      <c r="AB9" s="8"/>
      <c r="AC9" s="8"/>
      <c r="AD9" s="8"/>
    </row>
    <row r="10">
      <c r="A10" s="169" t="s">
        <v>719</v>
      </c>
      <c r="B10" s="169" t="s">
        <v>210</v>
      </c>
      <c r="C10" s="170" t="s">
        <v>720</v>
      </c>
      <c r="D10" s="170" t="s">
        <v>1435</v>
      </c>
      <c r="E10" s="176" t="s">
        <v>1436</v>
      </c>
      <c r="F10" s="176" t="s">
        <v>1437</v>
      </c>
      <c r="G10" s="170" t="s">
        <v>1438</v>
      </c>
      <c r="H10" s="170" t="s">
        <v>1410</v>
      </c>
      <c r="I10" s="177" t="s">
        <v>1411</v>
      </c>
      <c r="J10" s="178" t="s">
        <v>16</v>
      </c>
      <c r="K10" s="174"/>
      <c r="L10" s="175"/>
      <c r="M10" s="8"/>
      <c r="N10" s="8"/>
      <c r="O10" s="8"/>
      <c r="P10" s="8"/>
      <c r="Q10" s="8"/>
      <c r="R10" s="8"/>
      <c r="S10" s="8"/>
      <c r="T10" s="8"/>
      <c r="U10" s="8"/>
      <c r="V10" s="8"/>
      <c r="W10" s="8"/>
      <c r="X10" s="8"/>
      <c r="Y10" s="8"/>
      <c r="Z10" s="8"/>
      <c r="AA10" s="8"/>
      <c r="AB10" s="8"/>
      <c r="AC10" s="8"/>
      <c r="AD10" s="8"/>
    </row>
    <row r="11">
      <c r="A11" s="169" t="s">
        <v>721</v>
      </c>
      <c r="B11" s="169" t="s">
        <v>210</v>
      </c>
      <c r="C11" s="170" t="s">
        <v>722</v>
      </c>
      <c r="D11" s="170" t="s">
        <v>1439</v>
      </c>
      <c r="E11" s="171" t="s">
        <v>1440</v>
      </c>
      <c r="F11" s="171" t="s">
        <v>1441</v>
      </c>
      <c r="G11" s="170" t="s">
        <v>1442</v>
      </c>
      <c r="H11" s="170" t="s">
        <v>1430</v>
      </c>
      <c r="I11" s="179" t="s">
        <v>1416</v>
      </c>
      <c r="J11" s="173" t="s">
        <v>16</v>
      </c>
      <c r="K11" s="174"/>
      <c r="L11" s="175"/>
      <c r="M11" s="8"/>
      <c r="N11" s="8"/>
      <c r="O11" s="8"/>
      <c r="P11" s="8"/>
      <c r="Q11" s="8"/>
      <c r="R11" s="8"/>
      <c r="S11" s="8"/>
      <c r="T11" s="8"/>
      <c r="U11" s="8"/>
      <c r="V11" s="8"/>
      <c r="W11" s="8"/>
      <c r="X11" s="8"/>
      <c r="Y11" s="8"/>
      <c r="Z11" s="8"/>
      <c r="AA11" s="8"/>
      <c r="AB11" s="8"/>
      <c r="AC11" s="8"/>
      <c r="AD11" s="8"/>
    </row>
    <row r="12">
      <c r="A12" s="169" t="s">
        <v>724</v>
      </c>
      <c r="B12" s="169" t="s">
        <v>219</v>
      </c>
      <c r="C12" s="170" t="s">
        <v>725</v>
      </c>
      <c r="D12" s="170" t="s">
        <v>1443</v>
      </c>
      <c r="E12" s="176" t="s">
        <v>1444</v>
      </c>
      <c r="F12" s="176" t="s">
        <v>1445</v>
      </c>
      <c r="G12" s="170" t="s">
        <v>1446</v>
      </c>
      <c r="H12" s="170" t="s">
        <v>1447</v>
      </c>
      <c r="I12" s="172" t="s">
        <v>1405</v>
      </c>
      <c r="J12" s="178" t="s">
        <v>16</v>
      </c>
      <c r="K12" s="174"/>
      <c r="L12" s="175"/>
      <c r="M12" s="8"/>
      <c r="N12" s="8"/>
      <c r="O12" s="8"/>
      <c r="P12" s="8"/>
      <c r="Q12" s="8"/>
      <c r="R12" s="8"/>
      <c r="S12" s="8"/>
      <c r="T12" s="8"/>
      <c r="U12" s="8"/>
      <c r="V12" s="8"/>
      <c r="W12" s="8"/>
      <c r="X12" s="8"/>
      <c r="Y12" s="8"/>
      <c r="Z12" s="8"/>
      <c r="AA12" s="8"/>
      <c r="AB12" s="8"/>
      <c r="AC12" s="8"/>
      <c r="AD12" s="8"/>
    </row>
    <row r="13">
      <c r="A13" s="169" t="s">
        <v>726</v>
      </c>
      <c r="B13" s="169" t="s">
        <v>219</v>
      </c>
      <c r="C13" s="170" t="s">
        <v>727</v>
      </c>
      <c r="D13" s="170" t="s">
        <v>1448</v>
      </c>
      <c r="E13" s="171" t="s">
        <v>1449</v>
      </c>
      <c r="F13" s="171" t="s">
        <v>1450</v>
      </c>
      <c r="G13" s="170" t="s">
        <v>1451</v>
      </c>
      <c r="H13" s="170" t="s">
        <v>1452</v>
      </c>
      <c r="I13" s="177" t="s">
        <v>1411</v>
      </c>
      <c r="J13" s="173" t="s">
        <v>16</v>
      </c>
      <c r="K13" s="174"/>
      <c r="L13" s="175"/>
      <c r="M13" s="8"/>
      <c r="N13" s="8"/>
      <c r="O13" s="8"/>
      <c r="P13" s="8"/>
      <c r="Q13" s="8"/>
      <c r="R13" s="8"/>
      <c r="S13" s="8"/>
      <c r="T13" s="8"/>
      <c r="U13" s="8"/>
      <c r="V13" s="8"/>
      <c r="W13" s="8"/>
      <c r="X13" s="8"/>
      <c r="Y13" s="8"/>
      <c r="Z13" s="8"/>
      <c r="AA13" s="8"/>
      <c r="AB13" s="8"/>
      <c r="AC13" s="8"/>
      <c r="AD13" s="8"/>
    </row>
    <row r="14">
      <c r="A14" s="169" t="s">
        <v>728</v>
      </c>
      <c r="B14" s="169" t="s">
        <v>219</v>
      </c>
      <c r="C14" s="170" t="s">
        <v>729</v>
      </c>
      <c r="D14" s="170" t="s">
        <v>1453</v>
      </c>
      <c r="E14" s="176" t="s">
        <v>1454</v>
      </c>
      <c r="F14" s="176" t="s">
        <v>1455</v>
      </c>
      <c r="G14" s="170" t="s">
        <v>1456</v>
      </c>
      <c r="H14" s="170" t="s">
        <v>1457</v>
      </c>
      <c r="I14" s="172" t="s">
        <v>1405</v>
      </c>
      <c r="J14" s="178" t="s">
        <v>16</v>
      </c>
      <c r="K14" s="174"/>
      <c r="L14" s="175"/>
      <c r="M14" s="8"/>
      <c r="N14" s="8"/>
      <c r="O14" s="8"/>
      <c r="P14" s="8"/>
      <c r="Q14" s="8"/>
      <c r="R14" s="8"/>
      <c r="S14" s="8"/>
      <c r="T14" s="8"/>
      <c r="U14" s="8"/>
      <c r="V14" s="8"/>
      <c r="W14" s="8"/>
      <c r="X14" s="8"/>
      <c r="Y14" s="8"/>
      <c r="Z14" s="8"/>
      <c r="AA14" s="8"/>
      <c r="AB14" s="8"/>
      <c r="AC14" s="8"/>
      <c r="AD14" s="8"/>
    </row>
    <row r="15">
      <c r="A15" s="169" t="s">
        <v>731</v>
      </c>
      <c r="B15" s="169" t="s">
        <v>226</v>
      </c>
      <c r="C15" s="170" t="s">
        <v>732</v>
      </c>
      <c r="D15" s="170" t="s">
        <v>1458</v>
      </c>
      <c r="E15" s="171" t="s">
        <v>1459</v>
      </c>
      <c r="F15" s="171" t="s">
        <v>1460</v>
      </c>
      <c r="G15" s="170" t="s">
        <v>1461</v>
      </c>
      <c r="H15" s="170" t="s">
        <v>1462</v>
      </c>
      <c r="I15" s="177" t="s">
        <v>1411</v>
      </c>
      <c r="J15" s="173" t="s">
        <v>16</v>
      </c>
      <c r="K15" s="174"/>
      <c r="L15" s="175"/>
      <c r="M15" s="8"/>
      <c r="N15" s="8"/>
      <c r="O15" s="8"/>
      <c r="P15" s="8"/>
      <c r="Q15" s="8"/>
      <c r="R15" s="8"/>
      <c r="S15" s="8"/>
      <c r="T15" s="8"/>
      <c r="U15" s="8"/>
      <c r="V15" s="8"/>
      <c r="W15" s="8"/>
      <c r="X15" s="8"/>
      <c r="Y15" s="8"/>
      <c r="Z15" s="8"/>
      <c r="AA15" s="8"/>
      <c r="AB15" s="8"/>
      <c r="AC15" s="8"/>
      <c r="AD15" s="8"/>
    </row>
    <row r="16">
      <c r="A16" s="169" t="s">
        <v>733</v>
      </c>
      <c r="B16" s="169" t="s">
        <v>226</v>
      </c>
      <c r="C16" s="170" t="s">
        <v>734</v>
      </c>
      <c r="D16" s="170" t="s">
        <v>1463</v>
      </c>
      <c r="E16" s="176" t="s">
        <v>1464</v>
      </c>
      <c r="F16" s="176" t="s">
        <v>1465</v>
      </c>
      <c r="G16" s="170" t="s">
        <v>1466</v>
      </c>
      <c r="H16" s="170" t="s">
        <v>1467</v>
      </c>
      <c r="I16" s="177" t="s">
        <v>1411</v>
      </c>
      <c r="J16" s="178" t="s">
        <v>16</v>
      </c>
      <c r="K16" s="174"/>
      <c r="L16" s="175"/>
      <c r="M16" s="8"/>
      <c r="N16" s="8"/>
      <c r="O16" s="8"/>
      <c r="P16" s="8"/>
      <c r="Q16" s="8"/>
      <c r="R16" s="8"/>
      <c r="S16" s="8"/>
      <c r="T16" s="8"/>
      <c r="U16" s="8"/>
      <c r="V16" s="8"/>
      <c r="W16" s="8"/>
      <c r="X16" s="8"/>
      <c r="Y16" s="8"/>
      <c r="Z16" s="8"/>
      <c r="AA16" s="8"/>
      <c r="AB16" s="8"/>
      <c r="AC16" s="8"/>
      <c r="AD16" s="8"/>
    </row>
    <row r="17">
      <c r="A17" s="169" t="s">
        <v>735</v>
      </c>
      <c r="B17" s="169" t="s">
        <v>226</v>
      </c>
      <c r="C17" s="170" t="s">
        <v>736</v>
      </c>
      <c r="D17" s="170" t="s">
        <v>1468</v>
      </c>
      <c r="E17" s="171" t="s">
        <v>1469</v>
      </c>
      <c r="F17" s="171" t="s">
        <v>1470</v>
      </c>
      <c r="G17" s="170" t="s">
        <v>1471</v>
      </c>
      <c r="H17" s="170" t="s">
        <v>1447</v>
      </c>
      <c r="I17" s="172" t="s">
        <v>1405</v>
      </c>
      <c r="J17" s="173" t="s">
        <v>16</v>
      </c>
      <c r="K17" s="174"/>
      <c r="L17" s="175"/>
      <c r="M17" s="8"/>
      <c r="N17" s="8"/>
      <c r="O17" s="8"/>
      <c r="P17" s="8"/>
      <c r="Q17" s="8"/>
      <c r="R17" s="8"/>
      <c r="S17" s="8"/>
      <c r="T17" s="8"/>
      <c r="U17" s="8"/>
      <c r="V17" s="8"/>
      <c r="W17" s="8"/>
      <c r="X17" s="8"/>
      <c r="Y17" s="8"/>
      <c r="Z17" s="8"/>
      <c r="AA17" s="8"/>
      <c r="AB17" s="8"/>
      <c r="AC17" s="8"/>
      <c r="AD17" s="8"/>
    </row>
    <row r="18">
      <c r="A18" s="169" t="s">
        <v>738</v>
      </c>
      <c r="B18" s="169" t="s">
        <v>233</v>
      </c>
      <c r="C18" s="170" t="s">
        <v>739</v>
      </c>
      <c r="D18" s="170" t="s">
        <v>1472</v>
      </c>
      <c r="E18" s="176" t="s">
        <v>1473</v>
      </c>
      <c r="F18" s="176" t="s">
        <v>1474</v>
      </c>
      <c r="G18" s="170" t="s">
        <v>1475</v>
      </c>
      <c r="H18" s="170" t="s">
        <v>1476</v>
      </c>
      <c r="I18" s="177" t="s">
        <v>1411</v>
      </c>
      <c r="J18" s="178" t="s">
        <v>16</v>
      </c>
      <c r="K18" s="174"/>
      <c r="L18" s="175"/>
      <c r="M18" s="8"/>
      <c r="N18" s="8"/>
      <c r="O18" s="8"/>
      <c r="P18" s="8"/>
      <c r="Q18" s="8"/>
      <c r="R18" s="8"/>
      <c r="S18" s="8"/>
      <c r="T18" s="8"/>
      <c r="U18" s="8"/>
      <c r="V18" s="8"/>
      <c r="W18" s="8"/>
      <c r="X18" s="8"/>
      <c r="Y18" s="8"/>
      <c r="Z18" s="8"/>
      <c r="AA18" s="8"/>
      <c r="AB18" s="8"/>
      <c r="AC18" s="8"/>
      <c r="AD18" s="8"/>
    </row>
    <row r="19">
      <c r="A19" s="169" t="s">
        <v>740</v>
      </c>
      <c r="B19" s="169" t="s">
        <v>233</v>
      </c>
      <c r="C19" s="170" t="s">
        <v>741</v>
      </c>
      <c r="D19" s="170" t="s">
        <v>1477</v>
      </c>
      <c r="E19" s="171" t="s">
        <v>1478</v>
      </c>
      <c r="F19" s="171" t="s">
        <v>1479</v>
      </c>
      <c r="G19" s="170" t="s">
        <v>1475</v>
      </c>
      <c r="H19" s="170" t="s">
        <v>1476</v>
      </c>
      <c r="I19" s="177" t="s">
        <v>1411</v>
      </c>
      <c r="J19" s="173" t="s">
        <v>16</v>
      </c>
      <c r="K19" s="174"/>
      <c r="L19" s="175"/>
      <c r="M19" s="8"/>
      <c r="N19" s="8"/>
      <c r="O19" s="8"/>
      <c r="P19" s="8"/>
      <c r="Q19" s="8"/>
      <c r="R19" s="8"/>
      <c r="S19" s="8"/>
      <c r="T19" s="8"/>
      <c r="U19" s="8"/>
      <c r="V19" s="8"/>
      <c r="W19" s="8"/>
      <c r="X19" s="8"/>
      <c r="Y19" s="8"/>
      <c r="Z19" s="8"/>
      <c r="AA19" s="8"/>
      <c r="AB19" s="8"/>
      <c r="AC19" s="8"/>
      <c r="AD19" s="8"/>
    </row>
    <row r="20">
      <c r="A20" s="169" t="s">
        <v>742</v>
      </c>
      <c r="B20" s="169" t="s">
        <v>233</v>
      </c>
      <c r="C20" s="170" t="s">
        <v>743</v>
      </c>
      <c r="D20" s="170" t="s">
        <v>1480</v>
      </c>
      <c r="E20" s="176" t="s">
        <v>1481</v>
      </c>
      <c r="F20" s="176" t="s">
        <v>1482</v>
      </c>
      <c r="G20" s="170" t="s">
        <v>1483</v>
      </c>
      <c r="H20" s="170" t="s">
        <v>1447</v>
      </c>
      <c r="I20" s="172" t="s">
        <v>1405</v>
      </c>
      <c r="J20" s="178" t="s">
        <v>16</v>
      </c>
      <c r="K20" s="174"/>
      <c r="L20" s="175"/>
      <c r="M20" s="8"/>
      <c r="N20" s="8"/>
      <c r="O20" s="8"/>
      <c r="P20" s="8"/>
      <c r="Q20" s="8"/>
      <c r="R20" s="8"/>
      <c r="S20" s="8"/>
      <c r="T20" s="8"/>
      <c r="U20" s="8"/>
      <c r="V20" s="8"/>
      <c r="W20" s="8"/>
      <c r="X20" s="8"/>
      <c r="Y20" s="8"/>
      <c r="Z20" s="8"/>
      <c r="AA20" s="8"/>
      <c r="AB20" s="8"/>
      <c r="AC20" s="8"/>
      <c r="AD20" s="8"/>
    </row>
    <row r="21">
      <c r="A21" s="169" t="s">
        <v>745</v>
      </c>
      <c r="B21" s="169" t="s">
        <v>239</v>
      </c>
      <c r="C21" s="170" t="s">
        <v>746</v>
      </c>
      <c r="D21" s="170" t="s">
        <v>1484</v>
      </c>
      <c r="E21" s="171" t="s">
        <v>1485</v>
      </c>
      <c r="F21" s="171" t="s">
        <v>1486</v>
      </c>
      <c r="G21" s="170" t="s">
        <v>1487</v>
      </c>
      <c r="H21" s="170" t="s">
        <v>1488</v>
      </c>
      <c r="I21" s="172" t="s">
        <v>1405</v>
      </c>
      <c r="J21" s="173" t="s">
        <v>16</v>
      </c>
      <c r="K21" s="174"/>
      <c r="L21" s="175"/>
      <c r="M21" s="8"/>
      <c r="N21" s="8"/>
      <c r="O21" s="8"/>
      <c r="P21" s="8"/>
      <c r="Q21" s="8"/>
      <c r="R21" s="8"/>
      <c r="S21" s="8"/>
      <c r="T21" s="8"/>
      <c r="U21" s="8"/>
      <c r="V21" s="8"/>
      <c r="W21" s="8"/>
      <c r="X21" s="8"/>
      <c r="Y21" s="8"/>
      <c r="Z21" s="8"/>
      <c r="AA21" s="8"/>
      <c r="AB21" s="8"/>
      <c r="AC21" s="8"/>
      <c r="AD21" s="8"/>
    </row>
    <row r="22">
      <c r="A22" s="169" t="s">
        <v>747</v>
      </c>
      <c r="B22" s="169" t="s">
        <v>239</v>
      </c>
      <c r="C22" s="170" t="s">
        <v>748</v>
      </c>
      <c r="D22" s="170" t="s">
        <v>1489</v>
      </c>
      <c r="E22" s="176" t="s">
        <v>1490</v>
      </c>
      <c r="F22" s="176" t="s">
        <v>1491</v>
      </c>
      <c r="G22" s="170" t="s">
        <v>1492</v>
      </c>
      <c r="H22" s="170" t="s">
        <v>1493</v>
      </c>
      <c r="I22" s="177" t="s">
        <v>1411</v>
      </c>
      <c r="J22" s="178" t="s">
        <v>16</v>
      </c>
      <c r="K22" s="174"/>
      <c r="L22" s="175"/>
      <c r="M22" s="8"/>
      <c r="N22" s="8"/>
      <c r="O22" s="8"/>
      <c r="P22" s="8"/>
      <c r="Q22" s="8"/>
      <c r="R22" s="8"/>
      <c r="S22" s="8"/>
      <c r="T22" s="8"/>
      <c r="U22" s="8"/>
      <c r="V22" s="8"/>
      <c r="W22" s="8"/>
      <c r="X22" s="8"/>
      <c r="Y22" s="8"/>
      <c r="Z22" s="8"/>
      <c r="AA22" s="8"/>
      <c r="AB22" s="8"/>
      <c r="AC22" s="8"/>
      <c r="AD22" s="8"/>
    </row>
    <row r="23">
      <c r="A23" s="169" t="s">
        <v>749</v>
      </c>
      <c r="B23" s="169" t="s">
        <v>239</v>
      </c>
      <c r="C23" s="170" t="s">
        <v>750</v>
      </c>
      <c r="D23" s="170" t="s">
        <v>1494</v>
      </c>
      <c r="E23" s="171" t="s">
        <v>1495</v>
      </c>
      <c r="F23" s="171" t="s">
        <v>1496</v>
      </c>
      <c r="G23" s="170" t="s">
        <v>1497</v>
      </c>
      <c r="H23" s="170" t="s">
        <v>1498</v>
      </c>
      <c r="I23" s="179" t="s">
        <v>1416</v>
      </c>
      <c r="J23" s="173" t="s">
        <v>16</v>
      </c>
      <c r="K23" s="174"/>
      <c r="L23" s="175"/>
      <c r="M23" s="8"/>
      <c r="N23" s="8"/>
      <c r="O23" s="8"/>
      <c r="P23" s="8"/>
      <c r="Q23" s="8"/>
      <c r="R23" s="8"/>
      <c r="S23" s="8"/>
      <c r="T23" s="8"/>
      <c r="U23" s="8"/>
      <c r="V23" s="8"/>
      <c r="W23" s="8"/>
      <c r="X23" s="8"/>
      <c r="Y23" s="8"/>
      <c r="Z23" s="8"/>
      <c r="AA23" s="8"/>
      <c r="AB23" s="8"/>
      <c r="AC23" s="8"/>
      <c r="AD23" s="8"/>
    </row>
    <row r="24">
      <c r="A24" s="169" t="s">
        <v>752</v>
      </c>
      <c r="B24" s="169" t="s">
        <v>243</v>
      </c>
      <c r="C24" s="170" t="s">
        <v>753</v>
      </c>
      <c r="D24" s="170" t="s">
        <v>1499</v>
      </c>
      <c r="E24" s="176" t="s">
        <v>1500</v>
      </c>
      <c r="F24" s="176" t="s">
        <v>1501</v>
      </c>
      <c r="G24" s="170" t="s">
        <v>1502</v>
      </c>
      <c r="H24" s="170" t="s">
        <v>1503</v>
      </c>
      <c r="I24" s="177" t="s">
        <v>1411</v>
      </c>
      <c r="J24" s="178" t="s">
        <v>16</v>
      </c>
      <c r="K24" s="174"/>
      <c r="L24" s="175"/>
      <c r="M24" s="8"/>
      <c r="N24" s="8"/>
      <c r="O24" s="8"/>
      <c r="P24" s="8"/>
      <c r="Q24" s="8"/>
      <c r="R24" s="8"/>
      <c r="S24" s="8"/>
      <c r="T24" s="8"/>
      <c r="U24" s="8"/>
      <c r="V24" s="8"/>
      <c r="W24" s="8"/>
      <c r="X24" s="8"/>
      <c r="Y24" s="8"/>
      <c r="Z24" s="8"/>
      <c r="AA24" s="8"/>
      <c r="AB24" s="8"/>
      <c r="AC24" s="8"/>
      <c r="AD24" s="8"/>
    </row>
    <row r="25">
      <c r="A25" s="169" t="s">
        <v>754</v>
      </c>
      <c r="B25" s="169" t="s">
        <v>243</v>
      </c>
      <c r="C25" s="170" t="s">
        <v>755</v>
      </c>
      <c r="D25" s="170" t="s">
        <v>1504</v>
      </c>
      <c r="E25" s="171" t="s">
        <v>1505</v>
      </c>
      <c r="F25" s="171" t="s">
        <v>1506</v>
      </c>
      <c r="G25" s="170" t="s">
        <v>1507</v>
      </c>
      <c r="H25" s="170" t="s">
        <v>1508</v>
      </c>
      <c r="I25" s="177" t="s">
        <v>1411</v>
      </c>
      <c r="J25" s="173" t="s">
        <v>16</v>
      </c>
      <c r="K25" s="174"/>
      <c r="L25" s="175"/>
      <c r="M25" s="8"/>
      <c r="N25" s="8"/>
      <c r="O25" s="8"/>
      <c r="P25" s="8"/>
      <c r="Q25" s="8"/>
      <c r="R25" s="8"/>
      <c r="S25" s="8"/>
      <c r="T25" s="8"/>
      <c r="U25" s="8"/>
      <c r="V25" s="8"/>
      <c r="W25" s="8"/>
      <c r="X25" s="8"/>
      <c r="Y25" s="8"/>
      <c r="Z25" s="8"/>
      <c r="AA25" s="8"/>
      <c r="AB25" s="8"/>
      <c r="AC25" s="8"/>
      <c r="AD25" s="8"/>
    </row>
    <row r="26">
      <c r="A26" s="169" t="s">
        <v>756</v>
      </c>
      <c r="B26" s="169" t="s">
        <v>243</v>
      </c>
      <c r="C26" s="170" t="s">
        <v>757</v>
      </c>
      <c r="D26" s="170" t="s">
        <v>1509</v>
      </c>
      <c r="E26" s="176" t="s">
        <v>1510</v>
      </c>
      <c r="F26" s="176" t="s">
        <v>1486</v>
      </c>
      <c r="G26" s="170" t="s">
        <v>1511</v>
      </c>
      <c r="H26" s="170" t="s">
        <v>1488</v>
      </c>
      <c r="I26" s="172" t="s">
        <v>1405</v>
      </c>
      <c r="J26" s="178" t="s">
        <v>16</v>
      </c>
      <c r="K26" s="174"/>
      <c r="L26" s="175"/>
      <c r="M26" s="8"/>
      <c r="N26" s="8"/>
      <c r="O26" s="8"/>
      <c r="P26" s="8"/>
      <c r="Q26" s="8"/>
      <c r="R26" s="8"/>
      <c r="S26" s="8"/>
      <c r="T26" s="8"/>
      <c r="U26" s="8"/>
      <c r="V26" s="8"/>
      <c r="W26" s="8"/>
      <c r="X26" s="8"/>
      <c r="Y26" s="8"/>
      <c r="Z26" s="8"/>
      <c r="AA26" s="8"/>
      <c r="AB26" s="8"/>
      <c r="AC26" s="8"/>
      <c r="AD26" s="8"/>
    </row>
    <row r="27">
      <c r="A27" s="169" t="s">
        <v>759</v>
      </c>
      <c r="B27" s="169" t="s">
        <v>247</v>
      </c>
      <c r="C27" s="170" t="s">
        <v>760</v>
      </c>
      <c r="D27" s="170" t="s">
        <v>1512</v>
      </c>
      <c r="E27" s="171" t="s">
        <v>1513</v>
      </c>
      <c r="F27" s="171" t="s">
        <v>1514</v>
      </c>
      <c r="G27" s="170" t="s">
        <v>1515</v>
      </c>
      <c r="H27" s="170" t="s">
        <v>1516</v>
      </c>
      <c r="I27" s="177" t="s">
        <v>1411</v>
      </c>
      <c r="J27" s="173" t="s">
        <v>16</v>
      </c>
      <c r="K27" s="174"/>
      <c r="L27" s="175"/>
      <c r="M27" s="8"/>
      <c r="N27" s="8"/>
      <c r="O27" s="8"/>
      <c r="P27" s="8"/>
      <c r="Q27" s="8"/>
      <c r="R27" s="8"/>
      <c r="S27" s="8"/>
      <c r="T27" s="8"/>
      <c r="U27" s="8"/>
      <c r="V27" s="8"/>
      <c r="W27" s="8"/>
      <c r="X27" s="8"/>
      <c r="Y27" s="8"/>
      <c r="Z27" s="8"/>
      <c r="AA27" s="8"/>
      <c r="AB27" s="8"/>
      <c r="AC27" s="8"/>
      <c r="AD27" s="8"/>
    </row>
    <row r="28">
      <c r="A28" s="169" t="s">
        <v>761</v>
      </c>
      <c r="B28" s="169" t="s">
        <v>247</v>
      </c>
      <c r="C28" s="170" t="s">
        <v>762</v>
      </c>
      <c r="D28" s="170" t="s">
        <v>1517</v>
      </c>
      <c r="E28" s="176" t="s">
        <v>1518</v>
      </c>
      <c r="F28" s="176" t="s">
        <v>1486</v>
      </c>
      <c r="G28" s="170" t="s">
        <v>1519</v>
      </c>
      <c r="H28" s="170" t="s">
        <v>1488</v>
      </c>
      <c r="I28" s="172" t="s">
        <v>1405</v>
      </c>
      <c r="J28" s="178" t="s">
        <v>16</v>
      </c>
      <c r="K28" s="174"/>
      <c r="L28" s="175"/>
      <c r="M28" s="8"/>
      <c r="N28" s="8"/>
      <c r="O28" s="8"/>
      <c r="P28" s="8"/>
      <c r="Q28" s="8"/>
      <c r="R28" s="8"/>
      <c r="S28" s="8"/>
      <c r="T28" s="8"/>
      <c r="U28" s="8"/>
      <c r="V28" s="8"/>
      <c r="W28" s="8"/>
      <c r="X28" s="8"/>
      <c r="Y28" s="8"/>
      <c r="Z28" s="8"/>
      <c r="AA28" s="8"/>
      <c r="AB28" s="8"/>
      <c r="AC28" s="8"/>
      <c r="AD28" s="8"/>
    </row>
    <row r="29">
      <c r="A29" s="169" t="s">
        <v>764</v>
      </c>
      <c r="B29" s="169" t="s">
        <v>251</v>
      </c>
      <c r="C29" s="170" t="s">
        <v>765</v>
      </c>
      <c r="D29" s="170" t="s">
        <v>1520</v>
      </c>
      <c r="E29" s="171" t="s">
        <v>1521</v>
      </c>
      <c r="F29" s="171" t="s">
        <v>1522</v>
      </c>
      <c r="G29" s="170" t="s">
        <v>1523</v>
      </c>
      <c r="H29" s="170" t="s">
        <v>1524</v>
      </c>
      <c r="I29" s="177" t="s">
        <v>1411</v>
      </c>
      <c r="J29" s="173" t="s">
        <v>16</v>
      </c>
      <c r="K29" s="174"/>
      <c r="L29" s="175"/>
      <c r="M29" s="8"/>
      <c r="N29" s="8"/>
      <c r="O29" s="8"/>
      <c r="P29" s="8"/>
      <c r="Q29" s="8"/>
      <c r="R29" s="8"/>
      <c r="S29" s="8"/>
      <c r="T29" s="8"/>
      <c r="U29" s="8"/>
      <c r="V29" s="8"/>
      <c r="W29" s="8"/>
      <c r="X29" s="8"/>
      <c r="Y29" s="8"/>
      <c r="Z29" s="8"/>
      <c r="AA29" s="8"/>
      <c r="AB29" s="8"/>
      <c r="AC29" s="8"/>
      <c r="AD29" s="8"/>
    </row>
    <row r="30">
      <c r="A30" s="169" t="s">
        <v>766</v>
      </c>
      <c r="B30" s="169" t="s">
        <v>251</v>
      </c>
      <c r="C30" s="170" t="s">
        <v>1525</v>
      </c>
      <c r="D30" s="170" t="s">
        <v>1526</v>
      </c>
      <c r="E30" s="176" t="s">
        <v>1527</v>
      </c>
      <c r="F30" s="176" t="s">
        <v>1528</v>
      </c>
      <c r="G30" s="170" t="s">
        <v>1529</v>
      </c>
      <c r="H30" s="170" t="s">
        <v>1488</v>
      </c>
      <c r="I30" s="172" t="s">
        <v>1405</v>
      </c>
      <c r="J30" s="178" t="s">
        <v>16</v>
      </c>
      <c r="K30" s="174"/>
      <c r="L30" s="175"/>
      <c r="M30" s="8"/>
      <c r="N30" s="8"/>
      <c r="O30" s="8"/>
      <c r="P30" s="8"/>
      <c r="Q30" s="8"/>
      <c r="R30" s="8"/>
      <c r="S30" s="8"/>
      <c r="T30" s="8"/>
      <c r="U30" s="8"/>
      <c r="V30" s="8"/>
      <c r="W30" s="8"/>
      <c r="X30" s="8"/>
      <c r="Y30" s="8"/>
      <c r="Z30" s="8"/>
      <c r="AA30" s="8"/>
      <c r="AB30" s="8"/>
      <c r="AC30" s="8"/>
      <c r="AD30" s="8"/>
    </row>
    <row r="31">
      <c r="A31" s="169" t="s">
        <v>768</v>
      </c>
      <c r="B31" s="169" t="s">
        <v>251</v>
      </c>
      <c r="C31" s="170" t="s">
        <v>769</v>
      </c>
      <c r="D31" s="170" t="s">
        <v>1530</v>
      </c>
      <c r="E31" s="171" t="s">
        <v>1531</v>
      </c>
      <c r="F31" s="171" t="s">
        <v>1532</v>
      </c>
      <c r="G31" s="170" t="s">
        <v>1533</v>
      </c>
      <c r="H31" s="170" t="s">
        <v>1534</v>
      </c>
      <c r="I31" s="177" t="s">
        <v>1411</v>
      </c>
      <c r="J31" s="173" t="s">
        <v>16</v>
      </c>
      <c r="K31" s="174"/>
      <c r="L31" s="175"/>
      <c r="M31" s="8"/>
      <c r="N31" s="8"/>
      <c r="O31" s="8"/>
      <c r="P31" s="8"/>
      <c r="Q31" s="8"/>
      <c r="R31" s="8"/>
      <c r="S31" s="8"/>
      <c r="T31" s="8"/>
      <c r="U31" s="8"/>
      <c r="V31" s="8"/>
      <c r="W31" s="8"/>
      <c r="X31" s="8"/>
      <c r="Y31" s="8"/>
      <c r="Z31" s="8"/>
      <c r="AA31" s="8"/>
      <c r="AB31" s="8"/>
      <c r="AC31" s="8"/>
      <c r="AD31" s="8"/>
    </row>
    <row r="32">
      <c r="A32" s="169" t="s">
        <v>771</v>
      </c>
      <c r="B32" s="169" t="s">
        <v>257</v>
      </c>
      <c r="C32" s="180" t="s">
        <v>1535</v>
      </c>
      <c r="D32" s="180" t="s">
        <v>1536</v>
      </c>
      <c r="E32" s="180" t="s">
        <v>1537</v>
      </c>
      <c r="F32" s="180" t="s">
        <v>1538</v>
      </c>
      <c r="G32" s="180" t="s">
        <v>1539</v>
      </c>
      <c r="H32" s="181" t="s">
        <v>1540</v>
      </c>
      <c r="I32" s="172" t="s">
        <v>1405</v>
      </c>
      <c r="J32" s="178" t="s">
        <v>16</v>
      </c>
      <c r="K32" s="174"/>
      <c r="L32" s="175"/>
      <c r="M32" s="8"/>
      <c r="N32" s="8"/>
      <c r="O32" s="8"/>
      <c r="P32" s="8"/>
      <c r="Q32" s="8"/>
      <c r="R32" s="8"/>
      <c r="S32" s="8"/>
      <c r="T32" s="8"/>
      <c r="U32" s="8"/>
      <c r="V32" s="8"/>
      <c r="W32" s="8"/>
      <c r="X32" s="8"/>
      <c r="Y32" s="8"/>
      <c r="Z32" s="8"/>
      <c r="AA32" s="8"/>
      <c r="AB32" s="8"/>
      <c r="AC32" s="8"/>
      <c r="AD32" s="8"/>
    </row>
    <row r="33">
      <c r="A33" s="169" t="s">
        <v>773</v>
      </c>
      <c r="B33" s="169" t="s">
        <v>257</v>
      </c>
      <c r="C33" s="180" t="s">
        <v>774</v>
      </c>
      <c r="D33" s="180" t="s">
        <v>1541</v>
      </c>
      <c r="E33" s="180" t="s">
        <v>1542</v>
      </c>
      <c r="F33" s="180" t="s">
        <v>1543</v>
      </c>
      <c r="G33" s="180" t="s">
        <v>1544</v>
      </c>
      <c r="H33" s="182" t="s">
        <v>1545</v>
      </c>
      <c r="I33" s="172" t="s">
        <v>1405</v>
      </c>
      <c r="J33" s="178" t="s">
        <v>16</v>
      </c>
      <c r="K33" s="174"/>
      <c r="L33" s="175"/>
      <c r="M33" s="8"/>
      <c r="N33" s="8"/>
      <c r="O33" s="8"/>
      <c r="P33" s="8"/>
      <c r="Q33" s="8"/>
      <c r="R33" s="8"/>
      <c r="S33" s="8"/>
      <c r="T33" s="8"/>
      <c r="U33" s="8"/>
      <c r="V33" s="8"/>
      <c r="W33" s="8"/>
      <c r="X33" s="8"/>
      <c r="Y33" s="8"/>
      <c r="Z33" s="8"/>
      <c r="AA33" s="8"/>
      <c r="AB33" s="8"/>
      <c r="AC33" s="8"/>
      <c r="AD33" s="8"/>
    </row>
    <row r="34">
      <c r="A34" s="169" t="s">
        <v>775</v>
      </c>
      <c r="B34" s="169" t="s">
        <v>257</v>
      </c>
      <c r="C34" s="180" t="s">
        <v>1546</v>
      </c>
      <c r="D34" s="180" t="s">
        <v>1547</v>
      </c>
      <c r="E34" s="180" t="s">
        <v>1537</v>
      </c>
      <c r="F34" s="180" t="s">
        <v>1548</v>
      </c>
      <c r="G34" s="180" t="s">
        <v>1549</v>
      </c>
      <c r="H34" s="183" t="s">
        <v>1550</v>
      </c>
      <c r="I34" s="177" t="s">
        <v>1411</v>
      </c>
      <c r="J34" s="178" t="s">
        <v>16</v>
      </c>
      <c r="K34" s="174"/>
      <c r="L34" s="175"/>
      <c r="M34" s="8"/>
      <c r="N34" s="8"/>
      <c r="O34" s="8"/>
      <c r="P34" s="8"/>
      <c r="Q34" s="8"/>
      <c r="R34" s="8"/>
      <c r="S34" s="8"/>
      <c r="T34" s="8"/>
      <c r="U34" s="8"/>
      <c r="V34" s="8"/>
      <c r="W34" s="8"/>
      <c r="X34" s="8"/>
      <c r="Y34" s="8"/>
      <c r="Z34" s="8"/>
      <c r="AA34" s="8"/>
      <c r="AB34" s="8"/>
      <c r="AC34" s="8"/>
      <c r="AD34" s="8"/>
    </row>
    <row r="35">
      <c r="A35" s="169" t="s">
        <v>778</v>
      </c>
      <c r="B35" s="169" t="s">
        <v>261</v>
      </c>
      <c r="C35" s="180" t="s">
        <v>779</v>
      </c>
      <c r="D35" s="180" t="s">
        <v>1551</v>
      </c>
      <c r="E35" s="180" t="s">
        <v>1552</v>
      </c>
      <c r="F35" s="180" t="s">
        <v>1553</v>
      </c>
      <c r="G35" s="180" t="s">
        <v>1554</v>
      </c>
      <c r="H35" s="182" t="s">
        <v>1555</v>
      </c>
      <c r="I35" s="172" t="s">
        <v>1405</v>
      </c>
      <c r="J35" s="178" t="s">
        <v>16</v>
      </c>
      <c r="K35" s="174"/>
      <c r="L35" s="175"/>
      <c r="M35" s="8"/>
      <c r="N35" s="8"/>
      <c r="O35" s="8"/>
      <c r="P35" s="8"/>
      <c r="Q35" s="8"/>
      <c r="R35" s="8"/>
      <c r="S35" s="8"/>
      <c r="T35" s="8"/>
      <c r="U35" s="8"/>
      <c r="V35" s="8"/>
      <c r="W35" s="8"/>
      <c r="X35" s="8"/>
      <c r="Y35" s="8"/>
      <c r="Z35" s="8"/>
      <c r="AA35" s="8"/>
      <c r="AB35" s="8"/>
      <c r="AC35" s="8"/>
      <c r="AD35" s="8"/>
    </row>
    <row r="36">
      <c r="A36" s="169" t="s">
        <v>780</v>
      </c>
      <c r="B36" s="169" t="s">
        <v>261</v>
      </c>
      <c r="C36" s="180" t="s">
        <v>781</v>
      </c>
      <c r="D36" s="180" t="s">
        <v>1556</v>
      </c>
      <c r="E36" s="180" t="s">
        <v>1557</v>
      </c>
      <c r="F36" s="180" t="s">
        <v>1558</v>
      </c>
      <c r="G36" s="180" t="s">
        <v>1559</v>
      </c>
      <c r="H36" s="183" t="s">
        <v>1560</v>
      </c>
      <c r="I36" s="172" t="s">
        <v>1405</v>
      </c>
      <c r="J36" s="178" t="s">
        <v>16</v>
      </c>
      <c r="K36" s="174"/>
      <c r="L36" s="175"/>
      <c r="M36" s="8"/>
      <c r="N36" s="8"/>
      <c r="O36" s="8"/>
      <c r="P36" s="8"/>
      <c r="Q36" s="8"/>
      <c r="R36" s="8"/>
      <c r="S36" s="8"/>
      <c r="T36" s="8"/>
      <c r="U36" s="8"/>
      <c r="V36" s="8"/>
      <c r="W36" s="8"/>
      <c r="X36" s="8"/>
      <c r="Y36" s="8"/>
      <c r="Z36" s="8"/>
      <c r="AA36" s="8"/>
      <c r="AB36" s="8"/>
      <c r="AC36" s="8"/>
      <c r="AD36" s="8"/>
    </row>
    <row r="37">
      <c r="A37" s="169" t="s">
        <v>782</v>
      </c>
      <c r="B37" s="169" t="s">
        <v>261</v>
      </c>
      <c r="C37" s="180" t="s">
        <v>1561</v>
      </c>
      <c r="D37" s="180" t="s">
        <v>1562</v>
      </c>
      <c r="E37" s="180" t="s">
        <v>1563</v>
      </c>
      <c r="F37" s="180" t="s">
        <v>1564</v>
      </c>
      <c r="G37" s="180" t="s">
        <v>1565</v>
      </c>
      <c r="H37" s="182" t="s">
        <v>1566</v>
      </c>
      <c r="I37" s="177" t="s">
        <v>1411</v>
      </c>
      <c r="J37" s="178" t="s">
        <v>16</v>
      </c>
      <c r="K37" s="174"/>
      <c r="L37" s="175"/>
      <c r="M37" s="8"/>
      <c r="N37" s="8"/>
      <c r="O37" s="8"/>
      <c r="P37" s="8"/>
      <c r="Q37" s="8"/>
      <c r="R37" s="8"/>
      <c r="S37" s="8"/>
      <c r="T37" s="8"/>
      <c r="U37" s="8"/>
      <c r="V37" s="8"/>
      <c r="W37" s="8"/>
      <c r="X37" s="8"/>
      <c r="Y37" s="8"/>
      <c r="Z37" s="8"/>
      <c r="AA37" s="8"/>
      <c r="AB37" s="8"/>
      <c r="AC37" s="8"/>
      <c r="AD37" s="8"/>
    </row>
    <row r="38">
      <c r="A38" s="169" t="s">
        <v>785</v>
      </c>
      <c r="B38" s="169" t="s">
        <v>265</v>
      </c>
      <c r="C38" s="180" t="s">
        <v>1567</v>
      </c>
      <c r="D38" s="180" t="s">
        <v>1568</v>
      </c>
      <c r="E38" s="180" t="s">
        <v>1569</v>
      </c>
      <c r="F38" s="180" t="s">
        <v>1570</v>
      </c>
      <c r="G38" s="180" t="s">
        <v>1571</v>
      </c>
      <c r="H38" s="181" t="s">
        <v>1571</v>
      </c>
      <c r="I38" s="172" t="s">
        <v>1405</v>
      </c>
      <c r="J38" s="178" t="s">
        <v>16</v>
      </c>
      <c r="K38" s="174"/>
      <c r="L38" s="175"/>
      <c r="M38" s="8"/>
      <c r="N38" s="8"/>
      <c r="O38" s="8"/>
      <c r="P38" s="8"/>
      <c r="Q38" s="8"/>
      <c r="R38" s="8"/>
      <c r="S38" s="8"/>
      <c r="T38" s="8"/>
      <c r="U38" s="8"/>
      <c r="V38" s="8"/>
      <c r="W38" s="8"/>
      <c r="X38" s="8"/>
      <c r="Y38" s="8"/>
      <c r="Z38" s="8"/>
      <c r="AA38" s="8"/>
      <c r="AB38" s="8"/>
      <c r="AC38" s="8"/>
      <c r="AD38" s="8"/>
    </row>
    <row r="39">
      <c r="A39" s="169" t="s">
        <v>787</v>
      </c>
      <c r="B39" s="169" t="s">
        <v>265</v>
      </c>
      <c r="C39" s="180" t="s">
        <v>1572</v>
      </c>
      <c r="D39" s="180" t="s">
        <v>1573</v>
      </c>
      <c r="E39" s="180" t="s">
        <v>1574</v>
      </c>
      <c r="F39" s="180" t="s">
        <v>1575</v>
      </c>
      <c r="G39" s="180" t="s">
        <v>1576</v>
      </c>
      <c r="H39" s="182" t="s">
        <v>1576</v>
      </c>
      <c r="I39" s="179" t="s">
        <v>1416</v>
      </c>
      <c r="J39" s="178" t="s">
        <v>16</v>
      </c>
      <c r="K39" s="174"/>
      <c r="L39" s="175"/>
      <c r="M39" s="8"/>
      <c r="N39" s="8"/>
      <c r="O39" s="8"/>
      <c r="P39" s="8"/>
      <c r="Q39" s="8"/>
      <c r="R39" s="8"/>
      <c r="S39" s="8"/>
      <c r="T39" s="8"/>
      <c r="U39" s="8"/>
      <c r="V39" s="8"/>
      <c r="W39" s="8"/>
      <c r="X39" s="8"/>
      <c r="Y39" s="8"/>
      <c r="Z39" s="8"/>
      <c r="AA39" s="8"/>
      <c r="AB39" s="8"/>
      <c r="AC39" s="8"/>
      <c r="AD39" s="8"/>
    </row>
    <row r="40">
      <c r="A40" s="169" t="s">
        <v>789</v>
      </c>
      <c r="B40" s="169" t="s">
        <v>265</v>
      </c>
      <c r="C40" s="180" t="s">
        <v>1577</v>
      </c>
      <c r="D40" s="180" t="s">
        <v>1578</v>
      </c>
      <c r="E40" s="180" t="s">
        <v>1579</v>
      </c>
      <c r="F40" s="180" t="s">
        <v>1580</v>
      </c>
      <c r="G40" s="180" t="s">
        <v>1581</v>
      </c>
      <c r="H40" s="181" t="s">
        <v>1582</v>
      </c>
      <c r="I40" s="179" t="s">
        <v>1416</v>
      </c>
      <c r="J40" s="178" t="s">
        <v>11</v>
      </c>
      <c r="K40" s="170" t="s">
        <v>1583</v>
      </c>
      <c r="L40" s="170" t="s">
        <v>1584</v>
      </c>
      <c r="M40" s="8"/>
      <c r="N40" s="8"/>
      <c r="O40" s="8"/>
      <c r="P40" s="8"/>
      <c r="Q40" s="8"/>
      <c r="R40" s="8"/>
      <c r="S40" s="8"/>
      <c r="T40" s="8"/>
      <c r="U40" s="8"/>
      <c r="V40" s="8"/>
      <c r="W40" s="8"/>
      <c r="X40" s="8"/>
      <c r="Y40" s="8"/>
      <c r="Z40" s="8"/>
      <c r="AA40" s="8"/>
      <c r="AB40" s="8"/>
      <c r="AC40" s="8"/>
      <c r="AD40" s="8"/>
    </row>
    <row r="41">
      <c r="A41" s="169" t="s">
        <v>792</v>
      </c>
      <c r="B41" s="169" t="s">
        <v>269</v>
      </c>
      <c r="C41" s="180" t="s">
        <v>1585</v>
      </c>
      <c r="D41" s="180" t="s">
        <v>1586</v>
      </c>
      <c r="E41" s="180" t="s">
        <v>1587</v>
      </c>
      <c r="F41" s="180" t="s">
        <v>1588</v>
      </c>
      <c r="G41" s="180" t="s">
        <v>1589</v>
      </c>
      <c r="H41" s="184" t="s">
        <v>1590</v>
      </c>
      <c r="I41" s="172" t="s">
        <v>1405</v>
      </c>
      <c r="J41" s="178" t="s">
        <v>16</v>
      </c>
      <c r="K41" s="174"/>
      <c r="L41" s="175"/>
      <c r="M41" s="8"/>
      <c r="N41" s="8"/>
      <c r="O41" s="8"/>
      <c r="P41" s="8"/>
      <c r="Q41" s="8"/>
      <c r="R41" s="8"/>
      <c r="S41" s="8"/>
      <c r="T41" s="8"/>
      <c r="U41" s="8"/>
      <c r="V41" s="8"/>
      <c r="W41" s="8"/>
      <c r="X41" s="8"/>
      <c r="Y41" s="8"/>
      <c r="Z41" s="8"/>
      <c r="AA41" s="8"/>
      <c r="AB41" s="8"/>
      <c r="AC41" s="8"/>
      <c r="AD41" s="8"/>
    </row>
    <row r="42">
      <c r="A42" s="169" t="s">
        <v>794</v>
      </c>
      <c r="B42" s="169" t="s">
        <v>269</v>
      </c>
      <c r="C42" s="180" t="s">
        <v>1591</v>
      </c>
      <c r="D42" s="180" t="s">
        <v>1592</v>
      </c>
      <c r="E42" s="180" t="s">
        <v>1593</v>
      </c>
      <c r="F42" s="180" t="s">
        <v>1588</v>
      </c>
      <c r="G42" s="180" t="s">
        <v>1594</v>
      </c>
      <c r="H42" s="183" t="s">
        <v>1595</v>
      </c>
      <c r="I42" s="177" t="s">
        <v>1411</v>
      </c>
      <c r="J42" s="178" t="s">
        <v>16</v>
      </c>
      <c r="K42" s="174"/>
      <c r="L42" s="175"/>
      <c r="M42" s="8"/>
      <c r="N42" s="8"/>
      <c r="O42" s="8"/>
      <c r="P42" s="8"/>
      <c r="Q42" s="8"/>
      <c r="R42" s="8"/>
      <c r="S42" s="8"/>
      <c r="T42" s="8"/>
      <c r="U42" s="8"/>
      <c r="V42" s="8"/>
      <c r="W42" s="8"/>
      <c r="X42" s="8"/>
      <c r="Y42" s="8"/>
      <c r="Z42" s="8"/>
      <c r="AA42" s="8"/>
      <c r="AB42" s="8"/>
      <c r="AC42" s="8"/>
      <c r="AD42" s="8"/>
    </row>
    <row r="43">
      <c r="A43" s="169" t="s">
        <v>797</v>
      </c>
      <c r="B43" s="169" t="s">
        <v>273</v>
      </c>
      <c r="C43" s="180" t="s">
        <v>1596</v>
      </c>
      <c r="D43" s="180" t="s">
        <v>1597</v>
      </c>
      <c r="E43" s="180" t="s">
        <v>1598</v>
      </c>
      <c r="F43" s="180" t="s">
        <v>1599</v>
      </c>
      <c r="G43" s="180" t="s">
        <v>1600</v>
      </c>
      <c r="H43" s="182" t="s">
        <v>1601</v>
      </c>
      <c r="I43" s="177" t="s">
        <v>1411</v>
      </c>
      <c r="J43" s="178" t="s">
        <v>16</v>
      </c>
      <c r="K43" s="174"/>
      <c r="L43" s="175"/>
      <c r="M43" s="8"/>
      <c r="N43" s="8"/>
      <c r="O43" s="8"/>
      <c r="P43" s="8"/>
      <c r="Q43" s="8"/>
      <c r="R43" s="8"/>
      <c r="S43" s="8"/>
      <c r="T43" s="8"/>
      <c r="U43" s="8"/>
      <c r="V43" s="8"/>
      <c r="W43" s="8"/>
      <c r="X43" s="8"/>
      <c r="Y43" s="8"/>
      <c r="Z43" s="8"/>
      <c r="AA43" s="8"/>
      <c r="AB43" s="8"/>
      <c r="AC43" s="8"/>
      <c r="AD43" s="8"/>
    </row>
    <row r="44">
      <c r="A44" s="169" t="s">
        <v>799</v>
      </c>
      <c r="B44" s="169" t="s">
        <v>273</v>
      </c>
      <c r="C44" s="180" t="s">
        <v>1602</v>
      </c>
      <c r="D44" s="180" t="s">
        <v>1603</v>
      </c>
      <c r="E44" s="180" t="s">
        <v>1604</v>
      </c>
      <c r="F44" s="180" t="s">
        <v>1605</v>
      </c>
      <c r="G44" s="180" t="s">
        <v>1606</v>
      </c>
      <c r="H44" s="181" t="s">
        <v>1606</v>
      </c>
      <c r="I44" s="172" t="s">
        <v>1405</v>
      </c>
      <c r="J44" s="178" t="s">
        <v>16</v>
      </c>
      <c r="K44" s="174"/>
      <c r="L44" s="175"/>
      <c r="M44" s="8"/>
      <c r="N44" s="8"/>
      <c r="O44" s="8"/>
      <c r="P44" s="8"/>
      <c r="Q44" s="8"/>
      <c r="R44" s="8"/>
      <c r="S44" s="8"/>
      <c r="T44" s="8"/>
      <c r="U44" s="8"/>
      <c r="V44" s="8"/>
      <c r="W44" s="8"/>
      <c r="X44" s="8"/>
      <c r="Y44" s="8"/>
      <c r="Z44" s="8"/>
      <c r="AA44" s="8"/>
      <c r="AB44" s="8"/>
      <c r="AC44" s="8"/>
      <c r="AD44" s="8"/>
    </row>
    <row r="45">
      <c r="A45" s="169" t="s">
        <v>802</v>
      </c>
      <c r="B45" s="169" t="s">
        <v>279</v>
      </c>
      <c r="C45" s="180" t="s">
        <v>1607</v>
      </c>
      <c r="D45" s="180" t="s">
        <v>1608</v>
      </c>
      <c r="E45" s="185" t="s">
        <v>1609</v>
      </c>
      <c r="F45" s="180" t="s">
        <v>1610</v>
      </c>
      <c r="G45" s="180" t="s">
        <v>1611</v>
      </c>
      <c r="H45" s="183" t="s">
        <v>1612</v>
      </c>
      <c r="I45" s="172" t="s">
        <v>1405</v>
      </c>
      <c r="J45" s="178" t="s">
        <v>16</v>
      </c>
      <c r="K45" s="174"/>
      <c r="L45" s="175"/>
      <c r="M45" s="8"/>
      <c r="N45" s="8"/>
      <c r="O45" s="8"/>
      <c r="P45" s="8"/>
      <c r="Q45" s="8"/>
      <c r="R45" s="8"/>
      <c r="S45" s="8"/>
      <c r="T45" s="8"/>
      <c r="U45" s="8"/>
      <c r="V45" s="8"/>
      <c r="W45" s="8"/>
      <c r="X45" s="8"/>
      <c r="Y45" s="8"/>
      <c r="Z45" s="8"/>
      <c r="AA45" s="8"/>
      <c r="AB45" s="8"/>
      <c r="AC45" s="8"/>
      <c r="AD45" s="8"/>
    </row>
    <row r="46">
      <c r="A46" s="169" t="s">
        <v>804</v>
      </c>
      <c r="B46" s="169" t="s">
        <v>279</v>
      </c>
      <c r="C46" s="180" t="s">
        <v>1613</v>
      </c>
      <c r="D46" s="180" t="s">
        <v>1614</v>
      </c>
      <c r="E46" s="185" t="s">
        <v>1615</v>
      </c>
      <c r="F46" s="180" t="s">
        <v>1616</v>
      </c>
      <c r="G46" s="180" t="s">
        <v>1617</v>
      </c>
      <c r="H46" s="184" t="s">
        <v>1618</v>
      </c>
      <c r="I46" s="172" t="s">
        <v>1405</v>
      </c>
      <c r="J46" s="178" t="s">
        <v>16</v>
      </c>
      <c r="K46" s="174"/>
      <c r="L46" s="175"/>
      <c r="M46" s="8"/>
      <c r="N46" s="8"/>
      <c r="O46" s="8"/>
      <c r="P46" s="8"/>
      <c r="Q46" s="8"/>
      <c r="R46" s="8"/>
      <c r="S46" s="8"/>
      <c r="T46" s="8"/>
      <c r="U46" s="8"/>
      <c r="V46" s="8"/>
      <c r="W46" s="8"/>
      <c r="X46" s="8"/>
      <c r="Y46" s="8"/>
      <c r="Z46" s="8"/>
      <c r="AA46" s="8"/>
      <c r="AB46" s="8"/>
      <c r="AC46" s="8"/>
      <c r="AD46" s="8"/>
    </row>
    <row r="47">
      <c r="A47" s="169" t="s">
        <v>806</v>
      </c>
      <c r="B47" s="169" t="s">
        <v>279</v>
      </c>
      <c r="C47" s="180" t="s">
        <v>1619</v>
      </c>
      <c r="D47" s="180" t="s">
        <v>1620</v>
      </c>
      <c r="E47" s="185" t="s">
        <v>1621</v>
      </c>
      <c r="F47" s="180" t="s">
        <v>1622</v>
      </c>
      <c r="G47" s="180" t="s">
        <v>1623</v>
      </c>
      <c r="H47" s="183" t="s">
        <v>1624</v>
      </c>
      <c r="I47" s="179" t="s">
        <v>1416</v>
      </c>
      <c r="J47" s="178" t="s">
        <v>16</v>
      </c>
      <c r="K47" s="174"/>
      <c r="L47" s="175"/>
      <c r="M47" s="8"/>
      <c r="N47" s="8"/>
      <c r="O47" s="8"/>
      <c r="P47" s="8"/>
      <c r="Q47" s="8"/>
      <c r="R47" s="8"/>
      <c r="S47" s="8"/>
      <c r="T47" s="8"/>
      <c r="U47" s="8"/>
      <c r="V47" s="8"/>
      <c r="W47" s="8"/>
      <c r="X47" s="8"/>
      <c r="Y47" s="8"/>
      <c r="Z47" s="8"/>
      <c r="AA47" s="8"/>
      <c r="AB47" s="8"/>
      <c r="AC47" s="8"/>
      <c r="AD47" s="8"/>
    </row>
    <row r="48">
      <c r="A48" s="169" t="s">
        <v>809</v>
      </c>
      <c r="B48" s="169" t="s">
        <v>283</v>
      </c>
      <c r="C48" s="180" t="s">
        <v>1625</v>
      </c>
      <c r="D48" s="180" t="s">
        <v>1626</v>
      </c>
      <c r="E48" s="185" t="s">
        <v>1627</v>
      </c>
      <c r="F48" s="180" t="s">
        <v>1628</v>
      </c>
      <c r="G48" s="180" t="s">
        <v>1629</v>
      </c>
      <c r="H48" s="182" t="s">
        <v>1629</v>
      </c>
      <c r="I48" s="172" t="s">
        <v>1405</v>
      </c>
      <c r="J48" s="178" t="s">
        <v>16</v>
      </c>
      <c r="K48" s="174"/>
      <c r="L48" s="175"/>
      <c r="M48" s="8"/>
      <c r="N48" s="8"/>
      <c r="O48" s="8"/>
      <c r="P48" s="8"/>
      <c r="Q48" s="8"/>
      <c r="R48" s="8"/>
      <c r="S48" s="8"/>
      <c r="T48" s="8"/>
      <c r="U48" s="8"/>
      <c r="V48" s="8"/>
      <c r="W48" s="8"/>
      <c r="X48" s="8"/>
      <c r="Y48" s="8"/>
      <c r="Z48" s="8"/>
      <c r="AA48" s="8"/>
      <c r="AB48" s="8"/>
      <c r="AC48" s="8"/>
      <c r="AD48" s="8"/>
    </row>
    <row r="49">
      <c r="A49" s="169" t="s">
        <v>811</v>
      </c>
      <c r="B49" s="169" t="s">
        <v>283</v>
      </c>
      <c r="C49" s="180" t="s">
        <v>1630</v>
      </c>
      <c r="D49" s="180" t="s">
        <v>1631</v>
      </c>
      <c r="E49" s="185" t="s">
        <v>1632</v>
      </c>
      <c r="F49" s="180" t="s">
        <v>1633</v>
      </c>
      <c r="G49" s="180" t="s">
        <v>1634</v>
      </c>
      <c r="H49" s="181" t="s">
        <v>1634</v>
      </c>
      <c r="I49" s="172" t="s">
        <v>1405</v>
      </c>
      <c r="J49" s="178" t="s">
        <v>16</v>
      </c>
      <c r="K49" s="174"/>
      <c r="L49" s="175"/>
      <c r="M49" s="8"/>
      <c r="N49" s="8"/>
      <c r="O49" s="8"/>
      <c r="P49" s="8"/>
      <c r="Q49" s="8"/>
      <c r="R49" s="8"/>
      <c r="S49" s="8"/>
      <c r="T49" s="8"/>
      <c r="U49" s="8"/>
      <c r="V49" s="8"/>
      <c r="W49" s="8"/>
      <c r="X49" s="8"/>
      <c r="Y49" s="8"/>
      <c r="Z49" s="8"/>
      <c r="AA49" s="8"/>
      <c r="AB49" s="8"/>
      <c r="AC49" s="8"/>
      <c r="AD49" s="8"/>
    </row>
    <row r="50">
      <c r="A50" s="169" t="s">
        <v>813</v>
      </c>
      <c r="B50" s="169" t="s">
        <v>283</v>
      </c>
      <c r="C50" s="180" t="s">
        <v>1635</v>
      </c>
      <c r="D50" s="180" t="s">
        <v>1636</v>
      </c>
      <c r="E50" s="185" t="s">
        <v>1637</v>
      </c>
      <c r="F50" s="180" t="s">
        <v>1638</v>
      </c>
      <c r="G50" s="180" t="s">
        <v>1639</v>
      </c>
      <c r="H50" s="184" t="s">
        <v>1640</v>
      </c>
      <c r="I50" s="179" t="s">
        <v>1416</v>
      </c>
      <c r="J50" s="178" t="s">
        <v>16</v>
      </c>
      <c r="K50" s="174"/>
      <c r="L50" s="175"/>
      <c r="M50" s="8"/>
      <c r="N50" s="8"/>
      <c r="O50" s="8"/>
      <c r="P50" s="8"/>
      <c r="Q50" s="8"/>
      <c r="R50" s="8"/>
      <c r="S50" s="8"/>
      <c r="T50" s="8"/>
      <c r="U50" s="8"/>
      <c r="V50" s="8"/>
      <c r="W50" s="8"/>
      <c r="X50" s="8"/>
      <c r="Y50" s="8"/>
      <c r="Z50" s="8"/>
      <c r="AA50" s="8"/>
      <c r="AB50" s="8"/>
      <c r="AC50" s="8"/>
      <c r="AD50" s="8"/>
    </row>
    <row r="51">
      <c r="A51" s="169" t="s">
        <v>816</v>
      </c>
      <c r="B51" s="169" t="s">
        <v>287</v>
      </c>
      <c r="C51" s="180" t="s">
        <v>1641</v>
      </c>
      <c r="D51" s="180" t="s">
        <v>1642</v>
      </c>
      <c r="E51" s="185" t="s">
        <v>1643</v>
      </c>
      <c r="F51" s="180" t="s">
        <v>1644</v>
      </c>
      <c r="G51" s="180" t="s">
        <v>1645</v>
      </c>
      <c r="H51" s="181" t="s">
        <v>1645</v>
      </c>
      <c r="I51" s="172" t="s">
        <v>1405</v>
      </c>
      <c r="J51" s="178" t="s">
        <v>16</v>
      </c>
      <c r="K51" s="174"/>
      <c r="L51" s="175"/>
      <c r="M51" s="8"/>
      <c r="N51" s="8"/>
      <c r="O51" s="8"/>
      <c r="P51" s="8"/>
      <c r="Q51" s="8"/>
      <c r="R51" s="8"/>
      <c r="S51" s="8"/>
      <c r="T51" s="8"/>
      <c r="U51" s="8"/>
      <c r="V51" s="8"/>
      <c r="W51" s="8"/>
      <c r="X51" s="8"/>
      <c r="Y51" s="8"/>
      <c r="Z51" s="8"/>
      <c r="AA51" s="8"/>
      <c r="AB51" s="8"/>
      <c r="AC51" s="8"/>
      <c r="AD51" s="8"/>
    </row>
    <row r="52">
      <c r="A52" s="169" t="s">
        <v>818</v>
      </c>
      <c r="B52" s="169" t="s">
        <v>287</v>
      </c>
      <c r="C52" s="180" t="s">
        <v>1646</v>
      </c>
      <c r="D52" s="180" t="s">
        <v>1647</v>
      </c>
      <c r="E52" s="185" t="s">
        <v>1648</v>
      </c>
      <c r="F52" s="180" t="s">
        <v>1649</v>
      </c>
      <c r="G52" s="180" t="s">
        <v>1650</v>
      </c>
      <c r="H52" s="182" t="s">
        <v>1650</v>
      </c>
      <c r="I52" s="172" t="s">
        <v>1405</v>
      </c>
      <c r="J52" s="178" t="s">
        <v>16</v>
      </c>
      <c r="K52" s="174"/>
      <c r="L52" s="175"/>
      <c r="M52" s="8"/>
      <c r="N52" s="8"/>
      <c r="O52" s="8"/>
      <c r="P52" s="8"/>
      <c r="Q52" s="8"/>
      <c r="R52" s="8"/>
      <c r="S52" s="8"/>
      <c r="T52" s="8"/>
      <c r="U52" s="8"/>
      <c r="V52" s="8"/>
      <c r="W52" s="8"/>
      <c r="X52" s="8"/>
      <c r="Y52" s="8"/>
      <c r="Z52" s="8"/>
      <c r="AA52" s="8"/>
      <c r="AB52" s="8"/>
      <c r="AC52" s="8"/>
      <c r="AD52" s="8"/>
    </row>
    <row r="53">
      <c r="A53" s="169" t="s">
        <v>820</v>
      </c>
      <c r="B53" s="169" t="s">
        <v>287</v>
      </c>
      <c r="C53" s="180" t="s">
        <v>1651</v>
      </c>
      <c r="D53" s="180" t="s">
        <v>1652</v>
      </c>
      <c r="E53" s="185" t="s">
        <v>1653</v>
      </c>
      <c r="F53" s="180" t="s">
        <v>1654</v>
      </c>
      <c r="G53" s="180" t="s">
        <v>1655</v>
      </c>
      <c r="H53" s="181" t="s">
        <v>1655</v>
      </c>
      <c r="I53" s="172" t="s">
        <v>1405</v>
      </c>
      <c r="J53" s="178" t="s">
        <v>16</v>
      </c>
      <c r="K53" s="174"/>
      <c r="L53" s="175"/>
      <c r="M53" s="8"/>
      <c r="N53" s="8"/>
      <c r="O53" s="8"/>
      <c r="P53" s="8"/>
      <c r="Q53" s="8"/>
      <c r="R53" s="8"/>
      <c r="S53" s="8"/>
      <c r="T53" s="8"/>
      <c r="U53" s="8"/>
      <c r="V53" s="8"/>
      <c r="W53" s="8"/>
      <c r="X53" s="8"/>
      <c r="Y53" s="8"/>
      <c r="Z53" s="8"/>
      <c r="AA53" s="8"/>
      <c r="AB53" s="8"/>
      <c r="AC53" s="8"/>
      <c r="AD53" s="8"/>
    </row>
    <row r="54">
      <c r="A54" s="169" t="s">
        <v>823</v>
      </c>
      <c r="B54" s="169" t="s">
        <v>291</v>
      </c>
      <c r="C54" s="180" t="s">
        <v>1656</v>
      </c>
      <c r="D54" s="180" t="s">
        <v>1657</v>
      </c>
      <c r="E54" s="185" t="s">
        <v>1658</v>
      </c>
      <c r="F54" s="180" t="s">
        <v>1659</v>
      </c>
      <c r="G54" s="180" t="s">
        <v>1660</v>
      </c>
      <c r="H54" s="184" t="s">
        <v>1661</v>
      </c>
      <c r="I54" s="172" t="s">
        <v>1405</v>
      </c>
      <c r="J54" s="178" t="s">
        <v>16</v>
      </c>
      <c r="K54" s="174"/>
      <c r="L54" s="175"/>
      <c r="M54" s="8"/>
      <c r="N54" s="8"/>
      <c r="O54" s="8"/>
      <c r="P54" s="8"/>
      <c r="Q54" s="8"/>
      <c r="R54" s="8"/>
      <c r="S54" s="8"/>
      <c r="T54" s="8"/>
      <c r="U54" s="8"/>
      <c r="V54" s="8"/>
      <c r="W54" s="8"/>
      <c r="X54" s="8"/>
      <c r="Y54" s="8"/>
      <c r="Z54" s="8"/>
      <c r="AA54" s="8"/>
      <c r="AB54" s="8"/>
      <c r="AC54" s="8"/>
      <c r="AD54" s="8"/>
    </row>
    <row r="55">
      <c r="A55" s="169" t="s">
        <v>825</v>
      </c>
      <c r="B55" s="169" t="s">
        <v>291</v>
      </c>
      <c r="C55" s="180" t="s">
        <v>1662</v>
      </c>
      <c r="D55" s="180" t="s">
        <v>1663</v>
      </c>
      <c r="E55" s="185" t="s">
        <v>1664</v>
      </c>
      <c r="F55" s="180" t="s">
        <v>1665</v>
      </c>
      <c r="G55" s="180" t="s">
        <v>1666</v>
      </c>
      <c r="H55" s="183" t="s">
        <v>1667</v>
      </c>
      <c r="I55" s="179" t="s">
        <v>1416</v>
      </c>
      <c r="J55" s="178" t="s">
        <v>16</v>
      </c>
      <c r="K55" s="174"/>
      <c r="L55" s="175"/>
      <c r="M55" s="8"/>
      <c r="N55" s="8"/>
      <c r="O55" s="8"/>
      <c r="P55" s="8"/>
      <c r="Q55" s="8"/>
      <c r="R55" s="8"/>
      <c r="S55" s="8"/>
      <c r="T55" s="8"/>
      <c r="U55" s="8"/>
      <c r="V55" s="8"/>
      <c r="W55" s="8"/>
      <c r="X55" s="8"/>
      <c r="Y55" s="8"/>
      <c r="Z55" s="8"/>
      <c r="AA55" s="8"/>
      <c r="AB55" s="8"/>
      <c r="AC55" s="8"/>
      <c r="AD55" s="8"/>
    </row>
    <row r="56">
      <c r="A56" s="169" t="s">
        <v>828</v>
      </c>
      <c r="B56" s="169" t="s">
        <v>295</v>
      </c>
      <c r="C56" s="180" t="s">
        <v>1668</v>
      </c>
      <c r="D56" s="180" t="s">
        <v>1669</v>
      </c>
      <c r="E56" s="185" t="s">
        <v>1670</v>
      </c>
      <c r="F56" s="180" t="s">
        <v>1671</v>
      </c>
      <c r="G56" s="180" t="s">
        <v>1672</v>
      </c>
      <c r="H56" s="184" t="s">
        <v>1673</v>
      </c>
      <c r="I56" s="172" t="s">
        <v>1405</v>
      </c>
      <c r="J56" s="178" t="s">
        <v>16</v>
      </c>
      <c r="K56" s="174"/>
      <c r="L56" s="175"/>
      <c r="M56" s="8"/>
      <c r="N56" s="8"/>
      <c r="O56" s="8"/>
      <c r="P56" s="8"/>
      <c r="Q56" s="8"/>
      <c r="R56" s="8"/>
      <c r="S56" s="8"/>
      <c r="T56" s="8"/>
      <c r="U56" s="8"/>
      <c r="V56" s="8"/>
      <c r="W56" s="8"/>
      <c r="X56" s="8"/>
      <c r="Y56" s="8"/>
      <c r="Z56" s="8"/>
      <c r="AA56" s="8"/>
      <c r="AB56" s="8"/>
      <c r="AC56" s="8"/>
      <c r="AD56" s="8"/>
    </row>
    <row r="57">
      <c r="A57" s="169" t="s">
        <v>830</v>
      </c>
      <c r="B57" s="169" t="s">
        <v>295</v>
      </c>
      <c r="C57" s="180" t="s">
        <v>1674</v>
      </c>
      <c r="D57" s="180" t="s">
        <v>1675</v>
      </c>
      <c r="E57" s="185" t="s">
        <v>1676</v>
      </c>
      <c r="F57" s="180" t="s">
        <v>1677</v>
      </c>
      <c r="G57" s="180" t="s">
        <v>1678</v>
      </c>
      <c r="H57" s="181" t="s">
        <v>1678</v>
      </c>
      <c r="I57" s="177" t="s">
        <v>1411</v>
      </c>
      <c r="J57" s="178" t="s">
        <v>16</v>
      </c>
      <c r="K57" s="174"/>
      <c r="L57" s="175"/>
      <c r="M57" s="8"/>
      <c r="N57" s="8"/>
      <c r="O57" s="8"/>
      <c r="P57" s="8"/>
      <c r="Q57" s="8"/>
      <c r="R57" s="8"/>
      <c r="S57" s="8"/>
      <c r="T57" s="8"/>
      <c r="U57" s="8"/>
      <c r="V57" s="8"/>
      <c r="W57" s="8"/>
      <c r="X57" s="8"/>
      <c r="Y57" s="8"/>
      <c r="Z57" s="8"/>
      <c r="AA57" s="8"/>
      <c r="AB57" s="8"/>
      <c r="AC57" s="8"/>
      <c r="AD57" s="8"/>
    </row>
    <row r="58">
      <c r="A58" s="169" t="s">
        <v>832</v>
      </c>
      <c r="B58" s="169" t="s">
        <v>295</v>
      </c>
      <c r="C58" s="180" t="s">
        <v>1679</v>
      </c>
      <c r="D58" s="180" t="s">
        <v>1680</v>
      </c>
      <c r="E58" s="185" t="s">
        <v>1681</v>
      </c>
      <c r="F58" s="180" t="s">
        <v>1682</v>
      </c>
      <c r="G58" s="180" t="s">
        <v>1683</v>
      </c>
      <c r="H58" s="182" t="s">
        <v>1683</v>
      </c>
      <c r="I58" s="179" t="s">
        <v>1416</v>
      </c>
      <c r="J58" s="178" t="s">
        <v>16</v>
      </c>
      <c r="K58" s="174"/>
      <c r="L58" s="175"/>
      <c r="M58" s="8"/>
      <c r="N58" s="8"/>
      <c r="O58" s="8"/>
      <c r="P58" s="8"/>
      <c r="Q58" s="8"/>
      <c r="R58" s="8"/>
      <c r="S58" s="8"/>
      <c r="T58" s="8"/>
      <c r="U58" s="8"/>
      <c r="V58" s="8"/>
      <c r="W58" s="8"/>
      <c r="X58" s="8"/>
      <c r="Y58" s="8"/>
      <c r="Z58" s="8"/>
      <c r="AA58" s="8"/>
      <c r="AB58" s="8"/>
      <c r="AC58" s="8"/>
      <c r="AD58" s="8"/>
    </row>
    <row r="59">
      <c r="A59" s="169" t="s">
        <v>835</v>
      </c>
      <c r="B59" s="169" t="s">
        <v>301</v>
      </c>
      <c r="C59" s="180" t="s">
        <v>1684</v>
      </c>
      <c r="D59" s="180" t="s">
        <v>1685</v>
      </c>
      <c r="E59" s="185" t="s">
        <v>1686</v>
      </c>
      <c r="F59" s="180" t="s">
        <v>1687</v>
      </c>
      <c r="G59" s="180" t="s">
        <v>1688</v>
      </c>
      <c r="H59" s="181" t="s">
        <v>1689</v>
      </c>
      <c r="I59" s="172" t="s">
        <v>1405</v>
      </c>
      <c r="J59" s="178" t="s">
        <v>16</v>
      </c>
      <c r="K59" s="174"/>
      <c r="L59" s="175"/>
      <c r="M59" s="8"/>
      <c r="N59" s="8"/>
      <c r="O59" s="8"/>
      <c r="P59" s="8"/>
      <c r="Q59" s="8"/>
      <c r="R59" s="8"/>
      <c r="S59" s="8"/>
      <c r="T59" s="8"/>
      <c r="U59" s="8"/>
      <c r="V59" s="8"/>
      <c r="W59" s="8"/>
      <c r="X59" s="8"/>
      <c r="Y59" s="8"/>
      <c r="Z59" s="8"/>
      <c r="AA59" s="8"/>
      <c r="AB59" s="8"/>
      <c r="AC59" s="8"/>
      <c r="AD59" s="8"/>
    </row>
    <row r="60">
      <c r="A60" s="169" t="s">
        <v>837</v>
      </c>
      <c r="B60" s="169" t="s">
        <v>301</v>
      </c>
      <c r="C60" s="180" t="s">
        <v>1690</v>
      </c>
      <c r="D60" s="180" t="s">
        <v>1691</v>
      </c>
      <c r="E60" s="185" t="s">
        <v>1692</v>
      </c>
      <c r="F60" s="180" t="s">
        <v>1693</v>
      </c>
      <c r="G60" s="180" t="s">
        <v>1694</v>
      </c>
      <c r="H60" s="184" t="s">
        <v>1695</v>
      </c>
      <c r="I60" s="172" t="s">
        <v>1405</v>
      </c>
      <c r="J60" s="178" t="s">
        <v>16</v>
      </c>
      <c r="K60" s="174"/>
      <c r="L60" s="175"/>
      <c r="M60" s="8"/>
      <c r="N60" s="8"/>
      <c r="O60" s="8"/>
      <c r="P60" s="8"/>
      <c r="Q60" s="8"/>
      <c r="R60" s="8"/>
      <c r="S60" s="8"/>
      <c r="T60" s="8"/>
      <c r="U60" s="8"/>
      <c r="V60" s="8"/>
      <c r="W60" s="8"/>
      <c r="X60" s="8"/>
      <c r="Y60" s="8"/>
      <c r="Z60" s="8"/>
      <c r="AA60" s="8"/>
      <c r="AB60" s="8"/>
      <c r="AC60" s="8"/>
      <c r="AD60" s="8"/>
    </row>
    <row r="61">
      <c r="A61" s="169" t="s">
        <v>839</v>
      </c>
      <c r="B61" s="169" t="s">
        <v>301</v>
      </c>
      <c r="C61" s="180" t="s">
        <v>1696</v>
      </c>
      <c r="D61" s="180" t="s">
        <v>1697</v>
      </c>
      <c r="E61" s="185" t="s">
        <v>1698</v>
      </c>
      <c r="F61" s="180" t="s">
        <v>1699</v>
      </c>
      <c r="G61" s="180" t="s">
        <v>1700</v>
      </c>
      <c r="H61" s="181" t="s">
        <v>1700</v>
      </c>
      <c r="I61" s="179" t="s">
        <v>1416</v>
      </c>
      <c r="J61" s="178" t="s">
        <v>16</v>
      </c>
      <c r="K61" s="174"/>
      <c r="L61" s="175"/>
      <c r="M61" s="8"/>
      <c r="N61" s="8"/>
      <c r="O61" s="8"/>
      <c r="P61" s="8"/>
      <c r="Q61" s="8"/>
      <c r="R61" s="8"/>
      <c r="S61" s="8"/>
      <c r="T61" s="8"/>
      <c r="U61" s="8"/>
      <c r="V61" s="8"/>
      <c r="W61" s="8"/>
      <c r="X61" s="8"/>
      <c r="Y61" s="8"/>
      <c r="Z61" s="8"/>
      <c r="AA61" s="8"/>
      <c r="AB61" s="8"/>
      <c r="AC61" s="8"/>
      <c r="AD61" s="8"/>
    </row>
    <row r="62">
      <c r="A62" s="169" t="s">
        <v>842</v>
      </c>
      <c r="B62" s="169" t="s">
        <v>305</v>
      </c>
      <c r="C62" s="180" t="s">
        <v>1701</v>
      </c>
      <c r="D62" s="180" t="s">
        <v>1702</v>
      </c>
      <c r="E62" s="185" t="s">
        <v>1703</v>
      </c>
      <c r="F62" s="180" t="s">
        <v>1704</v>
      </c>
      <c r="G62" s="180" t="s">
        <v>1705</v>
      </c>
      <c r="H62" s="182" t="s">
        <v>1705</v>
      </c>
      <c r="I62" s="172" t="s">
        <v>1405</v>
      </c>
      <c r="J62" s="178" t="s">
        <v>16</v>
      </c>
      <c r="K62" s="174"/>
      <c r="L62" s="175"/>
      <c r="M62" s="8"/>
      <c r="N62" s="8"/>
      <c r="O62" s="8"/>
      <c r="P62" s="8"/>
      <c r="Q62" s="8"/>
      <c r="R62" s="8"/>
      <c r="S62" s="8"/>
      <c r="T62" s="8"/>
      <c r="U62" s="8"/>
      <c r="V62" s="8"/>
      <c r="W62" s="8"/>
      <c r="X62" s="8"/>
      <c r="Y62" s="8"/>
      <c r="Z62" s="8"/>
      <c r="AA62" s="8"/>
      <c r="AB62" s="8"/>
      <c r="AC62" s="8"/>
      <c r="AD62" s="8"/>
    </row>
    <row r="63">
      <c r="A63" s="169" t="s">
        <v>844</v>
      </c>
      <c r="B63" s="169" t="s">
        <v>305</v>
      </c>
      <c r="C63" s="180" t="s">
        <v>1706</v>
      </c>
      <c r="D63" s="180" t="s">
        <v>1707</v>
      </c>
      <c r="E63" s="185" t="s">
        <v>1708</v>
      </c>
      <c r="F63" s="180" t="s">
        <v>1709</v>
      </c>
      <c r="G63" s="180" t="s">
        <v>1710</v>
      </c>
      <c r="H63" s="181" t="s">
        <v>1711</v>
      </c>
      <c r="I63" s="172" t="s">
        <v>1405</v>
      </c>
      <c r="J63" s="178" t="s">
        <v>16</v>
      </c>
      <c r="K63" s="174"/>
      <c r="L63" s="175"/>
      <c r="M63" s="8"/>
      <c r="N63" s="8"/>
      <c r="O63" s="8"/>
      <c r="P63" s="8"/>
      <c r="Q63" s="8"/>
      <c r="R63" s="8"/>
      <c r="S63" s="8"/>
      <c r="T63" s="8"/>
      <c r="U63" s="8"/>
      <c r="V63" s="8"/>
      <c r="W63" s="8"/>
      <c r="X63" s="8"/>
      <c r="Y63" s="8"/>
      <c r="Z63" s="8"/>
      <c r="AA63" s="8"/>
      <c r="AB63" s="8"/>
      <c r="AC63" s="8"/>
      <c r="AD63" s="8"/>
    </row>
    <row r="64">
      <c r="A64" s="169" t="s">
        <v>846</v>
      </c>
      <c r="B64" s="169" t="s">
        <v>305</v>
      </c>
      <c r="C64" s="180" t="s">
        <v>1712</v>
      </c>
      <c r="D64" s="180" t="s">
        <v>1713</v>
      </c>
      <c r="E64" s="185" t="s">
        <v>1714</v>
      </c>
      <c r="F64" s="180" t="s">
        <v>1715</v>
      </c>
      <c r="G64" s="180" t="s">
        <v>1716</v>
      </c>
      <c r="H64" s="182" t="s">
        <v>1716</v>
      </c>
      <c r="I64" s="177" t="s">
        <v>1411</v>
      </c>
      <c r="J64" s="178" t="s">
        <v>16</v>
      </c>
      <c r="K64" s="174"/>
      <c r="L64" s="175"/>
      <c r="M64" s="8"/>
      <c r="N64" s="8"/>
      <c r="O64" s="8"/>
      <c r="P64" s="8"/>
      <c r="Q64" s="8"/>
      <c r="R64" s="8"/>
      <c r="S64" s="8"/>
      <c r="T64" s="8"/>
      <c r="U64" s="8"/>
      <c r="V64" s="8"/>
      <c r="W64" s="8"/>
      <c r="X64" s="8"/>
      <c r="Y64" s="8"/>
      <c r="Z64" s="8"/>
      <c r="AA64" s="8"/>
      <c r="AB64" s="8"/>
      <c r="AC64" s="8"/>
      <c r="AD64" s="8"/>
    </row>
    <row r="65">
      <c r="A65" s="169" t="s">
        <v>849</v>
      </c>
      <c r="B65" s="169" t="s">
        <v>309</v>
      </c>
      <c r="C65" s="180" t="s">
        <v>1717</v>
      </c>
      <c r="D65" s="180" t="s">
        <v>1718</v>
      </c>
      <c r="E65" s="185" t="s">
        <v>1719</v>
      </c>
      <c r="F65" s="180" t="s">
        <v>1720</v>
      </c>
      <c r="G65" s="180" t="s">
        <v>1721</v>
      </c>
      <c r="H65" s="183" t="s">
        <v>1722</v>
      </c>
      <c r="I65" s="172" t="s">
        <v>1405</v>
      </c>
      <c r="J65" s="178" t="s">
        <v>16</v>
      </c>
      <c r="K65" s="174"/>
      <c r="L65" s="175"/>
      <c r="M65" s="8"/>
      <c r="N65" s="8"/>
      <c r="O65" s="8"/>
      <c r="P65" s="8"/>
      <c r="Q65" s="8"/>
      <c r="R65" s="8"/>
      <c r="S65" s="8"/>
      <c r="T65" s="8"/>
      <c r="U65" s="8"/>
      <c r="V65" s="8"/>
      <c r="W65" s="8"/>
      <c r="X65" s="8"/>
      <c r="Y65" s="8"/>
      <c r="Z65" s="8"/>
      <c r="AA65" s="8"/>
      <c r="AB65" s="8"/>
      <c r="AC65" s="8"/>
      <c r="AD65" s="8"/>
    </row>
    <row r="66">
      <c r="A66" s="169" t="s">
        <v>851</v>
      </c>
      <c r="B66" s="169" t="s">
        <v>309</v>
      </c>
      <c r="C66" s="180" t="s">
        <v>1723</v>
      </c>
      <c r="D66" s="180" t="s">
        <v>1724</v>
      </c>
      <c r="E66" s="185" t="s">
        <v>1725</v>
      </c>
      <c r="F66" s="180" t="s">
        <v>1726</v>
      </c>
      <c r="G66" s="180" t="s">
        <v>1727</v>
      </c>
      <c r="H66" s="184" t="s">
        <v>1728</v>
      </c>
      <c r="I66" s="172" t="s">
        <v>1405</v>
      </c>
      <c r="J66" s="178" t="s">
        <v>16</v>
      </c>
      <c r="K66" s="174"/>
      <c r="L66" s="175"/>
      <c r="M66" s="8"/>
      <c r="N66" s="8"/>
      <c r="O66" s="8"/>
      <c r="P66" s="8"/>
      <c r="Q66" s="8"/>
      <c r="R66" s="8"/>
      <c r="S66" s="8"/>
      <c r="T66" s="8"/>
      <c r="U66" s="8"/>
      <c r="V66" s="8"/>
      <c r="W66" s="8"/>
      <c r="X66" s="8"/>
      <c r="Y66" s="8"/>
      <c r="Z66" s="8"/>
      <c r="AA66" s="8"/>
      <c r="AB66" s="8"/>
      <c r="AC66" s="8"/>
      <c r="AD66" s="8"/>
    </row>
    <row r="67">
      <c r="A67" s="169" t="s">
        <v>854</v>
      </c>
      <c r="B67" s="169" t="s">
        <v>313</v>
      </c>
      <c r="C67" s="180" t="s">
        <v>1729</v>
      </c>
      <c r="D67" s="180" t="s">
        <v>1730</v>
      </c>
      <c r="E67" s="185" t="s">
        <v>1731</v>
      </c>
      <c r="F67" s="180" t="s">
        <v>1732</v>
      </c>
      <c r="G67" s="180" t="s">
        <v>1733</v>
      </c>
      <c r="H67" s="181" t="s">
        <v>1733</v>
      </c>
      <c r="I67" s="172" t="s">
        <v>1405</v>
      </c>
      <c r="J67" s="178" t="s">
        <v>16</v>
      </c>
      <c r="K67" s="174"/>
      <c r="L67" s="175"/>
      <c r="M67" s="8"/>
      <c r="N67" s="8"/>
      <c r="O67" s="8"/>
      <c r="P67" s="8"/>
      <c r="Q67" s="8"/>
      <c r="R67" s="8"/>
      <c r="S67" s="8"/>
      <c r="T67" s="8"/>
      <c r="U67" s="8"/>
      <c r="V67" s="8"/>
      <c r="W67" s="8"/>
      <c r="X67" s="8"/>
      <c r="Y67" s="8"/>
      <c r="Z67" s="8"/>
      <c r="AA67" s="8"/>
      <c r="AB67" s="8"/>
      <c r="AC67" s="8"/>
      <c r="AD67" s="8"/>
    </row>
    <row r="68">
      <c r="A68" s="169" t="s">
        <v>856</v>
      </c>
      <c r="B68" s="169" t="s">
        <v>313</v>
      </c>
      <c r="C68" s="180" t="s">
        <v>1734</v>
      </c>
      <c r="D68" s="180" t="s">
        <v>1735</v>
      </c>
      <c r="E68" s="185" t="s">
        <v>1736</v>
      </c>
      <c r="F68" s="180" t="s">
        <v>1737</v>
      </c>
      <c r="G68" s="180" t="s">
        <v>1738</v>
      </c>
      <c r="H68" s="182" t="s">
        <v>1738</v>
      </c>
      <c r="I68" s="172" t="s">
        <v>1405</v>
      </c>
      <c r="J68" s="178" t="s">
        <v>16</v>
      </c>
      <c r="K68" s="174"/>
      <c r="L68" s="175"/>
      <c r="M68" s="8"/>
      <c r="N68" s="8"/>
      <c r="O68" s="8"/>
      <c r="P68" s="8"/>
      <c r="Q68" s="8"/>
      <c r="R68" s="8"/>
      <c r="S68" s="8"/>
      <c r="T68" s="8"/>
      <c r="U68" s="8"/>
      <c r="V68" s="8"/>
      <c r="W68" s="8"/>
      <c r="X68" s="8"/>
      <c r="Y68" s="8"/>
      <c r="Z68" s="8"/>
      <c r="AA68" s="8"/>
      <c r="AB68" s="8"/>
      <c r="AC68" s="8"/>
      <c r="AD68" s="8"/>
    </row>
    <row r="69">
      <c r="A69" s="169" t="s">
        <v>858</v>
      </c>
      <c r="B69" s="169" t="s">
        <v>313</v>
      </c>
      <c r="C69" s="180" t="s">
        <v>1739</v>
      </c>
      <c r="D69" s="180" t="s">
        <v>1740</v>
      </c>
      <c r="E69" s="185" t="s">
        <v>1741</v>
      </c>
      <c r="F69" s="180" t="s">
        <v>1742</v>
      </c>
      <c r="G69" s="180" t="s">
        <v>1743</v>
      </c>
      <c r="H69" s="181" t="s">
        <v>1743</v>
      </c>
      <c r="I69" s="179" t="s">
        <v>1416</v>
      </c>
      <c r="J69" s="178" t="s">
        <v>16</v>
      </c>
      <c r="K69" s="174"/>
      <c r="L69" s="175"/>
      <c r="M69" s="8"/>
      <c r="N69" s="8"/>
      <c r="O69" s="8"/>
      <c r="P69" s="8"/>
      <c r="Q69" s="8"/>
      <c r="R69" s="8"/>
      <c r="S69" s="8"/>
      <c r="T69" s="8"/>
      <c r="U69" s="8"/>
      <c r="V69" s="8"/>
      <c r="W69" s="8"/>
      <c r="X69" s="8"/>
      <c r="Y69" s="8"/>
      <c r="Z69" s="8"/>
      <c r="AA69" s="8"/>
      <c r="AB69" s="8"/>
      <c r="AC69" s="8"/>
      <c r="AD69" s="8"/>
    </row>
    <row r="70">
      <c r="A70" s="169" t="s">
        <v>861</v>
      </c>
      <c r="B70" s="169" t="s">
        <v>317</v>
      </c>
      <c r="C70" s="180" t="s">
        <v>1744</v>
      </c>
      <c r="D70" s="180" t="s">
        <v>1745</v>
      </c>
      <c r="E70" s="185" t="s">
        <v>1746</v>
      </c>
      <c r="F70" s="180" t="s">
        <v>1747</v>
      </c>
      <c r="G70" s="180" t="s">
        <v>1748</v>
      </c>
      <c r="H70" s="184" t="s">
        <v>1749</v>
      </c>
      <c r="I70" s="172" t="s">
        <v>1405</v>
      </c>
      <c r="J70" s="178" t="s">
        <v>16</v>
      </c>
      <c r="K70" s="174"/>
      <c r="L70" s="175"/>
      <c r="M70" s="8"/>
      <c r="N70" s="8"/>
      <c r="O70" s="8"/>
      <c r="P70" s="8"/>
      <c r="Q70" s="8"/>
      <c r="R70" s="8"/>
      <c r="S70" s="8"/>
      <c r="T70" s="8"/>
      <c r="U70" s="8"/>
      <c r="V70" s="8"/>
      <c r="W70" s="8"/>
      <c r="X70" s="8"/>
      <c r="Y70" s="8"/>
      <c r="Z70" s="8"/>
      <c r="AA70" s="8"/>
      <c r="AB70" s="8"/>
      <c r="AC70" s="8"/>
      <c r="AD70" s="8"/>
    </row>
    <row r="71">
      <c r="A71" s="169" t="s">
        <v>863</v>
      </c>
      <c r="B71" s="169" t="s">
        <v>317</v>
      </c>
      <c r="C71" s="180" t="s">
        <v>1750</v>
      </c>
      <c r="D71" s="180" t="s">
        <v>1751</v>
      </c>
      <c r="E71" s="185" t="s">
        <v>1752</v>
      </c>
      <c r="F71" s="186" t="s">
        <v>1753</v>
      </c>
      <c r="G71" s="180" t="s">
        <v>1754</v>
      </c>
      <c r="H71" s="181" t="s">
        <v>1755</v>
      </c>
      <c r="I71" s="177" t="s">
        <v>1411</v>
      </c>
      <c r="J71" s="178" t="s">
        <v>16</v>
      </c>
      <c r="K71" s="174"/>
      <c r="L71" s="175"/>
      <c r="M71" s="8">
        <f>COUNTIF(J71:J81, "Fail")</f>
        <v>1</v>
      </c>
      <c r="N71" s="8"/>
      <c r="O71" s="8"/>
      <c r="P71" s="8"/>
      <c r="Q71" s="8"/>
      <c r="R71" s="8"/>
      <c r="S71" s="8"/>
      <c r="T71" s="8"/>
      <c r="U71" s="8"/>
      <c r="V71" s="8"/>
      <c r="W71" s="8"/>
      <c r="X71" s="8"/>
      <c r="Y71" s="8"/>
      <c r="Z71" s="8"/>
      <c r="AA71" s="8"/>
      <c r="AB71" s="8"/>
      <c r="AC71" s="8"/>
      <c r="AD71" s="8"/>
    </row>
    <row r="72">
      <c r="A72" s="169" t="s">
        <v>866</v>
      </c>
      <c r="B72" s="169" t="s">
        <v>323</v>
      </c>
      <c r="C72" s="170" t="s">
        <v>867</v>
      </c>
      <c r="D72" s="170" t="s">
        <v>1756</v>
      </c>
      <c r="E72" s="176" t="s">
        <v>1757</v>
      </c>
      <c r="F72" s="176" t="s">
        <v>1758</v>
      </c>
      <c r="G72" s="170" t="s">
        <v>1759</v>
      </c>
      <c r="H72" s="14" t="s">
        <v>1759</v>
      </c>
      <c r="I72" s="172" t="s">
        <v>1405</v>
      </c>
      <c r="J72" s="178" t="s">
        <v>16</v>
      </c>
      <c r="K72" s="174"/>
      <c r="L72" s="175"/>
      <c r="M72" s="8"/>
      <c r="N72" s="8"/>
      <c r="O72" s="8"/>
      <c r="P72" s="8"/>
      <c r="Q72" s="8"/>
      <c r="R72" s="8"/>
      <c r="S72" s="8"/>
      <c r="T72" s="8"/>
      <c r="U72" s="8"/>
      <c r="V72" s="8"/>
      <c r="W72" s="8"/>
      <c r="X72" s="8"/>
      <c r="Y72" s="8"/>
      <c r="Z72" s="8"/>
      <c r="AA72" s="8"/>
      <c r="AB72" s="8"/>
      <c r="AC72" s="8"/>
      <c r="AD72" s="8"/>
    </row>
    <row r="73">
      <c r="A73" s="169" t="s">
        <v>868</v>
      </c>
      <c r="B73" s="169" t="s">
        <v>323</v>
      </c>
      <c r="C73" s="170" t="s">
        <v>869</v>
      </c>
      <c r="D73" s="170" t="s">
        <v>1760</v>
      </c>
      <c r="E73" s="171" t="s">
        <v>1761</v>
      </c>
      <c r="F73" s="171" t="s">
        <v>1762</v>
      </c>
      <c r="G73" s="170" t="s">
        <v>1763</v>
      </c>
      <c r="H73" s="170" t="s">
        <v>1764</v>
      </c>
      <c r="I73" s="172" t="s">
        <v>1405</v>
      </c>
      <c r="J73" s="173" t="s">
        <v>11</v>
      </c>
      <c r="K73" s="170" t="s">
        <v>1765</v>
      </c>
      <c r="L73" s="175"/>
      <c r="M73" s="8"/>
      <c r="N73" s="8"/>
      <c r="O73" s="8"/>
      <c r="P73" s="8"/>
      <c r="Q73" s="8"/>
      <c r="R73" s="8"/>
      <c r="S73" s="8"/>
      <c r="T73" s="8"/>
      <c r="U73" s="8"/>
      <c r="V73" s="8"/>
      <c r="W73" s="8"/>
      <c r="X73" s="8"/>
      <c r="Y73" s="8"/>
      <c r="Z73" s="8"/>
      <c r="AA73" s="8"/>
      <c r="AB73" s="8"/>
      <c r="AC73" s="8"/>
      <c r="AD73" s="8"/>
    </row>
    <row r="74">
      <c r="A74" s="169" t="s">
        <v>870</v>
      </c>
      <c r="B74" s="169" t="s">
        <v>323</v>
      </c>
      <c r="C74" s="170" t="s">
        <v>871</v>
      </c>
      <c r="D74" s="170" t="s">
        <v>1766</v>
      </c>
      <c r="E74" s="176" t="s">
        <v>1767</v>
      </c>
      <c r="F74" s="176" t="s">
        <v>1768</v>
      </c>
      <c r="G74" s="170" t="s">
        <v>1769</v>
      </c>
      <c r="H74" s="170" t="s">
        <v>1769</v>
      </c>
      <c r="I74" s="172" t="s">
        <v>1405</v>
      </c>
      <c r="J74" s="178" t="s">
        <v>16</v>
      </c>
      <c r="K74" s="174"/>
      <c r="L74" s="175"/>
      <c r="M74" s="8"/>
      <c r="N74" s="8"/>
      <c r="O74" s="8"/>
      <c r="P74" s="8"/>
      <c r="Q74" s="8"/>
      <c r="R74" s="8"/>
      <c r="S74" s="8"/>
      <c r="T74" s="8"/>
      <c r="U74" s="8"/>
      <c r="V74" s="8"/>
      <c r="W74" s="8"/>
      <c r="X74" s="8"/>
      <c r="Y74" s="8"/>
      <c r="Z74" s="8"/>
      <c r="AA74" s="8"/>
      <c r="AB74" s="8"/>
      <c r="AC74" s="8"/>
      <c r="AD74" s="8"/>
    </row>
    <row r="75">
      <c r="A75" s="169" t="s">
        <v>873</v>
      </c>
      <c r="B75" s="169" t="s">
        <v>327</v>
      </c>
      <c r="C75" s="170" t="s">
        <v>874</v>
      </c>
      <c r="D75" s="170" t="s">
        <v>1770</v>
      </c>
      <c r="E75" s="171" t="s">
        <v>1771</v>
      </c>
      <c r="F75" s="171" t="s">
        <v>1772</v>
      </c>
      <c r="G75" s="170" t="s">
        <v>1773</v>
      </c>
      <c r="H75" s="170" t="s">
        <v>1774</v>
      </c>
      <c r="I75" s="177" t="s">
        <v>1411</v>
      </c>
      <c r="J75" s="173" t="s">
        <v>16</v>
      </c>
      <c r="K75" s="174"/>
      <c r="L75" s="175"/>
      <c r="M75" s="8"/>
      <c r="N75" s="8"/>
      <c r="O75" s="8"/>
      <c r="P75" s="8"/>
      <c r="Q75" s="8"/>
      <c r="R75" s="8"/>
      <c r="S75" s="8"/>
      <c r="T75" s="8"/>
      <c r="U75" s="8"/>
      <c r="V75" s="8"/>
      <c r="W75" s="8"/>
      <c r="X75" s="8"/>
      <c r="Y75" s="8"/>
      <c r="Z75" s="8"/>
      <c r="AA75" s="8"/>
      <c r="AB75" s="8"/>
      <c r="AC75" s="8"/>
      <c r="AD75" s="8"/>
    </row>
    <row r="76">
      <c r="A76" s="169" t="s">
        <v>875</v>
      </c>
      <c r="B76" s="169" t="s">
        <v>327</v>
      </c>
      <c r="C76" s="170" t="s">
        <v>876</v>
      </c>
      <c r="D76" s="170" t="s">
        <v>1775</v>
      </c>
      <c r="E76" s="176" t="s">
        <v>1776</v>
      </c>
      <c r="F76" s="176" t="s">
        <v>1772</v>
      </c>
      <c r="G76" s="170" t="s">
        <v>1777</v>
      </c>
      <c r="H76" s="170" t="s">
        <v>1777</v>
      </c>
      <c r="I76" s="179" t="s">
        <v>1416</v>
      </c>
      <c r="J76" s="178" t="s">
        <v>16</v>
      </c>
      <c r="K76" s="174"/>
      <c r="L76" s="175"/>
      <c r="M76" s="8"/>
      <c r="N76" s="8"/>
      <c r="O76" s="8"/>
      <c r="P76" s="8"/>
      <c r="Q76" s="8"/>
      <c r="R76" s="8"/>
      <c r="S76" s="8"/>
      <c r="T76" s="8"/>
      <c r="U76" s="8"/>
      <c r="V76" s="8"/>
      <c r="W76" s="8"/>
      <c r="X76" s="8"/>
      <c r="Y76" s="8"/>
      <c r="Z76" s="8"/>
      <c r="AA76" s="8"/>
      <c r="AB76" s="8"/>
      <c r="AC76" s="8"/>
      <c r="AD76" s="8"/>
    </row>
    <row r="77">
      <c r="A77" s="169" t="s">
        <v>878</v>
      </c>
      <c r="B77" s="169" t="s">
        <v>331</v>
      </c>
      <c r="C77" s="170" t="s">
        <v>879</v>
      </c>
      <c r="D77" s="170" t="s">
        <v>1778</v>
      </c>
      <c r="E77" s="171" t="s">
        <v>1779</v>
      </c>
      <c r="F77" s="171" t="s">
        <v>1780</v>
      </c>
      <c r="G77" s="170" t="s">
        <v>1781</v>
      </c>
      <c r="H77" s="170" t="s">
        <v>1781</v>
      </c>
      <c r="I77" s="177" t="s">
        <v>1411</v>
      </c>
      <c r="J77" s="173" t="s">
        <v>16</v>
      </c>
      <c r="K77" s="174"/>
      <c r="L77" s="175"/>
      <c r="M77" s="8"/>
      <c r="N77" s="8"/>
      <c r="O77" s="8"/>
      <c r="P77" s="8"/>
      <c r="Q77" s="8"/>
      <c r="R77" s="8"/>
      <c r="S77" s="8"/>
      <c r="T77" s="8"/>
      <c r="U77" s="8"/>
      <c r="V77" s="8"/>
      <c r="W77" s="8"/>
      <c r="X77" s="8"/>
      <c r="Y77" s="8"/>
      <c r="Z77" s="8"/>
      <c r="AA77" s="8"/>
      <c r="AB77" s="8"/>
      <c r="AC77" s="8"/>
      <c r="AD77" s="8"/>
    </row>
    <row r="78">
      <c r="A78" s="169" t="s">
        <v>880</v>
      </c>
      <c r="B78" s="169" t="s">
        <v>331</v>
      </c>
      <c r="C78" s="170" t="s">
        <v>881</v>
      </c>
      <c r="D78" s="170" t="s">
        <v>1782</v>
      </c>
      <c r="E78" s="176" t="s">
        <v>1783</v>
      </c>
      <c r="F78" s="176" t="s">
        <v>1784</v>
      </c>
      <c r="G78" s="170" t="s">
        <v>1781</v>
      </c>
      <c r="H78" s="170" t="s">
        <v>1781</v>
      </c>
      <c r="I78" s="177" t="s">
        <v>1411</v>
      </c>
      <c r="J78" s="178" t="s">
        <v>16</v>
      </c>
      <c r="K78" s="174"/>
      <c r="L78" s="175"/>
      <c r="M78" s="8"/>
      <c r="N78" s="8"/>
      <c r="O78" s="8"/>
      <c r="P78" s="8"/>
      <c r="Q78" s="8"/>
      <c r="R78" s="8"/>
      <c r="S78" s="8"/>
      <c r="T78" s="8"/>
      <c r="U78" s="8"/>
      <c r="V78" s="8"/>
      <c r="W78" s="8"/>
      <c r="X78" s="8"/>
      <c r="Y78" s="8"/>
      <c r="Z78" s="8"/>
      <c r="AA78" s="8"/>
      <c r="AB78" s="8"/>
      <c r="AC78" s="8"/>
      <c r="AD78" s="8"/>
    </row>
    <row r="79">
      <c r="A79" s="169" t="s">
        <v>883</v>
      </c>
      <c r="B79" s="169" t="s">
        <v>335</v>
      </c>
      <c r="C79" s="170" t="s">
        <v>884</v>
      </c>
      <c r="D79" s="170" t="s">
        <v>1785</v>
      </c>
      <c r="E79" s="171" t="s">
        <v>1786</v>
      </c>
      <c r="F79" s="171" t="s">
        <v>1787</v>
      </c>
      <c r="G79" s="170" t="s">
        <v>1788</v>
      </c>
      <c r="H79" s="170" t="s">
        <v>1788</v>
      </c>
      <c r="I79" s="172" t="s">
        <v>1405</v>
      </c>
      <c r="J79" s="173" t="s">
        <v>16</v>
      </c>
      <c r="K79" s="174"/>
      <c r="L79" s="175"/>
      <c r="M79" s="8"/>
      <c r="N79" s="8"/>
      <c r="O79" s="8"/>
      <c r="P79" s="8"/>
      <c r="Q79" s="8"/>
      <c r="R79" s="8"/>
      <c r="S79" s="8"/>
      <c r="T79" s="8"/>
      <c r="U79" s="8"/>
      <c r="V79" s="8"/>
      <c r="W79" s="8"/>
      <c r="X79" s="8"/>
      <c r="Y79" s="8"/>
      <c r="Z79" s="8"/>
      <c r="AA79" s="8"/>
      <c r="AB79" s="8"/>
      <c r="AC79" s="8"/>
      <c r="AD79" s="8"/>
    </row>
    <row r="80">
      <c r="A80" s="169" t="s">
        <v>885</v>
      </c>
      <c r="B80" s="169" t="s">
        <v>335</v>
      </c>
      <c r="C80" s="170" t="s">
        <v>886</v>
      </c>
      <c r="D80" s="170" t="s">
        <v>1789</v>
      </c>
      <c r="E80" s="176" t="s">
        <v>1790</v>
      </c>
      <c r="F80" s="176" t="s">
        <v>1791</v>
      </c>
      <c r="G80" s="170" t="s">
        <v>1792</v>
      </c>
      <c r="H80" s="170" t="s">
        <v>1792</v>
      </c>
      <c r="I80" s="172" t="s">
        <v>1405</v>
      </c>
      <c r="J80" s="178" t="s">
        <v>16</v>
      </c>
      <c r="K80" s="174"/>
      <c r="L80" s="175"/>
      <c r="M80" s="8"/>
      <c r="N80" s="8"/>
      <c r="O80" s="8"/>
      <c r="P80" s="8"/>
      <c r="Q80" s="8"/>
      <c r="R80" s="8"/>
      <c r="S80" s="8"/>
      <c r="T80" s="8"/>
      <c r="U80" s="8"/>
      <c r="V80" s="8"/>
      <c r="W80" s="8"/>
      <c r="X80" s="8"/>
      <c r="Y80" s="8"/>
      <c r="Z80" s="8"/>
      <c r="AA80" s="8"/>
      <c r="AB80" s="8"/>
      <c r="AC80" s="8"/>
      <c r="AD80" s="8"/>
    </row>
    <row r="81">
      <c r="A81" s="169" t="s">
        <v>887</v>
      </c>
      <c r="B81" s="169" t="s">
        <v>335</v>
      </c>
      <c r="C81" s="170" t="s">
        <v>888</v>
      </c>
      <c r="D81" s="170" t="s">
        <v>1793</v>
      </c>
      <c r="E81" s="171" t="s">
        <v>1794</v>
      </c>
      <c r="F81" s="171" t="s">
        <v>1795</v>
      </c>
      <c r="G81" s="170" t="s">
        <v>1796</v>
      </c>
      <c r="H81" s="170" t="s">
        <v>1796</v>
      </c>
      <c r="I81" s="179" t="s">
        <v>1416</v>
      </c>
      <c r="J81" s="173" t="s">
        <v>16</v>
      </c>
      <c r="K81" s="174"/>
      <c r="L81" s="175"/>
      <c r="M81" s="8"/>
      <c r="N81" s="8"/>
      <c r="O81" s="8"/>
      <c r="P81" s="8"/>
      <c r="Q81" s="8"/>
      <c r="R81" s="8"/>
      <c r="S81" s="8"/>
      <c r="T81" s="8"/>
      <c r="U81" s="8"/>
      <c r="V81" s="8"/>
      <c r="W81" s="8"/>
      <c r="X81" s="8"/>
      <c r="Y81" s="8"/>
      <c r="Z81" s="8"/>
      <c r="AA81" s="8"/>
      <c r="AB81" s="8"/>
      <c r="AC81" s="8"/>
      <c r="AD81" s="8"/>
    </row>
    <row r="82">
      <c r="A82" s="169" t="s">
        <v>890</v>
      </c>
      <c r="B82" s="169" t="s">
        <v>341</v>
      </c>
      <c r="C82" s="170" t="s">
        <v>891</v>
      </c>
      <c r="D82" s="170" t="s">
        <v>1797</v>
      </c>
      <c r="E82" s="176" t="s">
        <v>1798</v>
      </c>
      <c r="F82" s="176" t="s">
        <v>1799</v>
      </c>
      <c r="G82" s="170" t="s">
        <v>1800</v>
      </c>
      <c r="H82" s="170" t="s">
        <v>1800</v>
      </c>
      <c r="I82" s="172" t="s">
        <v>1405</v>
      </c>
      <c r="J82" s="178" t="s">
        <v>16</v>
      </c>
      <c r="K82" s="174"/>
      <c r="L82" s="175"/>
      <c r="M82" s="8"/>
      <c r="N82" s="8"/>
      <c r="O82" s="8"/>
      <c r="P82" s="8"/>
      <c r="Q82" s="8"/>
      <c r="R82" s="8"/>
      <c r="S82" s="8"/>
      <c r="T82" s="8"/>
      <c r="U82" s="8"/>
      <c r="V82" s="8"/>
      <c r="W82" s="8"/>
      <c r="X82" s="8"/>
      <c r="Y82" s="8"/>
      <c r="Z82" s="8"/>
      <c r="AA82" s="8"/>
      <c r="AB82" s="8"/>
      <c r="AC82" s="8"/>
      <c r="AD82" s="8"/>
    </row>
    <row r="83">
      <c r="A83" s="169" t="s">
        <v>892</v>
      </c>
      <c r="B83" s="169" t="s">
        <v>341</v>
      </c>
      <c r="C83" s="170" t="s">
        <v>893</v>
      </c>
      <c r="D83" s="170" t="s">
        <v>1801</v>
      </c>
      <c r="E83" s="171" t="s">
        <v>1802</v>
      </c>
      <c r="F83" s="171" t="s">
        <v>1803</v>
      </c>
      <c r="G83" s="170" t="s">
        <v>1804</v>
      </c>
      <c r="H83" s="170" t="s">
        <v>1804</v>
      </c>
      <c r="I83" s="172" t="s">
        <v>1405</v>
      </c>
      <c r="J83" s="173" t="s">
        <v>16</v>
      </c>
      <c r="K83" s="174"/>
      <c r="L83" s="175"/>
      <c r="M83" s="8"/>
      <c r="N83" s="8"/>
      <c r="O83" s="8"/>
      <c r="P83" s="8"/>
      <c r="Q83" s="8"/>
      <c r="R83" s="8"/>
      <c r="S83" s="8"/>
      <c r="T83" s="8"/>
      <c r="U83" s="8"/>
      <c r="V83" s="8"/>
      <c r="W83" s="8"/>
      <c r="X83" s="8"/>
      <c r="Y83" s="8"/>
      <c r="Z83" s="8"/>
      <c r="AA83" s="8"/>
      <c r="AB83" s="8"/>
      <c r="AC83" s="8"/>
      <c r="AD83" s="8"/>
    </row>
    <row r="84">
      <c r="A84" s="169" t="s">
        <v>894</v>
      </c>
      <c r="B84" s="169" t="s">
        <v>341</v>
      </c>
      <c r="C84" s="170" t="s">
        <v>895</v>
      </c>
      <c r="D84" s="170" t="s">
        <v>1805</v>
      </c>
      <c r="E84" s="176" t="s">
        <v>1806</v>
      </c>
      <c r="F84" s="176" t="s">
        <v>1807</v>
      </c>
      <c r="G84" s="170" t="s">
        <v>1808</v>
      </c>
      <c r="H84" s="170" t="s">
        <v>1808</v>
      </c>
      <c r="I84" s="172" t="s">
        <v>1405</v>
      </c>
      <c r="J84" s="178" t="s">
        <v>16</v>
      </c>
      <c r="K84" s="174"/>
      <c r="L84" s="175"/>
      <c r="M84" s="8"/>
      <c r="N84" s="8"/>
      <c r="O84" s="8"/>
      <c r="P84" s="8"/>
      <c r="Q84" s="8"/>
      <c r="R84" s="8"/>
      <c r="S84" s="8"/>
      <c r="T84" s="8"/>
      <c r="U84" s="8"/>
      <c r="V84" s="8"/>
      <c r="W84" s="8"/>
      <c r="X84" s="8"/>
      <c r="Y84" s="8"/>
      <c r="Z84" s="8"/>
      <c r="AA84" s="8"/>
      <c r="AB84" s="8"/>
      <c r="AC84" s="8"/>
      <c r="AD84" s="8"/>
    </row>
    <row r="85">
      <c r="A85" s="169" t="s">
        <v>897</v>
      </c>
      <c r="B85" s="169" t="s">
        <v>345</v>
      </c>
      <c r="C85" s="170" t="s">
        <v>898</v>
      </c>
      <c r="D85" s="170" t="s">
        <v>1809</v>
      </c>
      <c r="E85" s="171" t="s">
        <v>1810</v>
      </c>
      <c r="F85" s="171" t="s">
        <v>1811</v>
      </c>
      <c r="G85" s="170" t="s">
        <v>1812</v>
      </c>
      <c r="H85" s="170" t="s">
        <v>1812</v>
      </c>
      <c r="I85" s="177" t="s">
        <v>1411</v>
      </c>
      <c r="J85" s="173" t="s">
        <v>16</v>
      </c>
      <c r="K85" s="174"/>
      <c r="L85" s="175"/>
      <c r="M85" s="8"/>
      <c r="N85" s="8"/>
      <c r="O85" s="8"/>
      <c r="P85" s="8"/>
      <c r="Q85" s="8"/>
      <c r="R85" s="8"/>
      <c r="S85" s="8"/>
      <c r="T85" s="8"/>
      <c r="U85" s="8"/>
      <c r="V85" s="8"/>
      <c r="W85" s="8"/>
      <c r="X85" s="8"/>
      <c r="Y85" s="8"/>
      <c r="Z85" s="8"/>
      <c r="AA85" s="8"/>
      <c r="AB85" s="8"/>
      <c r="AC85" s="8"/>
      <c r="AD85" s="8"/>
    </row>
    <row r="86">
      <c r="A86" s="169" t="s">
        <v>899</v>
      </c>
      <c r="B86" s="169" t="s">
        <v>345</v>
      </c>
      <c r="C86" s="170" t="s">
        <v>900</v>
      </c>
      <c r="D86" s="170" t="s">
        <v>1813</v>
      </c>
      <c r="E86" s="176" t="s">
        <v>1814</v>
      </c>
      <c r="F86" s="176" t="s">
        <v>1815</v>
      </c>
      <c r="G86" s="170" t="s">
        <v>1816</v>
      </c>
      <c r="H86" s="170" t="s">
        <v>1816</v>
      </c>
      <c r="I86" s="172" t="s">
        <v>1405</v>
      </c>
      <c r="J86" s="178" t="s">
        <v>16</v>
      </c>
      <c r="K86" s="174"/>
      <c r="L86" s="175"/>
      <c r="M86" s="8"/>
      <c r="N86" s="8"/>
      <c r="O86" s="8"/>
      <c r="P86" s="8"/>
      <c r="Q86" s="8"/>
      <c r="R86" s="8"/>
      <c r="S86" s="8"/>
      <c r="T86" s="8"/>
      <c r="U86" s="8"/>
      <c r="V86" s="8"/>
      <c r="W86" s="8"/>
      <c r="X86" s="8"/>
      <c r="Y86" s="8"/>
      <c r="Z86" s="8"/>
      <c r="AA86" s="8"/>
      <c r="AB86" s="8"/>
      <c r="AC86" s="8"/>
      <c r="AD86" s="8"/>
    </row>
    <row r="87">
      <c r="A87" s="169" t="s">
        <v>902</v>
      </c>
      <c r="B87" s="169" t="s">
        <v>349</v>
      </c>
      <c r="C87" s="170" t="s">
        <v>903</v>
      </c>
      <c r="D87" s="170" t="s">
        <v>1817</v>
      </c>
      <c r="E87" s="171" t="s">
        <v>1818</v>
      </c>
      <c r="F87" s="171" t="s">
        <v>1819</v>
      </c>
      <c r="G87" s="170" t="s">
        <v>1820</v>
      </c>
      <c r="H87" s="170" t="s">
        <v>1820</v>
      </c>
      <c r="I87" s="177" t="s">
        <v>1411</v>
      </c>
      <c r="J87" s="173" t="s">
        <v>16</v>
      </c>
      <c r="K87" s="174"/>
      <c r="L87" s="175"/>
      <c r="M87" s="8"/>
      <c r="N87" s="8"/>
      <c r="O87" s="8"/>
      <c r="P87" s="8"/>
      <c r="Q87" s="8"/>
      <c r="R87" s="8"/>
      <c r="S87" s="8"/>
      <c r="T87" s="8"/>
      <c r="U87" s="8"/>
      <c r="V87" s="8"/>
      <c r="W87" s="8"/>
      <c r="X87" s="8"/>
      <c r="Y87" s="8"/>
      <c r="Z87" s="8"/>
      <c r="AA87" s="8"/>
      <c r="AB87" s="8"/>
      <c r="AC87" s="8"/>
      <c r="AD87" s="8"/>
    </row>
    <row r="88">
      <c r="A88" s="169" t="s">
        <v>904</v>
      </c>
      <c r="B88" s="169" t="s">
        <v>349</v>
      </c>
      <c r="C88" s="170" t="s">
        <v>905</v>
      </c>
      <c r="D88" s="170" t="s">
        <v>1821</v>
      </c>
      <c r="E88" s="176" t="s">
        <v>1822</v>
      </c>
      <c r="F88" s="176" t="s">
        <v>1823</v>
      </c>
      <c r="G88" s="170" t="s">
        <v>1824</v>
      </c>
      <c r="H88" s="170" t="s">
        <v>1824</v>
      </c>
      <c r="I88" s="177" t="s">
        <v>1411</v>
      </c>
      <c r="J88" s="178" t="s">
        <v>16</v>
      </c>
      <c r="K88" s="174"/>
      <c r="L88" s="175"/>
      <c r="M88" s="8"/>
      <c r="N88" s="8"/>
      <c r="O88" s="8"/>
      <c r="P88" s="8"/>
      <c r="Q88" s="8"/>
      <c r="R88" s="8"/>
      <c r="S88" s="8"/>
      <c r="T88" s="8"/>
      <c r="U88" s="8"/>
      <c r="V88" s="8"/>
      <c r="W88" s="8"/>
      <c r="X88" s="8"/>
      <c r="Y88" s="8"/>
      <c r="Z88" s="8"/>
      <c r="AA88" s="8"/>
      <c r="AB88" s="8"/>
      <c r="AC88" s="8"/>
      <c r="AD88" s="8"/>
    </row>
    <row r="89">
      <c r="A89" s="169" t="s">
        <v>906</v>
      </c>
      <c r="B89" s="169" t="s">
        <v>349</v>
      </c>
      <c r="C89" s="170" t="s">
        <v>907</v>
      </c>
      <c r="D89" s="170" t="s">
        <v>1825</v>
      </c>
      <c r="E89" s="171" t="s">
        <v>1826</v>
      </c>
      <c r="F89" s="171" t="s">
        <v>1827</v>
      </c>
      <c r="G89" s="170" t="s">
        <v>1828</v>
      </c>
      <c r="H89" s="170" t="s">
        <v>1828</v>
      </c>
      <c r="I89" s="172" t="s">
        <v>1405</v>
      </c>
      <c r="J89" s="173" t="s">
        <v>16</v>
      </c>
      <c r="K89" s="174"/>
      <c r="L89" s="175"/>
      <c r="M89" s="8"/>
      <c r="N89" s="8"/>
      <c r="O89" s="8"/>
      <c r="P89" s="8"/>
      <c r="Q89" s="8"/>
      <c r="R89" s="8"/>
      <c r="S89" s="8"/>
      <c r="T89" s="8"/>
      <c r="U89" s="8"/>
      <c r="V89" s="8"/>
      <c r="W89" s="8"/>
      <c r="X89" s="8"/>
      <c r="Y89" s="8"/>
      <c r="Z89" s="8"/>
      <c r="AA89" s="8"/>
      <c r="AB89" s="8"/>
      <c r="AC89" s="8"/>
      <c r="AD89" s="8"/>
    </row>
    <row r="90">
      <c r="A90" s="169" t="s">
        <v>909</v>
      </c>
      <c r="B90" s="169" t="s">
        <v>353</v>
      </c>
      <c r="C90" s="170" t="s">
        <v>910</v>
      </c>
      <c r="D90" s="170" t="s">
        <v>1829</v>
      </c>
      <c r="E90" s="176" t="s">
        <v>1830</v>
      </c>
      <c r="F90" s="176" t="s">
        <v>1831</v>
      </c>
      <c r="G90" s="170" t="s">
        <v>1832</v>
      </c>
      <c r="H90" s="170" t="s">
        <v>1832</v>
      </c>
      <c r="I90" s="177" t="s">
        <v>1411</v>
      </c>
      <c r="J90" s="178" t="s">
        <v>16</v>
      </c>
      <c r="K90" s="174"/>
      <c r="L90" s="175"/>
      <c r="M90" s="8"/>
      <c r="N90" s="8"/>
      <c r="O90" s="8"/>
      <c r="P90" s="8"/>
      <c r="Q90" s="8"/>
      <c r="R90" s="8"/>
      <c r="S90" s="8"/>
      <c r="T90" s="8"/>
      <c r="U90" s="8"/>
      <c r="V90" s="8"/>
      <c r="W90" s="8"/>
      <c r="X90" s="8"/>
      <c r="Y90" s="8"/>
      <c r="Z90" s="8"/>
      <c r="AA90" s="8"/>
      <c r="AB90" s="8"/>
      <c r="AC90" s="8"/>
      <c r="AD90" s="8"/>
    </row>
    <row r="91">
      <c r="A91" s="169" t="s">
        <v>911</v>
      </c>
      <c r="B91" s="169" t="s">
        <v>353</v>
      </c>
      <c r="C91" s="170" t="s">
        <v>912</v>
      </c>
      <c r="D91" s="170" t="s">
        <v>1833</v>
      </c>
      <c r="E91" s="171" t="s">
        <v>1834</v>
      </c>
      <c r="F91" s="171" t="s">
        <v>1835</v>
      </c>
      <c r="G91" s="170" t="s">
        <v>1836</v>
      </c>
      <c r="H91" s="170" t="s">
        <v>1836</v>
      </c>
      <c r="I91" s="172" t="s">
        <v>1405</v>
      </c>
      <c r="J91" s="173" t="s">
        <v>16</v>
      </c>
      <c r="K91" s="174"/>
      <c r="L91" s="175"/>
      <c r="M91" s="8"/>
      <c r="N91" s="8"/>
      <c r="O91" s="8"/>
      <c r="P91" s="8"/>
      <c r="Q91" s="8"/>
      <c r="R91" s="8"/>
      <c r="S91" s="8"/>
      <c r="T91" s="8"/>
      <c r="U91" s="8"/>
      <c r="V91" s="8"/>
      <c r="W91" s="8"/>
      <c r="X91" s="8"/>
      <c r="Y91" s="8"/>
      <c r="Z91" s="8"/>
      <c r="AA91" s="8"/>
      <c r="AB91" s="8"/>
      <c r="AC91" s="8"/>
      <c r="AD91" s="8"/>
    </row>
    <row r="92">
      <c r="A92" s="169" t="s">
        <v>914</v>
      </c>
      <c r="B92" s="169" t="s">
        <v>357</v>
      </c>
      <c r="C92" s="170" t="s">
        <v>915</v>
      </c>
      <c r="D92" s="170" t="s">
        <v>1837</v>
      </c>
      <c r="E92" s="176" t="s">
        <v>1838</v>
      </c>
      <c r="F92" s="176" t="s">
        <v>1839</v>
      </c>
      <c r="G92" s="170" t="s">
        <v>1840</v>
      </c>
      <c r="H92" s="170" t="s">
        <v>1841</v>
      </c>
      <c r="I92" s="177" t="s">
        <v>1411</v>
      </c>
      <c r="J92" s="178" t="s">
        <v>11</v>
      </c>
      <c r="K92" s="170" t="s">
        <v>1842</v>
      </c>
      <c r="L92" s="175"/>
      <c r="M92" s="8"/>
      <c r="N92" s="8"/>
      <c r="O92" s="8"/>
      <c r="P92" s="8"/>
      <c r="Q92" s="8"/>
      <c r="R92" s="8"/>
      <c r="S92" s="8"/>
      <c r="T92" s="8"/>
      <c r="U92" s="8"/>
      <c r="V92" s="8"/>
      <c r="W92" s="8"/>
      <c r="X92" s="8"/>
      <c r="Y92" s="8"/>
      <c r="Z92" s="8"/>
      <c r="AA92" s="8"/>
      <c r="AB92" s="8"/>
      <c r="AC92" s="8"/>
      <c r="AD92" s="8"/>
    </row>
    <row r="93">
      <c r="A93" s="169" t="s">
        <v>916</v>
      </c>
      <c r="B93" s="169" t="s">
        <v>357</v>
      </c>
      <c r="C93" s="170" t="s">
        <v>917</v>
      </c>
      <c r="D93" s="170" t="s">
        <v>1843</v>
      </c>
      <c r="E93" s="171" t="s">
        <v>1844</v>
      </c>
      <c r="F93" s="171" t="s">
        <v>1845</v>
      </c>
      <c r="G93" s="170" t="s">
        <v>1846</v>
      </c>
      <c r="H93" s="170" t="s">
        <v>1847</v>
      </c>
      <c r="I93" s="177" t="s">
        <v>1411</v>
      </c>
      <c r="J93" s="173" t="s">
        <v>11</v>
      </c>
      <c r="K93" s="170" t="s">
        <v>1848</v>
      </c>
      <c r="L93" s="175"/>
      <c r="M93" s="8"/>
      <c r="N93" s="8"/>
      <c r="O93" s="8"/>
      <c r="P93" s="8"/>
      <c r="Q93" s="8"/>
      <c r="R93" s="8"/>
      <c r="S93" s="8"/>
      <c r="T93" s="8"/>
      <c r="U93" s="8"/>
      <c r="V93" s="8"/>
      <c r="W93" s="8"/>
      <c r="X93" s="8"/>
      <c r="Y93" s="8"/>
      <c r="Z93" s="8"/>
      <c r="AA93" s="8"/>
      <c r="AB93" s="8"/>
      <c r="AC93" s="8"/>
      <c r="AD93" s="8"/>
    </row>
    <row r="94">
      <c r="A94" s="169" t="s">
        <v>918</v>
      </c>
      <c r="B94" s="169" t="s">
        <v>357</v>
      </c>
      <c r="C94" s="170" t="s">
        <v>919</v>
      </c>
      <c r="D94" s="170" t="s">
        <v>1849</v>
      </c>
      <c r="E94" s="176" t="s">
        <v>1850</v>
      </c>
      <c r="F94" s="176" t="s">
        <v>1851</v>
      </c>
      <c r="G94" s="170" t="s">
        <v>1852</v>
      </c>
      <c r="H94" s="170" t="s">
        <v>1852</v>
      </c>
      <c r="I94" s="179" t="s">
        <v>1416</v>
      </c>
      <c r="J94" s="178" t="s">
        <v>16</v>
      </c>
      <c r="K94" s="174"/>
      <c r="L94" s="175"/>
      <c r="M94" s="8"/>
      <c r="N94" s="8"/>
      <c r="O94" s="8"/>
      <c r="P94" s="8"/>
      <c r="Q94" s="8"/>
      <c r="R94" s="8"/>
      <c r="S94" s="8"/>
      <c r="T94" s="8"/>
      <c r="U94" s="8"/>
      <c r="V94" s="8"/>
      <c r="W94" s="8"/>
      <c r="X94" s="8"/>
      <c r="Y94" s="8"/>
      <c r="Z94" s="8"/>
      <c r="AA94" s="8"/>
      <c r="AB94" s="8"/>
      <c r="AC94" s="8"/>
      <c r="AD94" s="8"/>
    </row>
    <row r="95">
      <c r="A95" s="169" t="s">
        <v>921</v>
      </c>
      <c r="B95" s="169" t="s">
        <v>363</v>
      </c>
      <c r="C95" s="170" t="s">
        <v>922</v>
      </c>
      <c r="D95" s="170" t="s">
        <v>1853</v>
      </c>
      <c r="E95" s="171" t="s">
        <v>1854</v>
      </c>
      <c r="F95" s="171" t="s">
        <v>1855</v>
      </c>
      <c r="G95" s="170" t="s">
        <v>1856</v>
      </c>
      <c r="H95" s="170" t="s">
        <v>1856</v>
      </c>
      <c r="I95" s="172" t="s">
        <v>1405</v>
      </c>
      <c r="J95" s="173" t="s">
        <v>16</v>
      </c>
      <c r="K95" s="174"/>
      <c r="L95" s="175"/>
      <c r="M95" s="8"/>
      <c r="N95" s="8"/>
      <c r="O95" s="8"/>
      <c r="P95" s="8"/>
      <c r="Q95" s="8"/>
      <c r="R95" s="8"/>
      <c r="S95" s="8"/>
      <c r="T95" s="8"/>
      <c r="U95" s="8"/>
      <c r="V95" s="8"/>
      <c r="W95" s="8"/>
      <c r="X95" s="8"/>
      <c r="Y95" s="8"/>
      <c r="Z95" s="8"/>
      <c r="AA95" s="8"/>
      <c r="AB95" s="8"/>
      <c r="AC95" s="8"/>
      <c r="AD95" s="8"/>
    </row>
    <row r="96">
      <c r="A96" s="169" t="s">
        <v>923</v>
      </c>
      <c r="B96" s="169" t="s">
        <v>363</v>
      </c>
      <c r="C96" s="170" t="s">
        <v>924</v>
      </c>
      <c r="D96" s="170" t="s">
        <v>1857</v>
      </c>
      <c r="E96" s="176" t="s">
        <v>1858</v>
      </c>
      <c r="F96" s="176" t="s">
        <v>1855</v>
      </c>
      <c r="G96" s="170" t="s">
        <v>1859</v>
      </c>
      <c r="H96" s="170" t="s">
        <v>1859</v>
      </c>
      <c r="I96" s="179" t="s">
        <v>1416</v>
      </c>
      <c r="J96" s="178" t="s">
        <v>16</v>
      </c>
      <c r="K96" s="174"/>
      <c r="L96" s="175"/>
      <c r="M96" s="8"/>
      <c r="N96" s="8"/>
      <c r="O96" s="8"/>
      <c r="P96" s="8"/>
      <c r="Q96" s="8"/>
      <c r="R96" s="8"/>
      <c r="S96" s="8"/>
      <c r="T96" s="8"/>
      <c r="U96" s="8"/>
      <c r="V96" s="8"/>
      <c r="W96" s="8"/>
      <c r="X96" s="8"/>
      <c r="Y96" s="8"/>
      <c r="Z96" s="8"/>
      <c r="AA96" s="8"/>
      <c r="AB96" s="8"/>
      <c r="AC96" s="8"/>
      <c r="AD96" s="8"/>
    </row>
    <row r="97">
      <c r="A97" s="169" t="s">
        <v>926</v>
      </c>
      <c r="B97" s="169" t="s">
        <v>367</v>
      </c>
      <c r="C97" s="170" t="s">
        <v>927</v>
      </c>
      <c r="D97" s="170" t="s">
        <v>1860</v>
      </c>
      <c r="E97" s="171" t="s">
        <v>1861</v>
      </c>
      <c r="F97" s="171" t="s">
        <v>1862</v>
      </c>
      <c r="G97" s="170" t="s">
        <v>1863</v>
      </c>
      <c r="H97" s="170" t="s">
        <v>1863</v>
      </c>
      <c r="I97" s="172" t="s">
        <v>1405</v>
      </c>
      <c r="J97" s="173" t="s">
        <v>16</v>
      </c>
      <c r="K97" s="174"/>
      <c r="L97" s="175"/>
      <c r="M97" s="8"/>
      <c r="N97" s="8"/>
      <c r="O97" s="8"/>
      <c r="P97" s="8"/>
      <c r="Q97" s="8"/>
      <c r="R97" s="8"/>
      <c r="S97" s="8"/>
      <c r="T97" s="8"/>
      <c r="U97" s="8"/>
      <c r="V97" s="8"/>
      <c r="W97" s="8"/>
      <c r="X97" s="8"/>
      <c r="Y97" s="8"/>
      <c r="Z97" s="8"/>
      <c r="AA97" s="8"/>
      <c r="AB97" s="8"/>
      <c r="AC97" s="8"/>
      <c r="AD97" s="8"/>
    </row>
    <row r="98">
      <c r="A98" s="169" t="s">
        <v>928</v>
      </c>
      <c r="B98" s="169" t="s">
        <v>367</v>
      </c>
      <c r="C98" s="170" t="s">
        <v>929</v>
      </c>
      <c r="D98" s="170" t="s">
        <v>1864</v>
      </c>
      <c r="E98" s="176" t="s">
        <v>1865</v>
      </c>
      <c r="F98" s="176" t="s">
        <v>1866</v>
      </c>
      <c r="G98" s="170" t="s">
        <v>1867</v>
      </c>
      <c r="H98" s="170" t="s">
        <v>1868</v>
      </c>
      <c r="I98" s="177" t="s">
        <v>1411</v>
      </c>
      <c r="J98" s="178" t="s">
        <v>11</v>
      </c>
      <c r="K98" s="170" t="s">
        <v>1869</v>
      </c>
      <c r="L98" s="175"/>
      <c r="M98" s="8"/>
      <c r="N98" s="8"/>
      <c r="O98" s="8"/>
      <c r="P98" s="8"/>
      <c r="Q98" s="8"/>
      <c r="R98" s="8"/>
      <c r="S98" s="8"/>
      <c r="T98" s="8"/>
      <c r="U98" s="8"/>
      <c r="V98" s="8"/>
      <c r="W98" s="8"/>
      <c r="X98" s="8"/>
      <c r="Y98" s="8"/>
      <c r="Z98" s="8"/>
      <c r="AA98" s="8"/>
      <c r="AB98" s="8"/>
      <c r="AC98" s="8"/>
      <c r="AD98" s="8"/>
    </row>
    <row r="99">
      <c r="A99" s="169" t="s">
        <v>930</v>
      </c>
      <c r="B99" s="169" t="s">
        <v>367</v>
      </c>
      <c r="C99" s="170" t="s">
        <v>931</v>
      </c>
      <c r="D99" s="170" t="s">
        <v>1870</v>
      </c>
      <c r="E99" s="171" t="s">
        <v>1871</v>
      </c>
      <c r="F99" s="171" t="s">
        <v>1872</v>
      </c>
      <c r="G99" s="170" t="s">
        <v>1873</v>
      </c>
      <c r="H99" s="170" t="s">
        <v>1873</v>
      </c>
      <c r="I99" s="177" t="s">
        <v>1411</v>
      </c>
      <c r="J99" s="173" t="s">
        <v>16</v>
      </c>
      <c r="K99" s="174"/>
      <c r="L99" s="175"/>
      <c r="M99" s="8"/>
      <c r="N99" s="8"/>
      <c r="O99" s="8"/>
      <c r="P99" s="8"/>
      <c r="Q99" s="8"/>
      <c r="R99" s="8"/>
      <c r="S99" s="8"/>
      <c r="T99" s="8"/>
      <c r="U99" s="8"/>
      <c r="V99" s="8"/>
      <c r="W99" s="8"/>
      <c r="X99" s="8"/>
      <c r="Y99" s="8"/>
      <c r="Z99" s="8"/>
      <c r="AA99" s="8"/>
      <c r="AB99" s="8"/>
      <c r="AC99" s="8"/>
      <c r="AD99" s="8"/>
    </row>
    <row r="100">
      <c r="A100" s="169" t="s">
        <v>933</v>
      </c>
      <c r="B100" s="169" t="s">
        <v>371</v>
      </c>
      <c r="C100" s="170" t="s">
        <v>934</v>
      </c>
      <c r="D100" s="170" t="s">
        <v>1874</v>
      </c>
      <c r="E100" s="176" t="s">
        <v>1875</v>
      </c>
      <c r="F100" s="176" t="s">
        <v>1855</v>
      </c>
      <c r="G100" s="170" t="s">
        <v>1876</v>
      </c>
      <c r="H100" s="170" t="s">
        <v>1876</v>
      </c>
      <c r="I100" s="172" t="s">
        <v>1405</v>
      </c>
      <c r="J100" s="178" t="s">
        <v>16</v>
      </c>
      <c r="K100" s="174"/>
      <c r="L100" s="175"/>
      <c r="M100" s="8"/>
      <c r="N100" s="8"/>
      <c r="O100" s="8"/>
      <c r="P100" s="8"/>
      <c r="Q100" s="8"/>
      <c r="R100" s="8"/>
      <c r="S100" s="8"/>
      <c r="T100" s="8"/>
      <c r="U100" s="8"/>
      <c r="V100" s="8"/>
      <c r="W100" s="8"/>
      <c r="X100" s="8"/>
      <c r="Y100" s="8"/>
      <c r="Z100" s="8"/>
      <c r="AA100" s="8"/>
      <c r="AB100" s="8"/>
      <c r="AC100" s="8"/>
      <c r="AD100" s="8"/>
    </row>
    <row r="101">
      <c r="A101" s="169" t="s">
        <v>935</v>
      </c>
      <c r="B101" s="169" t="s">
        <v>371</v>
      </c>
      <c r="C101" s="170" t="s">
        <v>936</v>
      </c>
      <c r="D101" s="170" t="s">
        <v>1877</v>
      </c>
      <c r="E101" s="171" t="s">
        <v>1878</v>
      </c>
      <c r="F101" s="171" t="s">
        <v>1879</v>
      </c>
      <c r="G101" s="170" t="s">
        <v>1880</v>
      </c>
      <c r="H101" s="170" t="s">
        <v>1880</v>
      </c>
      <c r="I101" s="172" t="s">
        <v>1405</v>
      </c>
      <c r="J101" s="173" t="s">
        <v>16</v>
      </c>
      <c r="K101" s="174"/>
      <c r="L101" s="175"/>
      <c r="M101" s="8"/>
      <c r="N101" s="8"/>
      <c r="O101" s="8"/>
      <c r="P101" s="8"/>
      <c r="Q101" s="8"/>
      <c r="R101" s="8"/>
      <c r="S101" s="8"/>
      <c r="T101" s="8"/>
      <c r="U101" s="8"/>
      <c r="V101" s="8"/>
      <c r="W101" s="8"/>
      <c r="X101" s="8"/>
      <c r="Y101" s="8"/>
      <c r="Z101" s="8"/>
      <c r="AA101" s="8"/>
      <c r="AB101" s="8"/>
      <c r="AC101" s="8"/>
      <c r="AD101" s="8"/>
    </row>
    <row r="102">
      <c r="A102" s="169" t="s">
        <v>937</v>
      </c>
      <c r="B102" s="169" t="s">
        <v>371</v>
      </c>
      <c r="C102" s="170" t="s">
        <v>938</v>
      </c>
      <c r="D102" s="170" t="s">
        <v>1881</v>
      </c>
      <c r="E102" s="176" t="s">
        <v>1882</v>
      </c>
      <c r="F102" s="176" t="s">
        <v>1855</v>
      </c>
      <c r="G102" s="170" t="s">
        <v>1883</v>
      </c>
      <c r="H102" s="170" t="s">
        <v>1884</v>
      </c>
      <c r="I102" s="179" t="s">
        <v>1416</v>
      </c>
      <c r="J102" s="178" t="s">
        <v>16</v>
      </c>
      <c r="K102" s="174"/>
      <c r="L102" s="175"/>
      <c r="M102" s="8"/>
      <c r="N102" s="8"/>
      <c r="O102" s="8"/>
      <c r="P102" s="8"/>
      <c r="Q102" s="8"/>
      <c r="R102" s="8"/>
      <c r="S102" s="8"/>
      <c r="T102" s="8"/>
      <c r="U102" s="8"/>
      <c r="V102" s="8"/>
      <c r="W102" s="8"/>
      <c r="X102" s="8"/>
      <c r="Y102" s="8"/>
      <c r="Z102" s="8"/>
      <c r="AA102" s="8"/>
      <c r="AB102" s="8"/>
      <c r="AC102" s="8"/>
      <c r="AD102" s="8"/>
    </row>
    <row r="103">
      <c r="A103" s="169" t="s">
        <v>940</v>
      </c>
      <c r="B103" s="169" t="s">
        <v>375</v>
      </c>
      <c r="C103" s="170" t="s">
        <v>941</v>
      </c>
      <c r="D103" s="170" t="s">
        <v>1885</v>
      </c>
      <c r="E103" s="171" t="s">
        <v>1886</v>
      </c>
      <c r="F103" s="171" t="s">
        <v>1887</v>
      </c>
      <c r="G103" s="170" t="s">
        <v>1888</v>
      </c>
      <c r="H103" s="170" t="s">
        <v>1888</v>
      </c>
      <c r="I103" s="172" t="s">
        <v>1405</v>
      </c>
      <c r="J103" s="173" t="s">
        <v>16</v>
      </c>
      <c r="K103" s="174"/>
      <c r="L103" s="175"/>
      <c r="M103" s="8"/>
      <c r="N103" s="8"/>
      <c r="O103" s="8"/>
      <c r="P103" s="8"/>
      <c r="Q103" s="8"/>
      <c r="R103" s="8"/>
      <c r="S103" s="8"/>
      <c r="T103" s="8"/>
      <c r="U103" s="8"/>
      <c r="V103" s="8"/>
      <c r="W103" s="8"/>
      <c r="X103" s="8"/>
      <c r="Y103" s="8"/>
      <c r="Z103" s="8"/>
      <c r="AA103" s="8"/>
      <c r="AB103" s="8"/>
      <c r="AC103" s="8"/>
      <c r="AD103" s="8"/>
    </row>
    <row r="104">
      <c r="A104" s="169" t="s">
        <v>942</v>
      </c>
      <c r="B104" s="169" t="s">
        <v>375</v>
      </c>
      <c r="C104" s="170" t="s">
        <v>943</v>
      </c>
      <c r="D104" s="170" t="s">
        <v>1889</v>
      </c>
      <c r="E104" s="176" t="s">
        <v>1890</v>
      </c>
      <c r="F104" s="176" t="s">
        <v>1891</v>
      </c>
      <c r="G104" s="170" t="s">
        <v>1892</v>
      </c>
      <c r="H104" s="170" t="s">
        <v>1892</v>
      </c>
      <c r="I104" s="177" t="s">
        <v>1411</v>
      </c>
      <c r="J104" s="178" t="s">
        <v>16</v>
      </c>
      <c r="K104" s="174"/>
      <c r="L104" s="175"/>
      <c r="M104" s="8"/>
      <c r="N104" s="8"/>
      <c r="O104" s="8"/>
      <c r="P104" s="8"/>
      <c r="Q104" s="8"/>
      <c r="R104" s="8"/>
      <c r="S104" s="8"/>
      <c r="T104" s="8"/>
      <c r="U104" s="8"/>
      <c r="V104" s="8"/>
      <c r="W104" s="8"/>
      <c r="X104" s="8"/>
      <c r="Y104" s="8"/>
      <c r="Z104" s="8"/>
      <c r="AA104" s="8"/>
      <c r="AB104" s="8"/>
      <c r="AC104" s="8"/>
      <c r="AD104" s="8"/>
    </row>
    <row r="105">
      <c r="A105" s="169" t="s">
        <v>944</v>
      </c>
      <c r="B105" s="169" t="s">
        <v>375</v>
      </c>
      <c r="C105" s="170" t="s">
        <v>945</v>
      </c>
      <c r="D105" s="170" t="s">
        <v>1893</v>
      </c>
      <c r="E105" s="171" t="s">
        <v>1894</v>
      </c>
      <c r="F105" s="171" t="s">
        <v>1895</v>
      </c>
      <c r="G105" s="170" t="s">
        <v>1896</v>
      </c>
      <c r="H105" s="170" t="s">
        <v>1896</v>
      </c>
      <c r="I105" s="172" t="s">
        <v>1405</v>
      </c>
      <c r="J105" s="173" t="s">
        <v>16</v>
      </c>
      <c r="K105" s="174"/>
      <c r="L105" s="175"/>
      <c r="M105" s="8"/>
      <c r="N105" s="8"/>
      <c r="O105" s="8"/>
      <c r="P105" s="8"/>
      <c r="Q105" s="8"/>
      <c r="R105" s="8"/>
      <c r="S105" s="8"/>
      <c r="T105" s="8"/>
      <c r="U105" s="8"/>
      <c r="V105" s="8"/>
      <c r="W105" s="8"/>
      <c r="X105" s="8"/>
      <c r="Y105" s="8"/>
      <c r="Z105" s="8"/>
      <c r="AA105" s="8"/>
      <c r="AB105" s="8"/>
      <c r="AC105" s="8"/>
      <c r="AD105" s="8"/>
    </row>
    <row r="106">
      <c r="A106" s="169" t="s">
        <v>947</v>
      </c>
      <c r="B106" s="169" t="s">
        <v>379</v>
      </c>
      <c r="C106" s="170" t="s">
        <v>948</v>
      </c>
      <c r="D106" s="170" t="s">
        <v>1897</v>
      </c>
      <c r="E106" s="176" t="s">
        <v>1898</v>
      </c>
      <c r="F106" s="176" t="s">
        <v>1855</v>
      </c>
      <c r="G106" s="170" t="s">
        <v>1899</v>
      </c>
      <c r="H106" s="170" t="s">
        <v>1900</v>
      </c>
      <c r="I106" s="177" t="s">
        <v>1411</v>
      </c>
      <c r="J106" s="178" t="s">
        <v>11</v>
      </c>
      <c r="K106" s="170" t="s">
        <v>1901</v>
      </c>
      <c r="L106" s="170" t="s">
        <v>1902</v>
      </c>
      <c r="M106" s="8"/>
      <c r="N106" s="8"/>
      <c r="O106" s="8"/>
      <c r="P106" s="8"/>
      <c r="Q106" s="8"/>
      <c r="R106" s="8"/>
      <c r="S106" s="8"/>
      <c r="T106" s="8"/>
      <c r="U106" s="8"/>
      <c r="V106" s="8"/>
      <c r="W106" s="8"/>
      <c r="X106" s="8"/>
      <c r="Y106" s="8"/>
      <c r="Z106" s="8"/>
      <c r="AA106" s="8"/>
      <c r="AB106" s="8"/>
      <c r="AC106" s="8"/>
      <c r="AD106" s="8"/>
    </row>
    <row r="107">
      <c r="A107" s="169" t="s">
        <v>949</v>
      </c>
      <c r="B107" s="169" t="s">
        <v>379</v>
      </c>
      <c r="C107" s="170" t="s">
        <v>950</v>
      </c>
      <c r="D107" s="170" t="s">
        <v>1903</v>
      </c>
      <c r="E107" s="171" t="s">
        <v>1904</v>
      </c>
      <c r="F107" s="171" t="s">
        <v>1855</v>
      </c>
      <c r="G107" s="170" t="s">
        <v>1905</v>
      </c>
      <c r="H107" s="170" t="s">
        <v>1905</v>
      </c>
      <c r="I107" s="172" t="s">
        <v>1405</v>
      </c>
      <c r="J107" s="173" t="s">
        <v>16</v>
      </c>
      <c r="K107" s="174"/>
      <c r="L107" s="175"/>
      <c r="M107" s="8"/>
      <c r="N107" s="8"/>
      <c r="O107" s="8"/>
      <c r="P107" s="8"/>
      <c r="Q107" s="8"/>
      <c r="R107" s="8"/>
      <c r="S107" s="8"/>
      <c r="T107" s="8"/>
      <c r="U107" s="8"/>
      <c r="V107" s="8"/>
      <c r="W107" s="8"/>
      <c r="X107" s="8"/>
      <c r="Y107" s="8"/>
      <c r="Z107" s="8"/>
      <c r="AA107" s="8"/>
      <c r="AB107" s="8"/>
      <c r="AC107" s="8"/>
      <c r="AD107" s="8"/>
    </row>
    <row r="108">
      <c r="A108" s="169" t="s">
        <v>952</v>
      </c>
      <c r="B108" s="169" t="s">
        <v>383</v>
      </c>
      <c r="C108" s="170" t="s">
        <v>953</v>
      </c>
      <c r="D108" s="170" t="s">
        <v>1906</v>
      </c>
      <c r="E108" s="176" t="s">
        <v>1907</v>
      </c>
      <c r="F108" s="176" t="s">
        <v>1908</v>
      </c>
      <c r="G108" s="170" t="s">
        <v>1909</v>
      </c>
      <c r="H108" s="170" t="s">
        <v>1909</v>
      </c>
      <c r="I108" s="177" t="s">
        <v>1411</v>
      </c>
      <c r="J108" s="178" t="s">
        <v>16</v>
      </c>
      <c r="K108" s="174"/>
      <c r="L108" s="175"/>
      <c r="M108" s="8"/>
      <c r="N108" s="8"/>
      <c r="O108" s="8"/>
      <c r="P108" s="8"/>
      <c r="Q108" s="8"/>
      <c r="R108" s="8"/>
      <c r="S108" s="8"/>
      <c r="T108" s="8"/>
      <c r="U108" s="8"/>
      <c r="V108" s="8"/>
      <c r="W108" s="8"/>
      <c r="X108" s="8"/>
      <c r="Y108" s="8"/>
      <c r="Z108" s="8"/>
      <c r="AA108" s="8"/>
      <c r="AB108" s="8"/>
      <c r="AC108" s="8"/>
      <c r="AD108" s="8"/>
    </row>
    <row r="109">
      <c r="A109" s="169" t="s">
        <v>954</v>
      </c>
      <c r="B109" s="169" t="s">
        <v>383</v>
      </c>
      <c r="C109" s="170" t="s">
        <v>955</v>
      </c>
      <c r="D109" s="170" t="s">
        <v>1910</v>
      </c>
      <c r="E109" s="171" t="s">
        <v>1911</v>
      </c>
      <c r="F109" s="171" t="s">
        <v>1912</v>
      </c>
      <c r="G109" s="170" t="s">
        <v>1867</v>
      </c>
      <c r="H109" s="170" t="s">
        <v>1913</v>
      </c>
      <c r="I109" s="177" t="s">
        <v>1411</v>
      </c>
      <c r="J109" s="173" t="s">
        <v>11</v>
      </c>
      <c r="K109" s="170" t="s">
        <v>1914</v>
      </c>
      <c r="L109" s="175"/>
      <c r="M109" s="8"/>
      <c r="N109" s="8"/>
      <c r="O109" s="8"/>
      <c r="P109" s="8"/>
      <c r="Q109" s="8"/>
      <c r="R109" s="8"/>
      <c r="S109" s="8"/>
      <c r="T109" s="8"/>
      <c r="U109" s="8"/>
      <c r="V109" s="8"/>
      <c r="W109" s="8"/>
      <c r="X109" s="8"/>
      <c r="Y109" s="8"/>
      <c r="Z109" s="8"/>
      <c r="AA109" s="8"/>
      <c r="AB109" s="8"/>
      <c r="AC109" s="8"/>
      <c r="AD109" s="8"/>
    </row>
    <row r="110">
      <c r="A110" s="169" t="s">
        <v>956</v>
      </c>
      <c r="B110" s="169" t="s">
        <v>383</v>
      </c>
      <c r="C110" s="170" t="s">
        <v>957</v>
      </c>
      <c r="D110" s="170" t="s">
        <v>1915</v>
      </c>
      <c r="E110" s="176" t="s">
        <v>1916</v>
      </c>
      <c r="F110" s="176" t="s">
        <v>1917</v>
      </c>
      <c r="G110" s="170" t="s">
        <v>1918</v>
      </c>
      <c r="H110" s="170" t="s">
        <v>1918</v>
      </c>
      <c r="I110" s="172" t="s">
        <v>1405</v>
      </c>
      <c r="J110" s="178" t="s">
        <v>16</v>
      </c>
      <c r="K110" s="174"/>
      <c r="L110" s="175"/>
      <c r="M110" s="8"/>
      <c r="N110" s="8"/>
      <c r="O110" s="8"/>
      <c r="P110" s="8"/>
      <c r="Q110" s="8"/>
      <c r="R110" s="8"/>
      <c r="S110" s="8"/>
      <c r="T110" s="8"/>
      <c r="U110" s="8"/>
      <c r="V110" s="8"/>
      <c r="W110" s="8"/>
      <c r="X110" s="8"/>
      <c r="Y110" s="8"/>
      <c r="Z110" s="8"/>
      <c r="AA110" s="8"/>
      <c r="AB110" s="8"/>
      <c r="AC110" s="8"/>
      <c r="AD110" s="8"/>
    </row>
    <row r="111">
      <c r="A111" s="169" t="s">
        <v>959</v>
      </c>
      <c r="B111" s="169" t="s">
        <v>388</v>
      </c>
      <c r="C111" s="170" t="s">
        <v>960</v>
      </c>
      <c r="D111" s="170" t="s">
        <v>1919</v>
      </c>
      <c r="E111" s="171" t="s">
        <v>1920</v>
      </c>
      <c r="F111" s="171" t="s">
        <v>1921</v>
      </c>
      <c r="G111" s="170" t="s">
        <v>1922</v>
      </c>
      <c r="H111" s="170" t="s">
        <v>1922</v>
      </c>
      <c r="I111" s="172" t="s">
        <v>1405</v>
      </c>
      <c r="J111" s="173" t="s">
        <v>16</v>
      </c>
      <c r="K111" s="174"/>
      <c r="L111" s="175"/>
      <c r="M111" s="8"/>
      <c r="N111" s="8"/>
      <c r="O111" s="8"/>
      <c r="P111" s="8"/>
      <c r="Q111" s="8"/>
      <c r="R111" s="8"/>
      <c r="S111" s="8"/>
      <c r="T111" s="8"/>
      <c r="U111" s="8"/>
      <c r="V111" s="8"/>
      <c r="W111" s="8"/>
      <c r="X111" s="8"/>
      <c r="Y111" s="8"/>
      <c r="Z111" s="8"/>
      <c r="AA111" s="8"/>
      <c r="AB111" s="8"/>
      <c r="AC111" s="8"/>
      <c r="AD111" s="8"/>
    </row>
    <row r="112">
      <c r="A112" s="169" t="s">
        <v>961</v>
      </c>
      <c r="B112" s="169" t="s">
        <v>388</v>
      </c>
      <c r="C112" s="170" t="s">
        <v>962</v>
      </c>
      <c r="D112" s="170" t="s">
        <v>1923</v>
      </c>
      <c r="E112" s="171" t="s">
        <v>1924</v>
      </c>
      <c r="F112" s="171" t="s">
        <v>1925</v>
      </c>
      <c r="G112" s="170" t="s">
        <v>1926</v>
      </c>
      <c r="H112" s="170" t="s">
        <v>1926</v>
      </c>
      <c r="I112" s="179" t="s">
        <v>1416</v>
      </c>
      <c r="J112" s="178" t="s">
        <v>16</v>
      </c>
      <c r="K112" s="174"/>
      <c r="L112" s="175"/>
      <c r="M112" s="8"/>
      <c r="N112" s="8"/>
      <c r="O112" s="8"/>
      <c r="P112" s="8"/>
      <c r="Q112" s="8"/>
      <c r="R112" s="8"/>
      <c r="S112" s="8"/>
      <c r="T112" s="8"/>
      <c r="U112" s="8"/>
      <c r="V112" s="8"/>
      <c r="W112" s="8"/>
      <c r="X112" s="8"/>
      <c r="Y112" s="8"/>
      <c r="Z112" s="8"/>
      <c r="AA112" s="8"/>
      <c r="AB112" s="8"/>
      <c r="AC112" s="8"/>
      <c r="AD112" s="8"/>
    </row>
    <row r="113">
      <c r="A113" s="169" t="s">
        <v>963</v>
      </c>
      <c r="B113" s="169" t="s">
        <v>388</v>
      </c>
      <c r="C113" s="170" t="s">
        <v>964</v>
      </c>
      <c r="D113" s="170" t="s">
        <v>1927</v>
      </c>
      <c r="E113" s="171" t="s">
        <v>1928</v>
      </c>
      <c r="F113" s="171" t="s">
        <v>1929</v>
      </c>
      <c r="G113" s="170" t="s">
        <v>1930</v>
      </c>
      <c r="H113" s="170" t="s">
        <v>1930</v>
      </c>
      <c r="I113" s="177" t="s">
        <v>1411</v>
      </c>
      <c r="J113" s="173" t="s">
        <v>16</v>
      </c>
      <c r="K113" s="174"/>
      <c r="L113" s="175"/>
      <c r="M113" s="8"/>
      <c r="N113" s="8"/>
      <c r="O113" s="8"/>
      <c r="P113" s="8"/>
      <c r="Q113" s="8"/>
      <c r="R113" s="8"/>
      <c r="S113" s="8"/>
      <c r="T113" s="8"/>
      <c r="U113" s="8"/>
      <c r="V113" s="8"/>
      <c r="W113" s="8"/>
      <c r="X113" s="8"/>
      <c r="Y113" s="8"/>
      <c r="Z113" s="8"/>
      <c r="AA113" s="8"/>
      <c r="AB113" s="8"/>
      <c r="AC113" s="8"/>
      <c r="AD113" s="8"/>
    </row>
    <row r="114">
      <c r="A114" s="169" t="s">
        <v>966</v>
      </c>
      <c r="B114" s="169" t="s">
        <v>392</v>
      </c>
      <c r="C114" s="170" t="s">
        <v>1931</v>
      </c>
      <c r="D114" s="170" t="s">
        <v>1932</v>
      </c>
      <c r="E114" s="176" t="s">
        <v>1933</v>
      </c>
      <c r="F114" s="176" t="s">
        <v>1934</v>
      </c>
      <c r="G114" s="170" t="s">
        <v>1935</v>
      </c>
      <c r="H114" s="170" t="s">
        <v>1935</v>
      </c>
      <c r="I114" s="177" t="s">
        <v>1411</v>
      </c>
      <c r="J114" s="178" t="s">
        <v>16</v>
      </c>
      <c r="K114" s="174"/>
      <c r="L114" s="175"/>
      <c r="M114" s="8"/>
      <c r="N114" s="8"/>
      <c r="O114" s="8"/>
      <c r="P114" s="8"/>
      <c r="Q114" s="8"/>
      <c r="R114" s="8"/>
      <c r="S114" s="8"/>
      <c r="T114" s="8"/>
      <c r="U114" s="8"/>
      <c r="V114" s="8"/>
      <c r="W114" s="8"/>
      <c r="X114" s="8"/>
      <c r="Y114" s="8"/>
      <c r="Z114" s="8"/>
      <c r="AA114" s="8"/>
      <c r="AB114" s="8"/>
      <c r="AC114" s="8"/>
      <c r="AD114" s="8"/>
    </row>
    <row r="115">
      <c r="A115" s="169" t="s">
        <v>968</v>
      </c>
      <c r="B115" s="169" t="s">
        <v>392</v>
      </c>
      <c r="C115" s="170" t="s">
        <v>969</v>
      </c>
      <c r="D115" s="170" t="s">
        <v>1936</v>
      </c>
      <c r="E115" s="176" t="s">
        <v>1937</v>
      </c>
      <c r="F115" s="171" t="s">
        <v>1938</v>
      </c>
      <c r="G115" s="170" t="s">
        <v>1939</v>
      </c>
      <c r="H115" s="170" t="s">
        <v>1939</v>
      </c>
      <c r="I115" s="172" t="s">
        <v>1405</v>
      </c>
      <c r="J115" s="173" t="s">
        <v>16</v>
      </c>
      <c r="K115" s="174"/>
      <c r="L115" s="175"/>
      <c r="M115" s="8"/>
      <c r="N115" s="8"/>
      <c r="O115" s="8"/>
      <c r="P115" s="8"/>
      <c r="Q115" s="8"/>
      <c r="R115" s="8"/>
      <c r="S115" s="8"/>
      <c r="T115" s="8"/>
      <c r="U115" s="8"/>
      <c r="V115" s="8"/>
      <c r="W115" s="8"/>
      <c r="X115" s="8"/>
      <c r="Y115" s="8"/>
      <c r="Z115" s="8"/>
      <c r="AA115" s="8"/>
      <c r="AB115" s="8"/>
      <c r="AC115" s="8"/>
      <c r="AD115" s="8"/>
    </row>
    <row r="116">
      <c r="A116" s="169" t="s">
        <v>971</v>
      </c>
      <c r="B116" s="169" t="s">
        <v>396</v>
      </c>
      <c r="C116" s="170" t="s">
        <v>972</v>
      </c>
      <c r="D116" s="170" t="s">
        <v>1940</v>
      </c>
      <c r="E116" s="176" t="s">
        <v>1941</v>
      </c>
      <c r="F116" s="176" t="s">
        <v>1942</v>
      </c>
      <c r="G116" s="170" t="s">
        <v>1943</v>
      </c>
      <c r="H116" s="170" t="s">
        <v>1943</v>
      </c>
      <c r="I116" s="179" t="s">
        <v>1416</v>
      </c>
      <c r="J116" s="178" t="s">
        <v>16</v>
      </c>
      <c r="K116" s="174"/>
      <c r="L116" s="175"/>
      <c r="M116" s="8"/>
      <c r="N116" s="8"/>
      <c r="O116" s="8"/>
      <c r="P116" s="8"/>
      <c r="Q116" s="8"/>
      <c r="R116" s="8"/>
      <c r="S116" s="8"/>
      <c r="T116" s="8"/>
      <c r="U116" s="8"/>
      <c r="V116" s="8"/>
      <c r="W116" s="8"/>
      <c r="X116" s="8"/>
      <c r="Y116" s="8"/>
      <c r="Z116" s="8"/>
      <c r="AA116" s="8"/>
      <c r="AB116" s="8"/>
      <c r="AC116" s="8"/>
      <c r="AD116" s="8"/>
    </row>
    <row r="117">
      <c r="A117" s="169" t="s">
        <v>973</v>
      </c>
      <c r="B117" s="169" t="s">
        <v>396</v>
      </c>
      <c r="C117" s="170" t="s">
        <v>974</v>
      </c>
      <c r="D117" s="170" t="s">
        <v>1944</v>
      </c>
      <c r="E117" s="171" t="s">
        <v>1945</v>
      </c>
      <c r="F117" s="171" t="s">
        <v>1946</v>
      </c>
      <c r="G117" s="170" t="s">
        <v>1947</v>
      </c>
      <c r="H117" s="170" t="s">
        <v>1947</v>
      </c>
      <c r="I117" s="177" t="s">
        <v>1411</v>
      </c>
      <c r="J117" s="173" t="s">
        <v>16</v>
      </c>
      <c r="K117" s="174"/>
      <c r="L117" s="175"/>
      <c r="M117" s="8"/>
      <c r="N117" s="8"/>
      <c r="O117" s="8"/>
      <c r="P117" s="8"/>
      <c r="Q117" s="8"/>
      <c r="R117" s="8"/>
      <c r="S117" s="8"/>
      <c r="T117" s="8"/>
      <c r="U117" s="8"/>
      <c r="V117" s="8"/>
      <c r="W117" s="8"/>
      <c r="X117" s="8"/>
      <c r="Y117" s="8"/>
      <c r="Z117" s="8"/>
      <c r="AA117" s="8"/>
      <c r="AB117" s="8"/>
      <c r="AC117" s="8"/>
      <c r="AD117" s="8"/>
    </row>
    <row r="118">
      <c r="A118" s="169" t="s">
        <v>975</v>
      </c>
      <c r="B118" s="169" t="s">
        <v>396</v>
      </c>
      <c r="C118" s="170" t="s">
        <v>976</v>
      </c>
      <c r="D118" s="170" t="s">
        <v>1948</v>
      </c>
      <c r="E118" s="176" t="s">
        <v>1949</v>
      </c>
      <c r="F118" s="176" t="s">
        <v>1950</v>
      </c>
      <c r="G118" s="170" t="s">
        <v>1951</v>
      </c>
      <c r="H118" s="170" t="s">
        <v>1951</v>
      </c>
      <c r="I118" s="177" t="s">
        <v>1411</v>
      </c>
      <c r="J118" s="178" t="s">
        <v>16</v>
      </c>
      <c r="K118" s="174"/>
      <c r="L118" s="175"/>
      <c r="M118" s="8"/>
      <c r="N118" s="8"/>
      <c r="O118" s="8"/>
      <c r="P118" s="8"/>
      <c r="Q118" s="8"/>
      <c r="R118" s="8"/>
      <c r="S118" s="8"/>
      <c r="T118" s="8"/>
      <c r="U118" s="8"/>
      <c r="V118" s="8"/>
      <c r="W118" s="8"/>
      <c r="X118" s="8"/>
      <c r="Y118" s="8"/>
      <c r="Z118" s="8"/>
      <c r="AA118" s="8"/>
      <c r="AB118" s="8"/>
      <c r="AC118" s="8"/>
      <c r="AD118" s="8"/>
    </row>
    <row r="119">
      <c r="A119" s="169" t="s">
        <v>978</v>
      </c>
      <c r="B119" s="169" t="s">
        <v>402</v>
      </c>
      <c r="C119" s="170" t="s">
        <v>979</v>
      </c>
      <c r="D119" s="170" t="s">
        <v>1952</v>
      </c>
      <c r="E119" s="171" t="s">
        <v>1953</v>
      </c>
      <c r="F119" s="171" t="s">
        <v>1954</v>
      </c>
      <c r="G119" s="170" t="s">
        <v>1955</v>
      </c>
      <c r="H119" s="170" t="s">
        <v>1955</v>
      </c>
      <c r="I119" s="172" t="s">
        <v>1405</v>
      </c>
      <c r="J119" s="173" t="s">
        <v>16</v>
      </c>
      <c r="K119" s="174"/>
      <c r="L119" s="175"/>
      <c r="M119" s="8"/>
      <c r="N119" s="8"/>
      <c r="O119" s="8"/>
      <c r="P119" s="8"/>
      <c r="Q119" s="8"/>
      <c r="R119" s="8"/>
      <c r="S119" s="8"/>
      <c r="T119" s="8"/>
      <c r="U119" s="8"/>
      <c r="V119" s="8"/>
      <c r="W119" s="8"/>
      <c r="X119" s="8"/>
      <c r="Y119" s="8"/>
      <c r="Z119" s="8"/>
      <c r="AA119" s="8"/>
      <c r="AB119" s="8"/>
      <c r="AC119" s="8"/>
      <c r="AD119" s="8"/>
    </row>
    <row r="120">
      <c r="A120" s="169" t="s">
        <v>980</v>
      </c>
      <c r="B120" s="169" t="s">
        <v>402</v>
      </c>
      <c r="C120" s="170" t="s">
        <v>981</v>
      </c>
      <c r="D120" s="170" t="s">
        <v>1956</v>
      </c>
      <c r="E120" s="176" t="s">
        <v>1957</v>
      </c>
      <c r="F120" s="176" t="s">
        <v>1958</v>
      </c>
      <c r="G120" s="170" t="s">
        <v>1959</v>
      </c>
      <c r="H120" s="170" t="s">
        <v>1959</v>
      </c>
      <c r="I120" s="172" t="s">
        <v>1405</v>
      </c>
      <c r="J120" s="178" t="s">
        <v>16</v>
      </c>
      <c r="K120" s="174"/>
      <c r="L120" s="175"/>
      <c r="M120" s="8"/>
      <c r="N120" s="8"/>
      <c r="O120" s="8"/>
      <c r="P120" s="8"/>
      <c r="Q120" s="8"/>
      <c r="R120" s="8"/>
      <c r="S120" s="8"/>
      <c r="T120" s="8"/>
      <c r="U120" s="8"/>
      <c r="V120" s="8"/>
      <c r="W120" s="8"/>
      <c r="X120" s="8"/>
      <c r="Y120" s="8"/>
      <c r="Z120" s="8"/>
      <c r="AA120" s="8"/>
      <c r="AB120" s="8"/>
      <c r="AC120" s="8"/>
      <c r="AD120" s="8"/>
    </row>
    <row r="121">
      <c r="A121" s="169" t="s">
        <v>983</v>
      </c>
      <c r="B121" s="169" t="s">
        <v>406</v>
      </c>
      <c r="C121" s="170" t="s">
        <v>984</v>
      </c>
      <c r="D121" s="170" t="s">
        <v>1960</v>
      </c>
      <c r="E121" s="171" t="s">
        <v>1961</v>
      </c>
      <c r="F121" s="171" t="s">
        <v>1962</v>
      </c>
      <c r="G121" s="170" t="s">
        <v>1963</v>
      </c>
      <c r="H121" s="170" t="s">
        <v>1963</v>
      </c>
      <c r="I121" s="172" t="s">
        <v>1405</v>
      </c>
      <c r="J121" s="173" t="s">
        <v>16</v>
      </c>
      <c r="K121" s="174"/>
      <c r="L121" s="175"/>
      <c r="M121" s="8"/>
      <c r="N121" s="8"/>
      <c r="O121" s="8"/>
      <c r="P121" s="8"/>
      <c r="Q121" s="8"/>
      <c r="R121" s="8"/>
      <c r="S121" s="8"/>
      <c r="T121" s="8"/>
      <c r="U121" s="8"/>
      <c r="V121" s="8"/>
      <c r="W121" s="8"/>
      <c r="X121" s="8"/>
      <c r="Y121" s="8"/>
      <c r="Z121" s="8"/>
      <c r="AA121" s="8"/>
      <c r="AB121" s="8"/>
      <c r="AC121" s="8"/>
      <c r="AD121" s="8"/>
    </row>
    <row r="122">
      <c r="A122" s="169" t="s">
        <v>985</v>
      </c>
      <c r="B122" s="169" t="s">
        <v>406</v>
      </c>
      <c r="C122" s="170" t="s">
        <v>986</v>
      </c>
      <c r="D122" s="170" t="s">
        <v>1964</v>
      </c>
      <c r="E122" s="176" t="s">
        <v>1965</v>
      </c>
      <c r="F122" s="176" t="s">
        <v>1966</v>
      </c>
      <c r="G122" s="170" t="s">
        <v>1967</v>
      </c>
      <c r="H122" s="170" t="s">
        <v>1967</v>
      </c>
      <c r="I122" s="172" t="s">
        <v>1405</v>
      </c>
      <c r="J122" s="178" t="s">
        <v>16</v>
      </c>
      <c r="K122" s="174"/>
      <c r="L122" s="175"/>
      <c r="M122" s="8"/>
      <c r="N122" s="8"/>
      <c r="O122" s="8"/>
      <c r="P122" s="8"/>
      <c r="Q122" s="8"/>
      <c r="R122" s="8"/>
      <c r="S122" s="8"/>
      <c r="T122" s="8"/>
      <c r="U122" s="8"/>
      <c r="V122" s="8"/>
      <c r="W122" s="8"/>
      <c r="X122" s="8"/>
      <c r="Y122" s="8"/>
      <c r="Z122" s="8"/>
      <c r="AA122" s="8"/>
      <c r="AB122" s="8"/>
      <c r="AC122" s="8"/>
      <c r="AD122" s="8"/>
    </row>
    <row r="123">
      <c r="A123" s="169" t="s">
        <v>987</v>
      </c>
      <c r="B123" s="169" t="s">
        <v>406</v>
      </c>
      <c r="C123" s="170" t="s">
        <v>988</v>
      </c>
      <c r="D123" s="170" t="s">
        <v>1968</v>
      </c>
      <c r="E123" s="171" t="s">
        <v>1969</v>
      </c>
      <c r="F123" s="171" t="s">
        <v>1970</v>
      </c>
      <c r="G123" s="170" t="s">
        <v>1971</v>
      </c>
      <c r="H123" s="170" t="s">
        <v>1971</v>
      </c>
      <c r="I123" s="179" t="s">
        <v>1416</v>
      </c>
      <c r="J123" s="173" t="s">
        <v>16</v>
      </c>
      <c r="K123" s="174"/>
      <c r="L123" s="175"/>
      <c r="M123" s="8"/>
      <c r="N123" s="8"/>
      <c r="O123" s="8"/>
      <c r="P123" s="8"/>
      <c r="Q123" s="8"/>
      <c r="R123" s="8"/>
      <c r="S123" s="8"/>
      <c r="T123" s="8"/>
      <c r="U123" s="8"/>
      <c r="V123" s="8"/>
      <c r="W123" s="8"/>
      <c r="X123" s="8"/>
      <c r="Y123" s="8"/>
      <c r="Z123" s="8"/>
      <c r="AA123" s="8"/>
      <c r="AB123" s="8"/>
      <c r="AC123" s="8"/>
      <c r="AD123" s="8"/>
    </row>
    <row r="124">
      <c r="A124" s="169" t="s">
        <v>990</v>
      </c>
      <c r="B124" s="169" t="s">
        <v>410</v>
      </c>
      <c r="C124" s="170" t="s">
        <v>991</v>
      </c>
      <c r="D124" s="170" t="s">
        <v>1972</v>
      </c>
      <c r="E124" s="176" t="s">
        <v>1973</v>
      </c>
      <c r="F124" s="176" t="s">
        <v>1974</v>
      </c>
      <c r="G124" s="170" t="s">
        <v>1975</v>
      </c>
      <c r="H124" s="170" t="s">
        <v>1975</v>
      </c>
      <c r="I124" s="177" t="s">
        <v>1411</v>
      </c>
      <c r="J124" s="178" t="s">
        <v>16</v>
      </c>
      <c r="K124" s="174"/>
      <c r="L124" s="175"/>
      <c r="M124" s="8"/>
      <c r="N124" s="8"/>
      <c r="O124" s="8"/>
      <c r="P124" s="8"/>
      <c r="Q124" s="8"/>
      <c r="R124" s="8"/>
      <c r="S124" s="8"/>
      <c r="T124" s="8"/>
      <c r="U124" s="8"/>
      <c r="V124" s="8"/>
      <c r="W124" s="8"/>
      <c r="X124" s="8"/>
      <c r="Y124" s="8"/>
      <c r="Z124" s="8"/>
      <c r="AA124" s="8"/>
      <c r="AB124" s="8"/>
      <c r="AC124" s="8"/>
      <c r="AD124" s="8"/>
    </row>
    <row r="125">
      <c r="A125" s="169" t="s">
        <v>992</v>
      </c>
      <c r="B125" s="169" t="s">
        <v>410</v>
      </c>
      <c r="C125" s="170" t="s">
        <v>993</v>
      </c>
      <c r="D125" s="170" t="s">
        <v>1976</v>
      </c>
      <c r="E125" s="171" t="s">
        <v>1977</v>
      </c>
      <c r="F125" s="171" t="s">
        <v>1978</v>
      </c>
      <c r="G125" s="170" t="s">
        <v>1979</v>
      </c>
      <c r="H125" s="170" t="s">
        <v>1979</v>
      </c>
      <c r="I125" s="179" t="s">
        <v>1416</v>
      </c>
      <c r="J125" s="173" t="s">
        <v>16</v>
      </c>
      <c r="K125" s="174"/>
      <c r="L125" s="175"/>
      <c r="M125" s="8"/>
      <c r="N125" s="8"/>
      <c r="O125" s="8"/>
      <c r="P125" s="8"/>
      <c r="Q125" s="8"/>
      <c r="R125" s="8"/>
      <c r="S125" s="8"/>
      <c r="T125" s="8"/>
      <c r="U125" s="8"/>
      <c r="V125" s="8"/>
      <c r="W125" s="8"/>
      <c r="X125" s="8"/>
      <c r="Y125" s="8"/>
      <c r="Z125" s="8"/>
      <c r="AA125" s="8"/>
      <c r="AB125" s="8"/>
      <c r="AC125" s="8"/>
      <c r="AD125" s="8"/>
    </row>
    <row r="126">
      <c r="A126" s="169" t="s">
        <v>995</v>
      </c>
      <c r="B126" s="169" t="s">
        <v>414</v>
      </c>
      <c r="C126" s="170" t="s">
        <v>996</v>
      </c>
      <c r="D126" s="170" t="s">
        <v>1980</v>
      </c>
      <c r="E126" s="176" t="s">
        <v>1981</v>
      </c>
      <c r="F126" s="176" t="s">
        <v>1982</v>
      </c>
      <c r="G126" s="170" t="s">
        <v>1983</v>
      </c>
      <c r="H126" s="170" t="s">
        <v>1983</v>
      </c>
      <c r="I126" s="172" t="s">
        <v>1405</v>
      </c>
      <c r="J126" s="178" t="s">
        <v>16</v>
      </c>
      <c r="K126" s="174"/>
      <c r="L126" s="175"/>
      <c r="M126" s="8"/>
      <c r="N126" s="8"/>
      <c r="O126" s="8"/>
      <c r="P126" s="8"/>
      <c r="Q126" s="8"/>
      <c r="R126" s="8"/>
      <c r="S126" s="8"/>
      <c r="T126" s="8"/>
      <c r="U126" s="8"/>
      <c r="V126" s="8"/>
      <c r="W126" s="8"/>
      <c r="X126" s="8"/>
      <c r="Y126" s="8"/>
      <c r="Z126" s="8"/>
      <c r="AA126" s="8"/>
      <c r="AB126" s="8"/>
      <c r="AC126" s="8"/>
      <c r="AD126" s="8"/>
    </row>
    <row r="127">
      <c r="A127" s="169" t="s">
        <v>997</v>
      </c>
      <c r="B127" s="169" t="s">
        <v>414</v>
      </c>
      <c r="C127" s="170" t="s">
        <v>998</v>
      </c>
      <c r="D127" s="170" t="s">
        <v>1984</v>
      </c>
      <c r="E127" s="171" t="s">
        <v>1985</v>
      </c>
      <c r="F127" s="171" t="s">
        <v>1986</v>
      </c>
      <c r="G127" s="170" t="s">
        <v>1987</v>
      </c>
      <c r="H127" s="170" t="s">
        <v>1987</v>
      </c>
      <c r="I127" s="172" t="s">
        <v>1405</v>
      </c>
      <c r="J127" s="173" t="s">
        <v>16</v>
      </c>
      <c r="K127" s="174"/>
      <c r="L127" s="175"/>
      <c r="M127" s="8"/>
      <c r="N127" s="8"/>
      <c r="O127" s="8"/>
      <c r="P127" s="8"/>
      <c r="Q127" s="8"/>
      <c r="R127" s="8"/>
      <c r="S127" s="8"/>
      <c r="T127" s="8"/>
      <c r="U127" s="8"/>
      <c r="V127" s="8"/>
      <c r="W127" s="8"/>
      <c r="X127" s="8"/>
      <c r="Y127" s="8"/>
      <c r="Z127" s="8"/>
      <c r="AA127" s="8"/>
      <c r="AB127" s="8"/>
      <c r="AC127" s="8"/>
      <c r="AD127" s="8"/>
    </row>
    <row r="128">
      <c r="A128" s="169" t="s">
        <v>999</v>
      </c>
      <c r="B128" s="169" t="s">
        <v>414</v>
      </c>
      <c r="C128" s="170" t="s">
        <v>1000</v>
      </c>
      <c r="D128" s="170" t="s">
        <v>1988</v>
      </c>
      <c r="E128" s="176" t="s">
        <v>1989</v>
      </c>
      <c r="F128" s="176" t="s">
        <v>1990</v>
      </c>
      <c r="G128" s="170" t="s">
        <v>1991</v>
      </c>
      <c r="H128" s="170" t="s">
        <v>1991</v>
      </c>
      <c r="I128" s="172" t="s">
        <v>1405</v>
      </c>
      <c r="J128" s="178" t="s">
        <v>16</v>
      </c>
      <c r="K128" s="174"/>
      <c r="L128" s="175"/>
      <c r="M128" s="8"/>
      <c r="N128" s="8"/>
      <c r="O128" s="8"/>
      <c r="P128" s="8"/>
      <c r="Q128" s="8"/>
      <c r="R128" s="8"/>
      <c r="S128" s="8"/>
      <c r="T128" s="8"/>
      <c r="U128" s="8"/>
      <c r="V128" s="8"/>
      <c r="W128" s="8"/>
      <c r="X128" s="8"/>
      <c r="Y128" s="8"/>
      <c r="Z128" s="8"/>
      <c r="AA128" s="8"/>
      <c r="AB128" s="8"/>
      <c r="AC128" s="8"/>
      <c r="AD128" s="8"/>
    </row>
    <row r="129">
      <c r="A129" s="169" t="s">
        <v>1002</v>
      </c>
      <c r="B129" s="169" t="s">
        <v>418</v>
      </c>
      <c r="C129" s="170" t="s">
        <v>1003</v>
      </c>
      <c r="D129" s="170" t="s">
        <v>1992</v>
      </c>
      <c r="E129" s="171" t="s">
        <v>1993</v>
      </c>
      <c r="F129" s="171" t="s">
        <v>1994</v>
      </c>
      <c r="G129" s="170" t="s">
        <v>1995</v>
      </c>
      <c r="H129" s="170" t="s">
        <v>1995</v>
      </c>
      <c r="I129" s="177" t="s">
        <v>1411</v>
      </c>
      <c r="J129" s="173" t="s">
        <v>16</v>
      </c>
      <c r="K129" s="174"/>
      <c r="L129" s="175"/>
      <c r="M129" s="8"/>
      <c r="N129" s="8"/>
      <c r="O129" s="8"/>
      <c r="P129" s="8"/>
      <c r="Q129" s="8"/>
      <c r="R129" s="8"/>
      <c r="S129" s="8"/>
      <c r="T129" s="8"/>
      <c r="U129" s="8"/>
      <c r="V129" s="8"/>
      <c r="W129" s="8"/>
      <c r="X129" s="8"/>
      <c r="Y129" s="8"/>
      <c r="Z129" s="8"/>
      <c r="AA129" s="8"/>
      <c r="AB129" s="8"/>
      <c r="AC129" s="8"/>
      <c r="AD129" s="8"/>
    </row>
    <row r="130">
      <c r="A130" s="169" t="s">
        <v>1004</v>
      </c>
      <c r="B130" s="169" t="s">
        <v>418</v>
      </c>
      <c r="C130" s="170" t="s">
        <v>1005</v>
      </c>
      <c r="D130" s="170" t="s">
        <v>1996</v>
      </c>
      <c r="E130" s="176" t="s">
        <v>1997</v>
      </c>
      <c r="F130" s="176" t="s">
        <v>1998</v>
      </c>
      <c r="G130" s="170" t="s">
        <v>1999</v>
      </c>
      <c r="H130" s="170" t="s">
        <v>1999</v>
      </c>
      <c r="I130" s="179" t="s">
        <v>1416</v>
      </c>
      <c r="J130" s="178" t="s">
        <v>16</v>
      </c>
      <c r="K130" s="174"/>
      <c r="L130" s="175"/>
      <c r="M130" s="8"/>
      <c r="N130" s="8"/>
      <c r="O130" s="8"/>
      <c r="P130" s="8"/>
      <c r="Q130" s="8"/>
      <c r="R130" s="8"/>
      <c r="S130" s="8"/>
      <c r="T130" s="8"/>
      <c r="U130" s="8"/>
      <c r="V130" s="8"/>
      <c r="W130" s="8"/>
      <c r="X130" s="8"/>
      <c r="Y130" s="8"/>
      <c r="Z130" s="8"/>
      <c r="AA130" s="8"/>
      <c r="AB130" s="8"/>
      <c r="AC130" s="8"/>
      <c r="AD130" s="8"/>
    </row>
    <row r="131">
      <c r="A131" s="169" t="s">
        <v>1007</v>
      </c>
      <c r="B131" s="169" t="s">
        <v>424</v>
      </c>
      <c r="C131" s="150" t="s">
        <v>1008</v>
      </c>
      <c r="D131" s="170" t="s">
        <v>2000</v>
      </c>
      <c r="E131" s="171" t="s">
        <v>2001</v>
      </c>
      <c r="F131" s="171" t="s">
        <v>2002</v>
      </c>
      <c r="G131" s="170" t="s">
        <v>2003</v>
      </c>
      <c r="H131" s="170" t="s">
        <v>2003</v>
      </c>
      <c r="I131" s="172" t="s">
        <v>1411</v>
      </c>
      <c r="J131" s="173" t="s">
        <v>16</v>
      </c>
      <c r="K131" s="174"/>
      <c r="L131" s="175"/>
      <c r="M131" s="8"/>
      <c r="N131" s="8"/>
      <c r="O131" s="8"/>
      <c r="P131" s="8"/>
      <c r="Q131" s="8"/>
      <c r="R131" s="8"/>
      <c r="S131" s="8"/>
      <c r="T131" s="8"/>
      <c r="U131" s="8"/>
      <c r="V131" s="8"/>
      <c r="W131" s="8"/>
      <c r="X131" s="8"/>
      <c r="Y131" s="8"/>
      <c r="Z131" s="8"/>
      <c r="AA131" s="8"/>
      <c r="AB131" s="8"/>
      <c r="AC131" s="8"/>
      <c r="AD131" s="8"/>
    </row>
    <row r="132">
      <c r="A132" s="169" t="s">
        <v>1009</v>
      </c>
      <c r="B132" s="169" t="s">
        <v>424</v>
      </c>
      <c r="C132" s="170" t="s">
        <v>1010</v>
      </c>
      <c r="D132" s="170" t="s">
        <v>2004</v>
      </c>
      <c r="E132" s="176" t="s">
        <v>2005</v>
      </c>
      <c r="F132" s="176" t="s">
        <v>2006</v>
      </c>
      <c r="G132" s="170" t="s">
        <v>2007</v>
      </c>
      <c r="H132" s="170" t="s">
        <v>2007</v>
      </c>
      <c r="I132" s="172" t="s">
        <v>1405</v>
      </c>
      <c r="J132" s="178" t="s">
        <v>16</v>
      </c>
      <c r="K132" s="174"/>
      <c r="L132" s="175"/>
      <c r="M132" s="8"/>
      <c r="N132" s="8"/>
      <c r="O132" s="8"/>
      <c r="P132" s="8"/>
      <c r="Q132" s="8"/>
      <c r="R132" s="8"/>
      <c r="S132" s="8"/>
      <c r="T132" s="8"/>
      <c r="U132" s="8"/>
      <c r="V132" s="8"/>
      <c r="W132" s="8"/>
      <c r="X132" s="8"/>
      <c r="Y132" s="8"/>
      <c r="Z132" s="8"/>
      <c r="AA132" s="8"/>
      <c r="AB132" s="8"/>
      <c r="AC132" s="8"/>
      <c r="AD132" s="8"/>
    </row>
    <row r="133">
      <c r="A133" s="169" t="s">
        <v>1011</v>
      </c>
      <c r="B133" s="169" t="s">
        <v>424</v>
      </c>
      <c r="C133" s="170" t="s">
        <v>1012</v>
      </c>
      <c r="D133" s="170" t="s">
        <v>2008</v>
      </c>
      <c r="E133" s="171" t="s">
        <v>2009</v>
      </c>
      <c r="F133" s="171" t="s">
        <v>2010</v>
      </c>
      <c r="G133" s="170" t="s">
        <v>2011</v>
      </c>
      <c r="H133" s="170" t="s">
        <v>2011</v>
      </c>
      <c r="I133" s="172" t="s">
        <v>1416</v>
      </c>
      <c r="J133" s="173" t="s">
        <v>16</v>
      </c>
      <c r="K133" s="174"/>
      <c r="L133" s="175"/>
      <c r="M133" s="8"/>
      <c r="N133" s="8"/>
      <c r="O133" s="8"/>
      <c r="P133" s="8"/>
      <c r="Q133" s="8"/>
      <c r="R133" s="8"/>
      <c r="S133" s="8"/>
      <c r="T133" s="8"/>
      <c r="U133" s="8"/>
      <c r="V133" s="8"/>
      <c r="W133" s="8"/>
      <c r="X133" s="8"/>
      <c r="Y133" s="8"/>
      <c r="Z133" s="8"/>
      <c r="AA133" s="8"/>
      <c r="AB133" s="8"/>
      <c r="AC133" s="8"/>
      <c r="AD133" s="8"/>
    </row>
    <row r="134">
      <c r="A134" s="169" t="s">
        <v>1014</v>
      </c>
      <c r="B134" s="169" t="s">
        <v>428</v>
      </c>
      <c r="C134" s="170" t="s">
        <v>1015</v>
      </c>
      <c r="D134" s="170" t="s">
        <v>2012</v>
      </c>
      <c r="E134" s="176" t="s">
        <v>2013</v>
      </c>
      <c r="F134" s="176" t="s">
        <v>2014</v>
      </c>
      <c r="G134" s="170" t="s">
        <v>2015</v>
      </c>
      <c r="H134" s="170" t="s">
        <v>2015</v>
      </c>
      <c r="I134" s="172" t="s">
        <v>1405</v>
      </c>
      <c r="J134" s="178" t="s">
        <v>16</v>
      </c>
      <c r="K134" s="174"/>
      <c r="L134" s="175"/>
      <c r="M134" s="8"/>
      <c r="N134" s="8"/>
      <c r="O134" s="8"/>
      <c r="P134" s="8"/>
      <c r="Q134" s="8"/>
      <c r="R134" s="8"/>
      <c r="S134" s="8"/>
      <c r="T134" s="8"/>
      <c r="U134" s="8"/>
      <c r="V134" s="8"/>
      <c r="W134" s="8"/>
      <c r="X134" s="8"/>
      <c r="Y134" s="8"/>
      <c r="Z134" s="8"/>
      <c r="AA134" s="8"/>
      <c r="AB134" s="8"/>
      <c r="AC134" s="8"/>
      <c r="AD134" s="8"/>
    </row>
    <row r="135">
      <c r="A135" s="169" t="s">
        <v>1016</v>
      </c>
      <c r="B135" s="169" t="s">
        <v>428</v>
      </c>
      <c r="C135" s="170" t="s">
        <v>1017</v>
      </c>
      <c r="D135" s="170" t="s">
        <v>2016</v>
      </c>
      <c r="E135" s="171" t="s">
        <v>2017</v>
      </c>
      <c r="F135" s="171" t="s">
        <v>2018</v>
      </c>
      <c r="G135" s="170" t="s">
        <v>2019</v>
      </c>
      <c r="H135" s="170" t="s">
        <v>2019</v>
      </c>
      <c r="I135" s="177" t="s">
        <v>1411</v>
      </c>
      <c r="J135" s="173" t="s">
        <v>16</v>
      </c>
      <c r="K135" s="174"/>
      <c r="L135" s="175"/>
      <c r="M135" s="8"/>
      <c r="N135" s="8"/>
      <c r="O135" s="8"/>
      <c r="P135" s="8"/>
      <c r="Q135" s="8"/>
      <c r="R135" s="8"/>
      <c r="S135" s="8"/>
      <c r="T135" s="8"/>
      <c r="U135" s="8"/>
      <c r="V135" s="8"/>
      <c r="W135" s="8"/>
      <c r="X135" s="8"/>
      <c r="Y135" s="8"/>
      <c r="Z135" s="8"/>
      <c r="AA135" s="8"/>
      <c r="AB135" s="8"/>
      <c r="AC135" s="8"/>
      <c r="AD135" s="8"/>
    </row>
    <row r="136">
      <c r="A136" s="169" t="s">
        <v>1018</v>
      </c>
      <c r="B136" s="169" t="s">
        <v>428</v>
      </c>
      <c r="C136" s="170" t="s">
        <v>1019</v>
      </c>
      <c r="D136" s="170" t="s">
        <v>2020</v>
      </c>
      <c r="E136" s="176" t="s">
        <v>2021</v>
      </c>
      <c r="F136" s="176" t="s">
        <v>2022</v>
      </c>
      <c r="G136" s="170" t="s">
        <v>2023</v>
      </c>
      <c r="H136" s="170" t="s">
        <v>2023</v>
      </c>
      <c r="I136" s="177" t="s">
        <v>1411</v>
      </c>
      <c r="J136" s="178" t="s">
        <v>16</v>
      </c>
      <c r="K136" s="174"/>
      <c r="L136" s="175"/>
      <c r="M136" s="8"/>
      <c r="N136" s="8"/>
      <c r="O136" s="8"/>
      <c r="P136" s="8"/>
      <c r="Q136" s="8"/>
      <c r="R136" s="8"/>
      <c r="S136" s="8"/>
      <c r="T136" s="8"/>
      <c r="U136" s="8"/>
      <c r="V136" s="8"/>
      <c r="W136" s="8"/>
      <c r="X136" s="8"/>
      <c r="Y136" s="8"/>
      <c r="Z136" s="8"/>
      <c r="AA136" s="8"/>
      <c r="AB136" s="8"/>
      <c r="AC136" s="8"/>
      <c r="AD136" s="8"/>
    </row>
    <row r="137">
      <c r="A137" s="169" t="s">
        <v>1021</v>
      </c>
      <c r="B137" s="169" t="s">
        <v>432</v>
      </c>
      <c r="C137" s="170" t="s">
        <v>1022</v>
      </c>
      <c r="D137" s="170" t="s">
        <v>2024</v>
      </c>
      <c r="E137" s="171" t="s">
        <v>2025</v>
      </c>
      <c r="F137" s="171" t="s">
        <v>2026</v>
      </c>
      <c r="G137" s="170" t="s">
        <v>2027</v>
      </c>
      <c r="H137" s="170" t="s">
        <v>2027</v>
      </c>
      <c r="I137" s="172" t="s">
        <v>1405</v>
      </c>
      <c r="J137" s="173" t="s">
        <v>16</v>
      </c>
      <c r="K137" s="174"/>
      <c r="L137" s="175"/>
      <c r="M137" s="8"/>
      <c r="N137" s="8"/>
      <c r="O137" s="8"/>
      <c r="P137" s="8"/>
      <c r="Q137" s="8"/>
      <c r="R137" s="8"/>
      <c r="S137" s="8"/>
      <c r="T137" s="8"/>
      <c r="U137" s="8"/>
      <c r="V137" s="8"/>
      <c r="W137" s="8"/>
      <c r="X137" s="8"/>
      <c r="Y137" s="8"/>
      <c r="Z137" s="8"/>
      <c r="AA137" s="8"/>
      <c r="AB137" s="8"/>
      <c r="AC137" s="8"/>
      <c r="AD137" s="8"/>
    </row>
    <row r="138">
      <c r="A138" s="169" t="s">
        <v>1023</v>
      </c>
      <c r="B138" s="169" t="s">
        <v>432</v>
      </c>
      <c r="C138" s="170" t="s">
        <v>1024</v>
      </c>
      <c r="D138" s="170" t="s">
        <v>2028</v>
      </c>
      <c r="E138" s="176" t="s">
        <v>2029</v>
      </c>
      <c r="F138" s="176" t="s">
        <v>2026</v>
      </c>
      <c r="G138" s="170" t="s">
        <v>2030</v>
      </c>
      <c r="H138" s="170" t="s">
        <v>2030</v>
      </c>
      <c r="I138" s="172" t="s">
        <v>1405</v>
      </c>
      <c r="J138" s="178" t="s">
        <v>16</v>
      </c>
      <c r="K138" s="174"/>
      <c r="L138" s="175"/>
      <c r="M138" s="8"/>
      <c r="N138" s="8"/>
      <c r="O138" s="8"/>
      <c r="P138" s="8"/>
      <c r="Q138" s="8"/>
      <c r="R138" s="8"/>
      <c r="S138" s="8"/>
      <c r="T138" s="8"/>
      <c r="U138" s="8"/>
      <c r="V138" s="8"/>
      <c r="W138" s="8"/>
      <c r="X138" s="8"/>
      <c r="Y138" s="8"/>
      <c r="Z138" s="8"/>
      <c r="AA138" s="8"/>
      <c r="AB138" s="8"/>
      <c r="AC138" s="8"/>
      <c r="AD138" s="8"/>
    </row>
    <row r="139">
      <c r="A139" s="169" t="s">
        <v>1026</v>
      </c>
      <c r="B139" s="169" t="s">
        <v>436</v>
      </c>
      <c r="C139" s="170" t="s">
        <v>1027</v>
      </c>
      <c r="D139" s="170" t="s">
        <v>2031</v>
      </c>
      <c r="E139" s="171" t="s">
        <v>2032</v>
      </c>
      <c r="F139" s="171" t="s">
        <v>2033</v>
      </c>
      <c r="G139" s="170" t="s">
        <v>2034</v>
      </c>
      <c r="H139" s="170" t="s">
        <v>2035</v>
      </c>
      <c r="I139" s="177" t="s">
        <v>1411</v>
      </c>
      <c r="J139" s="173" t="s">
        <v>16</v>
      </c>
      <c r="K139" s="174"/>
      <c r="L139" s="175"/>
      <c r="M139" s="8"/>
      <c r="N139" s="8"/>
      <c r="O139" s="8"/>
      <c r="P139" s="8"/>
      <c r="Q139" s="8"/>
      <c r="R139" s="8"/>
      <c r="S139" s="8"/>
      <c r="T139" s="8"/>
      <c r="U139" s="8"/>
      <c r="V139" s="8"/>
      <c r="W139" s="8"/>
      <c r="X139" s="8"/>
      <c r="Y139" s="8"/>
      <c r="Z139" s="8"/>
      <c r="AA139" s="8"/>
      <c r="AB139" s="8"/>
      <c r="AC139" s="8"/>
      <c r="AD139" s="8"/>
    </row>
    <row r="140">
      <c r="A140" s="169" t="s">
        <v>1028</v>
      </c>
      <c r="B140" s="169" t="s">
        <v>436</v>
      </c>
      <c r="C140" s="170" t="s">
        <v>1029</v>
      </c>
      <c r="D140" s="170" t="s">
        <v>2036</v>
      </c>
      <c r="E140" s="176" t="s">
        <v>2037</v>
      </c>
      <c r="F140" s="176" t="s">
        <v>2038</v>
      </c>
      <c r="G140" s="170" t="s">
        <v>2039</v>
      </c>
      <c r="H140" s="170" t="s">
        <v>2039</v>
      </c>
      <c r="I140" s="177" t="s">
        <v>1411</v>
      </c>
      <c r="J140" s="178" t="s">
        <v>16</v>
      </c>
      <c r="K140" s="174"/>
      <c r="L140" s="175"/>
      <c r="M140" s="8"/>
      <c r="N140" s="8"/>
      <c r="O140" s="8"/>
      <c r="P140" s="8"/>
      <c r="Q140" s="8"/>
      <c r="R140" s="8"/>
      <c r="S140" s="8"/>
      <c r="T140" s="8"/>
      <c r="U140" s="8"/>
      <c r="V140" s="8"/>
      <c r="W140" s="8"/>
      <c r="X140" s="8"/>
      <c r="Y140" s="8"/>
      <c r="Z140" s="8"/>
      <c r="AA140" s="8"/>
      <c r="AB140" s="8"/>
      <c r="AC140" s="8"/>
      <c r="AD140" s="8"/>
    </row>
    <row r="141">
      <c r="A141" s="169" t="s">
        <v>1030</v>
      </c>
      <c r="B141" s="169" t="s">
        <v>436</v>
      </c>
      <c r="C141" s="170" t="s">
        <v>1031</v>
      </c>
      <c r="D141" s="170" t="s">
        <v>2040</v>
      </c>
      <c r="E141" s="171" t="s">
        <v>2041</v>
      </c>
      <c r="F141" s="171" t="s">
        <v>2042</v>
      </c>
      <c r="G141" s="170" t="s">
        <v>2043</v>
      </c>
      <c r="H141" s="170" t="s">
        <v>2043</v>
      </c>
      <c r="I141" s="172" t="s">
        <v>1405</v>
      </c>
      <c r="J141" s="173" t="s">
        <v>16</v>
      </c>
      <c r="K141" s="174"/>
      <c r="L141" s="175"/>
      <c r="M141" s="8"/>
      <c r="N141" s="8"/>
      <c r="O141" s="8"/>
      <c r="P141" s="8"/>
      <c r="Q141" s="8"/>
      <c r="R141" s="8"/>
      <c r="S141" s="8"/>
      <c r="T141" s="8"/>
      <c r="U141" s="8"/>
      <c r="V141" s="8"/>
      <c r="W141" s="8"/>
      <c r="X141" s="8"/>
      <c r="Y141" s="8"/>
      <c r="Z141" s="8"/>
      <c r="AA141" s="8"/>
      <c r="AB141" s="8"/>
      <c r="AC141" s="8"/>
      <c r="AD141" s="8"/>
    </row>
    <row r="142">
      <c r="A142" s="169" t="s">
        <v>1033</v>
      </c>
      <c r="B142" s="169" t="s">
        <v>440</v>
      </c>
      <c r="C142" s="170" t="s">
        <v>1034</v>
      </c>
      <c r="D142" s="170" t="s">
        <v>2044</v>
      </c>
      <c r="E142" s="176" t="s">
        <v>2045</v>
      </c>
      <c r="F142" s="176" t="s">
        <v>2046</v>
      </c>
      <c r="G142" s="170" t="s">
        <v>2047</v>
      </c>
      <c r="H142" s="170" t="s">
        <v>2047</v>
      </c>
      <c r="I142" s="172" t="s">
        <v>1405</v>
      </c>
      <c r="J142" s="178" t="s">
        <v>16</v>
      </c>
      <c r="K142" s="174"/>
      <c r="L142" s="175"/>
      <c r="M142" s="8"/>
      <c r="N142" s="8"/>
      <c r="O142" s="8"/>
      <c r="P142" s="8"/>
      <c r="Q142" s="8"/>
      <c r="R142" s="8"/>
      <c r="S142" s="8"/>
      <c r="T142" s="8"/>
      <c r="U142" s="8"/>
      <c r="V142" s="8"/>
      <c r="W142" s="8"/>
      <c r="X142" s="8"/>
      <c r="Y142" s="8"/>
      <c r="Z142" s="8"/>
      <c r="AA142" s="8"/>
      <c r="AB142" s="8"/>
      <c r="AC142" s="8"/>
      <c r="AD142" s="8"/>
    </row>
    <row r="143">
      <c r="A143" s="169" t="s">
        <v>1035</v>
      </c>
      <c r="B143" s="169" t="s">
        <v>440</v>
      </c>
      <c r="C143" s="170" t="s">
        <v>1036</v>
      </c>
      <c r="D143" s="170" t="s">
        <v>2048</v>
      </c>
      <c r="E143" s="171" t="s">
        <v>2049</v>
      </c>
      <c r="F143" s="171" t="s">
        <v>2050</v>
      </c>
      <c r="G143" s="170" t="s">
        <v>2051</v>
      </c>
      <c r="H143" s="170" t="s">
        <v>2052</v>
      </c>
      <c r="I143" s="177" t="s">
        <v>1411</v>
      </c>
      <c r="J143" s="173" t="s">
        <v>16</v>
      </c>
      <c r="K143" s="174"/>
      <c r="L143" s="170" t="s">
        <v>2053</v>
      </c>
      <c r="M143" s="8"/>
      <c r="N143" s="8"/>
      <c r="O143" s="8"/>
      <c r="P143" s="8"/>
      <c r="Q143" s="8"/>
      <c r="R143" s="8"/>
      <c r="S143" s="8"/>
      <c r="T143" s="8"/>
      <c r="U143" s="8"/>
      <c r="V143" s="8"/>
      <c r="W143" s="8"/>
      <c r="X143" s="8"/>
      <c r="Y143" s="8"/>
      <c r="Z143" s="8"/>
      <c r="AA143" s="8"/>
      <c r="AB143" s="8"/>
      <c r="AC143" s="8"/>
      <c r="AD143" s="8"/>
    </row>
    <row r="144">
      <c r="A144" s="169" t="s">
        <v>1037</v>
      </c>
      <c r="B144" s="169" t="s">
        <v>440</v>
      </c>
      <c r="C144" s="170" t="s">
        <v>1038</v>
      </c>
      <c r="D144" s="170" t="s">
        <v>2054</v>
      </c>
      <c r="E144" s="176" t="s">
        <v>2055</v>
      </c>
      <c r="F144" s="176" t="s">
        <v>2056</v>
      </c>
      <c r="G144" s="170" t="s">
        <v>2057</v>
      </c>
      <c r="H144" s="170" t="s">
        <v>2052</v>
      </c>
      <c r="I144" s="177" t="s">
        <v>1411</v>
      </c>
      <c r="J144" s="178" t="s">
        <v>16</v>
      </c>
      <c r="K144" s="174"/>
      <c r="L144" s="170" t="s">
        <v>2058</v>
      </c>
      <c r="M144" s="8"/>
      <c r="N144" s="8"/>
      <c r="O144" s="8"/>
      <c r="P144" s="8"/>
      <c r="Q144" s="8"/>
      <c r="R144" s="8"/>
      <c r="S144" s="8"/>
      <c r="T144" s="8"/>
      <c r="U144" s="8"/>
      <c r="V144" s="8"/>
      <c r="W144" s="8"/>
      <c r="X144" s="8"/>
      <c r="Y144" s="8"/>
      <c r="Z144" s="8"/>
      <c r="AA144" s="8"/>
      <c r="AB144" s="8"/>
      <c r="AC144" s="8"/>
      <c r="AD144" s="8"/>
    </row>
    <row r="145">
      <c r="A145" s="169" t="s">
        <v>1040</v>
      </c>
      <c r="B145" s="169" t="s">
        <v>444</v>
      </c>
      <c r="C145" s="170" t="s">
        <v>1041</v>
      </c>
      <c r="D145" s="170" t="s">
        <v>2059</v>
      </c>
      <c r="E145" s="171" t="s">
        <v>2060</v>
      </c>
      <c r="F145" s="171" t="s">
        <v>2061</v>
      </c>
      <c r="G145" s="170" t="s">
        <v>2062</v>
      </c>
      <c r="H145" s="170" t="s">
        <v>2062</v>
      </c>
      <c r="I145" s="172" t="s">
        <v>1405</v>
      </c>
      <c r="J145" s="173" t="s">
        <v>16</v>
      </c>
      <c r="K145" s="174"/>
      <c r="L145" s="175"/>
      <c r="M145" s="8"/>
      <c r="N145" s="8"/>
      <c r="O145" s="8"/>
      <c r="P145" s="8"/>
      <c r="Q145" s="8"/>
      <c r="R145" s="8"/>
      <c r="S145" s="8"/>
      <c r="T145" s="8"/>
      <c r="U145" s="8"/>
      <c r="V145" s="8"/>
      <c r="W145" s="8"/>
      <c r="X145" s="8"/>
      <c r="Y145" s="8"/>
      <c r="Z145" s="8"/>
      <c r="AA145" s="8"/>
      <c r="AB145" s="8"/>
      <c r="AC145" s="8"/>
      <c r="AD145" s="8"/>
    </row>
    <row r="146">
      <c r="A146" s="169" t="s">
        <v>1042</v>
      </c>
      <c r="B146" s="169" t="s">
        <v>444</v>
      </c>
      <c r="C146" s="170" t="s">
        <v>1043</v>
      </c>
      <c r="D146" s="170" t="s">
        <v>2063</v>
      </c>
      <c r="E146" s="176" t="s">
        <v>2064</v>
      </c>
      <c r="F146" s="176" t="s">
        <v>2065</v>
      </c>
      <c r="G146" s="170" t="s">
        <v>2066</v>
      </c>
      <c r="H146" s="170" t="s">
        <v>2066</v>
      </c>
      <c r="I146" s="172" t="s">
        <v>1405</v>
      </c>
      <c r="J146" s="178" t="s">
        <v>16</v>
      </c>
      <c r="K146" s="174"/>
      <c r="L146" s="175"/>
      <c r="M146" s="8"/>
      <c r="N146" s="8"/>
      <c r="O146" s="8"/>
      <c r="P146" s="8"/>
      <c r="Q146" s="8"/>
      <c r="R146" s="8"/>
      <c r="S146" s="8"/>
      <c r="T146" s="8"/>
      <c r="U146" s="8"/>
      <c r="V146" s="8"/>
      <c r="W146" s="8"/>
      <c r="X146" s="8"/>
      <c r="Y146" s="8"/>
      <c r="Z146" s="8"/>
      <c r="AA146" s="8"/>
      <c r="AB146" s="8"/>
      <c r="AC146" s="8"/>
      <c r="AD146" s="8"/>
    </row>
    <row r="147">
      <c r="A147" s="169" t="s">
        <v>1044</v>
      </c>
      <c r="B147" s="169" t="s">
        <v>444</v>
      </c>
      <c r="C147" s="170" t="s">
        <v>1045</v>
      </c>
      <c r="D147" s="170" t="s">
        <v>2067</v>
      </c>
      <c r="E147" s="171" t="s">
        <v>2068</v>
      </c>
      <c r="F147" s="171" t="s">
        <v>2069</v>
      </c>
      <c r="G147" s="170" t="s">
        <v>2070</v>
      </c>
      <c r="H147" s="170" t="s">
        <v>2070</v>
      </c>
      <c r="I147" s="179" t="s">
        <v>1416</v>
      </c>
      <c r="J147" s="173" t="s">
        <v>16</v>
      </c>
      <c r="K147" s="174"/>
      <c r="L147" s="175"/>
      <c r="M147" s="8"/>
      <c r="N147" s="8"/>
      <c r="O147" s="8"/>
      <c r="P147" s="8"/>
      <c r="Q147" s="8"/>
      <c r="R147" s="8"/>
      <c r="S147" s="8"/>
      <c r="T147" s="8"/>
      <c r="U147" s="8"/>
      <c r="V147" s="8"/>
      <c r="W147" s="8"/>
      <c r="X147" s="8"/>
      <c r="Y147" s="8"/>
      <c r="Z147" s="8"/>
      <c r="AA147" s="8"/>
      <c r="AB147" s="8"/>
      <c r="AC147" s="8"/>
      <c r="AD147" s="8"/>
    </row>
    <row r="148">
      <c r="A148" s="169" t="s">
        <v>1047</v>
      </c>
      <c r="B148" s="169" t="s">
        <v>448</v>
      </c>
      <c r="C148" s="187" t="s">
        <v>1048</v>
      </c>
      <c r="D148" s="170" t="s">
        <v>2071</v>
      </c>
      <c r="E148" s="176" t="s">
        <v>2072</v>
      </c>
      <c r="F148" s="176" t="s">
        <v>2073</v>
      </c>
      <c r="G148" s="170" t="s">
        <v>2074</v>
      </c>
      <c r="H148" s="170" t="s">
        <v>2075</v>
      </c>
      <c r="I148" s="177" t="s">
        <v>1411</v>
      </c>
      <c r="J148" s="178" t="s">
        <v>11</v>
      </c>
      <c r="K148" s="170" t="s">
        <v>2076</v>
      </c>
      <c r="L148" s="175"/>
      <c r="M148" s="8"/>
      <c r="N148" s="8"/>
      <c r="O148" s="8"/>
      <c r="P148" s="8"/>
      <c r="Q148" s="8"/>
      <c r="R148" s="8"/>
      <c r="S148" s="8"/>
      <c r="T148" s="8"/>
      <c r="U148" s="8"/>
      <c r="V148" s="8"/>
      <c r="W148" s="8"/>
      <c r="X148" s="8"/>
      <c r="Y148" s="8"/>
      <c r="Z148" s="8"/>
      <c r="AA148" s="8"/>
      <c r="AB148" s="8"/>
      <c r="AC148" s="8"/>
      <c r="AD148" s="8"/>
    </row>
    <row r="149">
      <c r="A149" s="169" t="s">
        <v>1049</v>
      </c>
      <c r="B149" s="169" t="s">
        <v>448</v>
      </c>
      <c r="C149" s="150" t="s">
        <v>1050</v>
      </c>
      <c r="D149" s="170" t="s">
        <v>2077</v>
      </c>
      <c r="E149" s="171" t="s">
        <v>2078</v>
      </c>
      <c r="F149" s="171" t="s">
        <v>2079</v>
      </c>
      <c r="G149" s="170" t="s">
        <v>2080</v>
      </c>
      <c r="H149" s="170" t="s">
        <v>2080</v>
      </c>
      <c r="I149" s="177" t="s">
        <v>1416</v>
      </c>
      <c r="J149" s="173" t="s">
        <v>16</v>
      </c>
      <c r="K149" s="174"/>
      <c r="L149" s="175"/>
      <c r="M149" s="8"/>
      <c r="N149" s="8"/>
      <c r="O149" s="8"/>
      <c r="P149" s="8"/>
      <c r="Q149" s="8"/>
      <c r="R149" s="8"/>
      <c r="S149" s="8"/>
      <c r="T149" s="8"/>
      <c r="U149" s="8"/>
      <c r="V149" s="8"/>
      <c r="W149" s="8"/>
      <c r="X149" s="8"/>
      <c r="Y149" s="8"/>
      <c r="Z149" s="8"/>
      <c r="AA149" s="8"/>
      <c r="AB149" s="8"/>
      <c r="AC149" s="8"/>
      <c r="AD149" s="8"/>
    </row>
    <row r="150">
      <c r="A150" s="169" t="s">
        <v>1051</v>
      </c>
      <c r="B150" s="169" t="s">
        <v>448</v>
      </c>
      <c r="C150" s="150" t="s">
        <v>1052</v>
      </c>
      <c r="D150" s="170" t="s">
        <v>2081</v>
      </c>
      <c r="E150" s="176" t="s">
        <v>2082</v>
      </c>
      <c r="F150" s="176" t="s">
        <v>2083</v>
      </c>
      <c r="G150" s="170" t="s">
        <v>2084</v>
      </c>
      <c r="H150" s="170" t="s">
        <v>2084</v>
      </c>
      <c r="I150" s="177" t="s">
        <v>1411</v>
      </c>
      <c r="J150" s="178" t="s">
        <v>16</v>
      </c>
      <c r="K150" s="174"/>
      <c r="L150" s="175"/>
      <c r="M150" s="8"/>
      <c r="N150" s="8"/>
      <c r="O150" s="8"/>
      <c r="P150" s="8"/>
      <c r="Q150" s="8"/>
      <c r="R150" s="8"/>
      <c r="S150" s="8"/>
      <c r="T150" s="8"/>
      <c r="U150" s="8"/>
      <c r="V150" s="8"/>
      <c r="W150" s="8"/>
      <c r="X150" s="8"/>
      <c r="Y150" s="8"/>
      <c r="Z150" s="8"/>
      <c r="AA150" s="8"/>
      <c r="AB150" s="8"/>
      <c r="AC150" s="8"/>
      <c r="AD150" s="8"/>
    </row>
    <row r="151">
      <c r="A151" s="169" t="s">
        <v>1054</v>
      </c>
      <c r="B151" s="169" t="s">
        <v>455</v>
      </c>
      <c r="C151" s="170" t="s">
        <v>1055</v>
      </c>
      <c r="D151" s="170" t="s">
        <v>2085</v>
      </c>
      <c r="E151" s="171" t="s">
        <v>2086</v>
      </c>
      <c r="F151" s="171" t="s">
        <v>2087</v>
      </c>
      <c r="G151" s="170" t="s">
        <v>2088</v>
      </c>
      <c r="H151" s="170" t="s">
        <v>2089</v>
      </c>
      <c r="I151" s="172" t="s">
        <v>1405</v>
      </c>
      <c r="J151" s="173" t="s">
        <v>16</v>
      </c>
      <c r="K151" s="174"/>
      <c r="L151" s="175"/>
      <c r="M151" s="8"/>
      <c r="N151" s="8"/>
      <c r="O151" s="8"/>
      <c r="P151" s="8"/>
      <c r="Q151" s="8"/>
      <c r="R151" s="8"/>
      <c r="S151" s="8"/>
      <c r="T151" s="8"/>
      <c r="U151" s="8"/>
      <c r="V151" s="8"/>
      <c r="W151" s="8"/>
      <c r="X151" s="8"/>
      <c r="Y151" s="8"/>
      <c r="Z151" s="8"/>
      <c r="AA151" s="8"/>
      <c r="AB151" s="8"/>
      <c r="AC151" s="8"/>
      <c r="AD151" s="8"/>
    </row>
    <row r="152">
      <c r="A152" s="169" t="s">
        <v>1056</v>
      </c>
      <c r="B152" s="169" t="s">
        <v>455</v>
      </c>
      <c r="C152" s="170" t="s">
        <v>1057</v>
      </c>
      <c r="D152" s="170" t="s">
        <v>2090</v>
      </c>
      <c r="E152" s="176" t="s">
        <v>2091</v>
      </c>
      <c r="F152" s="176" t="s">
        <v>2092</v>
      </c>
      <c r="G152" s="170" t="s">
        <v>2093</v>
      </c>
      <c r="H152" s="170" t="s">
        <v>2094</v>
      </c>
      <c r="I152" s="172" t="s">
        <v>1405</v>
      </c>
      <c r="J152" s="178" t="s">
        <v>16</v>
      </c>
      <c r="K152" s="174"/>
      <c r="L152" s="175"/>
      <c r="M152" s="8"/>
      <c r="N152" s="8"/>
      <c r="O152" s="8"/>
      <c r="P152" s="8"/>
      <c r="Q152" s="8"/>
      <c r="R152" s="8"/>
      <c r="S152" s="8"/>
      <c r="T152" s="8"/>
      <c r="U152" s="8"/>
      <c r="V152" s="8"/>
      <c r="W152" s="8"/>
      <c r="X152" s="8"/>
      <c r="Y152" s="8"/>
      <c r="Z152" s="8"/>
      <c r="AA152" s="8"/>
      <c r="AB152" s="8"/>
      <c r="AC152" s="8"/>
      <c r="AD152" s="8"/>
    </row>
    <row r="153">
      <c r="A153" s="169" t="s">
        <v>1058</v>
      </c>
      <c r="B153" s="169" t="s">
        <v>455</v>
      </c>
      <c r="C153" s="170" t="s">
        <v>1059</v>
      </c>
      <c r="D153" s="170" t="s">
        <v>2095</v>
      </c>
      <c r="E153" s="171" t="s">
        <v>2091</v>
      </c>
      <c r="F153" s="171" t="s">
        <v>2096</v>
      </c>
      <c r="G153" s="170" t="s">
        <v>2097</v>
      </c>
      <c r="H153" s="170" t="s">
        <v>2097</v>
      </c>
      <c r="I153" s="172" t="s">
        <v>1405</v>
      </c>
      <c r="J153" s="173" t="s">
        <v>16</v>
      </c>
      <c r="K153" s="174"/>
      <c r="L153" s="175"/>
      <c r="M153" s="8"/>
      <c r="N153" s="8"/>
      <c r="O153" s="8"/>
      <c r="P153" s="8"/>
      <c r="Q153" s="8"/>
      <c r="R153" s="8"/>
      <c r="S153" s="8"/>
      <c r="T153" s="8"/>
      <c r="U153" s="8"/>
      <c r="V153" s="8"/>
      <c r="W153" s="8"/>
      <c r="X153" s="8"/>
      <c r="Y153" s="8"/>
      <c r="Z153" s="8"/>
      <c r="AA153" s="8"/>
      <c r="AB153" s="8"/>
      <c r="AC153" s="8"/>
      <c r="AD153" s="8"/>
    </row>
    <row r="154">
      <c r="A154" s="169" t="s">
        <v>1061</v>
      </c>
      <c r="B154" s="169" t="s">
        <v>459</v>
      </c>
      <c r="C154" s="170" t="s">
        <v>1062</v>
      </c>
      <c r="D154" s="170" t="s">
        <v>2098</v>
      </c>
      <c r="E154" s="176" t="s">
        <v>2091</v>
      </c>
      <c r="F154" s="176" t="s">
        <v>2099</v>
      </c>
      <c r="G154" s="170" t="s">
        <v>2100</v>
      </c>
      <c r="H154" s="170" t="s">
        <v>2101</v>
      </c>
      <c r="I154" s="172" t="s">
        <v>1405</v>
      </c>
      <c r="J154" s="178" t="s">
        <v>16</v>
      </c>
      <c r="K154" s="174"/>
      <c r="L154" s="175"/>
      <c r="M154" s="8"/>
      <c r="N154" s="8"/>
      <c r="O154" s="8"/>
      <c r="P154" s="8"/>
      <c r="Q154" s="8"/>
      <c r="R154" s="8"/>
      <c r="S154" s="8"/>
      <c r="T154" s="8"/>
      <c r="U154" s="8"/>
      <c r="V154" s="8"/>
      <c r="W154" s="8"/>
      <c r="X154" s="8"/>
      <c r="Y154" s="8"/>
      <c r="Z154" s="8"/>
      <c r="AA154" s="8"/>
      <c r="AB154" s="8"/>
      <c r="AC154" s="8"/>
      <c r="AD154" s="8"/>
    </row>
    <row r="155">
      <c r="A155" s="169" t="s">
        <v>1063</v>
      </c>
      <c r="B155" s="169" t="s">
        <v>459</v>
      </c>
      <c r="C155" s="170" t="s">
        <v>1064</v>
      </c>
      <c r="D155" s="170" t="s">
        <v>2102</v>
      </c>
      <c r="E155" s="171" t="s">
        <v>2091</v>
      </c>
      <c r="F155" s="171" t="s">
        <v>2103</v>
      </c>
      <c r="G155" s="170" t="s">
        <v>2104</v>
      </c>
      <c r="H155" s="170" t="s">
        <v>2101</v>
      </c>
      <c r="I155" s="179" t="s">
        <v>1416</v>
      </c>
      <c r="J155" s="173" t="s">
        <v>16</v>
      </c>
      <c r="K155" s="174"/>
      <c r="L155" s="175"/>
      <c r="M155" s="8"/>
      <c r="N155" s="8"/>
      <c r="O155" s="8"/>
      <c r="P155" s="8"/>
      <c r="Q155" s="8"/>
      <c r="R155" s="8"/>
      <c r="S155" s="8"/>
      <c r="T155" s="8"/>
      <c r="U155" s="8"/>
      <c r="V155" s="8"/>
      <c r="W155" s="8"/>
      <c r="X155" s="8"/>
      <c r="Y155" s="8"/>
      <c r="Z155" s="8"/>
      <c r="AA155" s="8"/>
      <c r="AB155" s="8"/>
      <c r="AC155" s="8"/>
      <c r="AD155" s="8"/>
    </row>
    <row r="156">
      <c r="A156" s="169" t="s">
        <v>1066</v>
      </c>
      <c r="B156" s="169" t="s">
        <v>463</v>
      </c>
      <c r="C156" s="170" t="s">
        <v>1067</v>
      </c>
      <c r="D156" s="170" t="s">
        <v>2105</v>
      </c>
      <c r="E156" s="176" t="s">
        <v>2106</v>
      </c>
      <c r="F156" s="176" t="s">
        <v>2107</v>
      </c>
      <c r="G156" s="170" t="s">
        <v>2108</v>
      </c>
      <c r="H156" s="170" t="s">
        <v>2108</v>
      </c>
      <c r="I156" s="172" t="s">
        <v>1405</v>
      </c>
      <c r="J156" s="178" t="s">
        <v>16</v>
      </c>
      <c r="K156" s="174"/>
      <c r="L156" s="175"/>
      <c r="M156" s="8"/>
      <c r="N156" s="8"/>
      <c r="O156" s="8"/>
      <c r="P156" s="8"/>
      <c r="Q156" s="8"/>
      <c r="R156" s="8"/>
      <c r="S156" s="8"/>
      <c r="T156" s="8"/>
      <c r="U156" s="8"/>
      <c r="V156" s="8"/>
      <c r="W156" s="8"/>
      <c r="X156" s="8"/>
      <c r="Y156" s="8"/>
      <c r="Z156" s="8"/>
      <c r="AA156" s="8"/>
      <c r="AB156" s="8"/>
      <c r="AC156" s="8"/>
      <c r="AD156" s="8"/>
    </row>
    <row r="157">
      <c r="A157" s="169" t="s">
        <v>1068</v>
      </c>
      <c r="B157" s="169" t="s">
        <v>463</v>
      </c>
      <c r="C157" s="170" t="s">
        <v>1069</v>
      </c>
      <c r="D157" s="170" t="s">
        <v>2109</v>
      </c>
      <c r="E157" s="171" t="s">
        <v>2110</v>
      </c>
      <c r="F157" s="171" t="s">
        <v>2111</v>
      </c>
      <c r="G157" s="170" t="s">
        <v>2112</v>
      </c>
      <c r="H157" s="170" t="s">
        <v>2112</v>
      </c>
      <c r="I157" s="172" t="s">
        <v>1405</v>
      </c>
      <c r="J157" s="173" t="s">
        <v>16</v>
      </c>
      <c r="K157" s="174"/>
      <c r="L157" s="175"/>
      <c r="M157" s="8"/>
      <c r="N157" s="8"/>
      <c r="O157" s="8"/>
      <c r="P157" s="8"/>
      <c r="Q157" s="8"/>
      <c r="R157" s="8"/>
      <c r="S157" s="8"/>
      <c r="T157" s="8"/>
      <c r="U157" s="8"/>
      <c r="V157" s="8"/>
      <c r="W157" s="8"/>
      <c r="X157" s="8"/>
      <c r="Y157" s="8"/>
      <c r="Z157" s="8"/>
      <c r="AA157" s="8"/>
      <c r="AB157" s="8"/>
      <c r="AC157" s="8"/>
      <c r="AD157" s="8"/>
    </row>
    <row r="158">
      <c r="A158" s="169" t="s">
        <v>1070</v>
      </c>
      <c r="B158" s="169" t="s">
        <v>463</v>
      </c>
      <c r="C158" s="170" t="s">
        <v>1071</v>
      </c>
      <c r="D158" s="170" t="s">
        <v>2113</v>
      </c>
      <c r="E158" s="176" t="s">
        <v>2110</v>
      </c>
      <c r="F158" s="176" t="s">
        <v>2114</v>
      </c>
      <c r="G158" s="170" t="s">
        <v>2115</v>
      </c>
      <c r="H158" s="170" t="s">
        <v>2115</v>
      </c>
      <c r="I158" s="172" t="s">
        <v>1405</v>
      </c>
      <c r="J158" s="178" t="s">
        <v>16</v>
      </c>
      <c r="K158" s="174"/>
      <c r="L158" s="175"/>
      <c r="M158" s="8"/>
      <c r="N158" s="8"/>
      <c r="O158" s="8"/>
      <c r="P158" s="8"/>
      <c r="Q158" s="8"/>
      <c r="R158" s="8"/>
      <c r="S158" s="8"/>
      <c r="T158" s="8"/>
      <c r="U158" s="8"/>
      <c r="V158" s="8"/>
      <c r="W158" s="8"/>
      <c r="X158" s="8"/>
      <c r="Y158" s="8"/>
      <c r="Z158" s="8"/>
      <c r="AA158" s="8"/>
      <c r="AB158" s="8"/>
      <c r="AC158" s="8"/>
      <c r="AD158" s="8"/>
    </row>
    <row r="159">
      <c r="A159" s="169" t="s">
        <v>1073</v>
      </c>
      <c r="B159" s="169" t="s">
        <v>467</v>
      </c>
      <c r="C159" s="170" t="s">
        <v>1074</v>
      </c>
      <c r="D159" s="170" t="s">
        <v>2116</v>
      </c>
      <c r="E159" s="171" t="s">
        <v>2110</v>
      </c>
      <c r="F159" s="171" t="s">
        <v>2114</v>
      </c>
      <c r="G159" s="170" t="s">
        <v>2117</v>
      </c>
      <c r="H159" s="170" t="s">
        <v>2118</v>
      </c>
      <c r="I159" s="177" t="s">
        <v>1411</v>
      </c>
      <c r="J159" s="173" t="s">
        <v>16</v>
      </c>
      <c r="K159" s="174"/>
      <c r="L159" s="175"/>
      <c r="M159" s="8"/>
      <c r="N159" s="8"/>
      <c r="O159" s="8"/>
      <c r="P159" s="8"/>
      <c r="Q159" s="8"/>
      <c r="R159" s="8"/>
      <c r="S159" s="8"/>
      <c r="T159" s="8"/>
      <c r="U159" s="8"/>
      <c r="V159" s="8"/>
      <c r="W159" s="8"/>
      <c r="X159" s="8"/>
      <c r="Y159" s="8"/>
      <c r="Z159" s="8"/>
      <c r="AA159" s="8"/>
      <c r="AB159" s="8"/>
      <c r="AC159" s="8"/>
      <c r="AD159" s="8"/>
    </row>
    <row r="160">
      <c r="A160" s="169" t="s">
        <v>1075</v>
      </c>
      <c r="B160" s="169" t="s">
        <v>467</v>
      </c>
      <c r="C160" s="170" t="s">
        <v>1076</v>
      </c>
      <c r="D160" s="170" t="s">
        <v>2119</v>
      </c>
      <c r="E160" s="176" t="s">
        <v>2110</v>
      </c>
      <c r="F160" s="176" t="s">
        <v>1588</v>
      </c>
      <c r="G160" s="170" t="s">
        <v>2120</v>
      </c>
      <c r="H160" s="170" t="s">
        <v>2120</v>
      </c>
      <c r="I160" s="172" t="s">
        <v>1405</v>
      </c>
      <c r="J160" s="178" t="s">
        <v>16</v>
      </c>
      <c r="K160" s="174"/>
      <c r="L160" s="175"/>
      <c r="M160" s="8"/>
      <c r="N160" s="8"/>
      <c r="O160" s="8"/>
      <c r="P160" s="8"/>
      <c r="Q160" s="8"/>
      <c r="R160" s="8"/>
      <c r="S160" s="8"/>
      <c r="T160" s="8"/>
      <c r="U160" s="8"/>
      <c r="V160" s="8"/>
      <c r="W160" s="8"/>
      <c r="X160" s="8"/>
      <c r="Y160" s="8"/>
      <c r="Z160" s="8"/>
      <c r="AA160" s="8"/>
      <c r="AB160" s="8"/>
      <c r="AC160" s="8"/>
      <c r="AD160" s="8"/>
    </row>
    <row r="161">
      <c r="A161" s="169" t="s">
        <v>1078</v>
      </c>
      <c r="B161" s="169" t="s">
        <v>471</v>
      </c>
      <c r="C161" s="170" t="s">
        <v>1079</v>
      </c>
      <c r="D161" s="170" t="s">
        <v>2121</v>
      </c>
      <c r="E161" s="188" t="s">
        <v>2122</v>
      </c>
      <c r="F161" s="188" t="s">
        <v>2123</v>
      </c>
      <c r="G161" s="170" t="s">
        <v>2124</v>
      </c>
      <c r="H161" s="170" t="s">
        <v>2124</v>
      </c>
      <c r="I161" s="177" t="s">
        <v>1411</v>
      </c>
      <c r="J161" s="173" t="s">
        <v>16</v>
      </c>
      <c r="K161" s="174"/>
      <c r="L161" s="175"/>
      <c r="M161" s="8"/>
      <c r="N161" s="8"/>
      <c r="O161" s="8"/>
      <c r="P161" s="8"/>
      <c r="Q161" s="8"/>
      <c r="R161" s="8"/>
      <c r="S161" s="8"/>
      <c r="T161" s="8"/>
      <c r="U161" s="8"/>
      <c r="V161" s="8"/>
      <c r="W161" s="8"/>
      <c r="X161" s="8"/>
      <c r="Y161" s="8"/>
      <c r="Z161" s="8"/>
      <c r="AA161" s="8"/>
      <c r="AB161" s="8"/>
      <c r="AC161" s="8"/>
      <c r="AD161" s="8"/>
    </row>
    <row r="162">
      <c r="A162" s="169" t="s">
        <v>1080</v>
      </c>
      <c r="B162" s="169" t="s">
        <v>471</v>
      </c>
      <c r="C162" s="170" t="s">
        <v>1081</v>
      </c>
      <c r="D162" s="170" t="s">
        <v>2125</v>
      </c>
      <c r="E162" s="176" t="s">
        <v>2126</v>
      </c>
      <c r="F162" s="176" t="s">
        <v>2127</v>
      </c>
      <c r="G162" s="170" t="s">
        <v>2128</v>
      </c>
      <c r="H162" s="170" t="s">
        <v>2128</v>
      </c>
      <c r="I162" s="177" t="s">
        <v>1411</v>
      </c>
      <c r="J162" s="178" t="s">
        <v>16</v>
      </c>
      <c r="K162" s="174"/>
      <c r="L162" s="175"/>
      <c r="M162" s="8"/>
      <c r="N162" s="8"/>
      <c r="O162" s="8"/>
      <c r="P162" s="8"/>
      <c r="Q162" s="8"/>
      <c r="R162" s="8"/>
      <c r="S162" s="8"/>
      <c r="T162" s="8"/>
      <c r="U162" s="8"/>
      <c r="V162" s="8"/>
      <c r="W162" s="8"/>
      <c r="X162" s="8"/>
      <c r="Y162" s="8"/>
      <c r="Z162" s="8"/>
      <c r="AA162" s="8"/>
      <c r="AB162" s="8"/>
      <c r="AC162" s="8"/>
      <c r="AD162" s="8"/>
    </row>
    <row r="163">
      <c r="A163" s="169" t="s">
        <v>1082</v>
      </c>
      <c r="B163" s="169" t="s">
        <v>471</v>
      </c>
      <c r="C163" s="170" t="s">
        <v>1083</v>
      </c>
      <c r="D163" s="170" t="s">
        <v>2129</v>
      </c>
      <c r="E163" s="171" t="s">
        <v>2130</v>
      </c>
      <c r="F163" s="171" t="s">
        <v>2131</v>
      </c>
      <c r="G163" s="170" t="s">
        <v>2132</v>
      </c>
      <c r="H163" s="170" t="s">
        <v>2132</v>
      </c>
      <c r="I163" s="177" t="s">
        <v>1411</v>
      </c>
      <c r="J163" s="173" t="s">
        <v>16</v>
      </c>
      <c r="K163" s="174"/>
      <c r="L163" s="175"/>
      <c r="M163" s="8"/>
      <c r="N163" s="8"/>
      <c r="O163" s="8"/>
      <c r="P163" s="8"/>
      <c r="Q163" s="8"/>
      <c r="R163" s="8"/>
      <c r="S163" s="8"/>
      <c r="T163" s="8"/>
      <c r="U163" s="8"/>
      <c r="V163" s="8"/>
      <c r="W163" s="8"/>
      <c r="X163" s="8"/>
      <c r="Y163" s="8"/>
      <c r="Z163" s="8"/>
      <c r="AA163" s="8"/>
      <c r="AB163" s="8"/>
      <c r="AC163" s="8"/>
      <c r="AD163" s="8"/>
    </row>
    <row r="164">
      <c r="A164" s="169" t="s">
        <v>1085</v>
      </c>
      <c r="B164" s="169" t="s">
        <v>475</v>
      </c>
      <c r="C164" s="170" t="s">
        <v>1086</v>
      </c>
      <c r="D164" s="170" t="s">
        <v>2133</v>
      </c>
      <c r="E164" s="176" t="s">
        <v>2134</v>
      </c>
      <c r="F164" s="176" t="s">
        <v>2135</v>
      </c>
      <c r="G164" s="170" t="s">
        <v>2136</v>
      </c>
      <c r="H164" s="170" t="s">
        <v>2136</v>
      </c>
      <c r="I164" s="172" t="s">
        <v>1405</v>
      </c>
      <c r="J164" s="178" t="s">
        <v>16</v>
      </c>
      <c r="K164" s="174"/>
      <c r="L164" s="175"/>
      <c r="M164" s="8"/>
      <c r="N164" s="8"/>
      <c r="O164" s="8"/>
      <c r="P164" s="8"/>
      <c r="Q164" s="8"/>
      <c r="R164" s="8"/>
      <c r="S164" s="8"/>
      <c r="T164" s="8"/>
      <c r="U164" s="8"/>
      <c r="V164" s="8"/>
      <c r="W164" s="8"/>
      <c r="X164" s="8"/>
      <c r="Y164" s="8"/>
      <c r="Z164" s="8"/>
      <c r="AA164" s="8"/>
      <c r="AB164" s="8"/>
      <c r="AC164" s="8"/>
      <c r="AD164" s="8"/>
    </row>
    <row r="165">
      <c r="A165" s="169" t="s">
        <v>1087</v>
      </c>
      <c r="B165" s="169" t="s">
        <v>475</v>
      </c>
      <c r="C165" s="170" t="s">
        <v>1088</v>
      </c>
      <c r="D165" s="170" t="s">
        <v>2137</v>
      </c>
      <c r="E165" s="171" t="s">
        <v>2138</v>
      </c>
      <c r="F165" s="171" t="s">
        <v>2139</v>
      </c>
      <c r="G165" s="170" t="s">
        <v>2140</v>
      </c>
      <c r="H165" s="170" t="s">
        <v>2140</v>
      </c>
      <c r="I165" s="177" t="s">
        <v>1411</v>
      </c>
      <c r="J165" s="173" t="s">
        <v>16</v>
      </c>
      <c r="K165" s="174"/>
      <c r="L165" s="175"/>
      <c r="M165" s="8"/>
      <c r="N165" s="8"/>
      <c r="O165" s="8"/>
      <c r="P165" s="8"/>
      <c r="Q165" s="8"/>
      <c r="R165" s="8"/>
      <c r="S165" s="8"/>
      <c r="T165" s="8"/>
      <c r="U165" s="8"/>
      <c r="V165" s="8"/>
      <c r="W165" s="8"/>
      <c r="X165" s="8"/>
      <c r="Y165" s="8"/>
      <c r="Z165" s="8"/>
      <c r="AA165" s="8"/>
      <c r="AB165" s="8"/>
      <c r="AC165" s="8"/>
      <c r="AD165" s="8"/>
    </row>
    <row r="166">
      <c r="A166" s="169" t="s">
        <v>1089</v>
      </c>
      <c r="B166" s="169" t="s">
        <v>475</v>
      </c>
      <c r="C166" s="170" t="s">
        <v>1090</v>
      </c>
      <c r="D166" s="170" t="s">
        <v>2141</v>
      </c>
      <c r="E166" s="176" t="s">
        <v>2142</v>
      </c>
      <c r="F166" s="176" t="s">
        <v>2143</v>
      </c>
      <c r="G166" s="170" t="s">
        <v>2144</v>
      </c>
      <c r="H166" s="170" t="s">
        <v>2144</v>
      </c>
      <c r="I166" s="179" t="s">
        <v>1416</v>
      </c>
      <c r="J166" s="178" t="s">
        <v>16</v>
      </c>
      <c r="K166" s="174"/>
      <c r="L166" s="175"/>
      <c r="M166" s="8"/>
      <c r="N166" s="8"/>
      <c r="O166" s="8"/>
      <c r="P166" s="8"/>
      <c r="Q166" s="8"/>
      <c r="R166" s="8"/>
      <c r="S166" s="8"/>
      <c r="T166" s="8"/>
      <c r="U166" s="8"/>
      <c r="V166" s="8"/>
      <c r="W166" s="8"/>
      <c r="X166" s="8"/>
      <c r="Y166" s="8"/>
      <c r="Z166" s="8"/>
      <c r="AA166" s="8"/>
      <c r="AB166" s="8"/>
      <c r="AC166" s="8"/>
      <c r="AD166" s="8"/>
    </row>
    <row r="167">
      <c r="A167" s="169" t="s">
        <v>1092</v>
      </c>
      <c r="B167" s="169" t="s">
        <v>479</v>
      </c>
      <c r="C167" s="170" t="s">
        <v>1093</v>
      </c>
      <c r="D167" s="170" t="s">
        <v>2145</v>
      </c>
      <c r="E167" s="171" t="s">
        <v>2146</v>
      </c>
      <c r="F167" s="171" t="s">
        <v>2147</v>
      </c>
      <c r="G167" s="170" t="s">
        <v>2148</v>
      </c>
      <c r="H167" s="170" t="s">
        <v>2148</v>
      </c>
      <c r="I167" s="172" t="s">
        <v>1405</v>
      </c>
      <c r="J167" s="173" t="s">
        <v>16</v>
      </c>
      <c r="K167" s="174"/>
      <c r="L167" s="175"/>
      <c r="M167" s="8"/>
      <c r="N167" s="8"/>
      <c r="O167" s="8"/>
      <c r="P167" s="8"/>
      <c r="Q167" s="8"/>
      <c r="R167" s="8"/>
      <c r="S167" s="8"/>
      <c r="T167" s="8"/>
      <c r="U167" s="8"/>
      <c r="V167" s="8"/>
      <c r="W167" s="8"/>
      <c r="X167" s="8"/>
      <c r="Y167" s="8"/>
      <c r="Z167" s="8"/>
      <c r="AA167" s="8"/>
      <c r="AB167" s="8"/>
      <c r="AC167" s="8"/>
      <c r="AD167" s="8"/>
    </row>
    <row r="168">
      <c r="A168" s="169" t="s">
        <v>1094</v>
      </c>
      <c r="B168" s="169" t="s">
        <v>479</v>
      </c>
      <c r="C168" s="170" t="s">
        <v>1095</v>
      </c>
      <c r="D168" s="170" t="s">
        <v>2149</v>
      </c>
      <c r="E168" s="176" t="s">
        <v>2150</v>
      </c>
      <c r="F168" s="176" t="s">
        <v>2151</v>
      </c>
      <c r="G168" s="170" t="s">
        <v>2152</v>
      </c>
      <c r="H168" s="170" t="s">
        <v>2152</v>
      </c>
      <c r="I168" s="172" t="s">
        <v>1405</v>
      </c>
      <c r="J168" s="178" t="s">
        <v>16</v>
      </c>
      <c r="K168" s="174"/>
      <c r="L168" s="175"/>
      <c r="M168" s="8"/>
      <c r="N168" s="8"/>
      <c r="O168" s="8"/>
      <c r="P168" s="8"/>
      <c r="Q168" s="8"/>
      <c r="R168" s="8"/>
      <c r="S168" s="8"/>
      <c r="T168" s="8"/>
      <c r="U168" s="8"/>
      <c r="V168" s="8"/>
      <c r="W168" s="8"/>
      <c r="X168" s="8"/>
      <c r="Y168" s="8"/>
      <c r="Z168" s="8"/>
      <c r="AA168" s="8"/>
      <c r="AB168" s="8"/>
      <c r="AC168" s="8"/>
      <c r="AD168" s="8"/>
    </row>
    <row r="169">
      <c r="A169" s="169" t="s">
        <v>1096</v>
      </c>
      <c r="B169" s="169" t="s">
        <v>479</v>
      </c>
      <c r="C169" s="170" t="s">
        <v>1097</v>
      </c>
      <c r="D169" s="170" t="s">
        <v>2153</v>
      </c>
      <c r="E169" s="171" t="s">
        <v>2154</v>
      </c>
      <c r="F169" s="171" t="s">
        <v>2155</v>
      </c>
      <c r="G169" s="170" t="s">
        <v>2156</v>
      </c>
      <c r="H169" s="170" t="s">
        <v>2156</v>
      </c>
      <c r="I169" s="179" t="s">
        <v>1416</v>
      </c>
      <c r="J169" s="173" t="s">
        <v>16</v>
      </c>
      <c r="K169" s="174"/>
      <c r="L169" s="175"/>
      <c r="M169" s="8"/>
      <c r="N169" s="8"/>
      <c r="O169" s="8"/>
      <c r="P169" s="8"/>
      <c r="Q169" s="8"/>
      <c r="R169" s="8"/>
      <c r="S169" s="8"/>
      <c r="T169" s="8"/>
      <c r="U169" s="8"/>
      <c r="V169" s="8"/>
      <c r="W169" s="8"/>
      <c r="X169" s="8"/>
      <c r="Y169" s="8"/>
      <c r="Z169" s="8"/>
      <c r="AA169" s="8"/>
      <c r="AB169" s="8"/>
      <c r="AC169" s="8"/>
      <c r="AD169" s="8"/>
    </row>
    <row r="170">
      <c r="A170" s="169" t="s">
        <v>1099</v>
      </c>
      <c r="B170" s="169" t="s">
        <v>483</v>
      </c>
      <c r="C170" s="170" t="s">
        <v>1100</v>
      </c>
      <c r="D170" s="170" t="s">
        <v>2157</v>
      </c>
      <c r="E170" s="176" t="s">
        <v>2158</v>
      </c>
      <c r="F170" s="176" t="s">
        <v>2159</v>
      </c>
      <c r="G170" s="170" t="s">
        <v>2160</v>
      </c>
      <c r="H170" s="170" t="s">
        <v>2160</v>
      </c>
      <c r="I170" s="177" t="s">
        <v>1411</v>
      </c>
      <c r="J170" s="178" t="s">
        <v>16</v>
      </c>
      <c r="K170" s="174"/>
      <c r="L170" s="175"/>
      <c r="M170" s="8"/>
      <c r="N170" s="8"/>
      <c r="O170" s="8"/>
      <c r="P170" s="8"/>
      <c r="Q170" s="8"/>
      <c r="R170" s="8"/>
      <c r="S170" s="8"/>
      <c r="T170" s="8"/>
      <c r="U170" s="8"/>
      <c r="V170" s="8"/>
      <c r="W170" s="8"/>
      <c r="X170" s="8"/>
      <c r="Y170" s="8"/>
      <c r="Z170" s="8"/>
      <c r="AA170" s="8"/>
      <c r="AB170" s="8"/>
      <c r="AC170" s="8"/>
      <c r="AD170" s="8"/>
    </row>
    <row r="171">
      <c r="A171" s="169" t="s">
        <v>1101</v>
      </c>
      <c r="B171" s="169" t="s">
        <v>483</v>
      </c>
      <c r="C171" s="170" t="s">
        <v>1102</v>
      </c>
      <c r="D171" s="170" t="s">
        <v>2161</v>
      </c>
      <c r="E171" s="171" t="s">
        <v>2162</v>
      </c>
      <c r="F171" s="171" t="s">
        <v>2163</v>
      </c>
      <c r="G171" s="170" t="s">
        <v>2132</v>
      </c>
      <c r="H171" s="170" t="s">
        <v>2132</v>
      </c>
      <c r="I171" s="177" t="s">
        <v>1411</v>
      </c>
      <c r="J171" s="173" t="s">
        <v>16</v>
      </c>
      <c r="K171" s="174"/>
      <c r="L171" s="175"/>
      <c r="M171" s="8"/>
      <c r="N171" s="8"/>
      <c r="O171" s="8"/>
      <c r="P171" s="8"/>
      <c r="Q171" s="8"/>
      <c r="R171" s="8"/>
      <c r="S171" s="8"/>
      <c r="T171" s="8"/>
      <c r="U171" s="8"/>
      <c r="V171" s="8"/>
      <c r="W171" s="8"/>
      <c r="X171" s="8"/>
      <c r="Y171" s="8"/>
      <c r="Z171" s="8"/>
      <c r="AA171" s="8"/>
      <c r="AB171" s="8"/>
      <c r="AC171" s="8"/>
      <c r="AD171" s="8"/>
    </row>
    <row r="172">
      <c r="A172" s="169" t="s">
        <v>1104</v>
      </c>
      <c r="B172" s="169" t="s">
        <v>487</v>
      </c>
      <c r="C172" s="170" t="s">
        <v>1105</v>
      </c>
      <c r="D172" s="170" t="s">
        <v>2164</v>
      </c>
      <c r="E172" s="176" t="s">
        <v>2165</v>
      </c>
      <c r="F172" s="176" t="s">
        <v>2166</v>
      </c>
      <c r="G172" s="170" t="s">
        <v>2167</v>
      </c>
      <c r="H172" s="170" t="s">
        <v>2168</v>
      </c>
      <c r="I172" s="172" t="s">
        <v>1405</v>
      </c>
      <c r="J172" s="178" t="s">
        <v>16</v>
      </c>
      <c r="K172" s="174"/>
      <c r="L172" s="175"/>
      <c r="M172" s="8"/>
      <c r="N172" s="8"/>
      <c r="O172" s="8"/>
      <c r="P172" s="8"/>
      <c r="Q172" s="8"/>
      <c r="R172" s="8"/>
      <c r="S172" s="8"/>
      <c r="T172" s="8"/>
      <c r="U172" s="8"/>
      <c r="V172" s="8"/>
      <c r="W172" s="8"/>
      <c r="X172" s="8"/>
      <c r="Y172" s="8"/>
      <c r="Z172" s="8"/>
      <c r="AA172" s="8"/>
      <c r="AB172" s="8"/>
      <c r="AC172" s="8"/>
      <c r="AD172" s="8"/>
    </row>
    <row r="173">
      <c r="A173" s="169" t="s">
        <v>1106</v>
      </c>
      <c r="B173" s="169" t="s">
        <v>487</v>
      </c>
      <c r="C173" s="170" t="s">
        <v>2169</v>
      </c>
      <c r="D173" s="170" t="s">
        <v>2170</v>
      </c>
      <c r="E173" s="171" t="s">
        <v>2171</v>
      </c>
      <c r="F173" s="171" t="s">
        <v>2172</v>
      </c>
      <c r="G173" s="170" t="s">
        <v>2173</v>
      </c>
      <c r="H173" s="170" t="s">
        <v>2174</v>
      </c>
      <c r="I173" s="177" t="s">
        <v>1411</v>
      </c>
      <c r="J173" s="173" t="s">
        <v>11</v>
      </c>
      <c r="K173" s="170" t="s">
        <v>2175</v>
      </c>
      <c r="L173" s="175"/>
      <c r="M173" s="8"/>
      <c r="N173" s="8"/>
      <c r="O173" s="8"/>
      <c r="P173" s="8"/>
      <c r="Q173" s="8"/>
      <c r="R173" s="8"/>
      <c r="S173" s="8"/>
      <c r="T173" s="8"/>
      <c r="U173" s="8"/>
      <c r="V173" s="8"/>
      <c r="W173" s="8"/>
      <c r="X173" s="8"/>
      <c r="Y173" s="8"/>
      <c r="Z173" s="8"/>
      <c r="AA173" s="8"/>
      <c r="AB173" s="8"/>
      <c r="AC173" s="8"/>
      <c r="AD173" s="8"/>
    </row>
    <row r="174">
      <c r="A174" s="169" t="s">
        <v>1108</v>
      </c>
      <c r="B174" s="169" t="s">
        <v>487</v>
      </c>
      <c r="C174" s="170" t="s">
        <v>945</v>
      </c>
      <c r="D174" s="170" t="s">
        <v>2176</v>
      </c>
      <c r="E174" s="176" t="s">
        <v>2177</v>
      </c>
      <c r="F174" s="176" t="s">
        <v>2178</v>
      </c>
      <c r="G174" s="170" t="s">
        <v>2179</v>
      </c>
      <c r="H174" s="170" t="s">
        <v>2180</v>
      </c>
      <c r="I174" s="172" t="s">
        <v>1405</v>
      </c>
      <c r="J174" s="178" t="s">
        <v>16</v>
      </c>
      <c r="K174" s="174"/>
      <c r="L174" s="175"/>
      <c r="M174" s="8"/>
      <c r="N174" s="8"/>
      <c r="O174" s="8"/>
      <c r="P174" s="8"/>
      <c r="Q174" s="8"/>
      <c r="R174" s="8"/>
      <c r="S174" s="8"/>
      <c r="T174" s="8"/>
      <c r="U174" s="8"/>
      <c r="V174" s="8"/>
      <c r="W174" s="8"/>
      <c r="X174" s="8"/>
      <c r="Y174" s="8"/>
      <c r="Z174" s="8"/>
      <c r="AA174" s="8"/>
      <c r="AB174" s="8"/>
      <c r="AC174" s="8"/>
      <c r="AD174" s="8"/>
    </row>
    <row r="175">
      <c r="A175" s="169" t="s">
        <v>1110</v>
      </c>
      <c r="B175" s="169" t="s">
        <v>493</v>
      </c>
      <c r="C175" s="170" t="s">
        <v>1111</v>
      </c>
      <c r="D175" s="170" t="s">
        <v>2181</v>
      </c>
      <c r="E175" s="171" t="s">
        <v>2182</v>
      </c>
      <c r="F175" s="171" t="s">
        <v>2183</v>
      </c>
      <c r="G175" s="170" t="s">
        <v>2184</v>
      </c>
      <c r="H175" s="170" t="s">
        <v>2185</v>
      </c>
      <c r="I175" s="172" t="s">
        <v>1405</v>
      </c>
      <c r="J175" s="173" t="s">
        <v>16</v>
      </c>
      <c r="K175" s="174"/>
      <c r="L175" s="175"/>
      <c r="M175" s="8"/>
      <c r="N175" s="8"/>
      <c r="O175" s="8"/>
      <c r="P175" s="8"/>
      <c r="Q175" s="8"/>
      <c r="R175" s="8"/>
      <c r="S175" s="8"/>
      <c r="T175" s="8"/>
      <c r="U175" s="8"/>
      <c r="V175" s="8"/>
      <c r="W175" s="8"/>
      <c r="X175" s="8"/>
      <c r="Y175" s="8"/>
      <c r="Z175" s="8"/>
      <c r="AA175" s="8"/>
      <c r="AB175" s="8"/>
      <c r="AC175" s="8"/>
      <c r="AD175" s="8"/>
    </row>
    <row r="176">
      <c r="A176" s="169" t="s">
        <v>1112</v>
      </c>
      <c r="B176" s="169" t="s">
        <v>493</v>
      </c>
      <c r="C176" s="170" t="s">
        <v>1113</v>
      </c>
      <c r="D176" s="170" t="s">
        <v>2186</v>
      </c>
      <c r="E176" s="176" t="s">
        <v>2187</v>
      </c>
      <c r="F176" s="176" t="s">
        <v>2188</v>
      </c>
      <c r="G176" s="170" t="s">
        <v>2189</v>
      </c>
      <c r="H176" s="170" t="s">
        <v>2190</v>
      </c>
      <c r="I176" s="177" t="s">
        <v>1411</v>
      </c>
      <c r="J176" s="178" t="s">
        <v>16</v>
      </c>
      <c r="K176" s="174"/>
      <c r="L176" s="175"/>
      <c r="M176" s="8"/>
      <c r="N176" s="8"/>
      <c r="O176" s="8"/>
      <c r="P176" s="8"/>
      <c r="Q176" s="8"/>
      <c r="R176" s="8"/>
      <c r="S176" s="8"/>
      <c r="T176" s="8"/>
      <c r="U176" s="8"/>
      <c r="V176" s="8"/>
      <c r="W176" s="8"/>
      <c r="X176" s="8"/>
      <c r="Y176" s="8"/>
      <c r="Z176" s="8"/>
      <c r="AA176" s="8"/>
      <c r="AB176" s="8"/>
      <c r="AC176" s="8"/>
      <c r="AD176" s="8"/>
    </row>
    <row r="177">
      <c r="A177" s="169" t="s">
        <v>1115</v>
      </c>
      <c r="B177" s="169" t="s">
        <v>497</v>
      </c>
      <c r="C177" s="170" t="s">
        <v>1116</v>
      </c>
      <c r="D177" s="170" t="s">
        <v>2191</v>
      </c>
      <c r="E177" s="171" t="s">
        <v>2192</v>
      </c>
      <c r="F177" s="171" t="s">
        <v>2193</v>
      </c>
      <c r="G177" s="170" t="s">
        <v>2194</v>
      </c>
      <c r="H177" s="170" t="s">
        <v>2194</v>
      </c>
      <c r="I177" s="172" t="s">
        <v>1405</v>
      </c>
      <c r="J177" s="173" t="s">
        <v>16</v>
      </c>
      <c r="K177" s="174"/>
      <c r="L177" s="175"/>
      <c r="M177" s="8"/>
      <c r="N177" s="8"/>
      <c r="O177" s="8"/>
      <c r="P177" s="8"/>
      <c r="Q177" s="8"/>
      <c r="R177" s="8"/>
      <c r="S177" s="8"/>
      <c r="T177" s="8"/>
      <c r="U177" s="8"/>
      <c r="V177" s="8"/>
      <c r="W177" s="8"/>
      <c r="X177" s="8"/>
      <c r="Y177" s="8"/>
      <c r="Z177" s="8"/>
      <c r="AA177" s="8"/>
      <c r="AB177" s="8"/>
      <c r="AC177" s="8"/>
      <c r="AD177" s="8"/>
    </row>
    <row r="178">
      <c r="A178" s="169" t="s">
        <v>1118</v>
      </c>
      <c r="B178" s="169" t="s">
        <v>501</v>
      </c>
      <c r="C178" s="170" t="s">
        <v>1119</v>
      </c>
      <c r="D178" s="170" t="s">
        <v>2195</v>
      </c>
      <c r="E178" s="176" t="s">
        <v>2196</v>
      </c>
      <c r="F178" s="176" t="s">
        <v>2111</v>
      </c>
      <c r="G178" s="170" t="s">
        <v>2197</v>
      </c>
      <c r="H178" s="170" t="s">
        <v>2198</v>
      </c>
      <c r="I178" s="172" t="s">
        <v>1405</v>
      </c>
      <c r="J178" s="178" t="s">
        <v>16</v>
      </c>
      <c r="K178" s="174"/>
      <c r="L178" s="175"/>
      <c r="M178" s="8"/>
      <c r="N178" s="8"/>
      <c r="O178" s="8"/>
      <c r="P178" s="8"/>
      <c r="Q178" s="8"/>
      <c r="R178" s="8"/>
      <c r="S178" s="8"/>
      <c r="T178" s="8"/>
      <c r="U178" s="8"/>
      <c r="V178" s="8"/>
      <c r="W178" s="8"/>
      <c r="X178" s="8"/>
      <c r="Y178" s="8"/>
      <c r="Z178" s="8"/>
      <c r="AA178" s="8"/>
      <c r="AB178" s="8"/>
      <c r="AC178" s="8"/>
      <c r="AD178" s="8"/>
    </row>
    <row r="179">
      <c r="A179" s="169" t="s">
        <v>1120</v>
      </c>
      <c r="B179" s="169" t="s">
        <v>501</v>
      </c>
      <c r="C179" s="170" t="s">
        <v>1121</v>
      </c>
      <c r="D179" s="170" t="s">
        <v>2199</v>
      </c>
      <c r="E179" s="171" t="s">
        <v>2200</v>
      </c>
      <c r="F179" s="171" t="s">
        <v>2201</v>
      </c>
      <c r="G179" s="170" t="s">
        <v>2202</v>
      </c>
      <c r="H179" s="170" t="s">
        <v>2202</v>
      </c>
      <c r="I179" s="172" t="s">
        <v>1405</v>
      </c>
      <c r="J179" s="173" t="s">
        <v>16</v>
      </c>
      <c r="K179" s="174"/>
      <c r="L179" s="175"/>
      <c r="M179" s="8"/>
      <c r="N179" s="8"/>
      <c r="O179" s="8"/>
      <c r="P179" s="8"/>
      <c r="Q179" s="8"/>
      <c r="R179" s="8"/>
      <c r="S179" s="8"/>
      <c r="T179" s="8"/>
      <c r="U179" s="8"/>
      <c r="V179" s="8"/>
      <c r="W179" s="8"/>
      <c r="X179" s="8"/>
      <c r="Y179" s="8"/>
      <c r="Z179" s="8"/>
      <c r="AA179" s="8"/>
      <c r="AB179" s="8"/>
      <c r="AC179" s="8"/>
      <c r="AD179" s="8"/>
    </row>
    <row r="180">
      <c r="A180" s="169" t="s">
        <v>1122</v>
      </c>
      <c r="B180" s="169" t="s">
        <v>501</v>
      </c>
      <c r="C180" s="170" t="s">
        <v>1123</v>
      </c>
      <c r="D180" s="170" t="s">
        <v>2203</v>
      </c>
      <c r="E180" s="176" t="s">
        <v>2204</v>
      </c>
      <c r="F180" s="176" t="s">
        <v>2205</v>
      </c>
      <c r="G180" s="170" t="s">
        <v>2206</v>
      </c>
      <c r="H180" s="170" t="s">
        <v>2206</v>
      </c>
      <c r="I180" s="177" t="s">
        <v>1411</v>
      </c>
      <c r="J180" s="178" t="s">
        <v>16</v>
      </c>
      <c r="K180" s="174"/>
      <c r="L180" s="175"/>
      <c r="M180" s="8"/>
      <c r="N180" s="8"/>
      <c r="O180" s="8"/>
      <c r="P180" s="8"/>
      <c r="Q180" s="8"/>
      <c r="R180" s="8"/>
      <c r="S180" s="8"/>
      <c r="T180" s="8"/>
      <c r="U180" s="8"/>
      <c r="V180" s="8"/>
      <c r="W180" s="8"/>
      <c r="X180" s="8"/>
      <c r="Y180" s="8"/>
      <c r="Z180" s="8"/>
      <c r="AA180" s="8"/>
      <c r="AB180" s="8"/>
      <c r="AC180" s="8"/>
      <c r="AD180" s="8"/>
    </row>
    <row r="181">
      <c r="A181" s="169" t="s">
        <v>1125</v>
      </c>
      <c r="B181" s="169" t="s">
        <v>505</v>
      </c>
      <c r="C181" s="170" t="s">
        <v>1126</v>
      </c>
      <c r="D181" s="170" t="s">
        <v>2207</v>
      </c>
      <c r="E181" s="171" t="s">
        <v>2208</v>
      </c>
      <c r="F181" s="171" t="s">
        <v>2209</v>
      </c>
      <c r="G181" s="170" t="s">
        <v>2210</v>
      </c>
      <c r="H181" s="170" t="s">
        <v>2210</v>
      </c>
      <c r="I181" s="177" t="s">
        <v>1411</v>
      </c>
      <c r="J181" s="173" t="s">
        <v>16</v>
      </c>
      <c r="K181" s="174"/>
      <c r="L181" s="175"/>
      <c r="M181" s="8"/>
      <c r="N181" s="8"/>
      <c r="O181" s="8"/>
      <c r="P181" s="8"/>
      <c r="Q181" s="8"/>
      <c r="R181" s="8"/>
      <c r="S181" s="8"/>
      <c r="T181" s="8"/>
      <c r="U181" s="8"/>
      <c r="V181" s="8"/>
      <c r="W181" s="8"/>
      <c r="X181" s="8"/>
      <c r="Y181" s="8"/>
      <c r="Z181" s="8"/>
      <c r="AA181" s="8"/>
      <c r="AB181" s="8"/>
      <c r="AC181" s="8"/>
      <c r="AD181" s="8"/>
    </row>
    <row r="182">
      <c r="A182" s="169" t="s">
        <v>1127</v>
      </c>
      <c r="B182" s="169" t="s">
        <v>505</v>
      </c>
      <c r="C182" s="170" t="s">
        <v>1128</v>
      </c>
      <c r="D182" s="170" t="s">
        <v>2211</v>
      </c>
      <c r="E182" s="176" t="s">
        <v>2204</v>
      </c>
      <c r="F182" s="176" t="s">
        <v>2205</v>
      </c>
      <c r="G182" s="170" t="s">
        <v>2212</v>
      </c>
      <c r="H182" s="170" t="s">
        <v>2212</v>
      </c>
      <c r="I182" s="177" t="s">
        <v>1411</v>
      </c>
      <c r="J182" s="178" t="s">
        <v>16</v>
      </c>
      <c r="K182" s="174"/>
      <c r="L182" s="175"/>
      <c r="M182" s="8"/>
      <c r="N182" s="8"/>
      <c r="O182" s="8"/>
      <c r="P182" s="8"/>
      <c r="Q182" s="8"/>
      <c r="R182" s="8"/>
      <c r="S182" s="8"/>
      <c r="T182" s="8"/>
      <c r="U182" s="8"/>
      <c r="V182" s="8"/>
      <c r="W182" s="8"/>
      <c r="X182" s="8"/>
      <c r="Y182" s="8"/>
      <c r="Z182" s="8"/>
      <c r="AA182" s="8"/>
      <c r="AB182" s="8"/>
      <c r="AC182" s="8"/>
      <c r="AD182" s="8"/>
    </row>
    <row r="183">
      <c r="A183" s="169" t="s">
        <v>1129</v>
      </c>
      <c r="B183" s="169" t="s">
        <v>505</v>
      </c>
      <c r="C183" s="170" t="s">
        <v>1130</v>
      </c>
      <c r="D183" s="170" t="s">
        <v>2213</v>
      </c>
      <c r="E183" s="171" t="s">
        <v>2196</v>
      </c>
      <c r="F183" s="171" t="s">
        <v>2111</v>
      </c>
      <c r="G183" s="170" t="s">
        <v>2214</v>
      </c>
      <c r="H183" s="170" t="s">
        <v>2214</v>
      </c>
      <c r="I183" s="172" t="s">
        <v>1405</v>
      </c>
      <c r="J183" s="173" t="s">
        <v>16</v>
      </c>
      <c r="K183" s="174"/>
      <c r="L183" s="175"/>
      <c r="M183" s="8"/>
      <c r="N183" s="8"/>
      <c r="O183" s="8"/>
      <c r="P183" s="8"/>
      <c r="Q183" s="8"/>
      <c r="R183" s="8"/>
      <c r="S183" s="8"/>
      <c r="T183" s="8"/>
      <c r="U183" s="8"/>
      <c r="V183" s="8"/>
      <c r="W183" s="8"/>
      <c r="X183" s="8"/>
      <c r="Y183" s="8"/>
      <c r="Z183" s="8"/>
      <c r="AA183" s="8"/>
      <c r="AB183" s="8"/>
      <c r="AC183" s="8"/>
      <c r="AD183" s="8"/>
    </row>
    <row r="184">
      <c r="A184" s="169" t="s">
        <v>1132</v>
      </c>
      <c r="B184" s="169" t="s">
        <v>509</v>
      </c>
      <c r="C184" s="170" t="s">
        <v>1133</v>
      </c>
      <c r="D184" s="170" t="s">
        <v>2215</v>
      </c>
      <c r="E184" s="176" t="s">
        <v>2216</v>
      </c>
      <c r="F184" s="176" t="s">
        <v>2217</v>
      </c>
      <c r="G184" s="170" t="s">
        <v>2218</v>
      </c>
      <c r="H184" s="170" t="s">
        <v>2219</v>
      </c>
      <c r="I184" s="172" t="s">
        <v>1405</v>
      </c>
      <c r="J184" s="178" t="s">
        <v>16</v>
      </c>
      <c r="K184" s="174"/>
      <c r="L184" s="175"/>
      <c r="M184" s="8"/>
      <c r="N184" s="8"/>
      <c r="O184" s="8"/>
      <c r="P184" s="8"/>
      <c r="Q184" s="8"/>
      <c r="R184" s="8"/>
      <c r="S184" s="8"/>
      <c r="T184" s="8"/>
      <c r="U184" s="8"/>
      <c r="V184" s="8"/>
      <c r="W184" s="8"/>
      <c r="X184" s="8"/>
      <c r="Y184" s="8"/>
      <c r="Z184" s="8"/>
      <c r="AA184" s="8"/>
      <c r="AB184" s="8"/>
      <c r="AC184" s="8"/>
      <c r="AD184" s="8"/>
    </row>
    <row r="185">
      <c r="A185" s="169" t="s">
        <v>1134</v>
      </c>
      <c r="B185" s="169" t="s">
        <v>509</v>
      </c>
      <c r="C185" s="170" t="s">
        <v>1135</v>
      </c>
      <c r="D185" s="170" t="s">
        <v>2220</v>
      </c>
      <c r="E185" s="171" t="s">
        <v>2221</v>
      </c>
      <c r="F185" s="171" t="s">
        <v>2222</v>
      </c>
      <c r="G185" s="170" t="s">
        <v>2223</v>
      </c>
      <c r="H185" s="170" t="s">
        <v>2224</v>
      </c>
      <c r="I185" s="179" t="s">
        <v>1416</v>
      </c>
      <c r="J185" s="173" t="s">
        <v>16</v>
      </c>
      <c r="K185" s="174"/>
      <c r="L185" s="175"/>
      <c r="M185" s="8"/>
      <c r="N185" s="8"/>
      <c r="O185" s="8"/>
      <c r="P185" s="8"/>
      <c r="Q185" s="8"/>
      <c r="R185" s="8"/>
      <c r="S185" s="8"/>
      <c r="T185" s="8"/>
      <c r="U185" s="8"/>
      <c r="V185" s="8"/>
      <c r="W185" s="8"/>
      <c r="X185" s="8"/>
      <c r="Y185" s="8"/>
      <c r="Z185" s="8"/>
      <c r="AA185" s="8"/>
      <c r="AB185" s="8"/>
      <c r="AC185" s="8"/>
      <c r="AD185" s="8"/>
    </row>
    <row r="186">
      <c r="A186" s="169" t="s">
        <v>1137</v>
      </c>
      <c r="B186" s="169" t="s">
        <v>513</v>
      </c>
      <c r="C186" s="170" t="s">
        <v>1138</v>
      </c>
      <c r="D186" s="170" t="s">
        <v>2225</v>
      </c>
      <c r="E186" s="176" t="s">
        <v>2226</v>
      </c>
      <c r="F186" s="176" t="s">
        <v>2227</v>
      </c>
      <c r="G186" s="170" t="s">
        <v>2212</v>
      </c>
      <c r="H186" s="170" t="s">
        <v>2228</v>
      </c>
      <c r="I186" s="177" t="s">
        <v>1411</v>
      </c>
      <c r="J186" s="178" t="s">
        <v>16</v>
      </c>
      <c r="K186" s="174"/>
      <c r="L186" s="175"/>
      <c r="M186" s="8"/>
      <c r="N186" s="8"/>
      <c r="O186" s="8"/>
      <c r="P186" s="8"/>
      <c r="Q186" s="8"/>
      <c r="R186" s="8"/>
      <c r="S186" s="8"/>
      <c r="T186" s="8"/>
      <c r="U186" s="8"/>
      <c r="V186" s="8"/>
      <c r="W186" s="8"/>
      <c r="X186" s="8"/>
      <c r="Y186" s="8"/>
      <c r="Z186" s="8"/>
      <c r="AA186" s="8"/>
      <c r="AB186" s="8"/>
      <c r="AC186" s="8"/>
      <c r="AD186" s="8"/>
    </row>
    <row r="187">
      <c r="A187" s="169" t="s">
        <v>1139</v>
      </c>
      <c r="B187" s="169" t="s">
        <v>513</v>
      </c>
      <c r="C187" s="170" t="s">
        <v>1140</v>
      </c>
      <c r="D187" s="170" t="s">
        <v>2229</v>
      </c>
      <c r="E187" s="171" t="s">
        <v>2230</v>
      </c>
      <c r="F187" s="171" t="s">
        <v>2111</v>
      </c>
      <c r="G187" s="170" t="s">
        <v>2231</v>
      </c>
      <c r="H187" s="170" t="s">
        <v>2232</v>
      </c>
      <c r="I187" s="172" t="s">
        <v>1405</v>
      </c>
      <c r="J187" s="173" t="s">
        <v>16</v>
      </c>
      <c r="K187" s="174"/>
      <c r="L187" s="175"/>
      <c r="M187" s="8"/>
      <c r="N187" s="8"/>
      <c r="O187" s="8"/>
      <c r="P187" s="8"/>
      <c r="Q187" s="8"/>
      <c r="R187" s="8"/>
      <c r="S187" s="8"/>
      <c r="T187" s="8"/>
      <c r="U187" s="8"/>
      <c r="V187" s="8"/>
      <c r="W187" s="8"/>
      <c r="X187" s="8"/>
      <c r="Y187" s="8"/>
      <c r="Z187" s="8"/>
      <c r="AA187" s="8"/>
      <c r="AB187" s="8"/>
      <c r="AC187" s="8"/>
      <c r="AD187" s="8"/>
    </row>
    <row r="188">
      <c r="A188" s="169" t="s">
        <v>1142</v>
      </c>
      <c r="B188" s="169" t="s">
        <v>517</v>
      </c>
      <c r="C188" s="170" t="s">
        <v>1143</v>
      </c>
      <c r="D188" s="170" t="s">
        <v>2233</v>
      </c>
      <c r="E188" s="176" t="s">
        <v>2234</v>
      </c>
      <c r="F188" s="176" t="s">
        <v>2235</v>
      </c>
      <c r="G188" s="170" t="s">
        <v>2236</v>
      </c>
      <c r="H188" s="170" t="s">
        <v>2237</v>
      </c>
      <c r="I188" s="172" t="s">
        <v>1405</v>
      </c>
      <c r="J188" s="178" t="s">
        <v>16</v>
      </c>
      <c r="K188" s="174"/>
      <c r="L188" s="175"/>
      <c r="M188" s="8"/>
      <c r="N188" s="8"/>
      <c r="O188" s="8"/>
      <c r="P188" s="8"/>
      <c r="Q188" s="8"/>
      <c r="R188" s="8"/>
      <c r="S188" s="8"/>
      <c r="T188" s="8"/>
      <c r="U188" s="8"/>
      <c r="V188" s="8"/>
      <c r="W188" s="8"/>
      <c r="X188" s="8"/>
      <c r="Y188" s="8"/>
      <c r="Z188" s="8"/>
      <c r="AA188" s="8"/>
      <c r="AB188" s="8"/>
      <c r="AC188" s="8"/>
      <c r="AD188" s="8"/>
    </row>
    <row r="189">
      <c r="A189" s="169" t="s">
        <v>1144</v>
      </c>
      <c r="B189" s="169" t="s">
        <v>517</v>
      </c>
      <c r="C189" s="170" t="s">
        <v>1145</v>
      </c>
      <c r="D189" s="170" t="s">
        <v>2238</v>
      </c>
      <c r="E189" s="171" t="s">
        <v>2239</v>
      </c>
      <c r="F189" s="171" t="s">
        <v>2240</v>
      </c>
      <c r="G189" s="170" t="s">
        <v>2241</v>
      </c>
      <c r="H189" s="170" t="s">
        <v>2242</v>
      </c>
      <c r="I189" s="177" t="s">
        <v>1411</v>
      </c>
      <c r="J189" s="173" t="s">
        <v>16</v>
      </c>
      <c r="K189" s="174"/>
      <c r="L189" s="175"/>
      <c r="M189" s="8"/>
      <c r="N189" s="8"/>
      <c r="O189" s="8"/>
      <c r="P189" s="8"/>
      <c r="Q189" s="8"/>
      <c r="R189" s="8"/>
      <c r="S189" s="8"/>
      <c r="T189" s="8"/>
      <c r="U189" s="8"/>
      <c r="V189" s="8"/>
      <c r="W189" s="8"/>
      <c r="X189" s="8"/>
      <c r="Y189" s="8"/>
      <c r="Z189" s="8"/>
      <c r="AA189" s="8"/>
      <c r="AB189" s="8"/>
      <c r="AC189" s="8"/>
      <c r="AD189" s="8"/>
    </row>
    <row r="190">
      <c r="A190" s="169" t="s">
        <v>1146</v>
      </c>
      <c r="B190" s="169" t="s">
        <v>517</v>
      </c>
      <c r="C190" s="170" t="s">
        <v>1147</v>
      </c>
      <c r="D190" s="170" t="s">
        <v>2243</v>
      </c>
      <c r="E190" s="176" t="s">
        <v>2244</v>
      </c>
      <c r="F190" s="176" t="s">
        <v>2245</v>
      </c>
      <c r="G190" s="170" t="s">
        <v>2246</v>
      </c>
      <c r="H190" s="170" t="s">
        <v>2247</v>
      </c>
      <c r="I190" s="172" t="s">
        <v>1405</v>
      </c>
      <c r="J190" s="178" t="s">
        <v>16</v>
      </c>
      <c r="K190" s="174"/>
      <c r="L190" s="175"/>
      <c r="M190" s="8"/>
      <c r="N190" s="8"/>
      <c r="O190" s="8"/>
      <c r="P190" s="8"/>
      <c r="Q190" s="8"/>
      <c r="R190" s="8"/>
      <c r="S190" s="8"/>
      <c r="T190" s="8"/>
      <c r="U190" s="8"/>
      <c r="V190" s="8"/>
      <c r="W190" s="8"/>
      <c r="X190" s="8"/>
      <c r="Y190" s="8"/>
      <c r="Z190" s="8"/>
      <c r="AA190" s="8"/>
      <c r="AB190" s="8"/>
      <c r="AC190" s="8"/>
      <c r="AD190" s="8"/>
    </row>
    <row r="191">
      <c r="A191" s="169" t="s">
        <v>1149</v>
      </c>
      <c r="B191" s="169" t="s">
        <v>521</v>
      </c>
      <c r="C191" s="170" t="s">
        <v>1150</v>
      </c>
      <c r="D191" s="170" t="s">
        <v>2248</v>
      </c>
      <c r="E191" s="171" t="s">
        <v>2249</v>
      </c>
      <c r="F191" s="171" t="s">
        <v>2250</v>
      </c>
      <c r="G191" s="170" t="s">
        <v>2251</v>
      </c>
      <c r="H191" s="170" t="s">
        <v>2242</v>
      </c>
      <c r="I191" s="177" t="s">
        <v>1411</v>
      </c>
      <c r="J191" s="173" t="s">
        <v>16</v>
      </c>
      <c r="K191" s="174"/>
      <c r="L191" s="175"/>
      <c r="M191" s="8"/>
      <c r="N191" s="8"/>
      <c r="O191" s="8"/>
      <c r="P191" s="8"/>
      <c r="Q191" s="8"/>
      <c r="R191" s="8"/>
      <c r="S191" s="8"/>
      <c r="T191" s="8"/>
      <c r="U191" s="8"/>
      <c r="V191" s="8"/>
      <c r="W191" s="8"/>
      <c r="X191" s="8"/>
      <c r="Y191" s="8"/>
      <c r="Z191" s="8"/>
      <c r="AA191" s="8"/>
      <c r="AB191" s="8"/>
      <c r="AC191" s="8"/>
      <c r="AD191" s="8"/>
    </row>
    <row r="192">
      <c r="A192" s="169" t="s">
        <v>1151</v>
      </c>
      <c r="B192" s="169" t="s">
        <v>521</v>
      </c>
      <c r="C192" s="170" t="s">
        <v>1152</v>
      </c>
      <c r="D192" s="170" t="s">
        <v>2252</v>
      </c>
      <c r="E192" s="176" t="s">
        <v>2253</v>
      </c>
      <c r="F192" s="176" t="s">
        <v>2254</v>
      </c>
      <c r="G192" s="170" t="s">
        <v>2255</v>
      </c>
      <c r="H192" s="170" t="s">
        <v>2237</v>
      </c>
      <c r="I192" s="172" t="s">
        <v>1405</v>
      </c>
      <c r="J192" s="178" t="s">
        <v>16</v>
      </c>
      <c r="K192" s="174"/>
      <c r="L192" s="175"/>
      <c r="M192" s="8"/>
      <c r="N192" s="8"/>
      <c r="O192" s="8"/>
      <c r="P192" s="8"/>
      <c r="Q192" s="8"/>
      <c r="R192" s="8"/>
      <c r="S192" s="8"/>
      <c r="T192" s="8"/>
      <c r="U192" s="8"/>
      <c r="V192" s="8"/>
      <c r="W192" s="8"/>
      <c r="X192" s="8"/>
      <c r="Y192" s="8"/>
      <c r="Z192" s="8"/>
      <c r="AA192" s="8"/>
      <c r="AB192" s="8"/>
      <c r="AC192" s="8"/>
      <c r="AD192" s="8"/>
    </row>
    <row r="193">
      <c r="A193" s="169" t="s">
        <v>1154</v>
      </c>
      <c r="B193" s="169" t="s">
        <v>527</v>
      </c>
      <c r="C193" s="189" t="s">
        <v>2256</v>
      </c>
      <c r="D193" s="189" t="s">
        <v>2257</v>
      </c>
      <c r="E193" s="190" t="s">
        <v>2258</v>
      </c>
      <c r="F193" s="191" t="s">
        <v>2259</v>
      </c>
      <c r="G193" s="191" t="s">
        <v>2260</v>
      </c>
      <c r="H193" s="192" t="s">
        <v>2260</v>
      </c>
      <c r="I193" s="172" t="s">
        <v>1405</v>
      </c>
      <c r="J193" s="173" t="s">
        <v>16</v>
      </c>
      <c r="K193" s="174"/>
      <c r="L193" s="175"/>
      <c r="M193" s="8"/>
      <c r="N193" s="8"/>
      <c r="O193" s="8"/>
      <c r="P193" s="8"/>
      <c r="Q193" s="8"/>
      <c r="R193" s="8"/>
      <c r="S193" s="8"/>
      <c r="T193" s="8"/>
      <c r="U193" s="8"/>
      <c r="V193" s="8"/>
      <c r="W193" s="8"/>
      <c r="X193" s="8"/>
      <c r="Y193" s="8"/>
      <c r="Z193" s="8"/>
      <c r="AA193" s="8"/>
      <c r="AB193" s="8"/>
      <c r="AC193" s="8"/>
      <c r="AD193" s="8"/>
    </row>
    <row r="194">
      <c r="A194" s="169" t="s">
        <v>1156</v>
      </c>
      <c r="B194" s="169" t="s">
        <v>527</v>
      </c>
      <c r="C194" s="189" t="s">
        <v>2261</v>
      </c>
      <c r="D194" s="189" t="s">
        <v>2262</v>
      </c>
      <c r="E194" s="190" t="s">
        <v>2263</v>
      </c>
      <c r="F194" s="191" t="s">
        <v>2264</v>
      </c>
      <c r="G194" s="191" t="s">
        <v>2265</v>
      </c>
      <c r="H194" s="193" t="s">
        <v>2266</v>
      </c>
      <c r="I194" s="172" t="s">
        <v>1405</v>
      </c>
      <c r="J194" s="173" t="s">
        <v>16</v>
      </c>
      <c r="K194" s="174"/>
      <c r="L194" s="175"/>
      <c r="M194" s="8"/>
      <c r="N194" s="8"/>
      <c r="O194" s="8"/>
      <c r="P194" s="8"/>
      <c r="Q194" s="8"/>
      <c r="R194" s="8"/>
      <c r="S194" s="8"/>
      <c r="T194" s="8"/>
      <c r="U194" s="8"/>
      <c r="V194" s="8"/>
      <c r="W194" s="8"/>
      <c r="X194" s="8"/>
      <c r="Y194" s="8"/>
      <c r="Z194" s="8"/>
      <c r="AA194" s="8"/>
      <c r="AB194" s="8"/>
      <c r="AC194" s="8"/>
      <c r="AD194" s="8"/>
    </row>
    <row r="195">
      <c r="A195" s="169" t="s">
        <v>1159</v>
      </c>
      <c r="B195" s="169" t="s">
        <v>531</v>
      </c>
      <c r="C195" s="189" t="s">
        <v>2267</v>
      </c>
      <c r="D195" s="189" t="s">
        <v>2268</v>
      </c>
      <c r="E195" s="190" t="s">
        <v>2269</v>
      </c>
      <c r="F195" s="191" t="s">
        <v>2270</v>
      </c>
      <c r="G195" s="191" t="s">
        <v>2271</v>
      </c>
      <c r="H195" s="194" t="s">
        <v>2272</v>
      </c>
      <c r="I195" s="172" t="s">
        <v>1405</v>
      </c>
      <c r="J195" s="173" t="s">
        <v>16</v>
      </c>
      <c r="K195" s="174"/>
      <c r="L195" s="175"/>
      <c r="M195" s="8"/>
      <c r="N195" s="8"/>
      <c r="O195" s="8"/>
      <c r="P195" s="8"/>
      <c r="Q195" s="8"/>
      <c r="R195" s="8"/>
      <c r="S195" s="8"/>
      <c r="T195" s="8"/>
      <c r="U195" s="8"/>
      <c r="V195" s="8"/>
      <c r="W195" s="8"/>
      <c r="X195" s="8"/>
      <c r="Y195" s="8"/>
      <c r="Z195" s="8"/>
      <c r="AA195" s="8"/>
      <c r="AB195" s="8"/>
      <c r="AC195" s="8"/>
      <c r="AD195" s="8"/>
    </row>
    <row r="196">
      <c r="A196" s="169" t="s">
        <v>1161</v>
      </c>
      <c r="B196" s="169" t="s">
        <v>531</v>
      </c>
      <c r="C196" s="189" t="s">
        <v>2273</v>
      </c>
      <c r="D196" s="189" t="s">
        <v>2274</v>
      </c>
      <c r="E196" s="190" t="s">
        <v>2275</v>
      </c>
      <c r="F196" s="191" t="s">
        <v>2276</v>
      </c>
      <c r="G196" s="191" t="s">
        <v>2277</v>
      </c>
      <c r="H196" s="193" t="s">
        <v>2278</v>
      </c>
      <c r="I196" s="177" t="s">
        <v>1411</v>
      </c>
      <c r="J196" s="173" t="s">
        <v>16</v>
      </c>
      <c r="K196" s="174"/>
      <c r="L196" s="175"/>
      <c r="M196" s="8"/>
      <c r="N196" s="8"/>
      <c r="O196" s="8"/>
      <c r="P196" s="8"/>
      <c r="Q196" s="8"/>
      <c r="R196" s="8"/>
      <c r="S196" s="8"/>
      <c r="T196" s="8"/>
      <c r="U196" s="8"/>
      <c r="V196" s="8"/>
      <c r="W196" s="8"/>
      <c r="X196" s="8"/>
      <c r="Y196" s="8"/>
      <c r="Z196" s="8"/>
      <c r="AA196" s="8"/>
      <c r="AB196" s="8"/>
      <c r="AC196" s="8"/>
      <c r="AD196" s="8"/>
    </row>
    <row r="197">
      <c r="A197" s="169" t="s">
        <v>1163</v>
      </c>
      <c r="B197" s="169" t="s">
        <v>531</v>
      </c>
      <c r="C197" s="189" t="s">
        <v>2279</v>
      </c>
      <c r="D197" s="189" t="s">
        <v>2280</v>
      </c>
      <c r="E197" s="190" t="s">
        <v>2281</v>
      </c>
      <c r="F197" s="191" t="s">
        <v>2282</v>
      </c>
      <c r="G197" s="191" t="s">
        <v>2283</v>
      </c>
      <c r="H197" s="192" t="s">
        <v>2284</v>
      </c>
      <c r="I197" s="172" t="s">
        <v>1405</v>
      </c>
      <c r="J197" s="173" t="s">
        <v>16</v>
      </c>
      <c r="K197" s="174"/>
      <c r="L197" s="175"/>
      <c r="M197" s="8"/>
      <c r="N197" s="8"/>
      <c r="O197" s="8"/>
      <c r="P197" s="8"/>
      <c r="Q197" s="8"/>
      <c r="R197" s="8"/>
      <c r="S197" s="8"/>
      <c r="T197" s="8"/>
      <c r="U197" s="8"/>
      <c r="V197" s="8"/>
      <c r="W197" s="8"/>
      <c r="X197" s="8"/>
      <c r="Y197" s="8"/>
      <c r="Z197" s="8"/>
      <c r="AA197" s="8"/>
      <c r="AB197" s="8"/>
      <c r="AC197" s="8"/>
      <c r="AD197" s="8"/>
    </row>
    <row r="198">
      <c r="A198" s="169" t="s">
        <v>1166</v>
      </c>
      <c r="B198" s="169" t="s">
        <v>535</v>
      </c>
      <c r="C198" s="189" t="s">
        <v>2285</v>
      </c>
      <c r="D198" s="189" t="s">
        <v>2286</v>
      </c>
      <c r="E198" s="190" t="s">
        <v>2287</v>
      </c>
      <c r="F198" s="191" t="s">
        <v>2288</v>
      </c>
      <c r="G198" s="191" t="s">
        <v>2289</v>
      </c>
      <c r="H198" s="195" t="s">
        <v>2290</v>
      </c>
      <c r="I198" s="172" t="s">
        <v>1405</v>
      </c>
      <c r="J198" s="173" t="s">
        <v>16</v>
      </c>
      <c r="K198" s="174"/>
      <c r="L198" s="175"/>
      <c r="M198" s="8"/>
      <c r="N198" s="8"/>
      <c r="O198" s="8"/>
      <c r="P198" s="8"/>
      <c r="Q198" s="8"/>
      <c r="R198" s="8"/>
      <c r="S198" s="8"/>
      <c r="T198" s="8"/>
      <c r="U198" s="8"/>
      <c r="V198" s="8"/>
      <c r="W198" s="8"/>
      <c r="X198" s="8"/>
      <c r="Y198" s="8"/>
      <c r="Z198" s="8"/>
      <c r="AA198" s="8"/>
      <c r="AB198" s="8"/>
      <c r="AC198" s="8"/>
      <c r="AD198" s="8"/>
    </row>
    <row r="199">
      <c r="A199" s="169" t="s">
        <v>1168</v>
      </c>
      <c r="B199" s="169" t="s">
        <v>535</v>
      </c>
      <c r="C199" s="189" t="s">
        <v>2291</v>
      </c>
      <c r="D199" s="189" t="s">
        <v>2292</v>
      </c>
      <c r="E199" s="190" t="s">
        <v>2293</v>
      </c>
      <c r="F199" s="191" t="s">
        <v>2294</v>
      </c>
      <c r="G199" s="191" t="s">
        <v>2295</v>
      </c>
      <c r="H199" s="192" t="s">
        <v>2296</v>
      </c>
      <c r="I199" s="177" t="s">
        <v>1411</v>
      </c>
      <c r="J199" s="173" t="s">
        <v>16</v>
      </c>
      <c r="K199" s="174"/>
      <c r="L199" s="175"/>
      <c r="M199" s="8"/>
      <c r="N199" s="8"/>
      <c r="O199" s="8"/>
      <c r="P199" s="8"/>
      <c r="Q199" s="8"/>
      <c r="R199" s="8"/>
      <c r="S199" s="8"/>
      <c r="T199" s="8"/>
      <c r="U199" s="8"/>
      <c r="V199" s="8"/>
      <c r="W199" s="8"/>
      <c r="X199" s="8"/>
      <c r="Y199" s="8"/>
      <c r="Z199" s="8"/>
      <c r="AA199" s="8"/>
      <c r="AB199" s="8"/>
      <c r="AC199" s="8"/>
      <c r="AD199" s="8"/>
    </row>
    <row r="200">
      <c r="A200" s="169" t="s">
        <v>1170</v>
      </c>
      <c r="B200" s="169" t="s">
        <v>535</v>
      </c>
      <c r="C200" s="189" t="s">
        <v>2297</v>
      </c>
      <c r="D200" s="189" t="s">
        <v>2286</v>
      </c>
      <c r="E200" s="190" t="s">
        <v>2298</v>
      </c>
      <c r="F200" s="191" t="s">
        <v>2299</v>
      </c>
      <c r="G200" s="191" t="s">
        <v>2300</v>
      </c>
      <c r="H200" s="193" t="s">
        <v>2301</v>
      </c>
      <c r="I200" s="172" t="s">
        <v>1405</v>
      </c>
      <c r="J200" s="173" t="s">
        <v>16</v>
      </c>
      <c r="K200" s="174"/>
      <c r="L200" s="175"/>
      <c r="M200" s="8"/>
      <c r="N200" s="8"/>
      <c r="O200" s="8"/>
      <c r="P200" s="8"/>
      <c r="Q200" s="8"/>
      <c r="R200" s="8"/>
      <c r="S200" s="8"/>
      <c r="T200" s="8"/>
      <c r="U200" s="8"/>
      <c r="V200" s="8"/>
      <c r="W200" s="8"/>
      <c r="X200" s="8"/>
      <c r="Y200" s="8"/>
      <c r="Z200" s="8"/>
      <c r="AA200" s="8"/>
      <c r="AB200" s="8"/>
      <c r="AC200" s="8"/>
      <c r="AD200" s="8"/>
    </row>
    <row r="201">
      <c r="A201" s="169" t="s">
        <v>1173</v>
      </c>
      <c r="B201" s="169" t="s">
        <v>539</v>
      </c>
      <c r="C201" s="189" t="s">
        <v>2302</v>
      </c>
      <c r="D201" s="189" t="s">
        <v>2303</v>
      </c>
      <c r="E201" s="190" t="s">
        <v>2304</v>
      </c>
      <c r="F201" s="191" t="s">
        <v>2305</v>
      </c>
      <c r="G201" s="191" t="s">
        <v>2306</v>
      </c>
      <c r="H201" s="192" t="s">
        <v>2307</v>
      </c>
      <c r="I201" s="172" t="s">
        <v>1405</v>
      </c>
      <c r="J201" s="173" t="s">
        <v>16</v>
      </c>
      <c r="K201" s="174"/>
      <c r="L201" s="175"/>
      <c r="M201" s="8"/>
      <c r="N201" s="8"/>
      <c r="O201" s="8"/>
      <c r="P201" s="8"/>
      <c r="Q201" s="8"/>
      <c r="R201" s="8"/>
      <c r="S201" s="8"/>
      <c r="T201" s="8"/>
      <c r="U201" s="8"/>
      <c r="V201" s="8"/>
      <c r="W201" s="8"/>
      <c r="X201" s="8"/>
      <c r="Y201" s="8"/>
      <c r="Z201" s="8"/>
      <c r="AA201" s="8"/>
      <c r="AB201" s="8"/>
      <c r="AC201" s="8"/>
      <c r="AD201" s="8"/>
    </row>
    <row r="202">
      <c r="A202" s="169" t="s">
        <v>1175</v>
      </c>
      <c r="B202" s="169" t="s">
        <v>539</v>
      </c>
      <c r="C202" s="189" t="s">
        <v>2308</v>
      </c>
      <c r="D202" s="189" t="s">
        <v>2309</v>
      </c>
      <c r="E202" s="190" t="s">
        <v>2310</v>
      </c>
      <c r="F202" s="191" t="s">
        <v>2311</v>
      </c>
      <c r="G202" s="191" t="s">
        <v>2312</v>
      </c>
      <c r="H202" s="193" t="s">
        <v>2313</v>
      </c>
      <c r="I202" s="179" t="s">
        <v>1416</v>
      </c>
      <c r="J202" s="173" t="s">
        <v>16</v>
      </c>
      <c r="K202" s="174"/>
      <c r="L202" s="175"/>
      <c r="M202" s="8"/>
      <c r="N202" s="8"/>
      <c r="O202" s="8"/>
      <c r="P202" s="8"/>
      <c r="Q202" s="8"/>
      <c r="R202" s="8"/>
      <c r="S202" s="8"/>
      <c r="T202" s="8"/>
      <c r="U202" s="8"/>
      <c r="V202" s="8"/>
      <c r="W202" s="8"/>
      <c r="X202" s="8"/>
      <c r="Y202" s="8"/>
      <c r="Z202" s="8"/>
      <c r="AA202" s="8"/>
      <c r="AB202" s="8"/>
      <c r="AC202" s="8"/>
      <c r="AD202" s="8"/>
    </row>
    <row r="203">
      <c r="A203" s="169" t="s">
        <v>1178</v>
      </c>
      <c r="B203" s="169" t="s">
        <v>543</v>
      </c>
      <c r="C203" s="189" t="s">
        <v>2314</v>
      </c>
      <c r="D203" s="189" t="s">
        <v>2315</v>
      </c>
      <c r="E203" s="190" t="s">
        <v>2316</v>
      </c>
      <c r="F203" s="191" t="s">
        <v>2317</v>
      </c>
      <c r="G203" s="191" t="s">
        <v>2318</v>
      </c>
      <c r="H203" s="192" t="s">
        <v>2319</v>
      </c>
      <c r="I203" s="172" t="s">
        <v>1405</v>
      </c>
      <c r="J203" s="173" t="s">
        <v>16</v>
      </c>
      <c r="K203" s="174"/>
      <c r="L203" s="175"/>
      <c r="M203" s="8"/>
      <c r="N203" s="8"/>
      <c r="O203" s="8"/>
      <c r="P203" s="8"/>
      <c r="Q203" s="8"/>
      <c r="R203" s="8"/>
      <c r="S203" s="8"/>
      <c r="T203" s="8"/>
      <c r="U203" s="8"/>
      <c r="V203" s="8"/>
      <c r="W203" s="8"/>
      <c r="X203" s="8"/>
      <c r="Y203" s="8"/>
      <c r="Z203" s="8"/>
      <c r="AA203" s="8"/>
      <c r="AB203" s="8"/>
      <c r="AC203" s="8"/>
      <c r="AD203" s="8"/>
    </row>
    <row r="204">
      <c r="A204" s="169" t="s">
        <v>1180</v>
      </c>
      <c r="B204" s="169" t="s">
        <v>543</v>
      </c>
      <c r="C204" s="189" t="s">
        <v>2320</v>
      </c>
      <c r="D204" s="189" t="s">
        <v>2321</v>
      </c>
      <c r="E204" s="190" t="s">
        <v>2322</v>
      </c>
      <c r="F204" s="191" t="s">
        <v>2323</v>
      </c>
      <c r="G204" s="191" t="s">
        <v>2324</v>
      </c>
      <c r="H204" s="193" t="s">
        <v>2325</v>
      </c>
      <c r="I204" s="172" t="s">
        <v>1405</v>
      </c>
      <c r="J204" s="173" t="s">
        <v>16</v>
      </c>
      <c r="K204" s="174"/>
      <c r="L204" s="175"/>
      <c r="M204" s="8"/>
      <c r="N204" s="8"/>
      <c r="O204" s="8"/>
      <c r="P204" s="8"/>
      <c r="Q204" s="8"/>
      <c r="R204" s="8"/>
      <c r="S204" s="8"/>
      <c r="T204" s="8"/>
      <c r="U204" s="8"/>
      <c r="V204" s="8"/>
      <c r="W204" s="8"/>
      <c r="X204" s="8"/>
      <c r="Y204" s="8"/>
      <c r="Z204" s="8"/>
      <c r="AA204" s="8"/>
      <c r="AB204" s="8"/>
      <c r="AC204" s="8"/>
      <c r="AD204" s="8"/>
    </row>
    <row r="205">
      <c r="A205" s="169" t="s">
        <v>1183</v>
      </c>
      <c r="B205" s="169" t="s">
        <v>547</v>
      </c>
      <c r="C205" s="189" t="s">
        <v>2326</v>
      </c>
      <c r="D205" s="189" t="s">
        <v>2327</v>
      </c>
      <c r="E205" s="190" t="s">
        <v>2328</v>
      </c>
      <c r="F205" s="191" t="s">
        <v>2329</v>
      </c>
      <c r="G205" s="191" t="s">
        <v>2330</v>
      </c>
      <c r="H205" s="194" t="s">
        <v>2331</v>
      </c>
      <c r="I205" s="172" t="s">
        <v>1405</v>
      </c>
      <c r="J205" s="173" t="s">
        <v>16</v>
      </c>
      <c r="K205" s="174"/>
      <c r="L205" s="175"/>
      <c r="M205" s="8"/>
      <c r="N205" s="8"/>
      <c r="O205" s="8"/>
      <c r="P205" s="8"/>
      <c r="Q205" s="8"/>
      <c r="R205" s="8"/>
      <c r="S205" s="8"/>
      <c r="T205" s="8"/>
      <c r="U205" s="8"/>
      <c r="V205" s="8"/>
      <c r="W205" s="8"/>
      <c r="X205" s="8"/>
      <c r="Y205" s="8"/>
      <c r="Z205" s="8"/>
      <c r="AA205" s="8"/>
      <c r="AB205" s="8"/>
      <c r="AC205" s="8"/>
      <c r="AD205" s="8"/>
    </row>
    <row r="206">
      <c r="A206" s="169" t="s">
        <v>1185</v>
      </c>
      <c r="B206" s="169" t="s">
        <v>547</v>
      </c>
      <c r="C206" s="189" t="s">
        <v>2332</v>
      </c>
      <c r="D206" s="189" t="s">
        <v>2333</v>
      </c>
      <c r="E206" s="190" t="s">
        <v>2334</v>
      </c>
      <c r="F206" s="191" t="s">
        <v>2335</v>
      </c>
      <c r="G206" s="191" t="s">
        <v>2336</v>
      </c>
      <c r="H206" s="193" t="s">
        <v>2337</v>
      </c>
      <c r="I206" s="179" t="s">
        <v>1416</v>
      </c>
      <c r="J206" s="173" t="s">
        <v>16</v>
      </c>
      <c r="K206" s="174"/>
      <c r="L206" s="175"/>
      <c r="M206" s="8"/>
      <c r="N206" s="8"/>
      <c r="O206" s="8"/>
      <c r="P206" s="8"/>
      <c r="Q206" s="8"/>
      <c r="R206" s="8"/>
      <c r="S206" s="8"/>
      <c r="T206" s="8"/>
      <c r="U206" s="8"/>
      <c r="V206" s="8"/>
      <c r="W206" s="8"/>
      <c r="X206" s="8"/>
      <c r="Y206" s="8"/>
      <c r="Z206" s="8"/>
      <c r="AA206" s="8"/>
      <c r="AB206" s="8"/>
      <c r="AC206" s="8"/>
      <c r="AD206" s="8"/>
    </row>
    <row r="207">
      <c r="A207" s="169" t="s">
        <v>1188</v>
      </c>
      <c r="B207" s="169" t="s">
        <v>551</v>
      </c>
      <c r="C207" s="189" t="s">
        <v>2338</v>
      </c>
      <c r="D207" s="189" t="s">
        <v>2339</v>
      </c>
      <c r="E207" s="190" t="s">
        <v>2340</v>
      </c>
      <c r="F207" s="191" t="s">
        <v>2341</v>
      </c>
      <c r="G207" s="191" t="s">
        <v>2342</v>
      </c>
      <c r="H207" s="192" t="s">
        <v>2343</v>
      </c>
      <c r="I207" s="177" t="s">
        <v>1411</v>
      </c>
      <c r="J207" s="173" t="s">
        <v>16</v>
      </c>
      <c r="K207" s="174"/>
      <c r="L207" s="175"/>
      <c r="M207" s="8"/>
      <c r="N207" s="8"/>
      <c r="O207" s="8"/>
      <c r="P207" s="8"/>
      <c r="Q207" s="8"/>
      <c r="R207" s="8"/>
      <c r="S207" s="8"/>
      <c r="T207" s="8"/>
      <c r="U207" s="8"/>
      <c r="V207" s="8"/>
      <c r="W207" s="8"/>
      <c r="X207" s="8"/>
      <c r="Y207" s="8"/>
      <c r="Z207" s="8"/>
      <c r="AA207" s="8"/>
      <c r="AB207" s="8"/>
      <c r="AC207" s="8"/>
      <c r="AD207" s="8"/>
    </row>
    <row r="208">
      <c r="A208" s="169" t="s">
        <v>1190</v>
      </c>
      <c r="B208" s="169" t="s">
        <v>551</v>
      </c>
      <c r="C208" s="189" t="s">
        <v>2344</v>
      </c>
      <c r="D208" s="189" t="s">
        <v>2345</v>
      </c>
      <c r="E208" s="190" t="s">
        <v>2346</v>
      </c>
      <c r="F208" s="191" t="s">
        <v>2347</v>
      </c>
      <c r="G208" s="191" t="s">
        <v>2348</v>
      </c>
      <c r="H208" s="195" t="s">
        <v>2349</v>
      </c>
      <c r="I208" s="172" t="s">
        <v>1405</v>
      </c>
      <c r="J208" s="173" t="s">
        <v>16</v>
      </c>
      <c r="K208" s="174"/>
      <c r="L208" s="175"/>
      <c r="M208" s="8"/>
      <c r="N208" s="8"/>
      <c r="O208" s="8"/>
      <c r="P208" s="8"/>
      <c r="Q208" s="8"/>
      <c r="R208" s="8"/>
      <c r="S208" s="8"/>
      <c r="T208" s="8"/>
      <c r="U208" s="8"/>
      <c r="V208" s="8"/>
      <c r="W208" s="8"/>
      <c r="X208" s="8"/>
      <c r="Y208" s="8"/>
      <c r="Z208" s="8"/>
      <c r="AA208" s="8"/>
      <c r="AB208" s="8"/>
      <c r="AC208" s="8"/>
      <c r="AD208" s="8"/>
    </row>
    <row r="209">
      <c r="A209" s="169" t="s">
        <v>1192</v>
      </c>
      <c r="B209" s="169" t="s">
        <v>551</v>
      </c>
      <c r="C209" s="189" t="s">
        <v>2350</v>
      </c>
      <c r="D209" s="189" t="s">
        <v>2351</v>
      </c>
      <c r="E209" s="190" t="s">
        <v>2352</v>
      </c>
      <c r="F209" s="191" t="s">
        <v>2353</v>
      </c>
      <c r="G209" s="191" t="s">
        <v>2354</v>
      </c>
      <c r="H209" s="194" t="s">
        <v>2355</v>
      </c>
      <c r="I209" s="179" t="s">
        <v>1416</v>
      </c>
      <c r="J209" s="173" t="s">
        <v>16</v>
      </c>
      <c r="K209" s="174"/>
      <c r="L209" s="175"/>
      <c r="M209" s="8"/>
      <c r="N209" s="8"/>
      <c r="O209" s="8"/>
      <c r="P209" s="8"/>
      <c r="Q209" s="8"/>
      <c r="R209" s="8"/>
      <c r="S209" s="8"/>
      <c r="T209" s="8"/>
      <c r="U209" s="8"/>
      <c r="V209" s="8"/>
      <c r="W209" s="8"/>
      <c r="X209" s="8"/>
      <c r="Y209" s="8"/>
      <c r="Z209" s="8"/>
      <c r="AA209" s="8"/>
      <c r="AB209" s="8"/>
      <c r="AC209" s="8"/>
      <c r="AD209" s="8"/>
    </row>
    <row r="210">
      <c r="A210" s="169" t="s">
        <v>1195</v>
      </c>
      <c r="B210" s="169" t="s">
        <v>555</v>
      </c>
      <c r="C210" s="189" t="s">
        <v>2356</v>
      </c>
      <c r="D210" s="189" t="s">
        <v>2357</v>
      </c>
      <c r="E210" s="190" t="s">
        <v>2358</v>
      </c>
      <c r="F210" s="191" t="s">
        <v>2359</v>
      </c>
      <c r="G210" s="191" t="s">
        <v>2360</v>
      </c>
      <c r="H210" s="195" t="s">
        <v>2361</v>
      </c>
      <c r="I210" s="172" t="s">
        <v>1405</v>
      </c>
      <c r="J210" s="173" t="s">
        <v>16</v>
      </c>
      <c r="K210" s="174"/>
      <c r="L210" s="175"/>
      <c r="M210" s="8"/>
      <c r="N210" s="8"/>
      <c r="O210" s="8"/>
      <c r="P210" s="8"/>
      <c r="Q210" s="8"/>
      <c r="R210" s="8"/>
      <c r="S210" s="8"/>
      <c r="T210" s="8"/>
      <c r="U210" s="8"/>
      <c r="V210" s="8"/>
      <c r="W210" s="8"/>
      <c r="X210" s="8"/>
      <c r="Y210" s="8"/>
      <c r="Z210" s="8"/>
      <c r="AA210" s="8"/>
      <c r="AB210" s="8"/>
      <c r="AC210" s="8"/>
      <c r="AD210" s="8"/>
    </row>
    <row r="211">
      <c r="A211" s="169" t="s">
        <v>1197</v>
      </c>
      <c r="B211" s="169" t="s">
        <v>555</v>
      </c>
      <c r="C211" s="189" t="s">
        <v>2362</v>
      </c>
      <c r="D211" s="189" t="s">
        <v>2363</v>
      </c>
      <c r="E211" s="190" t="s">
        <v>2364</v>
      </c>
      <c r="F211" s="191" t="s">
        <v>2365</v>
      </c>
      <c r="G211" s="191" t="s">
        <v>2366</v>
      </c>
      <c r="H211" s="194" t="s">
        <v>2367</v>
      </c>
      <c r="I211" s="179" t="s">
        <v>1416</v>
      </c>
      <c r="J211" s="173" t="s">
        <v>16</v>
      </c>
      <c r="K211" s="174"/>
      <c r="L211" s="175"/>
      <c r="M211" s="8"/>
      <c r="N211" s="8"/>
      <c r="O211" s="8"/>
      <c r="P211" s="8"/>
      <c r="Q211" s="8"/>
      <c r="R211" s="8"/>
      <c r="S211" s="8"/>
      <c r="T211" s="8"/>
      <c r="U211" s="8"/>
      <c r="V211" s="8"/>
      <c r="W211" s="8"/>
      <c r="X211" s="8"/>
      <c r="Y211" s="8"/>
      <c r="Z211" s="8"/>
      <c r="AA211" s="8"/>
      <c r="AB211" s="8"/>
      <c r="AC211" s="8"/>
      <c r="AD211" s="8"/>
    </row>
    <row r="212">
      <c r="A212" s="169" t="s">
        <v>1199</v>
      </c>
      <c r="B212" s="169" t="s">
        <v>561</v>
      </c>
      <c r="C212" s="189" t="s">
        <v>2368</v>
      </c>
      <c r="D212" s="189" t="s">
        <v>2369</v>
      </c>
      <c r="E212" s="196" t="s">
        <v>2370</v>
      </c>
      <c r="F212" s="191" t="s">
        <v>2259</v>
      </c>
      <c r="G212" s="191" t="s">
        <v>2371</v>
      </c>
      <c r="H212" s="192" t="s">
        <v>2372</v>
      </c>
      <c r="I212" s="172" t="s">
        <v>1405</v>
      </c>
      <c r="J212" s="173" t="s">
        <v>16</v>
      </c>
      <c r="K212" s="174"/>
      <c r="L212" s="175"/>
      <c r="M212" s="8"/>
      <c r="N212" s="8"/>
      <c r="O212" s="8"/>
      <c r="P212" s="8"/>
      <c r="Q212" s="8"/>
      <c r="R212" s="8"/>
      <c r="S212" s="8"/>
      <c r="T212" s="8"/>
      <c r="U212" s="8"/>
      <c r="V212" s="8"/>
      <c r="W212" s="8"/>
      <c r="X212" s="8"/>
      <c r="Y212" s="8"/>
      <c r="Z212" s="8"/>
      <c r="AA212" s="8"/>
      <c r="AB212" s="8"/>
      <c r="AC212" s="8"/>
      <c r="AD212" s="8"/>
    </row>
    <row r="213">
      <c r="A213" s="169" t="s">
        <v>1201</v>
      </c>
      <c r="B213" s="169" t="s">
        <v>561</v>
      </c>
      <c r="C213" s="189" t="s">
        <v>2373</v>
      </c>
      <c r="D213" s="189" t="s">
        <v>2374</v>
      </c>
      <c r="E213" s="196" t="s">
        <v>2375</v>
      </c>
      <c r="F213" s="191" t="s">
        <v>2376</v>
      </c>
      <c r="G213" s="191" t="s">
        <v>2377</v>
      </c>
      <c r="H213" s="193" t="s">
        <v>2378</v>
      </c>
      <c r="I213" s="179" t="s">
        <v>1416</v>
      </c>
      <c r="J213" s="173" t="s">
        <v>16</v>
      </c>
      <c r="K213" s="174"/>
      <c r="L213" s="175"/>
      <c r="M213" s="8"/>
      <c r="N213" s="8"/>
      <c r="O213" s="8"/>
      <c r="P213" s="8"/>
      <c r="Q213" s="8"/>
      <c r="R213" s="8"/>
      <c r="S213" s="8"/>
      <c r="T213" s="8"/>
      <c r="U213" s="8"/>
      <c r="V213" s="8"/>
      <c r="W213" s="8"/>
      <c r="X213" s="8"/>
      <c r="Y213" s="8"/>
      <c r="Z213" s="8"/>
      <c r="AA213" s="8"/>
      <c r="AB213" s="8"/>
      <c r="AC213" s="8"/>
      <c r="AD213" s="8"/>
    </row>
    <row r="214">
      <c r="A214" s="169" t="s">
        <v>1204</v>
      </c>
      <c r="B214" s="169" t="s">
        <v>565</v>
      </c>
      <c r="C214" s="189" t="s">
        <v>2379</v>
      </c>
      <c r="D214" s="189" t="s">
        <v>2380</v>
      </c>
      <c r="E214" s="196" t="s">
        <v>2381</v>
      </c>
      <c r="F214" s="191" t="s">
        <v>2382</v>
      </c>
      <c r="G214" s="191" t="s">
        <v>2383</v>
      </c>
      <c r="H214" s="192" t="s">
        <v>2384</v>
      </c>
      <c r="I214" s="172" t="s">
        <v>1405</v>
      </c>
      <c r="J214" s="173" t="s">
        <v>16</v>
      </c>
      <c r="K214" s="174"/>
      <c r="L214" s="175"/>
      <c r="M214" s="8"/>
      <c r="N214" s="8"/>
      <c r="O214" s="8"/>
      <c r="P214" s="8"/>
      <c r="Q214" s="8"/>
      <c r="R214" s="8"/>
      <c r="S214" s="8"/>
      <c r="T214" s="8"/>
      <c r="U214" s="8"/>
      <c r="V214" s="8"/>
      <c r="W214" s="8"/>
      <c r="X214" s="8"/>
      <c r="Y214" s="8"/>
      <c r="Z214" s="8"/>
      <c r="AA214" s="8"/>
      <c r="AB214" s="8"/>
      <c r="AC214" s="8"/>
      <c r="AD214" s="8"/>
    </row>
    <row r="215">
      <c r="A215" s="169" t="s">
        <v>1206</v>
      </c>
      <c r="B215" s="169" t="s">
        <v>565</v>
      </c>
      <c r="C215" s="189" t="s">
        <v>2385</v>
      </c>
      <c r="D215" s="189" t="s">
        <v>2386</v>
      </c>
      <c r="E215" s="196" t="s">
        <v>2387</v>
      </c>
      <c r="F215" s="191" t="s">
        <v>2276</v>
      </c>
      <c r="G215" s="191" t="s">
        <v>2388</v>
      </c>
      <c r="H215" s="195" t="s">
        <v>2389</v>
      </c>
      <c r="I215" s="177" t="s">
        <v>1411</v>
      </c>
      <c r="J215" s="173" t="s">
        <v>16</v>
      </c>
      <c r="K215" s="174"/>
      <c r="L215" s="175"/>
      <c r="M215" s="8"/>
      <c r="N215" s="8"/>
      <c r="O215" s="8"/>
      <c r="P215" s="8"/>
      <c r="Q215" s="8"/>
      <c r="R215" s="8"/>
      <c r="S215" s="8"/>
      <c r="T215" s="8"/>
      <c r="U215" s="8"/>
      <c r="V215" s="8"/>
      <c r="W215" s="8"/>
      <c r="X215" s="8"/>
      <c r="Y215" s="8"/>
      <c r="Z215" s="8"/>
      <c r="AA215" s="8"/>
      <c r="AB215" s="8"/>
      <c r="AC215" s="8"/>
      <c r="AD215" s="8"/>
    </row>
    <row r="216">
      <c r="A216" s="169" t="s">
        <v>1208</v>
      </c>
      <c r="B216" s="169" t="s">
        <v>565</v>
      </c>
      <c r="C216" s="189" t="s">
        <v>2390</v>
      </c>
      <c r="D216" s="189" t="s">
        <v>2391</v>
      </c>
      <c r="E216" s="196" t="s">
        <v>2392</v>
      </c>
      <c r="F216" s="191" t="s">
        <v>2393</v>
      </c>
      <c r="G216" s="191" t="s">
        <v>2394</v>
      </c>
      <c r="H216" s="192" t="s">
        <v>2395</v>
      </c>
      <c r="I216" s="179" t="s">
        <v>1416</v>
      </c>
      <c r="J216" s="173" t="s">
        <v>16</v>
      </c>
      <c r="K216" s="174"/>
      <c r="L216" s="175"/>
      <c r="M216" s="8"/>
      <c r="N216" s="8"/>
      <c r="O216" s="8"/>
      <c r="P216" s="8"/>
      <c r="Q216" s="8"/>
      <c r="R216" s="8"/>
      <c r="S216" s="8"/>
      <c r="T216" s="8"/>
      <c r="U216" s="8"/>
      <c r="V216" s="8"/>
      <c r="W216" s="8"/>
      <c r="X216" s="8"/>
      <c r="Y216" s="8"/>
      <c r="Z216" s="8"/>
      <c r="AA216" s="8"/>
      <c r="AB216" s="8"/>
      <c r="AC216" s="8"/>
      <c r="AD216" s="8"/>
    </row>
    <row r="217">
      <c r="A217" s="169" t="s">
        <v>1211</v>
      </c>
      <c r="B217" s="169" t="s">
        <v>569</v>
      </c>
      <c r="C217" s="189" t="s">
        <v>2396</v>
      </c>
      <c r="D217" s="189" t="s">
        <v>2397</v>
      </c>
      <c r="E217" s="196" t="s">
        <v>2398</v>
      </c>
      <c r="F217" s="191" t="s">
        <v>2399</v>
      </c>
      <c r="G217" s="191" t="s">
        <v>2400</v>
      </c>
      <c r="H217" s="195" t="s">
        <v>2401</v>
      </c>
      <c r="I217" s="172" t="s">
        <v>1405</v>
      </c>
      <c r="J217" s="173" t="s">
        <v>16</v>
      </c>
      <c r="K217" s="174"/>
      <c r="L217" s="175"/>
      <c r="M217" s="8"/>
      <c r="N217" s="8"/>
      <c r="O217" s="8"/>
      <c r="P217" s="8"/>
      <c r="Q217" s="8"/>
      <c r="R217" s="8"/>
      <c r="S217" s="8"/>
      <c r="T217" s="8"/>
      <c r="U217" s="8"/>
      <c r="V217" s="8"/>
      <c r="W217" s="8"/>
      <c r="X217" s="8"/>
      <c r="Y217" s="8"/>
      <c r="Z217" s="8"/>
      <c r="AA217" s="8"/>
      <c r="AB217" s="8"/>
      <c r="AC217" s="8"/>
      <c r="AD217" s="8"/>
    </row>
    <row r="218">
      <c r="A218" s="169" t="s">
        <v>1213</v>
      </c>
      <c r="B218" s="169" t="s">
        <v>569</v>
      </c>
      <c r="C218" s="189" t="s">
        <v>2402</v>
      </c>
      <c r="D218" s="189" t="s">
        <v>2403</v>
      </c>
      <c r="E218" s="196" t="s">
        <v>2404</v>
      </c>
      <c r="F218" s="191" t="s">
        <v>2276</v>
      </c>
      <c r="G218" s="191" t="s">
        <v>2405</v>
      </c>
      <c r="H218" s="192" t="s">
        <v>2406</v>
      </c>
      <c r="I218" s="177" t="s">
        <v>1411</v>
      </c>
      <c r="J218" s="173" t="s">
        <v>16</v>
      </c>
      <c r="K218" s="174"/>
      <c r="L218" s="175"/>
      <c r="M218" s="8"/>
      <c r="N218" s="8"/>
      <c r="O218" s="8"/>
      <c r="P218" s="8"/>
      <c r="Q218" s="8"/>
      <c r="R218" s="8"/>
      <c r="S218" s="8"/>
      <c r="T218" s="8"/>
      <c r="U218" s="8"/>
      <c r="V218" s="8"/>
      <c r="W218" s="8"/>
      <c r="X218" s="8"/>
      <c r="Y218" s="8"/>
      <c r="Z218" s="8"/>
      <c r="AA218" s="8"/>
      <c r="AB218" s="8"/>
      <c r="AC218" s="8"/>
      <c r="AD218" s="8"/>
    </row>
    <row r="219">
      <c r="A219" s="169" t="s">
        <v>1215</v>
      </c>
      <c r="B219" s="169" t="s">
        <v>569</v>
      </c>
      <c r="C219" s="189" t="s">
        <v>2407</v>
      </c>
      <c r="D219" s="189" t="s">
        <v>2408</v>
      </c>
      <c r="E219" s="196" t="s">
        <v>2409</v>
      </c>
      <c r="F219" s="191" t="s">
        <v>2410</v>
      </c>
      <c r="G219" s="191" t="s">
        <v>2411</v>
      </c>
      <c r="H219" s="195" t="s">
        <v>2412</v>
      </c>
      <c r="I219" s="172" t="s">
        <v>1405</v>
      </c>
      <c r="J219" s="173" t="s">
        <v>16</v>
      </c>
      <c r="K219" s="174"/>
      <c r="L219" s="175"/>
      <c r="M219" s="8"/>
      <c r="N219" s="8"/>
      <c r="O219" s="8"/>
      <c r="P219" s="8"/>
      <c r="Q219" s="8"/>
      <c r="R219" s="8"/>
      <c r="S219" s="8"/>
      <c r="T219" s="8"/>
      <c r="U219" s="8"/>
      <c r="V219" s="8"/>
      <c r="W219" s="8"/>
      <c r="X219" s="8"/>
      <c r="Y219" s="8"/>
      <c r="Z219" s="8"/>
      <c r="AA219" s="8"/>
      <c r="AB219" s="8"/>
      <c r="AC219" s="8"/>
      <c r="AD219" s="8"/>
    </row>
    <row r="220">
      <c r="A220" s="169" t="s">
        <v>1218</v>
      </c>
      <c r="B220" s="169" t="s">
        <v>573</v>
      </c>
      <c r="C220" s="189" t="s">
        <v>2413</v>
      </c>
      <c r="D220" s="189" t="s">
        <v>2414</v>
      </c>
      <c r="E220" s="196" t="s">
        <v>2415</v>
      </c>
      <c r="F220" s="191" t="s">
        <v>2416</v>
      </c>
      <c r="G220" s="191" t="s">
        <v>2417</v>
      </c>
      <c r="H220" s="194" t="s">
        <v>2418</v>
      </c>
      <c r="I220" s="172" t="s">
        <v>1405</v>
      </c>
      <c r="J220" s="173" t="s">
        <v>16</v>
      </c>
      <c r="K220" s="174"/>
      <c r="L220" s="175"/>
      <c r="M220" s="8"/>
      <c r="N220" s="8"/>
      <c r="O220" s="8"/>
      <c r="P220" s="8"/>
      <c r="Q220" s="8"/>
      <c r="R220" s="8"/>
      <c r="S220" s="8"/>
      <c r="T220" s="8"/>
      <c r="U220" s="8"/>
      <c r="V220" s="8"/>
      <c r="W220" s="8"/>
      <c r="X220" s="8"/>
      <c r="Y220" s="8"/>
      <c r="Z220" s="8"/>
      <c r="AA220" s="8"/>
      <c r="AB220" s="8"/>
      <c r="AC220" s="8"/>
      <c r="AD220" s="8"/>
    </row>
    <row r="221">
      <c r="A221" s="169" t="s">
        <v>1220</v>
      </c>
      <c r="B221" s="169" t="s">
        <v>573</v>
      </c>
      <c r="C221" s="189" t="s">
        <v>2419</v>
      </c>
      <c r="D221" s="189" t="s">
        <v>2420</v>
      </c>
      <c r="E221" s="196" t="s">
        <v>2421</v>
      </c>
      <c r="F221" s="191" t="s">
        <v>2422</v>
      </c>
      <c r="G221" s="191" t="s">
        <v>2423</v>
      </c>
      <c r="H221" s="195" t="s">
        <v>2423</v>
      </c>
      <c r="I221" s="179" t="s">
        <v>1416</v>
      </c>
      <c r="J221" s="173" t="s">
        <v>16</v>
      </c>
      <c r="K221" s="174"/>
      <c r="L221" s="175"/>
      <c r="M221" s="8"/>
      <c r="N221" s="8"/>
      <c r="O221" s="8"/>
      <c r="P221" s="8"/>
      <c r="Q221" s="8"/>
      <c r="R221" s="8"/>
      <c r="S221" s="8"/>
      <c r="T221" s="8"/>
      <c r="U221" s="8"/>
      <c r="V221" s="8"/>
      <c r="W221" s="8"/>
      <c r="X221" s="8"/>
      <c r="Y221" s="8"/>
      <c r="Z221" s="8"/>
      <c r="AA221" s="8"/>
      <c r="AB221" s="8"/>
      <c r="AC221" s="8"/>
      <c r="AD221" s="8"/>
    </row>
    <row r="222">
      <c r="A222" s="169" t="s">
        <v>1223</v>
      </c>
      <c r="B222" s="169" t="s">
        <v>577</v>
      </c>
      <c r="C222" s="189" t="s">
        <v>2424</v>
      </c>
      <c r="D222" s="189" t="s">
        <v>2425</v>
      </c>
      <c r="E222" s="196" t="s">
        <v>2426</v>
      </c>
      <c r="F222" s="191" t="s">
        <v>2427</v>
      </c>
      <c r="G222" s="191" t="s">
        <v>2428</v>
      </c>
      <c r="H222" s="192" t="s">
        <v>2429</v>
      </c>
      <c r="I222" s="172" t="s">
        <v>1405</v>
      </c>
      <c r="J222" s="173" t="s">
        <v>16</v>
      </c>
      <c r="K222" s="174"/>
      <c r="L222" s="175"/>
      <c r="M222" s="8"/>
      <c r="N222" s="8"/>
      <c r="O222" s="8"/>
      <c r="P222" s="8"/>
      <c r="Q222" s="8"/>
      <c r="R222" s="8"/>
      <c r="S222" s="8"/>
      <c r="T222" s="8"/>
      <c r="U222" s="8"/>
      <c r="V222" s="8"/>
      <c r="W222" s="8"/>
      <c r="X222" s="8"/>
      <c r="Y222" s="8"/>
      <c r="Z222" s="8"/>
      <c r="AA222" s="8"/>
      <c r="AB222" s="8"/>
      <c r="AC222" s="8"/>
      <c r="AD222" s="8"/>
    </row>
    <row r="223">
      <c r="A223" s="169" t="s">
        <v>1225</v>
      </c>
      <c r="B223" s="169" t="s">
        <v>577</v>
      </c>
      <c r="C223" s="189" t="s">
        <v>2430</v>
      </c>
      <c r="D223" s="189" t="s">
        <v>2431</v>
      </c>
      <c r="E223" s="196" t="s">
        <v>2432</v>
      </c>
      <c r="F223" s="191" t="s">
        <v>2433</v>
      </c>
      <c r="G223" s="191" t="s">
        <v>2434</v>
      </c>
      <c r="H223" s="193" t="s">
        <v>2435</v>
      </c>
      <c r="I223" s="177" t="s">
        <v>1411</v>
      </c>
      <c r="J223" s="173" t="s">
        <v>16</v>
      </c>
      <c r="K223" s="174"/>
      <c r="L223" s="175"/>
      <c r="M223" s="8"/>
      <c r="N223" s="8"/>
      <c r="O223" s="8"/>
      <c r="P223" s="8"/>
      <c r="Q223" s="8"/>
      <c r="R223" s="8"/>
      <c r="S223" s="8"/>
      <c r="T223" s="8"/>
      <c r="U223" s="8"/>
      <c r="V223" s="8"/>
      <c r="W223" s="8"/>
      <c r="X223" s="8"/>
      <c r="Y223" s="8"/>
      <c r="Z223" s="8"/>
      <c r="AA223" s="8"/>
      <c r="AB223" s="8"/>
      <c r="AC223" s="8"/>
      <c r="AD223" s="8"/>
    </row>
    <row r="224">
      <c r="A224" s="169" t="s">
        <v>1228</v>
      </c>
      <c r="B224" s="169" t="s">
        <v>581</v>
      </c>
      <c r="C224" s="189" t="s">
        <v>2436</v>
      </c>
      <c r="D224" s="189" t="s">
        <v>2437</v>
      </c>
      <c r="E224" s="196" t="s">
        <v>2438</v>
      </c>
      <c r="F224" s="191" t="s">
        <v>2439</v>
      </c>
      <c r="G224" s="191" t="s">
        <v>2440</v>
      </c>
      <c r="H224" s="192" t="s">
        <v>2440</v>
      </c>
      <c r="I224" s="172" t="s">
        <v>1405</v>
      </c>
      <c r="J224" s="173" t="s">
        <v>16</v>
      </c>
      <c r="K224" s="174"/>
      <c r="L224" s="175"/>
      <c r="M224" s="8"/>
      <c r="N224" s="8"/>
      <c r="O224" s="8"/>
      <c r="P224" s="8"/>
      <c r="Q224" s="8"/>
      <c r="R224" s="8"/>
      <c r="S224" s="8"/>
      <c r="T224" s="8"/>
      <c r="U224" s="8"/>
      <c r="V224" s="8"/>
      <c r="W224" s="8"/>
      <c r="X224" s="8"/>
      <c r="Y224" s="8"/>
      <c r="Z224" s="8"/>
      <c r="AA224" s="8"/>
      <c r="AB224" s="8"/>
      <c r="AC224" s="8"/>
      <c r="AD224" s="8"/>
    </row>
    <row r="225">
      <c r="A225" s="169" t="s">
        <v>1230</v>
      </c>
      <c r="B225" s="169" t="s">
        <v>581</v>
      </c>
      <c r="C225" s="189" t="s">
        <v>2441</v>
      </c>
      <c r="D225" s="189" t="s">
        <v>2442</v>
      </c>
      <c r="E225" s="196" t="s">
        <v>2443</v>
      </c>
      <c r="F225" s="191" t="s">
        <v>2444</v>
      </c>
      <c r="G225" s="191" t="s">
        <v>2445</v>
      </c>
      <c r="H225" s="195" t="s">
        <v>2446</v>
      </c>
      <c r="I225" s="177" t="s">
        <v>1411</v>
      </c>
      <c r="J225" s="173" t="s">
        <v>16</v>
      </c>
      <c r="K225" s="174"/>
      <c r="L225" s="175"/>
      <c r="M225" s="8"/>
      <c r="N225" s="8"/>
      <c r="O225" s="8"/>
      <c r="P225" s="8"/>
      <c r="Q225" s="8"/>
      <c r="R225" s="8"/>
      <c r="S225" s="8"/>
      <c r="T225" s="8"/>
      <c r="U225" s="8"/>
      <c r="V225" s="8"/>
      <c r="W225" s="8"/>
      <c r="X225" s="8"/>
      <c r="Y225" s="8"/>
      <c r="Z225" s="8"/>
      <c r="AA225" s="8"/>
      <c r="AB225" s="8"/>
      <c r="AC225" s="8"/>
      <c r="AD225" s="8"/>
    </row>
    <row r="226">
      <c r="A226" s="169" t="s">
        <v>1233</v>
      </c>
      <c r="B226" s="169" t="s">
        <v>585</v>
      </c>
      <c r="C226" s="189" t="s">
        <v>2447</v>
      </c>
      <c r="D226" s="189" t="s">
        <v>2448</v>
      </c>
      <c r="E226" s="196" t="s">
        <v>2449</v>
      </c>
      <c r="F226" s="191" t="s">
        <v>2450</v>
      </c>
      <c r="G226" s="191" t="s">
        <v>2451</v>
      </c>
      <c r="H226" s="192" t="s">
        <v>2452</v>
      </c>
      <c r="I226" s="172" t="s">
        <v>1405</v>
      </c>
      <c r="J226" s="173" t="s">
        <v>16</v>
      </c>
      <c r="K226" s="174"/>
      <c r="L226" s="175"/>
      <c r="M226" s="8"/>
      <c r="N226" s="8"/>
      <c r="O226" s="8"/>
      <c r="P226" s="8"/>
      <c r="Q226" s="8"/>
      <c r="R226" s="8"/>
      <c r="S226" s="8"/>
      <c r="T226" s="8"/>
      <c r="U226" s="8"/>
      <c r="V226" s="8"/>
      <c r="W226" s="8"/>
      <c r="X226" s="8"/>
      <c r="Y226" s="8"/>
      <c r="Z226" s="8"/>
      <c r="AA226" s="8"/>
      <c r="AB226" s="8"/>
      <c r="AC226" s="8"/>
      <c r="AD226" s="8"/>
    </row>
    <row r="227">
      <c r="A227" s="169" t="s">
        <v>1235</v>
      </c>
      <c r="B227" s="169" t="s">
        <v>585</v>
      </c>
      <c r="C227" s="189" t="s">
        <v>2453</v>
      </c>
      <c r="D227" s="189" t="s">
        <v>2454</v>
      </c>
      <c r="E227" s="196" t="s">
        <v>2455</v>
      </c>
      <c r="F227" s="191" t="s">
        <v>2450</v>
      </c>
      <c r="G227" s="191" t="s">
        <v>2456</v>
      </c>
      <c r="H227" s="195" t="s">
        <v>2457</v>
      </c>
      <c r="I227" s="172" t="s">
        <v>1405</v>
      </c>
      <c r="J227" s="173" t="s">
        <v>16</v>
      </c>
      <c r="K227" s="174"/>
      <c r="L227" s="175"/>
      <c r="M227" s="8"/>
      <c r="N227" s="8"/>
      <c r="O227" s="8"/>
      <c r="P227" s="8"/>
      <c r="Q227" s="8"/>
      <c r="R227" s="8"/>
      <c r="S227" s="8"/>
      <c r="T227" s="8"/>
      <c r="U227" s="8"/>
      <c r="V227" s="8"/>
      <c r="W227" s="8"/>
      <c r="X227" s="8"/>
      <c r="Y227" s="8"/>
      <c r="Z227" s="8"/>
      <c r="AA227" s="8"/>
      <c r="AB227" s="8"/>
      <c r="AC227" s="8"/>
      <c r="AD227" s="8"/>
    </row>
    <row r="228">
      <c r="A228" s="169" t="s">
        <v>1238</v>
      </c>
      <c r="B228" s="169" t="s">
        <v>589</v>
      </c>
      <c r="C228" s="189" t="s">
        <v>2458</v>
      </c>
      <c r="D228" s="189" t="s">
        <v>2357</v>
      </c>
      <c r="E228" s="196" t="s">
        <v>2459</v>
      </c>
      <c r="F228" s="191" t="s">
        <v>2460</v>
      </c>
      <c r="G228" s="191" t="s">
        <v>2461</v>
      </c>
      <c r="H228" s="192" t="s">
        <v>2462</v>
      </c>
      <c r="I228" s="177" t="s">
        <v>1411</v>
      </c>
      <c r="J228" s="173" t="s">
        <v>16</v>
      </c>
      <c r="K228" s="174"/>
      <c r="L228" s="175"/>
      <c r="M228" s="8"/>
      <c r="N228" s="8"/>
      <c r="O228" s="8"/>
      <c r="P228" s="8"/>
      <c r="Q228" s="8"/>
      <c r="R228" s="8"/>
      <c r="S228" s="8"/>
      <c r="T228" s="8"/>
      <c r="U228" s="8"/>
      <c r="V228" s="8"/>
      <c r="W228" s="8"/>
      <c r="X228" s="8"/>
      <c r="Y228" s="8"/>
      <c r="Z228" s="8"/>
      <c r="AA228" s="8"/>
      <c r="AB228" s="8"/>
      <c r="AC228" s="8"/>
      <c r="AD228" s="8"/>
    </row>
    <row r="229">
      <c r="A229" s="169" t="s">
        <v>1240</v>
      </c>
      <c r="B229" s="169" t="s">
        <v>589</v>
      </c>
      <c r="C229" s="189" t="s">
        <v>2463</v>
      </c>
      <c r="D229" s="189" t="s">
        <v>2464</v>
      </c>
      <c r="E229" s="196" t="s">
        <v>2465</v>
      </c>
      <c r="F229" s="191" t="s">
        <v>2460</v>
      </c>
      <c r="G229" s="191" t="s">
        <v>2466</v>
      </c>
      <c r="H229" s="195" t="s">
        <v>2467</v>
      </c>
      <c r="I229" s="177" t="s">
        <v>1411</v>
      </c>
      <c r="J229" s="173" t="s">
        <v>16</v>
      </c>
      <c r="K229" s="174"/>
      <c r="L229" s="175"/>
      <c r="M229" s="8"/>
      <c r="N229" s="8"/>
      <c r="O229" s="8"/>
      <c r="P229" s="8"/>
      <c r="Q229" s="8"/>
      <c r="R229" s="8"/>
      <c r="S229" s="8"/>
      <c r="T229" s="8"/>
      <c r="U229" s="8"/>
      <c r="V229" s="8"/>
      <c r="W229" s="8"/>
      <c r="X229" s="8"/>
      <c r="Y229" s="8"/>
      <c r="Z229" s="8"/>
      <c r="AA229" s="8"/>
      <c r="AB229" s="8"/>
      <c r="AC229" s="8"/>
      <c r="AD229" s="8"/>
    </row>
    <row r="230">
      <c r="A230" s="169" t="s">
        <v>1242</v>
      </c>
      <c r="B230" s="169" t="s">
        <v>589</v>
      </c>
      <c r="C230" s="189" t="s">
        <v>2468</v>
      </c>
      <c r="D230" s="189" t="s">
        <v>2469</v>
      </c>
      <c r="E230" s="196" t="s">
        <v>2470</v>
      </c>
      <c r="F230" s="191" t="s">
        <v>2471</v>
      </c>
      <c r="G230" s="191" t="s">
        <v>2472</v>
      </c>
      <c r="H230" s="192" t="s">
        <v>2472</v>
      </c>
      <c r="I230" s="172" t="s">
        <v>1405</v>
      </c>
      <c r="J230" s="173" t="s">
        <v>16</v>
      </c>
      <c r="K230" s="174"/>
      <c r="L230" s="175"/>
      <c r="M230" s="8"/>
      <c r="N230" s="8"/>
      <c r="O230" s="8"/>
      <c r="P230" s="8"/>
      <c r="Q230" s="8"/>
      <c r="R230" s="8"/>
      <c r="S230" s="8"/>
      <c r="T230" s="8"/>
      <c r="U230" s="8"/>
      <c r="V230" s="8"/>
      <c r="W230" s="8"/>
      <c r="X230" s="8"/>
      <c r="Y230" s="8"/>
      <c r="Z230" s="8"/>
      <c r="AA230" s="8"/>
      <c r="AB230" s="8"/>
      <c r="AC230" s="8"/>
      <c r="AD230" s="8"/>
    </row>
    <row r="231">
      <c r="A231" s="169" t="s">
        <v>1245</v>
      </c>
      <c r="B231" s="169" t="s">
        <v>595</v>
      </c>
      <c r="C231" s="170" t="s">
        <v>1246</v>
      </c>
      <c r="D231" s="170" t="s">
        <v>2473</v>
      </c>
      <c r="E231" s="171" t="s">
        <v>2474</v>
      </c>
      <c r="F231" s="171" t="s">
        <v>2475</v>
      </c>
      <c r="G231" s="170" t="s">
        <v>2476</v>
      </c>
      <c r="H231" s="170" t="s">
        <v>2476</v>
      </c>
      <c r="I231" s="172" t="s">
        <v>1405</v>
      </c>
      <c r="J231" s="173" t="s">
        <v>16</v>
      </c>
      <c r="K231" s="174"/>
      <c r="L231" s="175"/>
      <c r="M231" s="8"/>
      <c r="N231" s="8"/>
      <c r="O231" s="8"/>
      <c r="P231" s="8"/>
      <c r="Q231" s="8"/>
      <c r="R231" s="8"/>
      <c r="S231" s="8"/>
      <c r="T231" s="8"/>
      <c r="U231" s="8"/>
      <c r="V231" s="8"/>
      <c r="W231" s="8"/>
      <c r="X231" s="8"/>
      <c r="Y231" s="8"/>
      <c r="Z231" s="8"/>
      <c r="AA231" s="8"/>
      <c r="AB231" s="8"/>
      <c r="AC231" s="8"/>
      <c r="AD231" s="8"/>
    </row>
    <row r="232">
      <c r="A232" s="169" t="s">
        <v>1247</v>
      </c>
      <c r="B232" s="169" t="s">
        <v>595</v>
      </c>
      <c r="C232" s="170" t="s">
        <v>1248</v>
      </c>
      <c r="D232" s="170" t="s">
        <v>2477</v>
      </c>
      <c r="E232" s="176" t="s">
        <v>2478</v>
      </c>
      <c r="F232" s="176" t="s">
        <v>2479</v>
      </c>
      <c r="G232" s="170" t="s">
        <v>2480</v>
      </c>
      <c r="H232" s="170" t="s">
        <v>2481</v>
      </c>
      <c r="I232" s="179" t="s">
        <v>1416</v>
      </c>
      <c r="J232" s="178" t="s">
        <v>16</v>
      </c>
      <c r="K232" s="174"/>
      <c r="L232" s="175"/>
      <c r="M232" s="8"/>
      <c r="N232" s="8"/>
      <c r="O232" s="8"/>
      <c r="P232" s="8"/>
      <c r="Q232" s="8"/>
      <c r="R232" s="8"/>
      <c r="S232" s="8"/>
      <c r="T232" s="8"/>
      <c r="U232" s="8"/>
      <c r="V232" s="8"/>
      <c r="W232" s="8"/>
      <c r="X232" s="8"/>
      <c r="Y232" s="8"/>
      <c r="Z232" s="8"/>
      <c r="AA232" s="8"/>
      <c r="AB232" s="8"/>
      <c r="AC232" s="8"/>
      <c r="AD232" s="8"/>
    </row>
    <row r="233">
      <c r="A233" s="169" t="s">
        <v>1249</v>
      </c>
      <c r="B233" s="169" t="s">
        <v>595</v>
      </c>
      <c r="C233" s="170" t="s">
        <v>1250</v>
      </c>
      <c r="D233" s="170" t="s">
        <v>2482</v>
      </c>
      <c r="E233" s="171" t="s">
        <v>2483</v>
      </c>
      <c r="F233" s="171" t="s">
        <v>2484</v>
      </c>
      <c r="G233" s="170" t="s">
        <v>2485</v>
      </c>
      <c r="H233" s="170" t="s">
        <v>2485</v>
      </c>
      <c r="I233" s="172" t="s">
        <v>1405</v>
      </c>
      <c r="J233" s="173" t="s">
        <v>16</v>
      </c>
      <c r="K233" s="174"/>
      <c r="L233" s="175"/>
      <c r="M233" s="8"/>
      <c r="N233" s="8"/>
      <c r="O233" s="8"/>
      <c r="P233" s="8"/>
      <c r="Q233" s="8"/>
      <c r="R233" s="8"/>
      <c r="S233" s="8"/>
      <c r="T233" s="8"/>
      <c r="U233" s="8"/>
      <c r="V233" s="8"/>
      <c r="W233" s="8"/>
      <c r="X233" s="8"/>
      <c r="Y233" s="8"/>
      <c r="Z233" s="8"/>
      <c r="AA233" s="8"/>
      <c r="AB233" s="8"/>
      <c r="AC233" s="8"/>
      <c r="AD233" s="8"/>
    </row>
    <row r="234">
      <c r="A234" s="169" t="s">
        <v>1252</v>
      </c>
      <c r="B234" s="169" t="s">
        <v>599</v>
      </c>
      <c r="C234" s="170" t="s">
        <v>1253</v>
      </c>
      <c r="D234" s="170" t="s">
        <v>2486</v>
      </c>
      <c r="E234" s="176" t="s">
        <v>2487</v>
      </c>
      <c r="F234" s="176" t="s">
        <v>2488</v>
      </c>
      <c r="G234" s="170" t="s">
        <v>2489</v>
      </c>
      <c r="H234" s="170" t="s">
        <v>2489</v>
      </c>
      <c r="I234" s="177" t="s">
        <v>1411</v>
      </c>
      <c r="J234" s="178" t="s">
        <v>16</v>
      </c>
      <c r="K234" s="174"/>
      <c r="L234" s="175"/>
      <c r="M234" s="8"/>
      <c r="N234" s="8"/>
      <c r="O234" s="8"/>
      <c r="P234" s="8"/>
      <c r="Q234" s="8"/>
      <c r="R234" s="8"/>
      <c r="S234" s="8"/>
      <c r="T234" s="8"/>
      <c r="U234" s="8"/>
      <c r="V234" s="8"/>
      <c r="W234" s="8"/>
      <c r="X234" s="8"/>
      <c r="Y234" s="8"/>
      <c r="Z234" s="8"/>
      <c r="AA234" s="8"/>
      <c r="AB234" s="8"/>
      <c r="AC234" s="8"/>
      <c r="AD234" s="8"/>
    </row>
    <row r="235">
      <c r="A235" s="169" t="s">
        <v>1254</v>
      </c>
      <c r="B235" s="169" t="s">
        <v>599</v>
      </c>
      <c r="C235" s="170" t="s">
        <v>1255</v>
      </c>
      <c r="D235" s="170" t="s">
        <v>2490</v>
      </c>
      <c r="E235" s="171" t="s">
        <v>2491</v>
      </c>
      <c r="F235" s="171" t="s">
        <v>2492</v>
      </c>
      <c r="G235" s="170" t="s">
        <v>2493</v>
      </c>
      <c r="H235" s="170" t="s">
        <v>2494</v>
      </c>
      <c r="I235" s="177" t="s">
        <v>1411</v>
      </c>
      <c r="J235" s="173" t="s">
        <v>16</v>
      </c>
      <c r="K235" s="174"/>
      <c r="L235" s="175"/>
      <c r="M235" s="8"/>
      <c r="N235" s="8"/>
      <c r="O235" s="8"/>
      <c r="P235" s="8"/>
      <c r="Q235" s="8"/>
      <c r="R235" s="8"/>
      <c r="S235" s="8"/>
      <c r="T235" s="8"/>
      <c r="U235" s="8"/>
      <c r="V235" s="8"/>
      <c r="W235" s="8"/>
      <c r="X235" s="8"/>
      <c r="Y235" s="8"/>
      <c r="Z235" s="8"/>
      <c r="AA235" s="8"/>
      <c r="AB235" s="8"/>
      <c r="AC235" s="8"/>
      <c r="AD235" s="8"/>
    </row>
    <row r="236">
      <c r="A236" s="169" t="s">
        <v>1256</v>
      </c>
      <c r="B236" s="169" t="s">
        <v>599</v>
      </c>
      <c r="C236" s="170" t="s">
        <v>1257</v>
      </c>
      <c r="D236" s="170" t="s">
        <v>2495</v>
      </c>
      <c r="E236" s="176" t="s">
        <v>2496</v>
      </c>
      <c r="F236" s="176" t="s">
        <v>2497</v>
      </c>
      <c r="G236" s="170" t="s">
        <v>2498</v>
      </c>
      <c r="H236" s="170" t="s">
        <v>2499</v>
      </c>
      <c r="I236" s="177" t="s">
        <v>1411</v>
      </c>
      <c r="J236" s="178" t="s">
        <v>11</v>
      </c>
      <c r="K236" s="170" t="s">
        <v>2500</v>
      </c>
      <c r="L236" s="175"/>
      <c r="M236" s="8"/>
      <c r="N236" s="8"/>
      <c r="O236" s="8"/>
      <c r="P236" s="8"/>
      <c r="Q236" s="8"/>
      <c r="R236" s="8"/>
      <c r="S236" s="8"/>
      <c r="T236" s="8"/>
      <c r="U236" s="8"/>
      <c r="V236" s="8"/>
      <c r="W236" s="8"/>
      <c r="X236" s="8"/>
      <c r="Y236" s="8"/>
      <c r="Z236" s="8"/>
      <c r="AA236" s="8"/>
      <c r="AB236" s="8"/>
      <c r="AC236" s="8"/>
      <c r="AD236" s="8"/>
    </row>
    <row r="237">
      <c r="A237" s="169" t="s">
        <v>1259</v>
      </c>
      <c r="B237" s="169" t="s">
        <v>603</v>
      </c>
      <c r="C237" s="170" t="s">
        <v>1260</v>
      </c>
      <c r="D237" s="170" t="s">
        <v>2501</v>
      </c>
      <c r="E237" s="171" t="s">
        <v>2502</v>
      </c>
      <c r="F237" s="171" t="s">
        <v>2503</v>
      </c>
      <c r="G237" s="170" t="s">
        <v>2504</v>
      </c>
      <c r="H237" s="170" t="s">
        <v>2504</v>
      </c>
      <c r="I237" s="172" t="s">
        <v>1405</v>
      </c>
      <c r="J237" s="173" t="s">
        <v>16</v>
      </c>
      <c r="K237" s="174"/>
      <c r="L237" s="175"/>
      <c r="M237" s="8"/>
      <c r="N237" s="8"/>
      <c r="O237" s="8"/>
      <c r="P237" s="8"/>
      <c r="Q237" s="8"/>
      <c r="R237" s="8"/>
      <c r="S237" s="8"/>
      <c r="T237" s="8"/>
      <c r="U237" s="8"/>
      <c r="V237" s="8"/>
      <c r="W237" s="8"/>
      <c r="X237" s="8"/>
      <c r="Y237" s="8"/>
      <c r="Z237" s="8"/>
      <c r="AA237" s="8"/>
      <c r="AB237" s="8"/>
      <c r="AC237" s="8"/>
      <c r="AD237" s="8"/>
    </row>
    <row r="238">
      <c r="A238" s="169" t="s">
        <v>1261</v>
      </c>
      <c r="B238" s="169" t="s">
        <v>603</v>
      </c>
      <c r="C238" s="170" t="s">
        <v>1262</v>
      </c>
      <c r="D238" s="170" t="s">
        <v>2505</v>
      </c>
      <c r="E238" s="176" t="s">
        <v>2506</v>
      </c>
      <c r="F238" s="176" t="s">
        <v>2507</v>
      </c>
      <c r="G238" s="170" t="s">
        <v>2508</v>
      </c>
      <c r="H238" s="170" t="s">
        <v>2508</v>
      </c>
      <c r="I238" s="172" t="s">
        <v>1405</v>
      </c>
      <c r="J238" s="178" t="s">
        <v>16</v>
      </c>
      <c r="K238" s="174"/>
      <c r="L238" s="175"/>
      <c r="M238" s="8"/>
      <c r="N238" s="8"/>
      <c r="O238" s="8"/>
      <c r="P238" s="8"/>
      <c r="Q238" s="8"/>
      <c r="R238" s="8"/>
      <c r="S238" s="8"/>
      <c r="T238" s="8"/>
      <c r="U238" s="8"/>
      <c r="V238" s="8"/>
      <c r="W238" s="8"/>
      <c r="X238" s="8"/>
      <c r="Y238" s="8"/>
      <c r="Z238" s="8"/>
      <c r="AA238" s="8"/>
      <c r="AB238" s="8"/>
      <c r="AC238" s="8"/>
      <c r="AD238" s="8"/>
    </row>
    <row r="239">
      <c r="A239" s="169" t="s">
        <v>1263</v>
      </c>
      <c r="B239" s="169" t="s">
        <v>603</v>
      </c>
      <c r="C239" s="170" t="s">
        <v>1264</v>
      </c>
      <c r="D239" s="170" t="s">
        <v>2509</v>
      </c>
      <c r="E239" s="171" t="s">
        <v>2510</v>
      </c>
      <c r="F239" s="171" t="s">
        <v>2503</v>
      </c>
      <c r="G239" s="170" t="s">
        <v>2511</v>
      </c>
      <c r="H239" s="170" t="s">
        <v>2511</v>
      </c>
      <c r="I239" s="179" t="s">
        <v>1416</v>
      </c>
      <c r="J239" s="173" t="s">
        <v>16</v>
      </c>
      <c r="K239" s="174"/>
      <c r="L239" s="175"/>
      <c r="M239" s="8"/>
      <c r="N239" s="8"/>
      <c r="O239" s="8"/>
      <c r="P239" s="8"/>
      <c r="Q239" s="8"/>
      <c r="R239" s="8"/>
      <c r="S239" s="8"/>
      <c r="T239" s="8"/>
      <c r="U239" s="8"/>
      <c r="V239" s="8"/>
      <c r="W239" s="8"/>
      <c r="X239" s="8"/>
      <c r="Y239" s="8"/>
      <c r="Z239" s="8"/>
      <c r="AA239" s="8"/>
      <c r="AB239" s="8"/>
      <c r="AC239" s="8"/>
      <c r="AD239" s="8"/>
    </row>
    <row r="240">
      <c r="A240" s="169" t="s">
        <v>1266</v>
      </c>
      <c r="B240" s="169" t="s">
        <v>607</v>
      </c>
      <c r="C240" s="170" t="s">
        <v>1267</v>
      </c>
      <c r="D240" s="170" t="s">
        <v>2512</v>
      </c>
      <c r="E240" s="176" t="s">
        <v>2513</v>
      </c>
      <c r="F240" s="176" t="s">
        <v>1772</v>
      </c>
      <c r="G240" s="170" t="s">
        <v>2514</v>
      </c>
      <c r="H240" s="170" t="s">
        <v>2514</v>
      </c>
      <c r="I240" s="172" t="s">
        <v>1405</v>
      </c>
      <c r="J240" s="178" t="s">
        <v>16</v>
      </c>
      <c r="K240" s="174"/>
      <c r="L240" s="175"/>
      <c r="M240" s="8"/>
      <c r="N240" s="8"/>
      <c r="O240" s="8"/>
      <c r="P240" s="8"/>
      <c r="Q240" s="8"/>
      <c r="R240" s="8"/>
      <c r="S240" s="8"/>
      <c r="T240" s="8"/>
      <c r="U240" s="8"/>
      <c r="V240" s="8"/>
      <c r="W240" s="8"/>
      <c r="X240" s="8"/>
      <c r="Y240" s="8"/>
      <c r="Z240" s="8"/>
      <c r="AA240" s="8"/>
      <c r="AB240" s="8"/>
      <c r="AC240" s="8"/>
      <c r="AD240" s="8"/>
    </row>
    <row r="241">
      <c r="A241" s="169" t="s">
        <v>1268</v>
      </c>
      <c r="B241" s="169" t="s">
        <v>607</v>
      </c>
      <c r="C241" s="170" t="s">
        <v>1269</v>
      </c>
      <c r="D241" s="170" t="s">
        <v>2515</v>
      </c>
      <c r="E241" s="171" t="s">
        <v>2516</v>
      </c>
      <c r="F241" s="171" t="s">
        <v>2517</v>
      </c>
      <c r="G241" s="170" t="s">
        <v>2518</v>
      </c>
      <c r="H241" s="170" t="s">
        <v>2518</v>
      </c>
      <c r="I241" s="177" t="s">
        <v>1411</v>
      </c>
      <c r="J241" s="173" t="s">
        <v>16</v>
      </c>
      <c r="K241" s="174"/>
      <c r="L241" s="175"/>
      <c r="M241" s="8"/>
      <c r="N241" s="8"/>
      <c r="O241" s="8"/>
      <c r="P241" s="8"/>
      <c r="Q241" s="8"/>
      <c r="R241" s="8"/>
      <c r="S241" s="8"/>
      <c r="T241" s="8"/>
      <c r="U241" s="8"/>
      <c r="V241" s="8"/>
      <c r="W241" s="8"/>
      <c r="X241" s="8"/>
      <c r="Y241" s="8"/>
      <c r="Z241" s="8"/>
      <c r="AA241" s="8"/>
      <c r="AB241" s="8"/>
      <c r="AC241" s="8"/>
      <c r="AD241" s="8"/>
    </row>
    <row r="242">
      <c r="A242" s="169" t="s">
        <v>1271</v>
      </c>
      <c r="B242" s="169" t="s">
        <v>611</v>
      </c>
      <c r="C242" s="170" t="s">
        <v>1272</v>
      </c>
      <c r="D242" s="170" t="s">
        <v>2519</v>
      </c>
      <c r="E242" s="176" t="s">
        <v>2520</v>
      </c>
      <c r="F242" s="176" t="s">
        <v>2521</v>
      </c>
      <c r="G242" s="170" t="s">
        <v>2522</v>
      </c>
      <c r="H242" s="170" t="s">
        <v>2522</v>
      </c>
      <c r="I242" s="177" t="s">
        <v>1411</v>
      </c>
      <c r="J242" s="178" t="s">
        <v>16</v>
      </c>
      <c r="K242" s="174"/>
      <c r="L242" s="175"/>
      <c r="M242" s="8"/>
      <c r="N242" s="8"/>
      <c r="O242" s="8"/>
      <c r="P242" s="8"/>
      <c r="Q242" s="8"/>
      <c r="R242" s="8"/>
      <c r="S242" s="8"/>
      <c r="T242" s="8"/>
      <c r="U242" s="8"/>
      <c r="V242" s="8"/>
      <c r="W242" s="8"/>
      <c r="X242" s="8"/>
      <c r="Y242" s="8"/>
      <c r="Z242" s="8"/>
      <c r="AA242" s="8"/>
      <c r="AB242" s="8"/>
      <c r="AC242" s="8"/>
      <c r="AD242" s="8"/>
    </row>
    <row r="243">
      <c r="A243" s="169" t="s">
        <v>1273</v>
      </c>
      <c r="B243" s="169" t="s">
        <v>611</v>
      </c>
      <c r="C243" s="170" t="s">
        <v>1274</v>
      </c>
      <c r="D243" s="170" t="s">
        <v>2523</v>
      </c>
      <c r="E243" s="171" t="s">
        <v>2524</v>
      </c>
      <c r="F243" s="171" t="s">
        <v>2525</v>
      </c>
      <c r="G243" s="170" t="s">
        <v>2526</v>
      </c>
      <c r="H243" s="170" t="s">
        <v>2526</v>
      </c>
      <c r="I243" s="172" t="s">
        <v>1405</v>
      </c>
      <c r="J243" s="173" t="s">
        <v>16</v>
      </c>
      <c r="K243" s="174"/>
      <c r="L243" s="175"/>
      <c r="M243" s="8"/>
      <c r="N243" s="8"/>
      <c r="O243" s="8"/>
      <c r="P243" s="8"/>
      <c r="Q243" s="8"/>
      <c r="R243" s="8"/>
      <c r="S243" s="8"/>
      <c r="T243" s="8"/>
      <c r="U243" s="8"/>
      <c r="V243" s="8"/>
      <c r="W243" s="8"/>
      <c r="X243" s="8"/>
      <c r="Y243" s="8"/>
      <c r="Z243" s="8"/>
      <c r="AA243" s="8"/>
      <c r="AB243" s="8"/>
      <c r="AC243" s="8"/>
      <c r="AD243" s="8"/>
    </row>
    <row r="244">
      <c r="A244" s="169" t="s">
        <v>1276</v>
      </c>
      <c r="B244" s="169" t="s">
        <v>615</v>
      </c>
      <c r="C244" s="170" t="s">
        <v>1277</v>
      </c>
      <c r="D244" s="170" t="s">
        <v>2527</v>
      </c>
      <c r="E244" s="176" t="s">
        <v>2528</v>
      </c>
      <c r="F244" s="176" t="s">
        <v>2529</v>
      </c>
      <c r="G244" s="170" t="s">
        <v>2530</v>
      </c>
      <c r="H244" s="170" t="s">
        <v>2530</v>
      </c>
      <c r="I244" s="177" t="s">
        <v>1411</v>
      </c>
      <c r="J244" s="178" t="s">
        <v>16</v>
      </c>
      <c r="K244" s="174"/>
      <c r="L244" s="175"/>
      <c r="M244" s="8"/>
      <c r="N244" s="8"/>
      <c r="O244" s="8"/>
      <c r="P244" s="8"/>
      <c r="Q244" s="8"/>
      <c r="R244" s="8"/>
      <c r="S244" s="8"/>
      <c r="T244" s="8"/>
      <c r="U244" s="8"/>
      <c r="V244" s="8"/>
      <c r="W244" s="8"/>
      <c r="X244" s="8"/>
      <c r="Y244" s="8"/>
      <c r="Z244" s="8"/>
      <c r="AA244" s="8"/>
      <c r="AB244" s="8"/>
      <c r="AC244" s="8"/>
      <c r="AD244" s="8"/>
    </row>
    <row r="245">
      <c r="A245" s="169" t="s">
        <v>1278</v>
      </c>
      <c r="B245" s="169" t="s">
        <v>615</v>
      </c>
      <c r="C245" s="170" t="s">
        <v>1279</v>
      </c>
      <c r="D245" s="170" t="s">
        <v>2531</v>
      </c>
      <c r="E245" s="171" t="s">
        <v>2532</v>
      </c>
      <c r="F245" s="171" t="s">
        <v>2533</v>
      </c>
      <c r="G245" s="170" t="s">
        <v>2534</v>
      </c>
      <c r="H245" s="170" t="s">
        <v>2534</v>
      </c>
      <c r="I245" s="177" t="s">
        <v>1411</v>
      </c>
      <c r="J245" s="173" t="s">
        <v>16</v>
      </c>
      <c r="K245" s="174"/>
      <c r="L245" s="175"/>
      <c r="M245" s="8"/>
      <c r="N245" s="8"/>
      <c r="O245" s="8"/>
      <c r="P245" s="8"/>
      <c r="Q245" s="8"/>
      <c r="R245" s="8"/>
      <c r="S245" s="8"/>
      <c r="T245" s="8"/>
      <c r="U245" s="8"/>
      <c r="V245" s="8"/>
      <c r="W245" s="8"/>
      <c r="X245" s="8"/>
      <c r="Y245" s="8"/>
      <c r="Z245" s="8"/>
      <c r="AA245" s="8"/>
      <c r="AB245" s="8"/>
      <c r="AC245" s="8"/>
      <c r="AD245" s="8"/>
    </row>
    <row r="246">
      <c r="A246" s="169" t="s">
        <v>1280</v>
      </c>
      <c r="B246" s="169" t="s">
        <v>615</v>
      </c>
      <c r="C246" s="170" t="s">
        <v>1281</v>
      </c>
      <c r="D246" s="170" t="s">
        <v>2535</v>
      </c>
      <c r="E246" s="176" t="s">
        <v>2536</v>
      </c>
      <c r="F246" s="176" t="s">
        <v>2537</v>
      </c>
      <c r="G246" s="170" t="s">
        <v>2538</v>
      </c>
      <c r="H246" s="170" t="s">
        <v>2538</v>
      </c>
      <c r="I246" s="172" t="s">
        <v>1405</v>
      </c>
      <c r="J246" s="178" t="s">
        <v>16</v>
      </c>
      <c r="K246" s="174"/>
      <c r="L246" s="175"/>
      <c r="M246" s="8"/>
      <c r="N246" s="8"/>
      <c r="O246" s="8"/>
      <c r="P246" s="8"/>
      <c r="Q246" s="8"/>
      <c r="R246" s="8"/>
      <c r="S246" s="8"/>
      <c r="T246" s="8"/>
      <c r="U246" s="8"/>
      <c r="V246" s="8"/>
      <c r="W246" s="8"/>
      <c r="X246" s="8"/>
      <c r="Y246" s="8"/>
      <c r="Z246" s="8"/>
      <c r="AA246" s="8"/>
      <c r="AB246" s="8"/>
      <c r="AC246" s="8"/>
      <c r="AD246" s="8"/>
    </row>
    <row r="247">
      <c r="A247" s="169" t="s">
        <v>1283</v>
      </c>
      <c r="B247" s="169" t="s">
        <v>621</v>
      </c>
      <c r="C247" s="170" t="s">
        <v>1284</v>
      </c>
      <c r="D247" s="170" t="s">
        <v>2539</v>
      </c>
      <c r="E247" s="171" t="s">
        <v>2540</v>
      </c>
      <c r="F247" s="171" t="s">
        <v>2541</v>
      </c>
      <c r="G247" s="170" t="s">
        <v>2542</v>
      </c>
      <c r="H247" s="170" t="s">
        <v>2542</v>
      </c>
      <c r="I247" s="172" t="s">
        <v>1405</v>
      </c>
      <c r="J247" s="173" t="s">
        <v>16</v>
      </c>
      <c r="K247" s="174"/>
      <c r="L247" s="175"/>
      <c r="M247" s="8"/>
      <c r="N247" s="8"/>
      <c r="O247" s="8"/>
      <c r="P247" s="8"/>
      <c r="Q247" s="8"/>
      <c r="R247" s="8"/>
      <c r="S247" s="8"/>
      <c r="T247" s="8"/>
      <c r="U247" s="8"/>
      <c r="V247" s="8"/>
      <c r="W247" s="8"/>
      <c r="X247" s="8"/>
      <c r="Y247" s="8"/>
      <c r="Z247" s="8"/>
      <c r="AA247" s="8"/>
      <c r="AB247" s="8"/>
      <c r="AC247" s="8"/>
      <c r="AD247" s="8"/>
    </row>
    <row r="248">
      <c r="A248" s="169" t="s">
        <v>1285</v>
      </c>
      <c r="B248" s="169" t="s">
        <v>621</v>
      </c>
      <c r="C248" s="170" t="s">
        <v>1286</v>
      </c>
      <c r="D248" s="170" t="s">
        <v>2543</v>
      </c>
      <c r="E248" s="176" t="s">
        <v>2544</v>
      </c>
      <c r="F248" s="176" t="s">
        <v>2545</v>
      </c>
      <c r="G248" s="170" t="s">
        <v>2546</v>
      </c>
      <c r="H248" s="170" t="s">
        <v>2546</v>
      </c>
      <c r="I248" s="179" t="s">
        <v>1416</v>
      </c>
      <c r="J248" s="178" t="s">
        <v>16</v>
      </c>
      <c r="K248" s="174"/>
      <c r="L248" s="175"/>
      <c r="M248" s="8"/>
      <c r="N248" s="8"/>
      <c r="O248" s="8"/>
      <c r="P248" s="8"/>
      <c r="Q248" s="8"/>
      <c r="R248" s="8"/>
      <c r="S248" s="8"/>
      <c r="T248" s="8"/>
      <c r="U248" s="8"/>
      <c r="V248" s="8"/>
      <c r="W248" s="8"/>
      <c r="X248" s="8"/>
      <c r="Y248" s="8"/>
      <c r="Z248" s="8"/>
      <c r="AA248" s="8"/>
      <c r="AB248" s="8"/>
      <c r="AC248" s="8"/>
      <c r="AD248" s="8"/>
    </row>
    <row r="249">
      <c r="A249" s="169" t="s">
        <v>1288</v>
      </c>
      <c r="B249" s="169" t="s">
        <v>625</v>
      </c>
      <c r="C249" s="170" t="s">
        <v>1289</v>
      </c>
      <c r="D249" s="170" t="s">
        <v>2547</v>
      </c>
      <c r="E249" s="171" t="s">
        <v>2548</v>
      </c>
      <c r="F249" s="171" t="s">
        <v>2549</v>
      </c>
      <c r="G249" s="170" t="s">
        <v>2550</v>
      </c>
      <c r="H249" s="170" t="s">
        <v>2550</v>
      </c>
      <c r="I249" s="172" t="s">
        <v>1405</v>
      </c>
      <c r="J249" s="173" t="s">
        <v>16</v>
      </c>
      <c r="K249" s="174"/>
      <c r="L249" s="175"/>
      <c r="M249" s="8"/>
      <c r="N249" s="8"/>
      <c r="O249" s="8"/>
      <c r="P249" s="8"/>
      <c r="Q249" s="8"/>
      <c r="R249" s="8"/>
      <c r="S249" s="8"/>
      <c r="T249" s="8"/>
      <c r="U249" s="8"/>
      <c r="V249" s="8"/>
      <c r="W249" s="8"/>
      <c r="X249" s="8"/>
      <c r="Y249" s="8"/>
      <c r="Z249" s="8"/>
      <c r="AA249" s="8"/>
      <c r="AB249" s="8"/>
      <c r="AC249" s="8"/>
      <c r="AD249" s="8"/>
    </row>
    <row r="250">
      <c r="A250" s="169" t="s">
        <v>1290</v>
      </c>
      <c r="B250" s="169" t="s">
        <v>625</v>
      </c>
      <c r="C250" s="170" t="s">
        <v>1291</v>
      </c>
      <c r="D250" s="170" t="s">
        <v>2551</v>
      </c>
      <c r="E250" s="176" t="s">
        <v>2552</v>
      </c>
      <c r="F250" s="176" t="s">
        <v>2553</v>
      </c>
      <c r="G250" s="170" t="s">
        <v>2554</v>
      </c>
      <c r="H250" s="170" t="s">
        <v>2554</v>
      </c>
      <c r="I250" s="179" t="s">
        <v>1416</v>
      </c>
      <c r="J250" s="178" t="s">
        <v>16</v>
      </c>
      <c r="K250" s="174"/>
      <c r="L250" s="175"/>
      <c r="M250" s="8"/>
      <c r="N250" s="8"/>
      <c r="O250" s="8"/>
      <c r="P250" s="8"/>
      <c r="Q250" s="8"/>
      <c r="R250" s="8"/>
      <c r="S250" s="8"/>
      <c r="T250" s="8"/>
      <c r="U250" s="8"/>
      <c r="V250" s="8"/>
      <c r="W250" s="8"/>
      <c r="X250" s="8"/>
      <c r="Y250" s="8"/>
      <c r="Z250" s="8"/>
      <c r="AA250" s="8"/>
      <c r="AB250" s="8"/>
      <c r="AC250" s="8"/>
      <c r="AD250" s="8"/>
    </row>
    <row r="251">
      <c r="A251" s="169" t="s">
        <v>1292</v>
      </c>
      <c r="B251" s="169" t="s">
        <v>625</v>
      </c>
      <c r="C251" s="170" t="s">
        <v>1293</v>
      </c>
      <c r="D251" s="170" t="s">
        <v>2555</v>
      </c>
      <c r="E251" s="171" t="s">
        <v>2556</v>
      </c>
      <c r="F251" s="171" t="s">
        <v>2557</v>
      </c>
      <c r="G251" s="170" t="s">
        <v>2558</v>
      </c>
      <c r="H251" s="170" t="s">
        <v>2558</v>
      </c>
      <c r="I251" s="172" t="s">
        <v>1405</v>
      </c>
      <c r="J251" s="173" t="s">
        <v>16</v>
      </c>
      <c r="K251" s="174"/>
      <c r="L251" s="175"/>
      <c r="M251" s="8"/>
      <c r="N251" s="8"/>
      <c r="O251" s="8"/>
      <c r="P251" s="8"/>
      <c r="Q251" s="8"/>
      <c r="R251" s="8"/>
      <c r="S251" s="8"/>
      <c r="T251" s="8"/>
      <c r="U251" s="8"/>
      <c r="V251" s="8"/>
      <c r="W251" s="8"/>
      <c r="X251" s="8"/>
      <c r="Y251" s="8"/>
      <c r="Z251" s="8"/>
      <c r="AA251" s="8"/>
      <c r="AB251" s="8"/>
      <c r="AC251" s="8"/>
      <c r="AD251" s="8"/>
    </row>
    <row r="252">
      <c r="A252" s="169" t="s">
        <v>1295</v>
      </c>
      <c r="B252" s="169" t="s">
        <v>629</v>
      </c>
      <c r="C252" s="170" t="s">
        <v>1296</v>
      </c>
      <c r="D252" s="170" t="s">
        <v>2559</v>
      </c>
      <c r="E252" s="176" t="s">
        <v>2560</v>
      </c>
      <c r="F252" s="176" t="s">
        <v>2561</v>
      </c>
      <c r="G252" s="170" t="s">
        <v>2562</v>
      </c>
      <c r="H252" s="170" t="s">
        <v>2563</v>
      </c>
      <c r="I252" s="177" t="s">
        <v>1411</v>
      </c>
      <c r="J252" s="178" t="s">
        <v>11</v>
      </c>
      <c r="K252" s="170" t="s">
        <v>2564</v>
      </c>
      <c r="L252" s="170" t="s">
        <v>2565</v>
      </c>
      <c r="M252" s="8"/>
      <c r="N252" s="8"/>
      <c r="O252" s="8"/>
      <c r="P252" s="8"/>
      <c r="Q252" s="8"/>
      <c r="R252" s="8"/>
      <c r="S252" s="8"/>
      <c r="T252" s="8"/>
      <c r="U252" s="8"/>
      <c r="V252" s="8"/>
      <c r="W252" s="8"/>
      <c r="X252" s="8"/>
      <c r="Y252" s="8"/>
      <c r="Z252" s="8"/>
      <c r="AA252" s="8"/>
      <c r="AB252" s="8"/>
      <c r="AC252" s="8"/>
      <c r="AD252" s="8"/>
    </row>
    <row r="253">
      <c r="A253" s="169" t="s">
        <v>1297</v>
      </c>
      <c r="B253" s="169" t="s">
        <v>629</v>
      </c>
      <c r="C253" s="170" t="s">
        <v>1298</v>
      </c>
      <c r="D253" s="170" t="s">
        <v>2566</v>
      </c>
      <c r="E253" s="171" t="s">
        <v>2567</v>
      </c>
      <c r="F253" s="171" t="s">
        <v>2568</v>
      </c>
      <c r="G253" s="170" t="s">
        <v>2569</v>
      </c>
      <c r="H253" s="170" t="s">
        <v>2570</v>
      </c>
      <c r="I253" s="177" t="s">
        <v>1411</v>
      </c>
      <c r="J253" s="173" t="s">
        <v>11</v>
      </c>
      <c r="K253" s="170" t="s">
        <v>2571</v>
      </c>
      <c r="L253" s="175"/>
      <c r="M253" s="8"/>
      <c r="N253" s="8"/>
      <c r="O253" s="8"/>
      <c r="P253" s="8"/>
      <c r="Q253" s="8"/>
      <c r="R253" s="8"/>
      <c r="S253" s="8"/>
      <c r="T253" s="8"/>
      <c r="U253" s="8"/>
      <c r="V253" s="8"/>
      <c r="W253" s="8"/>
      <c r="X253" s="8"/>
      <c r="Y253" s="8"/>
      <c r="Z253" s="8"/>
      <c r="AA253" s="8"/>
      <c r="AB253" s="8"/>
      <c r="AC253" s="8"/>
      <c r="AD253" s="8"/>
    </row>
    <row r="254">
      <c r="A254" s="169" t="s">
        <v>1299</v>
      </c>
      <c r="B254" s="169" t="s">
        <v>629</v>
      </c>
      <c r="C254" s="170" t="s">
        <v>1300</v>
      </c>
      <c r="D254" s="170" t="s">
        <v>2572</v>
      </c>
      <c r="E254" s="176" t="s">
        <v>2573</v>
      </c>
      <c r="F254" s="176" t="s">
        <v>2574</v>
      </c>
      <c r="G254" s="170" t="s">
        <v>2575</v>
      </c>
      <c r="H254" s="170" t="s">
        <v>2563</v>
      </c>
      <c r="I254" s="177" t="s">
        <v>1411</v>
      </c>
      <c r="J254" s="178" t="s">
        <v>11</v>
      </c>
      <c r="K254" s="170" t="s">
        <v>2576</v>
      </c>
      <c r="L254" s="170" t="s">
        <v>2565</v>
      </c>
      <c r="M254" s="8"/>
      <c r="N254" s="8"/>
      <c r="O254" s="8"/>
      <c r="P254" s="8"/>
      <c r="Q254" s="8"/>
      <c r="R254" s="8"/>
      <c r="S254" s="8"/>
      <c r="T254" s="8"/>
      <c r="U254" s="8"/>
      <c r="V254" s="8"/>
      <c r="W254" s="8"/>
      <c r="X254" s="8"/>
      <c r="Y254" s="8"/>
      <c r="Z254" s="8"/>
      <c r="AA254" s="8"/>
      <c r="AB254" s="8"/>
      <c r="AC254" s="8"/>
      <c r="AD254" s="8"/>
    </row>
    <row r="255">
      <c r="A255" s="169" t="s">
        <v>1302</v>
      </c>
      <c r="B255" s="169" t="s">
        <v>633</v>
      </c>
      <c r="C255" s="170" t="s">
        <v>1303</v>
      </c>
      <c r="D255" s="170" t="s">
        <v>2577</v>
      </c>
      <c r="E255" s="171" t="s">
        <v>2578</v>
      </c>
      <c r="F255" s="171" t="s">
        <v>2579</v>
      </c>
      <c r="G255" s="170" t="s">
        <v>2580</v>
      </c>
      <c r="H255" s="170" t="s">
        <v>2580</v>
      </c>
      <c r="I255" s="172" t="s">
        <v>1405</v>
      </c>
      <c r="J255" s="173" t="s">
        <v>16</v>
      </c>
      <c r="K255" s="174"/>
      <c r="L255" s="175"/>
      <c r="M255" s="8"/>
      <c r="N255" s="8"/>
      <c r="O255" s="8"/>
      <c r="P255" s="8"/>
      <c r="Q255" s="8"/>
      <c r="R255" s="8"/>
      <c r="S255" s="8"/>
      <c r="T255" s="8"/>
      <c r="U255" s="8"/>
      <c r="V255" s="8"/>
      <c r="W255" s="8"/>
      <c r="X255" s="8"/>
      <c r="Y255" s="8"/>
      <c r="Z255" s="8"/>
      <c r="AA255" s="8"/>
      <c r="AB255" s="8"/>
      <c r="AC255" s="8"/>
      <c r="AD255" s="8"/>
    </row>
    <row r="256">
      <c r="A256" s="169" t="s">
        <v>1304</v>
      </c>
      <c r="B256" s="169" t="s">
        <v>633</v>
      </c>
      <c r="C256" s="170" t="s">
        <v>1305</v>
      </c>
      <c r="D256" s="170" t="s">
        <v>2581</v>
      </c>
      <c r="E256" s="176" t="s">
        <v>2582</v>
      </c>
      <c r="F256" s="176" t="s">
        <v>2583</v>
      </c>
      <c r="G256" s="170" t="s">
        <v>2584</v>
      </c>
      <c r="H256" s="170" t="s">
        <v>2584</v>
      </c>
      <c r="I256" s="172" t="s">
        <v>1405</v>
      </c>
      <c r="J256" s="178" t="s">
        <v>16</v>
      </c>
      <c r="K256" s="174"/>
      <c r="L256" s="175"/>
      <c r="M256" s="8"/>
      <c r="N256" s="8"/>
      <c r="O256" s="8"/>
      <c r="P256" s="8"/>
      <c r="Q256" s="8"/>
      <c r="R256" s="8"/>
      <c r="S256" s="8"/>
      <c r="T256" s="8"/>
      <c r="U256" s="8"/>
      <c r="V256" s="8"/>
      <c r="W256" s="8"/>
      <c r="X256" s="8"/>
      <c r="Y256" s="8"/>
      <c r="Z256" s="8"/>
      <c r="AA256" s="8"/>
      <c r="AB256" s="8"/>
      <c r="AC256" s="8"/>
      <c r="AD256" s="8"/>
    </row>
    <row r="257">
      <c r="A257" s="169" t="s">
        <v>1307</v>
      </c>
      <c r="B257" s="169" t="s">
        <v>639</v>
      </c>
      <c r="C257" s="170" t="s">
        <v>1308</v>
      </c>
      <c r="D257" s="170" t="s">
        <v>2585</v>
      </c>
      <c r="E257" s="176" t="s">
        <v>2586</v>
      </c>
      <c r="F257" s="171" t="s">
        <v>2587</v>
      </c>
      <c r="G257" s="170" t="s">
        <v>2588</v>
      </c>
      <c r="H257" s="170" t="s">
        <v>2588</v>
      </c>
      <c r="I257" s="172" t="s">
        <v>1405</v>
      </c>
      <c r="J257" s="173" t="s">
        <v>16</v>
      </c>
      <c r="K257" s="174"/>
      <c r="L257" s="175"/>
      <c r="M257" s="8"/>
      <c r="N257" s="8"/>
      <c r="O257" s="8"/>
      <c r="P257" s="8"/>
      <c r="Q257" s="8"/>
      <c r="R257" s="8"/>
      <c r="S257" s="8"/>
      <c r="T257" s="8"/>
      <c r="U257" s="8"/>
      <c r="V257" s="8"/>
      <c r="W257" s="8"/>
      <c r="X257" s="8"/>
      <c r="Y257" s="8"/>
      <c r="Z257" s="8"/>
      <c r="AA257" s="8"/>
      <c r="AB257" s="8"/>
      <c r="AC257" s="8"/>
      <c r="AD257" s="8"/>
    </row>
    <row r="258">
      <c r="A258" s="169" t="s">
        <v>1309</v>
      </c>
      <c r="B258" s="169" t="s">
        <v>639</v>
      </c>
      <c r="C258" s="170" t="s">
        <v>1310</v>
      </c>
      <c r="D258" s="170" t="s">
        <v>2589</v>
      </c>
      <c r="E258" s="176" t="s">
        <v>2590</v>
      </c>
      <c r="F258" s="176" t="s">
        <v>2591</v>
      </c>
      <c r="G258" s="170" t="s">
        <v>2592</v>
      </c>
      <c r="H258" s="170" t="s">
        <v>2592</v>
      </c>
      <c r="I258" s="177" t="s">
        <v>1411</v>
      </c>
      <c r="J258" s="178" t="s">
        <v>16</v>
      </c>
      <c r="K258" s="174"/>
      <c r="L258" s="175"/>
      <c r="M258" s="8"/>
      <c r="N258" s="8"/>
      <c r="O258" s="8"/>
      <c r="P258" s="8"/>
      <c r="Q258" s="8"/>
      <c r="R258" s="8"/>
      <c r="S258" s="8"/>
      <c r="T258" s="8"/>
      <c r="U258" s="8"/>
      <c r="V258" s="8"/>
      <c r="W258" s="8"/>
      <c r="X258" s="8"/>
      <c r="Y258" s="8"/>
      <c r="Z258" s="8"/>
      <c r="AA258" s="8"/>
      <c r="AB258" s="8"/>
      <c r="AC258" s="8"/>
      <c r="AD258" s="8"/>
    </row>
    <row r="259">
      <c r="A259" s="169" t="s">
        <v>1311</v>
      </c>
      <c r="B259" s="169" t="s">
        <v>639</v>
      </c>
      <c r="C259" s="170" t="s">
        <v>1312</v>
      </c>
      <c r="D259" s="170" t="s">
        <v>2593</v>
      </c>
      <c r="E259" s="171" t="s">
        <v>2594</v>
      </c>
      <c r="F259" s="171" t="s">
        <v>2595</v>
      </c>
      <c r="G259" s="170" t="s">
        <v>2596</v>
      </c>
      <c r="H259" s="170" t="s">
        <v>2596</v>
      </c>
      <c r="I259" s="172" t="s">
        <v>1405</v>
      </c>
      <c r="J259" s="173" t="s">
        <v>16</v>
      </c>
      <c r="K259" s="174"/>
      <c r="L259" s="175"/>
      <c r="M259" s="8"/>
      <c r="N259" s="8"/>
      <c r="O259" s="8"/>
      <c r="P259" s="8"/>
      <c r="Q259" s="8"/>
      <c r="R259" s="8"/>
      <c r="S259" s="8"/>
      <c r="T259" s="8"/>
      <c r="U259" s="8"/>
      <c r="V259" s="8"/>
      <c r="W259" s="8"/>
      <c r="X259" s="8"/>
      <c r="Y259" s="8"/>
      <c r="Z259" s="8"/>
      <c r="AA259" s="8"/>
      <c r="AB259" s="8"/>
      <c r="AC259" s="8"/>
      <c r="AD259" s="8"/>
    </row>
    <row r="260">
      <c r="A260" s="169" t="s">
        <v>1314</v>
      </c>
      <c r="B260" s="169" t="s">
        <v>643</v>
      </c>
      <c r="C260" s="170" t="s">
        <v>1315</v>
      </c>
      <c r="D260" s="170" t="s">
        <v>2597</v>
      </c>
      <c r="E260" s="176" t="s">
        <v>2598</v>
      </c>
      <c r="F260" s="176" t="s">
        <v>2599</v>
      </c>
      <c r="G260" s="170" t="s">
        <v>2600</v>
      </c>
      <c r="H260" s="170" t="s">
        <v>2600</v>
      </c>
      <c r="I260" s="172" t="s">
        <v>1405</v>
      </c>
      <c r="J260" s="178" t="s">
        <v>16</v>
      </c>
      <c r="K260" s="174"/>
      <c r="L260" s="175"/>
      <c r="M260" s="8"/>
      <c r="N260" s="8"/>
      <c r="O260" s="8"/>
      <c r="P260" s="8"/>
      <c r="Q260" s="8"/>
      <c r="R260" s="8"/>
      <c r="S260" s="8"/>
      <c r="T260" s="8"/>
      <c r="U260" s="8"/>
      <c r="V260" s="8"/>
      <c r="W260" s="8"/>
      <c r="X260" s="8"/>
      <c r="Y260" s="8"/>
      <c r="Z260" s="8"/>
      <c r="AA260" s="8"/>
      <c r="AB260" s="8"/>
      <c r="AC260" s="8"/>
      <c r="AD260" s="8"/>
    </row>
    <row r="261">
      <c r="A261" s="169" t="s">
        <v>1316</v>
      </c>
      <c r="B261" s="169" t="s">
        <v>643</v>
      </c>
      <c r="C261" s="170" t="s">
        <v>1317</v>
      </c>
      <c r="D261" s="170" t="s">
        <v>2601</v>
      </c>
      <c r="E261" s="171" t="s">
        <v>2602</v>
      </c>
      <c r="F261" s="171" t="s">
        <v>2603</v>
      </c>
      <c r="G261" s="170" t="s">
        <v>2604</v>
      </c>
      <c r="H261" s="170" t="s">
        <v>2605</v>
      </c>
      <c r="I261" s="177" t="s">
        <v>1411</v>
      </c>
      <c r="J261" s="173" t="s">
        <v>16</v>
      </c>
      <c r="K261" s="174"/>
      <c r="L261" s="175"/>
      <c r="M261" s="8"/>
      <c r="N261" s="8"/>
      <c r="O261" s="8"/>
      <c r="P261" s="8"/>
      <c r="Q261" s="8"/>
      <c r="R261" s="8"/>
      <c r="S261" s="8"/>
      <c r="T261" s="8"/>
      <c r="U261" s="8"/>
      <c r="V261" s="8"/>
      <c r="W261" s="8"/>
      <c r="X261" s="8"/>
      <c r="Y261" s="8"/>
      <c r="Z261" s="8"/>
      <c r="AA261" s="8"/>
      <c r="AB261" s="8"/>
      <c r="AC261" s="8"/>
      <c r="AD261" s="8"/>
    </row>
    <row r="262">
      <c r="A262" s="169" t="s">
        <v>1319</v>
      </c>
      <c r="B262" s="169" t="s">
        <v>647</v>
      </c>
      <c r="C262" s="170" t="s">
        <v>1320</v>
      </c>
      <c r="D262" s="170" t="s">
        <v>2606</v>
      </c>
      <c r="E262" s="176" t="s">
        <v>2607</v>
      </c>
      <c r="F262" s="176" t="s">
        <v>2608</v>
      </c>
      <c r="G262" s="170" t="s">
        <v>2609</v>
      </c>
      <c r="H262" s="170" t="s">
        <v>2609</v>
      </c>
      <c r="I262" s="172" t="s">
        <v>1405</v>
      </c>
      <c r="J262" s="178" t="s">
        <v>16</v>
      </c>
      <c r="K262" s="174"/>
      <c r="L262" s="175"/>
      <c r="M262" s="8"/>
      <c r="N262" s="8"/>
      <c r="O262" s="8"/>
      <c r="P262" s="8"/>
      <c r="Q262" s="8"/>
      <c r="R262" s="8"/>
      <c r="S262" s="8"/>
      <c r="T262" s="8"/>
      <c r="U262" s="8"/>
      <c r="V262" s="8"/>
      <c r="W262" s="8"/>
      <c r="X262" s="8"/>
      <c r="Y262" s="8"/>
      <c r="Z262" s="8"/>
      <c r="AA262" s="8"/>
      <c r="AB262" s="8"/>
      <c r="AC262" s="8"/>
      <c r="AD262" s="8"/>
    </row>
    <row r="263">
      <c r="A263" s="169" t="s">
        <v>1321</v>
      </c>
      <c r="B263" s="169" t="s">
        <v>647</v>
      </c>
      <c r="C263" s="170" t="s">
        <v>1322</v>
      </c>
      <c r="D263" s="170" t="s">
        <v>2610</v>
      </c>
      <c r="E263" s="171" t="s">
        <v>2611</v>
      </c>
      <c r="F263" s="171" t="s">
        <v>2612</v>
      </c>
      <c r="G263" s="170" t="s">
        <v>2613</v>
      </c>
      <c r="H263" s="170" t="s">
        <v>2613</v>
      </c>
      <c r="I263" s="172" t="s">
        <v>1405</v>
      </c>
      <c r="J263" s="173" t="s">
        <v>16</v>
      </c>
      <c r="K263" s="174"/>
      <c r="L263" s="175"/>
      <c r="M263" s="8"/>
      <c r="N263" s="8"/>
      <c r="O263" s="8"/>
      <c r="P263" s="8"/>
      <c r="Q263" s="8"/>
      <c r="R263" s="8"/>
      <c r="S263" s="8"/>
      <c r="T263" s="8"/>
      <c r="U263" s="8"/>
      <c r="V263" s="8"/>
      <c r="W263" s="8"/>
      <c r="X263" s="8"/>
      <c r="Y263" s="8"/>
      <c r="Z263" s="8"/>
      <c r="AA263" s="8"/>
      <c r="AB263" s="8"/>
      <c r="AC263" s="8"/>
      <c r="AD263" s="8"/>
    </row>
    <row r="264">
      <c r="A264" s="169" t="s">
        <v>1323</v>
      </c>
      <c r="B264" s="169" t="s">
        <v>647</v>
      </c>
      <c r="C264" s="170" t="s">
        <v>1324</v>
      </c>
      <c r="D264" s="170" t="s">
        <v>2614</v>
      </c>
      <c r="E264" s="176" t="s">
        <v>2615</v>
      </c>
      <c r="F264" s="176" t="s">
        <v>2616</v>
      </c>
      <c r="G264" s="170" t="s">
        <v>2617</v>
      </c>
      <c r="H264" s="170" t="s">
        <v>2617</v>
      </c>
      <c r="I264" s="179" t="s">
        <v>1416</v>
      </c>
      <c r="J264" s="178" t="s">
        <v>16</v>
      </c>
      <c r="K264" s="174"/>
      <c r="L264" s="175"/>
      <c r="M264" s="8"/>
      <c r="N264" s="8"/>
      <c r="O264" s="8"/>
      <c r="P264" s="8"/>
      <c r="Q264" s="8"/>
      <c r="R264" s="8"/>
      <c r="S264" s="8"/>
      <c r="T264" s="8"/>
      <c r="U264" s="8"/>
      <c r="V264" s="8"/>
      <c r="W264" s="8"/>
      <c r="X264" s="8"/>
      <c r="Y264" s="8"/>
      <c r="Z264" s="8"/>
      <c r="AA264" s="8"/>
      <c r="AB264" s="8"/>
      <c r="AC264" s="8"/>
      <c r="AD264" s="8"/>
    </row>
    <row r="265">
      <c r="A265" s="169" t="s">
        <v>1326</v>
      </c>
      <c r="B265" s="169" t="s">
        <v>651</v>
      </c>
      <c r="C265" s="170" t="s">
        <v>1327</v>
      </c>
      <c r="D265" s="187" t="s">
        <v>2618</v>
      </c>
      <c r="E265" s="171" t="s">
        <v>2619</v>
      </c>
      <c r="F265" s="171" t="s">
        <v>2620</v>
      </c>
      <c r="G265" s="187" t="s">
        <v>2621</v>
      </c>
      <c r="H265" s="187" t="s">
        <v>2622</v>
      </c>
      <c r="I265" s="177" t="s">
        <v>1405</v>
      </c>
      <c r="J265" s="173" t="s">
        <v>11</v>
      </c>
      <c r="K265" s="170" t="s">
        <v>2623</v>
      </c>
      <c r="L265" s="175"/>
      <c r="M265" s="8"/>
      <c r="N265" s="8"/>
      <c r="O265" s="8"/>
      <c r="P265" s="8"/>
      <c r="Q265" s="8"/>
      <c r="R265" s="8"/>
      <c r="S265" s="8"/>
      <c r="T265" s="8"/>
      <c r="U265" s="8"/>
      <c r="V265" s="8"/>
      <c r="W265" s="8"/>
      <c r="X265" s="8"/>
      <c r="Y265" s="8"/>
      <c r="Z265" s="8"/>
      <c r="AA265" s="8"/>
      <c r="AB265" s="8"/>
      <c r="AC265" s="8"/>
      <c r="AD265" s="8"/>
    </row>
    <row r="266">
      <c r="A266" s="169" t="s">
        <v>1328</v>
      </c>
      <c r="B266" s="169" t="s">
        <v>651</v>
      </c>
      <c r="C266" s="170" t="s">
        <v>1329</v>
      </c>
      <c r="D266" s="187" t="s">
        <v>2624</v>
      </c>
      <c r="E266" s="176" t="s">
        <v>2625</v>
      </c>
      <c r="F266" s="176" t="s">
        <v>2626</v>
      </c>
      <c r="G266" s="187" t="s">
        <v>2627</v>
      </c>
      <c r="H266" s="187" t="s">
        <v>2627</v>
      </c>
      <c r="I266" s="172" t="s">
        <v>1411</v>
      </c>
      <c r="J266" s="178" t="s">
        <v>16</v>
      </c>
      <c r="K266" s="197"/>
      <c r="L266" s="175"/>
      <c r="M266" s="8"/>
      <c r="N266" s="8"/>
      <c r="O266" s="8"/>
      <c r="P266" s="8"/>
      <c r="Q266" s="8"/>
      <c r="R266" s="8"/>
      <c r="S266" s="8"/>
      <c r="T266" s="8"/>
      <c r="U266" s="8"/>
      <c r="V266" s="8"/>
      <c r="W266" s="8"/>
      <c r="X266" s="8"/>
      <c r="Y266" s="8"/>
      <c r="Z266" s="8"/>
      <c r="AA266" s="8"/>
      <c r="AB266" s="8"/>
      <c r="AC266" s="8"/>
      <c r="AD266" s="8"/>
    </row>
    <row r="267">
      <c r="A267" s="169" t="s">
        <v>1330</v>
      </c>
      <c r="B267" s="169" t="s">
        <v>651</v>
      </c>
      <c r="C267" s="170" t="s">
        <v>1331</v>
      </c>
      <c r="D267" s="187" t="s">
        <v>2628</v>
      </c>
      <c r="E267" s="171" t="s">
        <v>2629</v>
      </c>
      <c r="F267" s="171" t="s">
        <v>2630</v>
      </c>
      <c r="G267" s="187" t="s">
        <v>2631</v>
      </c>
      <c r="H267" s="187" t="s">
        <v>2631</v>
      </c>
      <c r="I267" s="172" t="s">
        <v>1411</v>
      </c>
      <c r="J267" s="173" t="s">
        <v>16</v>
      </c>
      <c r="K267" s="197"/>
      <c r="L267" s="175"/>
      <c r="M267" s="8"/>
      <c r="N267" s="8"/>
      <c r="O267" s="8"/>
      <c r="P267" s="8"/>
      <c r="Q267" s="8"/>
      <c r="R267" s="8"/>
      <c r="S267" s="8"/>
      <c r="T267" s="8"/>
      <c r="U267" s="8"/>
      <c r="V267" s="8"/>
      <c r="W267" s="8"/>
      <c r="X267" s="8"/>
      <c r="Y267" s="8"/>
      <c r="Z267" s="8"/>
      <c r="AA267" s="8"/>
      <c r="AB267" s="8"/>
      <c r="AC267" s="8"/>
      <c r="AD267" s="8"/>
    </row>
    <row r="268">
      <c r="A268" s="169" t="s">
        <v>1333</v>
      </c>
      <c r="B268" s="169" t="s">
        <v>655</v>
      </c>
      <c r="C268" s="170" t="s">
        <v>1334</v>
      </c>
      <c r="D268" s="170" t="s">
        <v>2632</v>
      </c>
      <c r="E268" s="176" t="s">
        <v>2633</v>
      </c>
      <c r="F268" s="176" t="s">
        <v>2634</v>
      </c>
      <c r="G268" s="170" t="s">
        <v>2635</v>
      </c>
      <c r="H268" s="170" t="s">
        <v>2635</v>
      </c>
      <c r="I268" s="172" t="s">
        <v>1405</v>
      </c>
      <c r="J268" s="178" t="s">
        <v>16</v>
      </c>
      <c r="K268" s="174"/>
      <c r="L268" s="175"/>
      <c r="M268" s="8"/>
      <c r="N268" s="8"/>
      <c r="O268" s="8"/>
      <c r="P268" s="8"/>
      <c r="Q268" s="8"/>
      <c r="R268" s="8"/>
      <c r="S268" s="8"/>
      <c r="T268" s="8"/>
      <c r="U268" s="8"/>
      <c r="V268" s="8"/>
      <c r="W268" s="8"/>
      <c r="X268" s="8"/>
      <c r="Y268" s="8"/>
      <c r="Z268" s="8"/>
      <c r="AA268" s="8"/>
      <c r="AB268" s="8"/>
      <c r="AC268" s="8"/>
      <c r="AD268" s="8"/>
    </row>
    <row r="269">
      <c r="A269" s="169" t="s">
        <v>1335</v>
      </c>
      <c r="B269" s="169" t="s">
        <v>655</v>
      </c>
      <c r="C269" s="170" t="s">
        <v>1336</v>
      </c>
      <c r="D269" s="170" t="s">
        <v>2636</v>
      </c>
      <c r="E269" s="171" t="s">
        <v>2637</v>
      </c>
      <c r="F269" s="171" t="s">
        <v>2638</v>
      </c>
      <c r="G269" s="170" t="s">
        <v>2639</v>
      </c>
      <c r="H269" s="170" t="s">
        <v>2639</v>
      </c>
      <c r="I269" s="179" t="s">
        <v>1416</v>
      </c>
      <c r="J269" s="173" t="s">
        <v>16</v>
      </c>
      <c r="K269" s="174"/>
      <c r="L269" s="175"/>
      <c r="M269" s="8"/>
      <c r="N269" s="8"/>
      <c r="O269" s="8"/>
      <c r="P269" s="8"/>
      <c r="Q269" s="8"/>
      <c r="R269" s="8"/>
      <c r="S269" s="8"/>
      <c r="T269" s="8"/>
      <c r="U269" s="8"/>
      <c r="V269" s="8"/>
      <c r="W269" s="8"/>
      <c r="X269" s="8"/>
      <c r="Y269" s="8"/>
      <c r="Z269" s="8"/>
      <c r="AA269" s="8"/>
      <c r="AB269" s="8"/>
      <c r="AC269" s="8"/>
      <c r="AD269" s="8"/>
    </row>
    <row r="270">
      <c r="A270" s="169" t="s">
        <v>1337</v>
      </c>
      <c r="B270" s="169" t="s">
        <v>655</v>
      </c>
      <c r="C270" s="170" t="s">
        <v>1338</v>
      </c>
      <c r="D270" s="170" t="s">
        <v>2640</v>
      </c>
      <c r="E270" s="176" t="s">
        <v>2641</v>
      </c>
      <c r="F270" s="176" t="s">
        <v>2642</v>
      </c>
      <c r="G270" s="170" t="s">
        <v>2643</v>
      </c>
      <c r="H270" s="170" t="s">
        <v>2643</v>
      </c>
      <c r="I270" s="179" t="s">
        <v>1416</v>
      </c>
      <c r="J270" s="178" t="s">
        <v>16</v>
      </c>
      <c r="K270" s="174"/>
      <c r="L270" s="175"/>
      <c r="M270" s="8"/>
      <c r="N270" s="8"/>
      <c r="O270" s="8"/>
      <c r="P270" s="8"/>
      <c r="Q270" s="8"/>
      <c r="R270" s="8"/>
      <c r="S270" s="8"/>
      <c r="T270" s="8"/>
      <c r="U270" s="8"/>
      <c r="V270" s="8"/>
      <c r="W270" s="8"/>
      <c r="X270" s="8"/>
      <c r="Y270" s="8"/>
      <c r="Z270" s="8"/>
      <c r="AA270" s="8"/>
      <c r="AB270" s="8"/>
      <c r="AC270" s="8"/>
      <c r="AD270" s="8"/>
    </row>
    <row r="271">
      <c r="A271" s="169" t="s">
        <v>1340</v>
      </c>
      <c r="B271" s="169" t="s">
        <v>659</v>
      </c>
      <c r="C271" s="170" t="s">
        <v>1341</v>
      </c>
      <c r="D271" s="170" t="s">
        <v>2644</v>
      </c>
      <c r="E271" s="171" t="s">
        <v>2645</v>
      </c>
      <c r="F271" s="171" t="s">
        <v>2646</v>
      </c>
      <c r="G271" s="170" t="s">
        <v>2647</v>
      </c>
      <c r="H271" s="170" t="s">
        <v>2648</v>
      </c>
      <c r="I271" s="177" t="s">
        <v>1411</v>
      </c>
      <c r="J271" s="173" t="s">
        <v>11</v>
      </c>
      <c r="K271" s="170" t="s">
        <v>2649</v>
      </c>
      <c r="L271" s="175"/>
      <c r="M271" s="8"/>
      <c r="N271" s="8"/>
      <c r="O271" s="8"/>
      <c r="P271" s="8"/>
      <c r="Q271" s="8"/>
      <c r="R271" s="8"/>
      <c r="S271" s="8"/>
      <c r="T271" s="8"/>
      <c r="U271" s="8"/>
      <c r="V271" s="8"/>
      <c r="W271" s="8"/>
      <c r="X271" s="8"/>
      <c r="Y271" s="8"/>
      <c r="Z271" s="8"/>
      <c r="AA271" s="8"/>
      <c r="AB271" s="8"/>
      <c r="AC271" s="8"/>
      <c r="AD271" s="8"/>
    </row>
    <row r="272">
      <c r="A272" s="169" t="s">
        <v>1342</v>
      </c>
      <c r="B272" s="169" t="s">
        <v>659</v>
      </c>
      <c r="C272" s="170" t="s">
        <v>2650</v>
      </c>
      <c r="D272" s="170" t="s">
        <v>2651</v>
      </c>
      <c r="E272" s="176" t="s">
        <v>2652</v>
      </c>
      <c r="F272" s="176" t="s">
        <v>2653</v>
      </c>
      <c r="G272" s="170" t="s">
        <v>2654</v>
      </c>
      <c r="H272" s="170" t="s">
        <v>2655</v>
      </c>
      <c r="I272" s="179" t="s">
        <v>1416</v>
      </c>
      <c r="J272" s="178" t="s">
        <v>11</v>
      </c>
      <c r="K272" s="170" t="s">
        <v>2656</v>
      </c>
      <c r="L272" s="175"/>
      <c r="M272" s="8"/>
      <c r="N272" s="8"/>
      <c r="O272" s="8"/>
      <c r="P272" s="8"/>
      <c r="Q272" s="8"/>
      <c r="R272" s="8"/>
      <c r="S272" s="8"/>
      <c r="T272" s="8"/>
      <c r="U272" s="8"/>
      <c r="V272" s="8"/>
      <c r="W272" s="8"/>
      <c r="X272" s="8"/>
      <c r="Y272" s="8"/>
      <c r="Z272" s="8"/>
      <c r="AA272" s="8"/>
      <c r="AB272" s="8"/>
      <c r="AC272" s="8"/>
      <c r="AD272" s="8"/>
    </row>
    <row r="273">
      <c r="A273" s="169" t="s">
        <v>1345</v>
      </c>
      <c r="B273" s="169" t="s">
        <v>665</v>
      </c>
      <c r="C273" s="170" t="s">
        <v>1346</v>
      </c>
      <c r="D273" s="170" t="s">
        <v>2657</v>
      </c>
      <c r="E273" s="171" t="s">
        <v>2658</v>
      </c>
      <c r="F273" s="176" t="s">
        <v>2659</v>
      </c>
      <c r="G273" s="170" t="s">
        <v>2660</v>
      </c>
      <c r="H273" s="170" t="s">
        <v>2660</v>
      </c>
      <c r="I273" s="172" t="s">
        <v>1405</v>
      </c>
      <c r="J273" s="173" t="s">
        <v>16</v>
      </c>
      <c r="K273" s="174"/>
      <c r="L273" s="175"/>
      <c r="M273" s="8"/>
      <c r="N273" s="8"/>
      <c r="O273" s="8"/>
      <c r="P273" s="8"/>
      <c r="Q273" s="8"/>
      <c r="R273" s="8"/>
      <c r="S273" s="8"/>
      <c r="T273" s="8"/>
      <c r="U273" s="8"/>
      <c r="V273" s="8"/>
      <c r="W273" s="8"/>
      <c r="X273" s="8"/>
      <c r="Y273" s="8"/>
      <c r="Z273" s="8"/>
      <c r="AA273" s="8"/>
      <c r="AB273" s="8"/>
      <c r="AC273" s="8"/>
      <c r="AD273" s="8"/>
    </row>
    <row r="274">
      <c r="A274" s="169" t="s">
        <v>1347</v>
      </c>
      <c r="B274" s="169" t="s">
        <v>665</v>
      </c>
      <c r="C274" s="170" t="s">
        <v>1348</v>
      </c>
      <c r="D274" s="170" t="s">
        <v>2661</v>
      </c>
      <c r="E274" s="176" t="s">
        <v>2662</v>
      </c>
      <c r="F274" s="176" t="s">
        <v>2663</v>
      </c>
      <c r="G274" s="170" t="s">
        <v>2664</v>
      </c>
      <c r="H274" s="170" t="s">
        <v>2664</v>
      </c>
      <c r="I274" s="177" t="s">
        <v>1411</v>
      </c>
      <c r="J274" s="178" t="s">
        <v>16</v>
      </c>
      <c r="K274" s="174"/>
      <c r="L274" s="175"/>
      <c r="M274" s="8"/>
      <c r="N274" s="8"/>
      <c r="O274" s="8"/>
      <c r="P274" s="8"/>
      <c r="Q274" s="8"/>
      <c r="R274" s="8"/>
      <c r="S274" s="8"/>
      <c r="T274" s="8"/>
      <c r="U274" s="8"/>
      <c r="V274" s="8"/>
      <c r="W274" s="8"/>
      <c r="X274" s="8"/>
      <c r="Y274" s="8"/>
      <c r="Z274" s="8"/>
      <c r="AA274" s="8"/>
      <c r="AB274" s="8"/>
      <c r="AC274" s="8"/>
      <c r="AD274" s="8"/>
    </row>
    <row r="275">
      <c r="A275" s="169" t="s">
        <v>1350</v>
      </c>
      <c r="B275" s="169" t="s">
        <v>669</v>
      </c>
      <c r="C275" s="170" t="s">
        <v>1351</v>
      </c>
      <c r="D275" s="170" t="s">
        <v>2665</v>
      </c>
      <c r="E275" s="171" t="s">
        <v>2666</v>
      </c>
      <c r="F275" s="171" t="s">
        <v>2667</v>
      </c>
      <c r="G275" s="170" t="s">
        <v>2668</v>
      </c>
      <c r="H275" s="170" t="s">
        <v>2668</v>
      </c>
      <c r="I275" s="172" t="s">
        <v>1405</v>
      </c>
      <c r="J275" s="173" t="s">
        <v>16</v>
      </c>
      <c r="K275" s="174"/>
      <c r="L275" s="175"/>
      <c r="M275" s="8"/>
      <c r="N275" s="8"/>
      <c r="O275" s="8"/>
      <c r="P275" s="8"/>
      <c r="Q275" s="8"/>
      <c r="R275" s="8"/>
      <c r="S275" s="8"/>
      <c r="T275" s="8"/>
      <c r="U275" s="8"/>
      <c r="V275" s="8"/>
      <c r="W275" s="8"/>
      <c r="X275" s="8"/>
      <c r="Y275" s="8"/>
      <c r="Z275" s="8"/>
      <c r="AA275" s="8"/>
      <c r="AB275" s="8"/>
      <c r="AC275" s="8"/>
      <c r="AD275" s="8"/>
    </row>
    <row r="276">
      <c r="A276" s="169" t="s">
        <v>1352</v>
      </c>
      <c r="B276" s="169" t="s">
        <v>669</v>
      </c>
      <c r="C276" s="170" t="s">
        <v>1353</v>
      </c>
      <c r="D276" s="170" t="s">
        <v>2669</v>
      </c>
      <c r="E276" s="176" t="s">
        <v>2670</v>
      </c>
      <c r="F276" s="176" t="s">
        <v>2671</v>
      </c>
      <c r="G276" s="170" t="s">
        <v>2672</v>
      </c>
      <c r="H276" s="170" t="s">
        <v>2672</v>
      </c>
      <c r="I276" s="172" t="s">
        <v>1405</v>
      </c>
      <c r="J276" s="178" t="s">
        <v>16</v>
      </c>
      <c r="K276" s="174"/>
      <c r="L276" s="175"/>
      <c r="M276" s="8"/>
      <c r="N276" s="8"/>
      <c r="O276" s="8"/>
      <c r="P276" s="8"/>
      <c r="Q276" s="8"/>
      <c r="R276" s="8"/>
      <c r="S276" s="8"/>
      <c r="T276" s="8"/>
      <c r="U276" s="8"/>
      <c r="V276" s="8"/>
      <c r="W276" s="8"/>
      <c r="X276" s="8"/>
      <c r="Y276" s="8"/>
      <c r="Z276" s="8"/>
      <c r="AA276" s="8"/>
      <c r="AB276" s="8"/>
      <c r="AC276" s="8"/>
      <c r="AD276" s="8"/>
    </row>
    <row r="277">
      <c r="A277" s="169" t="s">
        <v>1354</v>
      </c>
      <c r="B277" s="169" t="s">
        <v>669</v>
      </c>
      <c r="C277" s="170" t="s">
        <v>1355</v>
      </c>
      <c r="D277" s="170" t="s">
        <v>2673</v>
      </c>
      <c r="E277" s="171" t="s">
        <v>2674</v>
      </c>
      <c r="F277" s="171" t="s">
        <v>2675</v>
      </c>
      <c r="G277" s="170" t="s">
        <v>2676</v>
      </c>
      <c r="H277" s="170" t="s">
        <v>2676</v>
      </c>
      <c r="I277" s="172" t="s">
        <v>1405</v>
      </c>
      <c r="J277" s="173" t="s">
        <v>16</v>
      </c>
      <c r="K277" s="174"/>
      <c r="L277" s="175"/>
      <c r="M277" s="8"/>
      <c r="N277" s="8"/>
      <c r="O277" s="8"/>
      <c r="P277" s="8"/>
      <c r="Q277" s="8"/>
      <c r="R277" s="8"/>
      <c r="S277" s="8"/>
      <c r="T277" s="8"/>
      <c r="U277" s="8"/>
      <c r="V277" s="8"/>
      <c r="W277" s="8"/>
      <c r="X277" s="8"/>
      <c r="Y277" s="8"/>
      <c r="Z277" s="8"/>
      <c r="AA277" s="8"/>
      <c r="AB277" s="8"/>
      <c r="AC277" s="8"/>
      <c r="AD277" s="8"/>
    </row>
    <row r="278">
      <c r="A278" s="169" t="s">
        <v>1357</v>
      </c>
      <c r="B278" s="169" t="s">
        <v>673</v>
      </c>
      <c r="C278" s="170" t="s">
        <v>1358</v>
      </c>
      <c r="D278" s="170" t="s">
        <v>2677</v>
      </c>
      <c r="E278" s="176" t="s">
        <v>2678</v>
      </c>
      <c r="F278" s="176" t="s">
        <v>2679</v>
      </c>
      <c r="G278" s="170" t="s">
        <v>2680</v>
      </c>
      <c r="H278" s="170" t="s">
        <v>2680</v>
      </c>
      <c r="I278" s="177" t="s">
        <v>1411</v>
      </c>
      <c r="J278" s="178" t="s">
        <v>16</v>
      </c>
      <c r="K278" s="174"/>
      <c r="L278" s="175"/>
      <c r="M278" s="8"/>
      <c r="N278" s="8"/>
      <c r="O278" s="8"/>
      <c r="P278" s="8"/>
      <c r="Q278" s="8"/>
      <c r="R278" s="8"/>
      <c r="S278" s="8"/>
      <c r="T278" s="8"/>
      <c r="U278" s="8"/>
      <c r="V278" s="8"/>
      <c r="W278" s="8"/>
      <c r="X278" s="8"/>
      <c r="Y278" s="8"/>
      <c r="Z278" s="8"/>
      <c r="AA278" s="8"/>
      <c r="AB278" s="8"/>
      <c r="AC278" s="8"/>
      <c r="AD278" s="8"/>
    </row>
    <row r="279">
      <c r="A279" s="169" t="s">
        <v>1359</v>
      </c>
      <c r="B279" s="169" t="s">
        <v>673</v>
      </c>
      <c r="C279" s="170" t="s">
        <v>1360</v>
      </c>
      <c r="D279" s="170" t="s">
        <v>2681</v>
      </c>
      <c r="E279" s="171" t="s">
        <v>2682</v>
      </c>
      <c r="F279" s="171" t="s">
        <v>2683</v>
      </c>
      <c r="G279" s="170" t="s">
        <v>2684</v>
      </c>
      <c r="H279" s="170" t="s">
        <v>2684</v>
      </c>
      <c r="I279" s="177" t="s">
        <v>1411</v>
      </c>
      <c r="J279" s="173" t="s">
        <v>16</v>
      </c>
      <c r="K279" s="174"/>
      <c r="L279" s="175"/>
      <c r="M279" s="8"/>
      <c r="N279" s="8"/>
      <c r="O279" s="8"/>
      <c r="P279" s="8"/>
      <c r="Q279" s="8"/>
      <c r="R279" s="8"/>
      <c r="S279" s="8"/>
      <c r="T279" s="8"/>
      <c r="U279" s="8"/>
      <c r="V279" s="8"/>
      <c r="W279" s="8"/>
      <c r="X279" s="8"/>
      <c r="Y279" s="8"/>
      <c r="Z279" s="8"/>
      <c r="AA279" s="8"/>
      <c r="AB279" s="8"/>
      <c r="AC279" s="8"/>
      <c r="AD279" s="8"/>
    </row>
    <row r="280">
      <c r="A280" s="169" t="s">
        <v>1362</v>
      </c>
      <c r="B280" s="169" t="s">
        <v>677</v>
      </c>
      <c r="C280" s="170" t="s">
        <v>1363</v>
      </c>
      <c r="D280" s="170" t="s">
        <v>2685</v>
      </c>
      <c r="E280" s="176" t="s">
        <v>2686</v>
      </c>
      <c r="F280" s="176" t="s">
        <v>2687</v>
      </c>
      <c r="G280" s="170" t="s">
        <v>2688</v>
      </c>
      <c r="H280" s="170" t="s">
        <v>2688</v>
      </c>
      <c r="I280" s="172" t="s">
        <v>1405</v>
      </c>
      <c r="J280" s="178" t="s">
        <v>16</v>
      </c>
      <c r="K280" s="174"/>
      <c r="L280" s="175"/>
      <c r="M280" s="8"/>
      <c r="N280" s="8"/>
      <c r="O280" s="8"/>
      <c r="P280" s="8"/>
      <c r="Q280" s="8"/>
      <c r="R280" s="8"/>
      <c r="S280" s="8"/>
      <c r="T280" s="8"/>
      <c r="U280" s="8"/>
      <c r="V280" s="8"/>
      <c r="W280" s="8"/>
      <c r="X280" s="8"/>
      <c r="Y280" s="8"/>
      <c r="Z280" s="8"/>
      <c r="AA280" s="8"/>
      <c r="AB280" s="8"/>
      <c r="AC280" s="8"/>
      <c r="AD280" s="8"/>
    </row>
    <row r="281">
      <c r="A281" s="169" t="s">
        <v>1364</v>
      </c>
      <c r="B281" s="169" t="s">
        <v>677</v>
      </c>
      <c r="C281" s="170" t="s">
        <v>1365</v>
      </c>
      <c r="D281" s="170" t="s">
        <v>2689</v>
      </c>
      <c r="E281" s="171" t="s">
        <v>2690</v>
      </c>
      <c r="F281" s="171" t="s">
        <v>2691</v>
      </c>
      <c r="G281" s="170" t="s">
        <v>2692</v>
      </c>
      <c r="H281" s="170" t="s">
        <v>2692</v>
      </c>
      <c r="I281" s="172" t="s">
        <v>1405</v>
      </c>
      <c r="J281" s="173" t="s">
        <v>16</v>
      </c>
      <c r="K281" s="174"/>
      <c r="L281" s="175"/>
      <c r="M281" s="8"/>
      <c r="N281" s="8"/>
      <c r="O281" s="8"/>
      <c r="P281" s="8"/>
      <c r="Q281" s="8"/>
      <c r="R281" s="8"/>
      <c r="S281" s="8"/>
      <c r="T281" s="8"/>
      <c r="U281" s="8"/>
      <c r="V281" s="8"/>
      <c r="W281" s="8"/>
      <c r="X281" s="8"/>
      <c r="Y281" s="8"/>
      <c r="Z281" s="8"/>
      <c r="AA281" s="8"/>
      <c r="AB281" s="8"/>
      <c r="AC281" s="8"/>
      <c r="AD281" s="8"/>
    </row>
    <row r="282">
      <c r="A282" s="169" t="s">
        <v>1367</v>
      </c>
      <c r="B282" s="169" t="s">
        <v>681</v>
      </c>
      <c r="C282" s="170" t="s">
        <v>1368</v>
      </c>
      <c r="D282" s="170" t="s">
        <v>2693</v>
      </c>
      <c r="E282" s="176" t="s">
        <v>2694</v>
      </c>
      <c r="F282" s="176" t="s">
        <v>2695</v>
      </c>
      <c r="G282" s="170" t="s">
        <v>2696</v>
      </c>
      <c r="H282" s="170" t="s">
        <v>2697</v>
      </c>
      <c r="I282" s="177" t="s">
        <v>1411</v>
      </c>
      <c r="J282" s="178" t="s">
        <v>16</v>
      </c>
      <c r="K282" s="174"/>
      <c r="L282" s="175"/>
      <c r="M282" s="8"/>
      <c r="N282" s="8"/>
      <c r="O282" s="8"/>
      <c r="P282" s="8"/>
      <c r="Q282" s="8"/>
      <c r="R282" s="8"/>
      <c r="S282" s="8"/>
      <c r="T282" s="8"/>
      <c r="U282" s="8"/>
      <c r="V282" s="8"/>
      <c r="W282" s="8"/>
      <c r="X282" s="8"/>
      <c r="Y282" s="8"/>
      <c r="Z282" s="8"/>
      <c r="AA282" s="8"/>
      <c r="AB282" s="8"/>
      <c r="AC282" s="8"/>
      <c r="AD282" s="8"/>
    </row>
    <row r="283">
      <c r="A283" s="169" t="s">
        <v>1369</v>
      </c>
      <c r="B283" s="169" t="s">
        <v>681</v>
      </c>
      <c r="C283" s="170" t="s">
        <v>1370</v>
      </c>
      <c r="D283" s="170" t="s">
        <v>2698</v>
      </c>
      <c r="E283" s="171" t="s">
        <v>2699</v>
      </c>
      <c r="F283" s="171" t="s">
        <v>2700</v>
      </c>
      <c r="G283" s="170" t="s">
        <v>2498</v>
      </c>
      <c r="H283" s="170" t="s">
        <v>2701</v>
      </c>
      <c r="I283" s="177" t="s">
        <v>1411</v>
      </c>
      <c r="J283" s="173" t="s">
        <v>11</v>
      </c>
      <c r="K283" s="170" t="s">
        <v>2702</v>
      </c>
      <c r="L283" s="175"/>
      <c r="M283" s="8"/>
      <c r="N283" s="8"/>
      <c r="O283" s="8"/>
      <c r="P283" s="8"/>
      <c r="Q283" s="8"/>
      <c r="R283" s="8"/>
      <c r="S283" s="8"/>
      <c r="T283" s="8"/>
      <c r="U283" s="8"/>
      <c r="V283" s="8"/>
      <c r="W283" s="8"/>
      <c r="X283" s="8"/>
      <c r="Y283" s="8"/>
      <c r="Z283" s="8"/>
      <c r="AA283" s="8"/>
      <c r="AB283" s="8"/>
      <c r="AC283" s="8"/>
      <c r="AD283" s="8"/>
    </row>
    <row r="284">
      <c r="A284" s="169" t="s">
        <v>1372</v>
      </c>
      <c r="B284" s="169" t="s">
        <v>685</v>
      </c>
      <c r="C284" s="170" t="s">
        <v>1373</v>
      </c>
      <c r="D284" s="170" t="s">
        <v>2703</v>
      </c>
      <c r="E284" s="176" t="s">
        <v>2704</v>
      </c>
      <c r="F284" s="176" t="s">
        <v>2705</v>
      </c>
      <c r="G284" s="170" t="s">
        <v>2706</v>
      </c>
      <c r="H284" s="170" t="s">
        <v>2706</v>
      </c>
      <c r="I284" s="172" t="s">
        <v>1405</v>
      </c>
      <c r="J284" s="178" t="s">
        <v>16</v>
      </c>
      <c r="K284" s="174"/>
      <c r="L284" s="175"/>
      <c r="M284" s="8"/>
      <c r="N284" s="8"/>
      <c r="O284" s="8"/>
      <c r="P284" s="8"/>
      <c r="Q284" s="8"/>
      <c r="R284" s="8"/>
      <c r="S284" s="8"/>
      <c r="T284" s="8"/>
      <c r="U284" s="8"/>
      <c r="V284" s="8"/>
      <c r="W284" s="8"/>
      <c r="X284" s="8"/>
      <c r="Y284" s="8"/>
      <c r="Z284" s="8"/>
      <c r="AA284" s="8"/>
      <c r="AB284" s="8"/>
      <c r="AC284" s="8"/>
      <c r="AD284" s="8"/>
    </row>
    <row r="285">
      <c r="A285" s="169" t="s">
        <v>1374</v>
      </c>
      <c r="B285" s="169" t="s">
        <v>685</v>
      </c>
      <c r="C285" s="170" t="s">
        <v>1375</v>
      </c>
      <c r="D285" s="170" t="s">
        <v>2707</v>
      </c>
      <c r="E285" s="171" t="s">
        <v>2708</v>
      </c>
      <c r="F285" s="171" t="s">
        <v>2707</v>
      </c>
      <c r="G285" s="170" t="s">
        <v>2709</v>
      </c>
      <c r="H285" s="170" t="s">
        <v>2709</v>
      </c>
      <c r="I285" s="177" t="s">
        <v>1411</v>
      </c>
      <c r="J285" s="173" t="s">
        <v>16</v>
      </c>
      <c r="K285" s="174"/>
      <c r="L285" s="175"/>
    </row>
    <row r="286">
      <c r="A286" s="169" t="s">
        <v>1376</v>
      </c>
      <c r="B286" s="169" t="s">
        <v>685</v>
      </c>
      <c r="C286" s="170" t="s">
        <v>1377</v>
      </c>
      <c r="D286" s="170" t="s">
        <v>2710</v>
      </c>
      <c r="E286" s="176" t="s">
        <v>2711</v>
      </c>
      <c r="F286" s="176" t="s">
        <v>2712</v>
      </c>
      <c r="G286" s="170" t="s">
        <v>2713</v>
      </c>
      <c r="H286" s="170" t="s">
        <v>2713</v>
      </c>
      <c r="I286" s="172" t="s">
        <v>1405</v>
      </c>
      <c r="J286" s="178" t="s">
        <v>16</v>
      </c>
      <c r="K286" s="174"/>
      <c r="L286" s="175"/>
    </row>
    <row r="287">
      <c r="A287" s="169" t="s">
        <v>1379</v>
      </c>
      <c r="B287" s="169" t="s">
        <v>689</v>
      </c>
      <c r="C287" s="170" t="s">
        <v>1380</v>
      </c>
      <c r="D287" s="170" t="s">
        <v>2714</v>
      </c>
      <c r="E287" s="171" t="s">
        <v>2715</v>
      </c>
      <c r="F287" s="171" t="s">
        <v>2716</v>
      </c>
      <c r="G287" s="170" t="s">
        <v>2717</v>
      </c>
      <c r="H287" s="170" t="s">
        <v>2718</v>
      </c>
      <c r="I287" s="177" t="s">
        <v>1411</v>
      </c>
      <c r="J287" s="173" t="s">
        <v>11</v>
      </c>
      <c r="K287" s="170" t="s">
        <v>2719</v>
      </c>
      <c r="L287" s="175"/>
    </row>
    <row r="288">
      <c r="A288" s="169" t="s">
        <v>1381</v>
      </c>
      <c r="B288" s="169" t="s">
        <v>689</v>
      </c>
      <c r="C288" s="170" t="s">
        <v>1382</v>
      </c>
      <c r="D288" s="170" t="s">
        <v>2720</v>
      </c>
      <c r="E288" s="176" t="s">
        <v>2721</v>
      </c>
      <c r="F288" s="176" t="s">
        <v>2722</v>
      </c>
      <c r="G288" s="170" t="s">
        <v>2723</v>
      </c>
      <c r="H288" s="170" t="s">
        <v>2723</v>
      </c>
      <c r="I288" s="172" t="s">
        <v>1405</v>
      </c>
      <c r="J288" s="178" t="s">
        <v>16</v>
      </c>
      <c r="K288" s="174"/>
      <c r="L288" s="175"/>
    </row>
    <row r="289">
      <c r="E289" s="198"/>
      <c r="F289" s="198"/>
      <c r="I289" s="199"/>
      <c r="J289" s="200"/>
    </row>
    <row r="290">
      <c r="E290" s="198"/>
      <c r="F290" s="198"/>
      <c r="I290" s="199"/>
      <c r="J290" s="200"/>
    </row>
    <row r="291">
      <c r="A291" s="157" t="s">
        <v>1383</v>
      </c>
      <c r="B291" s="158"/>
      <c r="C291" s="159"/>
      <c r="E291" s="198"/>
      <c r="F291" s="198"/>
      <c r="I291" s="199"/>
      <c r="J291" s="200"/>
    </row>
    <row r="292">
      <c r="A292" s="201" t="s">
        <v>2724</v>
      </c>
      <c r="B292" s="60"/>
      <c r="C292" s="163">
        <f>COUNTA(A3:A288)</f>
        <v>286</v>
      </c>
      <c r="E292" s="198"/>
      <c r="F292" s="198"/>
      <c r="I292" s="199"/>
      <c r="J292" s="200"/>
    </row>
    <row r="293">
      <c r="A293" s="201" t="s">
        <v>16</v>
      </c>
      <c r="B293" s="60"/>
      <c r="C293" s="164">
        <f>COUNTIF(J3:J288, "Pass")</f>
        <v>268</v>
      </c>
      <c r="E293" s="198"/>
      <c r="F293" s="198"/>
      <c r="I293" s="199"/>
      <c r="J293" s="200"/>
    </row>
    <row r="294">
      <c r="A294" s="201" t="s">
        <v>11</v>
      </c>
      <c r="B294" s="60"/>
      <c r="C294" s="164">
        <f>COUNTIF(J3:J288, "Fail")</f>
        <v>18</v>
      </c>
      <c r="E294" s="198"/>
      <c r="F294" s="198"/>
      <c r="I294" s="199"/>
      <c r="J294" s="200"/>
    </row>
    <row r="295">
      <c r="A295" s="201" t="s">
        <v>2725</v>
      </c>
      <c r="B295" s="60"/>
      <c r="C295" s="164">
        <f>COUNTIF(J4:J289, "Blocked")</f>
        <v>0</v>
      </c>
      <c r="E295" s="198"/>
      <c r="F295" s="198"/>
      <c r="I295" s="199"/>
      <c r="J295" s="200"/>
    </row>
    <row r="296">
      <c r="A296" s="201" t="s">
        <v>2726</v>
      </c>
      <c r="B296" s="60"/>
      <c r="C296" s="163">
        <f>COUNTIF(J3:J288, "Untested")</f>
        <v>0</v>
      </c>
      <c r="E296" s="198"/>
      <c r="F296" s="198"/>
      <c r="I296" s="199"/>
      <c r="J296" s="200"/>
    </row>
    <row r="297">
      <c r="A297" s="202" t="s">
        <v>1387</v>
      </c>
      <c r="B297" s="7"/>
      <c r="C297" s="165">
        <f>(C293+C294+C295)/$C$292</f>
        <v>1</v>
      </c>
      <c r="E297" s="198"/>
      <c r="F297" s="198"/>
      <c r="I297" s="199"/>
      <c r="J297" s="200"/>
    </row>
    <row r="298">
      <c r="A298" s="203"/>
      <c r="C298" s="204"/>
      <c r="E298" s="198"/>
      <c r="F298" s="198"/>
      <c r="I298" s="199"/>
      <c r="J298" s="200"/>
    </row>
    <row r="299">
      <c r="A299" s="203"/>
      <c r="C299" s="204"/>
      <c r="E299" s="198"/>
      <c r="F299" s="198"/>
      <c r="I299" s="199"/>
      <c r="J299" s="200"/>
    </row>
    <row r="300">
      <c r="E300" s="198"/>
      <c r="F300" s="198"/>
      <c r="I300" s="199"/>
      <c r="J300" s="200"/>
    </row>
    <row r="301">
      <c r="E301" s="198"/>
      <c r="F301" s="198"/>
      <c r="I301" s="199"/>
      <c r="J301" s="200"/>
    </row>
    <row r="302">
      <c r="E302" s="198"/>
      <c r="F302" s="198"/>
      <c r="I302" s="199"/>
      <c r="J302" s="200"/>
    </row>
    <row r="303">
      <c r="E303" s="198"/>
      <c r="F303" s="198"/>
      <c r="I303" s="199"/>
      <c r="J303" s="200"/>
    </row>
    <row r="304">
      <c r="E304" s="198"/>
      <c r="F304" s="198"/>
      <c r="I304" s="199"/>
      <c r="J304" s="200"/>
    </row>
    <row r="305">
      <c r="E305" s="198"/>
      <c r="F305" s="198"/>
      <c r="I305" s="199"/>
      <c r="J305" s="200"/>
    </row>
    <row r="306">
      <c r="E306" s="198"/>
      <c r="F306" s="198"/>
      <c r="I306" s="199"/>
      <c r="J306" s="200"/>
    </row>
    <row r="307">
      <c r="E307" s="198"/>
      <c r="F307" s="198"/>
      <c r="I307" s="199"/>
      <c r="J307" s="200"/>
    </row>
    <row r="308">
      <c r="E308" s="198"/>
      <c r="F308" s="198"/>
      <c r="I308" s="199"/>
      <c r="J308" s="200"/>
    </row>
    <row r="309">
      <c r="E309" s="198"/>
      <c r="F309" s="198"/>
      <c r="I309" s="199"/>
      <c r="J309" s="200"/>
    </row>
    <row r="310">
      <c r="E310" s="198"/>
      <c r="F310" s="198"/>
      <c r="I310" s="199"/>
      <c r="J310" s="200"/>
    </row>
    <row r="311">
      <c r="E311" s="198"/>
      <c r="F311" s="198"/>
      <c r="I311" s="199"/>
      <c r="J311" s="200"/>
    </row>
    <row r="312">
      <c r="E312" s="198"/>
      <c r="F312" s="198"/>
      <c r="I312" s="199"/>
      <c r="J312" s="200"/>
    </row>
    <row r="313">
      <c r="E313" s="198"/>
      <c r="F313" s="198"/>
      <c r="I313" s="199"/>
      <c r="J313" s="200"/>
    </row>
    <row r="314">
      <c r="E314" s="198"/>
      <c r="F314" s="198"/>
      <c r="I314" s="199"/>
      <c r="J314" s="200"/>
    </row>
    <row r="315">
      <c r="E315" s="198"/>
      <c r="F315" s="198"/>
      <c r="I315" s="199"/>
      <c r="J315" s="200"/>
    </row>
    <row r="316">
      <c r="E316" s="198"/>
      <c r="F316" s="198"/>
      <c r="I316" s="199"/>
      <c r="J316" s="200"/>
    </row>
    <row r="317">
      <c r="E317" s="198"/>
      <c r="F317" s="198"/>
      <c r="I317" s="199"/>
      <c r="J317" s="200"/>
    </row>
    <row r="318">
      <c r="E318" s="198"/>
      <c r="F318" s="198"/>
      <c r="I318" s="199"/>
      <c r="J318" s="200"/>
    </row>
    <row r="319">
      <c r="E319" s="198"/>
      <c r="F319" s="198"/>
      <c r="I319" s="199"/>
      <c r="J319" s="200"/>
    </row>
    <row r="320">
      <c r="E320" s="198"/>
      <c r="F320" s="198"/>
      <c r="I320" s="199"/>
      <c r="J320" s="200"/>
    </row>
    <row r="321">
      <c r="E321" s="198"/>
      <c r="F321" s="198"/>
      <c r="I321" s="199"/>
      <c r="J321" s="200"/>
    </row>
    <row r="322">
      <c r="E322" s="198"/>
      <c r="F322" s="198"/>
      <c r="I322" s="199"/>
      <c r="J322" s="200"/>
    </row>
    <row r="323">
      <c r="E323" s="198"/>
      <c r="F323" s="198"/>
      <c r="I323" s="199"/>
      <c r="J323" s="200"/>
    </row>
    <row r="324">
      <c r="E324" s="198"/>
      <c r="F324" s="198"/>
      <c r="I324" s="199"/>
      <c r="J324" s="200"/>
    </row>
    <row r="325">
      <c r="E325" s="198"/>
      <c r="F325" s="198"/>
      <c r="I325" s="199"/>
      <c r="J325" s="200"/>
    </row>
    <row r="326">
      <c r="E326" s="198"/>
      <c r="F326" s="198"/>
      <c r="I326" s="199"/>
      <c r="J326" s="200"/>
    </row>
    <row r="327">
      <c r="E327" s="198"/>
      <c r="F327" s="198"/>
      <c r="I327" s="199"/>
      <c r="J327" s="200"/>
    </row>
    <row r="328">
      <c r="E328" s="198"/>
      <c r="F328" s="198"/>
      <c r="I328" s="199"/>
      <c r="J328" s="200"/>
    </row>
    <row r="329">
      <c r="E329" s="198"/>
      <c r="F329" s="198"/>
      <c r="I329" s="199"/>
      <c r="J329" s="200"/>
    </row>
    <row r="330">
      <c r="E330" s="198"/>
      <c r="F330" s="198"/>
      <c r="I330" s="199"/>
      <c r="J330" s="200"/>
    </row>
    <row r="331">
      <c r="E331" s="198"/>
      <c r="F331" s="198"/>
      <c r="I331" s="199"/>
      <c r="J331" s="200"/>
    </row>
    <row r="332">
      <c r="E332" s="198"/>
      <c r="F332" s="198"/>
      <c r="I332" s="199"/>
      <c r="J332" s="200"/>
    </row>
    <row r="333">
      <c r="E333" s="198"/>
      <c r="F333" s="198"/>
      <c r="I333" s="199"/>
      <c r="J333" s="200"/>
    </row>
    <row r="334">
      <c r="E334" s="198"/>
      <c r="F334" s="198"/>
      <c r="I334" s="199"/>
      <c r="J334" s="200"/>
    </row>
    <row r="335">
      <c r="E335" s="198"/>
      <c r="F335" s="198"/>
      <c r="I335" s="199"/>
      <c r="J335" s="200"/>
    </row>
    <row r="336">
      <c r="E336" s="198"/>
      <c r="F336" s="198"/>
      <c r="I336" s="199"/>
      <c r="J336" s="200"/>
    </row>
    <row r="337">
      <c r="E337" s="198"/>
      <c r="F337" s="198"/>
      <c r="I337" s="199"/>
      <c r="J337" s="200"/>
    </row>
    <row r="338">
      <c r="E338" s="198"/>
      <c r="F338" s="198"/>
      <c r="I338" s="199"/>
      <c r="J338" s="200"/>
    </row>
    <row r="339">
      <c r="E339" s="198"/>
      <c r="F339" s="198"/>
      <c r="I339" s="199"/>
      <c r="J339" s="200"/>
    </row>
    <row r="340">
      <c r="E340" s="198"/>
      <c r="F340" s="198"/>
      <c r="I340" s="199"/>
      <c r="J340" s="200"/>
    </row>
    <row r="341">
      <c r="E341" s="198"/>
      <c r="F341" s="198"/>
      <c r="I341" s="199"/>
      <c r="J341" s="200"/>
    </row>
    <row r="342">
      <c r="E342" s="198"/>
      <c r="F342" s="198"/>
      <c r="I342" s="199"/>
      <c r="J342" s="200"/>
    </row>
    <row r="343">
      <c r="E343" s="198"/>
      <c r="F343" s="198"/>
      <c r="I343" s="199"/>
      <c r="J343" s="200"/>
    </row>
    <row r="344">
      <c r="E344" s="198"/>
      <c r="F344" s="198"/>
      <c r="I344" s="199"/>
      <c r="J344" s="200"/>
    </row>
    <row r="345">
      <c r="E345" s="198"/>
      <c r="F345" s="198"/>
      <c r="I345" s="199"/>
      <c r="J345" s="200"/>
    </row>
    <row r="346">
      <c r="E346" s="198"/>
      <c r="F346" s="198"/>
      <c r="I346" s="199"/>
      <c r="J346" s="200"/>
    </row>
    <row r="347">
      <c r="E347" s="198"/>
      <c r="F347" s="198"/>
      <c r="I347" s="199"/>
      <c r="J347" s="200"/>
    </row>
    <row r="348">
      <c r="E348" s="198"/>
      <c r="F348" s="198"/>
      <c r="I348" s="199"/>
      <c r="J348" s="200"/>
    </row>
    <row r="349">
      <c r="E349" s="198"/>
      <c r="F349" s="198"/>
      <c r="I349" s="199"/>
      <c r="J349" s="200"/>
    </row>
    <row r="350">
      <c r="E350" s="198"/>
      <c r="F350" s="198"/>
      <c r="I350" s="199"/>
      <c r="J350" s="200"/>
    </row>
    <row r="351">
      <c r="E351" s="198"/>
      <c r="F351" s="198"/>
      <c r="I351" s="199"/>
      <c r="J351" s="200"/>
    </row>
    <row r="352">
      <c r="E352" s="198"/>
      <c r="F352" s="198"/>
      <c r="I352" s="199"/>
      <c r="J352" s="200"/>
    </row>
    <row r="353">
      <c r="E353" s="198"/>
      <c r="F353" s="198"/>
      <c r="I353" s="199"/>
      <c r="J353" s="200"/>
    </row>
    <row r="354">
      <c r="E354" s="198"/>
      <c r="F354" s="198"/>
      <c r="I354" s="199"/>
      <c r="J354" s="200"/>
    </row>
    <row r="355">
      <c r="E355" s="198"/>
      <c r="F355" s="198"/>
      <c r="I355" s="199"/>
      <c r="J355" s="200"/>
    </row>
    <row r="356">
      <c r="E356" s="198"/>
      <c r="F356" s="198"/>
      <c r="I356" s="199"/>
      <c r="J356" s="200"/>
    </row>
    <row r="357">
      <c r="E357" s="198"/>
      <c r="F357" s="198"/>
      <c r="I357" s="199"/>
      <c r="J357" s="200"/>
    </row>
    <row r="358">
      <c r="E358" s="198"/>
      <c r="F358" s="198"/>
      <c r="I358" s="199"/>
      <c r="J358" s="200"/>
    </row>
    <row r="359">
      <c r="E359" s="198"/>
      <c r="F359" s="198"/>
      <c r="I359" s="199"/>
      <c r="J359" s="200"/>
    </row>
    <row r="360">
      <c r="E360" s="198"/>
      <c r="F360" s="198"/>
      <c r="I360" s="199"/>
      <c r="J360" s="200"/>
    </row>
    <row r="361">
      <c r="E361" s="198"/>
      <c r="F361" s="198"/>
      <c r="I361" s="199"/>
      <c r="J361" s="200"/>
    </row>
    <row r="362">
      <c r="E362" s="198"/>
      <c r="F362" s="198"/>
      <c r="I362" s="199"/>
      <c r="J362" s="200"/>
    </row>
    <row r="363">
      <c r="E363" s="198"/>
      <c r="F363" s="198"/>
      <c r="I363" s="199"/>
      <c r="J363" s="200"/>
    </row>
    <row r="364">
      <c r="E364" s="198"/>
      <c r="F364" s="198"/>
      <c r="I364" s="199"/>
      <c r="J364" s="200"/>
    </row>
    <row r="365">
      <c r="E365" s="198"/>
      <c r="F365" s="198"/>
      <c r="I365" s="199"/>
      <c r="J365" s="200"/>
    </row>
    <row r="366">
      <c r="E366" s="198"/>
      <c r="F366" s="198"/>
      <c r="I366" s="199"/>
      <c r="J366" s="200"/>
    </row>
    <row r="367">
      <c r="E367" s="198"/>
      <c r="F367" s="198"/>
      <c r="I367" s="199"/>
      <c r="J367" s="200"/>
    </row>
    <row r="368">
      <c r="E368" s="198"/>
      <c r="F368" s="198"/>
      <c r="I368" s="199"/>
      <c r="J368" s="200"/>
    </row>
    <row r="369">
      <c r="E369" s="198"/>
      <c r="F369" s="198"/>
      <c r="I369" s="199"/>
      <c r="J369" s="200"/>
    </row>
    <row r="370">
      <c r="E370" s="198"/>
      <c r="F370" s="198"/>
      <c r="I370" s="199"/>
      <c r="J370" s="200"/>
    </row>
    <row r="371">
      <c r="E371" s="198"/>
      <c r="F371" s="198"/>
      <c r="I371" s="199"/>
      <c r="J371" s="200"/>
    </row>
    <row r="372">
      <c r="E372" s="198"/>
      <c r="F372" s="198"/>
      <c r="I372" s="199"/>
      <c r="J372" s="200"/>
    </row>
    <row r="373">
      <c r="E373" s="198"/>
      <c r="F373" s="198"/>
      <c r="I373" s="199"/>
      <c r="J373" s="200"/>
    </row>
    <row r="374">
      <c r="E374" s="198"/>
      <c r="F374" s="198"/>
      <c r="I374" s="199"/>
      <c r="J374" s="200"/>
    </row>
    <row r="375">
      <c r="E375" s="198"/>
      <c r="F375" s="198"/>
      <c r="I375" s="199"/>
      <c r="J375" s="200"/>
    </row>
    <row r="376">
      <c r="E376" s="198"/>
      <c r="F376" s="198"/>
      <c r="I376" s="199"/>
      <c r="J376" s="200"/>
    </row>
    <row r="377">
      <c r="E377" s="198"/>
      <c r="F377" s="198"/>
      <c r="I377" s="199"/>
      <c r="J377" s="200"/>
    </row>
    <row r="378">
      <c r="E378" s="198"/>
      <c r="F378" s="198"/>
      <c r="I378" s="199"/>
      <c r="J378" s="200"/>
    </row>
    <row r="379">
      <c r="E379" s="198"/>
      <c r="F379" s="198"/>
      <c r="I379" s="199"/>
      <c r="J379" s="200"/>
    </row>
    <row r="380">
      <c r="E380" s="198"/>
      <c r="F380" s="198"/>
      <c r="I380" s="199"/>
      <c r="J380" s="200"/>
    </row>
    <row r="381">
      <c r="E381" s="198"/>
      <c r="F381" s="198"/>
      <c r="I381" s="199"/>
      <c r="J381" s="200"/>
    </row>
    <row r="382">
      <c r="E382" s="198"/>
      <c r="F382" s="198"/>
      <c r="I382" s="199"/>
      <c r="J382" s="200"/>
    </row>
    <row r="383">
      <c r="E383" s="198"/>
      <c r="F383" s="198"/>
      <c r="I383" s="199"/>
      <c r="J383" s="200"/>
    </row>
    <row r="384">
      <c r="E384" s="198"/>
      <c r="F384" s="198"/>
      <c r="I384" s="199"/>
      <c r="J384" s="200"/>
    </row>
    <row r="385">
      <c r="E385" s="198"/>
      <c r="F385" s="198"/>
      <c r="I385" s="199"/>
      <c r="J385" s="200"/>
    </row>
    <row r="386">
      <c r="E386" s="198"/>
      <c r="F386" s="198"/>
      <c r="I386" s="199"/>
      <c r="J386" s="200"/>
    </row>
    <row r="387">
      <c r="E387" s="198"/>
      <c r="F387" s="198"/>
      <c r="I387" s="199"/>
      <c r="J387" s="200"/>
    </row>
    <row r="388">
      <c r="E388" s="198"/>
      <c r="F388" s="198"/>
      <c r="I388" s="199"/>
      <c r="J388" s="200"/>
    </row>
    <row r="389">
      <c r="E389" s="198"/>
      <c r="F389" s="198"/>
      <c r="I389" s="199"/>
      <c r="J389" s="200"/>
    </row>
    <row r="390">
      <c r="E390" s="198"/>
      <c r="F390" s="198"/>
      <c r="I390" s="199"/>
      <c r="J390" s="200"/>
    </row>
    <row r="391">
      <c r="E391" s="198"/>
      <c r="F391" s="198"/>
      <c r="I391" s="199"/>
      <c r="J391" s="200"/>
    </row>
    <row r="392">
      <c r="E392" s="198"/>
      <c r="F392" s="198"/>
      <c r="I392" s="199"/>
      <c r="J392" s="200"/>
    </row>
    <row r="393">
      <c r="E393" s="198"/>
      <c r="F393" s="198"/>
      <c r="I393" s="199"/>
      <c r="J393" s="200"/>
    </row>
    <row r="394">
      <c r="E394" s="198"/>
      <c r="F394" s="198"/>
      <c r="I394" s="199"/>
      <c r="J394" s="200"/>
    </row>
    <row r="395">
      <c r="E395" s="198"/>
      <c r="F395" s="198"/>
      <c r="I395" s="199"/>
      <c r="J395" s="200"/>
    </row>
    <row r="396">
      <c r="E396" s="198"/>
      <c r="F396" s="198"/>
      <c r="I396" s="199"/>
      <c r="J396" s="200"/>
    </row>
    <row r="397">
      <c r="E397" s="198"/>
      <c r="F397" s="198"/>
      <c r="I397" s="199"/>
      <c r="J397" s="200"/>
    </row>
    <row r="398">
      <c r="E398" s="198"/>
      <c r="F398" s="198"/>
      <c r="I398" s="199"/>
      <c r="J398" s="200"/>
    </row>
    <row r="399">
      <c r="E399" s="198"/>
      <c r="F399" s="198"/>
      <c r="I399" s="199"/>
      <c r="J399" s="200"/>
    </row>
    <row r="400">
      <c r="E400" s="198"/>
      <c r="F400" s="198"/>
      <c r="I400" s="199"/>
      <c r="J400" s="200"/>
    </row>
    <row r="401">
      <c r="E401" s="198"/>
      <c r="F401" s="198"/>
      <c r="I401" s="199"/>
      <c r="J401" s="200"/>
    </row>
    <row r="402">
      <c r="E402" s="198"/>
      <c r="F402" s="198"/>
      <c r="I402" s="199"/>
      <c r="J402" s="200"/>
    </row>
    <row r="403">
      <c r="E403" s="198"/>
      <c r="F403" s="198"/>
      <c r="I403" s="199"/>
      <c r="J403" s="200"/>
    </row>
    <row r="404">
      <c r="E404" s="198"/>
      <c r="F404" s="198"/>
      <c r="I404" s="199"/>
      <c r="J404" s="200"/>
    </row>
    <row r="405">
      <c r="E405" s="198"/>
      <c r="F405" s="198"/>
      <c r="I405" s="199"/>
      <c r="J405" s="200"/>
    </row>
    <row r="406">
      <c r="E406" s="198"/>
      <c r="F406" s="198"/>
      <c r="I406" s="199"/>
      <c r="J406" s="200"/>
    </row>
    <row r="407">
      <c r="E407" s="198"/>
      <c r="F407" s="198"/>
      <c r="I407" s="199"/>
      <c r="J407" s="200"/>
    </row>
    <row r="408">
      <c r="E408" s="198"/>
      <c r="F408" s="198"/>
      <c r="I408" s="199"/>
      <c r="J408" s="200"/>
    </row>
    <row r="409">
      <c r="E409" s="198"/>
      <c r="F409" s="198"/>
      <c r="I409" s="199"/>
      <c r="J409" s="200"/>
    </row>
    <row r="410">
      <c r="E410" s="198"/>
      <c r="F410" s="198"/>
      <c r="I410" s="199"/>
      <c r="J410" s="200"/>
    </row>
    <row r="411">
      <c r="E411" s="198"/>
      <c r="F411" s="198"/>
      <c r="I411" s="199"/>
      <c r="J411" s="200"/>
    </row>
    <row r="412">
      <c r="E412" s="198"/>
      <c r="F412" s="198"/>
      <c r="I412" s="199"/>
      <c r="J412" s="200"/>
    </row>
    <row r="413">
      <c r="E413" s="198"/>
      <c r="F413" s="198"/>
      <c r="I413" s="199"/>
      <c r="J413" s="200"/>
    </row>
    <row r="414">
      <c r="E414" s="198"/>
      <c r="F414" s="198"/>
      <c r="I414" s="199"/>
      <c r="J414" s="200"/>
    </row>
    <row r="415">
      <c r="E415" s="198"/>
      <c r="F415" s="198"/>
      <c r="I415" s="199"/>
      <c r="J415" s="200"/>
    </row>
    <row r="416">
      <c r="E416" s="198"/>
      <c r="F416" s="198"/>
      <c r="I416" s="199"/>
      <c r="J416" s="200"/>
    </row>
    <row r="417">
      <c r="E417" s="198"/>
      <c r="F417" s="198"/>
      <c r="I417" s="199"/>
      <c r="J417" s="200"/>
    </row>
    <row r="418">
      <c r="E418" s="198"/>
      <c r="F418" s="198"/>
      <c r="I418" s="199"/>
      <c r="J418" s="200"/>
    </row>
    <row r="419">
      <c r="E419" s="198"/>
      <c r="F419" s="198"/>
      <c r="I419" s="199"/>
      <c r="J419" s="200"/>
    </row>
    <row r="420">
      <c r="E420" s="198"/>
      <c r="F420" s="198"/>
      <c r="I420" s="199"/>
      <c r="J420" s="200"/>
    </row>
    <row r="421">
      <c r="E421" s="198"/>
      <c r="F421" s="198"/>
      <c r="I421" s="199"/>
      <c r="J421" s="200"/>
    </row>
    <row r="422">
      <c r="E422" s="198"/>
      <c r="F422" s="198"/>
      <c r="I422" s="199"/>
      <c r="J422" s="200"/>
    </row>
    <row r="423">
      <c r="E423" s="198"/>
      <c r="F423" s="198"/>
      <c r="I423" s="199"/>
      <c r="J423" s="200"/>
    </row>
    <row r="424">
      <c r="E424" s="198"/>
      <c r="F424" s="198"/>
      <c r="I424" s="199"/>
      <c r="J424" s="200"/>
    </row>
    <row r="425">
      <c r="E425" s="198"/>
      <c r="F425" s="198"/>
      <c r="I425" s="199"/>
      <c r="J425" s="200"/>
    </row>
    <row r="426">
      <c r="E426" s="198"/>
      <c r="F426" s="198"/>
      <c r="I426" s="199"/>
      <c r="J426" s="200"/>
    </row>
    <row r="427">
      <c r="E427" s="198"/>
      <c r="F427" s="198"/>
      <c r="I427" s="199"/>
      <c r="J427" s="200"/>
    </row>
    <row r="428">
      <c r="E428" s="198"/>
      <c r="F428" s="198"/>
      <c r="I428" s="199"/>
      <c r="J428" s="200"/>
    </row>
    <row r="429">
      <c r="E429" s="198"/>
      <c r="F429" s="198"/>
      <c r="I429" s="199"/>
      <c r="J429" s="200"/>
    </row>
    <row r="430">
      <c r="E430" s="198"/>
      <c r="F430" s="198"/>
      <c r="I430" s="199"/>
      <c r="J430" s="200"/>
    </row>
    <row r="431">
      <c r="E431" s="198"/>
      <c r="F431" s="198"/>
      <c r="I431" s="199"/>
      <c r="J431" s="200"/>
    </row>
    <row r="432">
      <c r="E432" s="198"/>
      <c r="F432" s="198"/>
      <c r="I432" s="199"/>
      <c r="J432" s="200"/>
    </row>
    <row r="433">
      <c r="E433" s="198"/>
      <c r="F433" s="198"/>
      <c r="I433" s="199"/>
      <c r="J433" s="200"/>
    </row>
    <row r="434">
      <c r="E434" s="198"/>
      <c r="F434" s="198"/>
      <c r="I434" s="199"/>
      <c r="J434" s="200"/>
    </row>
    <row r="435">
      <c r="E435" s="198"/>
      <c r="F435" s="198"/>
      <c r="I435" s="199"/>
      <c r="J435" s="200"/>
    </row>
    <row r="436">
      <c r="E436" s="198"/>
      <c r="F436" s="198"/>
      <c r="I436" s="199"/>
      <c r="J436" s="200"/>
    </row>
    <row r="437">
      <c r="E437" s="198"/>
      <c r="F437" s="198"/>
      <c r="I437" s="199"/>
      <c r="J437" s="200"/>
    </row>
    <row r="438">
      <c r="E438" s="198"/>
      <c r="F438" s="198"/>
      <c r="I438" s="199"/>
      <c r="J438" s="200"/>
    </row>
    <row r="439">
      <c r="E439" s="198"/>
      <c r="F439" s="198"/>
      <c r="I439" s="199"/>
      <c r="J439" s="200"/>
    </row>
    <row r="440">
      <c r="E440" s="198"/>
      <c r="F440" s="198"/>
      <c r="I440" s="199"/>
      <c r="J440" s="200"/>
    </row>
    <row r="441">
      <c r="E441" s="198"/>
      <c r="F441" s="198"/>
      <c r="I441" s="199"/>
      <c r="J441" s="200"/>
    </row>
    <row r="442">
      <c r="E442" s="198"/>
      <c r="F442" s="198"/>
      <c r="I442" s="199"/>
      <c r="J442" s="200"/>
    </row>
    <row r="443">
      <c r="E443" s="198"/>
      <c r="F443" s="198"/>
      <c r="I443" s="199"/>
      <c r="J443" s="200"/>
    </row>
    <row r="444">
      <c r="E444" s="198"/>
      <c r="F444" s="198"/>
      <c r="I444" s="199"/>
      <c r="J444" s="200"/>
    </row>
    <row r="445">
      <c r="E445" s="198"/>
      <c r="F445" s="198"/>
      <c r="I445" s="199"/>
      <c r="J445" s="200"/>
    </row>
    <row r="446">
      <c r="E446" s="198"/>
      <c r="F446" s="198"/>
      <c r="I446" s="199"/>
      <c r="J446" s="200"/>
    </row>
    <row r="447">
      <c r="E447" s="198"/>
      <c r="F447" s="198"/>
      <c r="I447" s="199"/>
      <c r="J447" s="200"/>
    </row>
    <row r="448">
      <c r="E448" s="198"/>
      <c r="F448" s="198"/>
      <c r="I448" s="199"/>
      <c r="J448" s="200"/>
    </row>
    <row r="449">
      <c r="E449" s="198"/>
      <c r="F449" s="198"/>
      <c r="I449" s="199"/>
      <c r="J449" s="200"/>
    </row>
    <row r="450">
      <c r="E450" s="198"/>
      <c r="F450" s="198"/>
      <c r="I450" s="199"/>
      <c r="J450" s="200"/>
    </row>
    <row r="451">
      <c r="E451" s="198"/>
      <c r="F451" s="198"/>
      <c r="I451" s="199"/>
      <c r="J451" s="200"/>
    </row>
    <row r="452">
      <c r="E452" s="198"/>
      <c r="F452" s="198"/>
      <c r="I452" s="199"/>
      <c r="J452" s="200"/>
    </row>
    <row r="453">
      <c r="E453" s="198"/>
      <c r="F453" s="198"/>
      <c r="I453" s="199"/>
      <c r="J453" s="200"/>
    </row>
    <row r="454">
      <c r="E454" s="198"/>
      <c r="F454" s="198"/>
      <c r="I454" s="199"/>
      <c r="J454" s="200"/>
    </row>
    <row r="455">
      <c r="E455" s="198"/>
      <c r="F455" s="198"/>
      <c r="I455" s="199"/>
      <c r="J455" s="200"/>
    </row>
    <row r="456">
      <c r="E456" s="198"/>
      <c r="F456" s="198"/>
      <c r="I456" s="199"/>
      <c r="J456" s="200"/>
    </row>
    <row r="457">
      <c r="E457" s="198"/>
      <c r="F457" s="198"/>
      <c r="I457" s="199"/>
      <c r="J457" s="200"/>
    </row>
    <row r="458">
      <c r="E458" s="198"/>
      <c r="F458" s="198"/>
      <c r="I458" s="199"/>
      <c r="J458" s="200"/>
    </row>
    <row r="459">
      <c r="E459" s="198"/>
      <c r="F459" s="198"/>
      <c r="I459" s="199"/>
      <c r="J459" s="200"/>
    </row>
    <row r="460">
      <c r="E460" s="198"/>
      <c r="F460" s="198"/>
      <c r="I460" s="199"/>
      <c r="J460" s="200"/>
    </row>
    <row r="461">
      <c r="E461" s="198"/>
      <c r="F461" s="198"/>
      <c r="I461" s="199"/>
      <c r="J461" s="200"/>
    </row>
    <row r="462">
      <c r="E462" s="198"/>
      <c r="F462" s="198"/>
      <c r="I462" s="199"/>
      <c r="J462" s="200"/>
    </row>
    <row r="463">
      <c r="E463" s="198"/>
      <c r="F463" s="198"/>
      <c r="I463" s="199"/>
      <c r="J463" s="200"/>
    </row>
    <row r="464">
      <c r="E464" s="198"/>
      <c r="F464" s="198"/>
      <c r="I464" s="199"/>
      <c r="J464" s="200"/>
    </row>
    <row r="465">
      <c r="E465" s="198"/>
      <c r="F465" s="198"/>
      <c r="I465" s="199"/>
      <c r="J465" s="200"/>
    </row>
    <row r="466">
      <c r="E466" s="198"/>
      <c r="F466" s="198"/>
      <c r="I466" s="199"/>
      <c r="J466" s="200"/>
    </row>
    <row r="467">
      <c r="E467" s="198"/>
      <c r="F467" s="198"/>
      <c r="I467" s="199"/>
      <c r="J467" s="200"/>
    </row>
    <row r="468">
      <c r="E468" s="198"/>
      <c r="F468" s="198"/>
      <c r="I468" s="199"/>
      <c r="J468" s="200"/>
    </row>
    <row r="469">
      <c r="E469" s="198"/>
      <c r="F469" s="198"/>
      <c r="I469" s="199"/>
      <c r="J469" s="200"/>
    </row>
    <row r="470">
      <c r="E470" s="198"/>
      <c r="F470" s="198"/>
      <c r="I470" s="199"/>
      <c r="J470" s="200"/>
    </row>
    <row r="471">
      <c r="E471" s="198"/>
      <c r="F471" s="198"/>
      <c r="I471" s="199"/>
      <c r="J471" s="200"/>
    </row>
    <row r="472">
      <c r="E472" s="198"/>
      <c r="F472" s="198"/>
      <c r="I472" s="199"/>
      <c r="J472" s="200"/>
    </row>
    <row r="473">
      <c r="E473" s="198"/>
      <c r="F473" s="198"/>
      <c r="I473" s="199"/>
      <c r="J473" s="200"/>
    </row>
    <row r="474">
      <c r="E474" s="198"/>
      <c r="F474" s="198"/>
      <c r="I474" s="199"/>
      <c r="J474" s="200"/>
    </row>
    <row r="475">
      <c r="E475" s="198"/>
      <c r="F475" s="198"/>
      <c r="I475" s="199"/>
      <c r="J475" s="200"/>
    </row>
    <row r="476">
      <c r="E476" s="198"/>
      <c r="F476" s="198"/>
      <c r="I476" s="199"/>
      <c r="J476" s="200"/>
    </row>
    <row r="477">
      <c r="E477" s="198"/>
      <c r="F477" s="198"/>
      <c r="I477" s="199"/>
      <c r="J477" s="200"/>
    </row>
    <row r="478">
      <c r="E478" s="198"/>
      <c r="F478" s="198"/>
      <c r="I478" s="199"/>
      <c r="J478" s="200"/>
    </row>
    <row r="479">
      <c r="E479" s="198"/>
      <c r="F479" s="198"/>
      <c r="I479" s="199"/>
      <c r="J479" s="200"/>
    </row>
    <row r="480">
      <c r="E480" s="198"/>
      <c r="F480" s="198"/>
      <c r="I480" s="199"/>
      <c r="J480" s="200"/>
    </row>
    <row r="481">
      <c r="E481" s="198"/>
      <c r="F481" s="198"/>
      <c r="I481" s="199"/>
      <c r="J481" s="200"/>
    </row>
    <row r="482">
      <c r="E482" s="198"/>
      <c r="F482" s="198"/>
      <c r="I482" s="199"/>
      <c r="J482" s="200"/>
    </row>
    <row r="483">
      <c r="E483" s="198"/>
      <c r="F483" s="198"/>
      <c r="I483" s="199"/>
      <c r="J483" s="200"/>
    </row>
    <row r="484">
      <c r="E484" s="198"/>
      <c r="F484" s="198"/>
      <c r="I484" s="199"/>
      <c r="J484" s="200"/>
    </row>
    <row r="485">
      <c r="E485" s="198"/>
      <c r="F485" s="198"/>
      <c r="I485" s="199"/>
      <c r="J485" s="200"/>
    </row>
    <row r="486">
      <c r="E486" s="198"/>
      <c r="F486" s="198"/>
      <c r="I486" s="199"/>
      <c r="J486" s="200"/>
    </row>
    <row r="487">
      <c r="E487" s="198"/>
      <c r="F487" s="198"/>
      <c r="I487" s="199"/>
      <c r="J487" s="200"/>
    </row>
    <row r="488">
      <c r="E488" s="198"/>
      <c r="F488" s="198"/>
      <c r="I488" s="199"/>
      <c r="J488" s="200"/>
    </row>
    <row r="489">
      <c r="E489" s="198"/>
      <c r="F489" s="198"/>
      <c r="I489" s="199"/>
      <c r="J489" s="200"/>
    </row>
    <row r="490">
      <c r="E490" s="198"/>
      <c r="F490" s="198"/>
      <c r="I490" s="199"/>
      <c r="J490" s="200"/>
    </row>
    <row r="491">
      <c r="E491" s="198"/>
      <c r="F491" s="198"/>
      <c r="I491" s="199"/>
      <c r="J491" s="200"/>
    </row>
    <row r="492">
      <c r="E492" s="198"/>
      <c r="F492" s="198"/>
      <c r="I492" s="199"/>
      <c r="J492" s="200"/>
    </row>
    <row r="493">
      <c r="E493" s="198"/>
      <c r="F493" s="198"/>
      <c r="I493" s="199"/>
      <c r="J493" s="200"/>
    </row>
    <row r="494">
      <c r="E494" s="198"/>
      <c r="F494" s="198"/>
      <c r="I494" s="199"/>
      <c r="J494" s="200"/>
    </row>
    <row r="495">
      <c r="E495" s="198"/>
      <c r="F495" s="198"/>
      <c r="I495" s="199"/>
      <c r="J495" s="200"/>
    </row>
    <row r="496">
      <c r="E496" s="198"/>
      <c r="F496" s="198"/>
      <c r="I496" s="199"/>
      <c r="J496" s="200"/>
    </row>
    <row r="497">
      <c r="E497" s="198"/>
      <c r="F497" s="198"/>
      <c r="I497" s="199"/>
      <c r="J497" s="200"/>
    </row>
    <row r="498">
      <c r="E498" s="198"/>
      <c r="F498" s="198"/>
      <c r="I498" s="199"/>
      <c r="J498" s="200"/>
    </row>
    <row r="499">
      <c r="E499" s="198"/>
      <c r="F499" s="198"/>
      <c r="I499" s="199"/>
      <c r="J499" s="200"/>
    </row>
    <row r="500">
      <c r="E500" s="198"/>
      <c r="F500" s="198"/>
      <c r="I500" s="199"/>
      <c r="J500" s="200"/>
    </row>
    <row r="501">
      <c r="E501" s="198"/>
      <c r="F501" s="198"/>
      <c r="I501" s="199"/>
      <c r="J501" s="200"/>
    </row>
    <row r="502">
      <c r="E502" s="198"/>
      <c r="F502" s="198"/>
      <c r="I502" s="199"/>
      <c r="J502" s="200"/>
    </row>
    <row r="503">
      <c r="E503" s="198"/>
      <c r="F503" s="198"/>
      <c r="I503" s="199"/>
      <c r="J503" s="200"/>
    </row>
    <row r="504">
      <c r="E504" s="198"/>
      <c r="F504" s="198"/>
      <c r="I504" s="199"/>
      <c r="J504" s="200"/>
    </row>
    <row r="505">
      <c r="E505" s="198"/>
      <c r="F505" s="198"/>
      <c r="I505" s="199"/>
      <c r="J505" s="200"/>
    </row>
    <row r="506">
      <c r="E506" s="198"/>
      <c r="F506" s="198"/>
      <c r="I506" s="199"/>
      <c r="J506" s="200"/>
    </row>
    <row r="507">
      <c r="E507" s="198"/>
      <c r="F507" s="198"/>
      <c r="I507" s="199"/>
      <c r="J507" s="200"/>
    </row>
    <row r="508">
      <c r="E508" s="198"/>
      <c r="F508" s="198"/>
      <c r="I508" s="199"/>
      <c r="J508" s="200"/>
    </row>
    <row r="509">
      <c r="E509" s="198"/>
      <c r="F509" s="198"/>
      <c r="I509" s="199"/>
      <c r="J509" s="200"/>
    </row>
    <row r="510">
      <c r="E510" s="198"/>
      <c r="F510" s="198"/>
      <c r="I510" s="199"/>
      <c r="J510" s="200"/>
    </row>
    <row r="511">
      <c r="E511" s="198"/>
      <c r="F511" s="198"/>
      <c r="I511" s="199"/>
      <c r="J511" s="200"/>
    </row>
    <row r="512">
      <c r="E512" s="198"/>
      <c r="F512" s="198"/>
      <c r="I512" s="199"/>
      <c r="J512" s="200"/>
    </row>
    <row r="513">
      <c r="E513" s="198"/>
      <c r="F513" s="198"/>
      <c r="I513" s="199"/>
      <c r="J513" s="200"/>
    </row>
    <row r="514">
      <c r="E514" s="198"/>
      <c r="F514" s="198"/>
      <c r="I514" s="199"/>
      <c r="J514" s="200"/>
    </row>
    <row r="515">
      <c r="E515" s="198"/>
      <c r="F515" s="198"/>
      <c r="I515" s="199"/>
      <c r="J515" s="200"/>
    </row>
    <row r="516">
      <c r="E516" s="198"/>
      <c r="F516" s="198"/>
      <c r="I516" s="199"/>
      <c r="J516" s="200"/>
    </row>
    <row r="517">
      <c r="E517" s="198"/>
      <c r="F517" s="198"/>
      <c r="I517" s="199"/>
      <c r="J517" s="200"/>
    </row>
    <row r="518">
      <c r="E518" s="198"/>
      <c r="F518" s="198"/>
      <c r="I518" s="199"/>
      <c r="J518" s="200"/>
    </row>
    <row r="519">
      <c r="E519" s="198"/>
      <c r="F519" s="198"/>
      <c r="I519" s="199"/>
      <c r="J519" s="200"/>
    </row>
    <row r="520">
      <c r="E520" s="198"/>
      <c r="F520" s="198"/>
      <c r="I520" s="199"/>
      <c r="J520" s="200"/>
    </row>
    <row r="521">
      <c r="E521" s="198"/>
      <c r="F521" s="198"/>
      <c r="I521" s="199"/>
      <c r="J521" s="200"/>
    </row>
    <row r="522">
      <c r="E522" s="198"/>
      <c r="F522" s="198"/>
      <c r="I522" s="199"/>
      <c r="J522" s="200"/>
    </row>
    <row r="523">
      <c r="E523" s="198"/>
      <c r="F523" s="198"/>
      <c r="I523" s="199"/>
      <c r="J523" s="200"/>
    </row>
    <row r="524">
      <c r="E524" s="198"/>
      <c r="F524" s="198"/>
      <c r="I524" s="199"/>
      <c r="J524" s="200"/>
    </row>
    <row r="525">
      <c r="E525" s="198"/>
      <c r="F525" s="198"/>
      <c r="I525" s="199"/>
      <c r="J525" s="200"/>
    </row>
    <row r="526">
      <c r="E526" s="198"/>
      <c r="F526" s="198"/>
      <c r="I526" s="199"/>
      <c r="J526" s="200"/>
    </row>
    <row r="527">
      <c r="E527" s="198"/>
      <c r="F527" s="198"/>
      <c r="I527" s="199"/>
      <c r="J527" s="200"/>
    </row>
    <row r="528">
      <c r="E528" s="198"/>
      <c r="F528" s="198"/>
      <c r="I528" s="199"/>
      <c r="J528" s="200"/>
    </row>
    <row r="529">
      <c r="E529" s="198"/>
      <c r="F529" s="198"/>
      <c r="I529" s="199"/>
      <c r="J529" s="200"/>
    </row>
    <row r="530">
      <c r="E530" s="198"/>
      <c r="F530" s="198"/>
      <c r="I530" s="199"/>
      <c r="J530" s="200"/>
    </row>
    <row r="531">
      <c r="E531" s="198"/>
      <c r="F531" s="198"/>
      <c r="I531" s="199"/>
      <c r="J531" s="200"/>
    </row>
    <row r="532">
      <c r="E532" s="198"/>
      <c r="F532" s="198"/>
      <c r="I532" s="199"/>
      <c r="J532" s="200"/>
    </row>
    <row r="533">
      <c r="E533" s="198"/>
      <c r="F533" s="198"/>
      <c r="I533" s="199"/>
      <c r="J533" s="200"/>
    </row>
    <row r="534">
      <c r="E534" s="198"/>
      <c r="F534" s="198"/>
      <c r="I534" s="199"/>
      <c r="J534" s="200"/>
    </row>
    <row r="535">
      <c r="E535" s="198"/>
      <c r="F535" s="198"/>
      <c r="I535" s="199"/>
      <c r="J535" s="200"/>
    </row>
    <row r="536">
      <c r="E536" s="198"/>
      <c r="F536" s="198"/>
      <c r="I536" s="199"/>
      <c r="J536" s="200"/>
    </row>
    <row r="537">
      <c r="E537" s="198"/>
      <c r="F537" s="198"/>
      <c r="I537" s="199"/>
      <c r="J537" s="200"/>
    </row>
    <row r="538">
      <c r="E538" s="198"/>
      <c r="F538" s="198"/>
      <c r="I538" s="199"/>
      <c r="J538" s="200"/>
    </row>
    <row r="539">
      <c r="E539" s="198"/>
      <c r="F539" s="198"/>
      <c r="I539" s="199"/>
      <c r="J539" s="200"/>
    </row>
    <row r="540">
      <c r="E540" s="198"/>
      <c r="F540" s="198"/>
      <c r="I540" s="199"/>
      <c r="J540" s="200"/>
    </row>
    <row r="541">
      <c r="E541" s="198"/>
      <c r="F541" s="198"/>
      <c r="I541" s="199"/>
      <c r="J541" s="200"/>
    </row>
    <row r="542">
      <c r="E542" s="198"/>
      <c r="F542" s="198"/>
      <c r="I542" s="199"/>
      <c r="J542" s="200"/>
    </row>
    <row r="543">
      <c r="E543" s="198"/>
      <c r="F543" s="198"/>
      <c r="I543" s="199"/>
      <c r="J543" s="200"/>
    </row>
    <row r="544">
      <c r="E544" s="198"/>
      <c r="F544" s="198"/>
      <c r="I544" s="199"/>
      <c r="J544" s="200"/>
    </row>
    <row r="545">
      <c r="E545" s="198"/>
      <c r="F545" s="198"/>
      <c r="I545" s="199"/>
      <c r="J545" s="200"/>
    </row>
    <row r="546">
      <c r="E546" s="198"/>
      <c r="F546" s="198"/>
      <c r="I546" s="199"/>
      <c r="J546" s="200"/>
    </row>
    <row r="547">
      <c r="E547" s="198"/>
      <c r="F547" s="198"/>
      <c r="I547" s="199"/>
      <c r="J547" s="200"/>
    </row>
    <row r="548">
      <c r="E548" s="198"/>
      <c r="F548" s="198"/>
      <c r="I548" s="199"/>
      <c r="J548" s="200"/>
    </row>
    <row r="549">
      <c r="E549" s="198"/>
      <c r="F549" s="198"/>
      <c r="I549" s="199"/>
      <c r="J549" s="200"/>
    </row>
    <row r="550">
      <c r="E550" s="198"/>
      <c r="F550" s="198"/>
      <c r="I550" s="199"/>
      <c r="J550" s="200"/>
    </row>
    <row r="551">
      <c r="E551" s="198"/>
      <c r="F551" s="198"/>
      <c r="I551" s="199"/>
      <c r="J551" s="200"/>
    </row>
    <row r="552">
      <c r="E552" s="198"/>
      <c r="F552" s="198"/>
      <c r="I552" s="199"/>
      <c r="J552" s="200"/>
    </row>
    <row r="553">
      <c r="E553" s="198"/>
      <c r="F553" s="198"/>
      <c r="I553" s="199"/>
      <c r="J553" s="200"/>
    </row>
    <row r="554">
      <c r="E554" s="198"/>
      <c r="F554" s="198"/>
      <c r="I554" s="199"/>
      <c r="J554" s="200"/>
    </row>
    <row r="555">
      <c r="E555" s="198"/>
      <c r="F555" s="198"/>
      <c r="I555" s="199"/>
      <c r="J555" s="200"/>
    </row>
    <row r="556">
      <c r="E556" s="198"/>
      <c r="F556" s="198"/>
      <c r="I556" s="199"/>
      <c r="J556" s="200"/>
    </row>
    <row r="557">
      <c r="E557" s="198"/>
      <c r="F557" s="198"/>
      <c r="I557" s="199"/>
      <c r="J557" s="200"/>
    </row>
    <row r="558">
      <c r="E558" s="198"/>
      <c r="F558" s="198"/>
      <c r="I558" s="199"/>
      <c r="J558" s="200"/>
    </row>
    <row r="559">
      <c r="E559" s="198"/>
      <c r="F559" s="198"/>
      <c r="I559" s="199"/>
      <c r="J559" s="200"/>
    </row>
    <row r="560">
      <c r="E560" s="198"/>
      <c r="F560" s="198"/>
      <c r="I560" s="199"/>
      <c r="J560" s="200"/>
    </row>
    <row r="561">
      <c r="E561" s="198"/>
      <c r="F561" s="198"/>
      <c r="I561" s="199"/>
      <c r="J561" s="200"/>
    </row>
    <row r="562">
      <c r="E562" s="198"/>
      <c r="F562" s="198"/>
      <c r="I562" s="199"/>
      <c r="J562" s="200"/>
    </row>
    <row r="563">
      <c r="E563" s="198"/>
      <c r="F563" s="198"/>
      <c r="I563" s="199"/>
      <c r="J563" s="200"/>
    </row>
    <row r="564">
      <c r="E564" s="198"/>
      <c r="F564" s="198"/>
      <c r="I564" s="199"/>
      <c r="J564" s="200"/>
    </row>
    <row r="565">
      <c r="E565" s="198"/>
      <c r="F565" s="198"/>
      <c r="I565" s="199"/>
      <c r="J565" s="200"/>
    </row>
    <row r="566">
      <c r="E566" s="198"/>
      <c r="F566" s="198"/>
      <c r="I566" s="199"/>
      <c r="J566" s="200"/>
    </row>
    <row r="567">
      <c r="E567" s="198"/>
      <c r="F567" s="198"/>
      <c r="I567" s="199"/>
      <c r="J567" s="200"/>
    </row>
    <row r="568">
      <c r="E568" s="198"/>
      <c r="F568" s="198"/>
      <c r="I568" s="199"/>
      <c r="J568" s="200"/>
    </row>
    <row r="569">
      <c r="E569" s="198"/>
      <c r="F569" s="198"/>
      <c r="I569" s="199"/>
      <c r="J569" s="200"/>
    </row>
    <row r="570">
      <c r="E570" s="198"/>
      <c r="F570" s="198"/>
      <c r="I570" s="199"/>
      <c r="J570" s="200"/>
    </row>
    <row r="571">
      <c r="E571" s="198"/>
      <c r="F571" s="198"/>
      <c r="I571" s="199"/>
      <c r="J571" s="200"/>
    </row>
    <row r="572">
      <c r="E572" s="198"/>
      <c r="F572" s="198"/>
      <c r="I572" s="199"/>
      <c r="J572" s="200"/>
    </row>
    <row r="573">
      <c r="E573" s="198"/>
      <c r="F573" s="198"/>
      <c r="I573" s="199"/>
      <c r="J573" s="200"/>
    </row>
    <row r="574">
      <c r="E574" s="198"/>
      <c r="F574" s="198"/>
      <c r="I574" s="199"/>
      <c r="J574" s="200"/>
    </row>
    <row r="575">
      <c r="E575" s="198"/>
      <c r="F575" s="198"/>
      <c r="I575" s="199"/>
      <c r="J575" s="200"/>
    </row>
    <row r="576">
      <c r="E576" s="198"/>
      <c r="F576" s="198"/>
      <c r="I576" s="199"/>
      <c r="J576" s="200"/>
    </row>
    <row r="577">
      <c r="E577" s="198"/>
      <c r="F577" s="198"/>
      <c r="I577" s="199"/>
      <c r="J577" s="200"/>
    </row>
    <row r="578">
      <c r="E578" s="198"/>
      <c r="F578" s="198"/>
      <c r="I578" s="199"/>
      <c r="J578" s="200"/>
    </row>
    <row r="579">
      <c r="E579" s="198"/>
      <c r="F579" s="198"/>
      <c r="I579" s="199"/>
      <c r="J579" s="200"/>
    </row>
    <row r="580">
      <c r="E580" s="198"/>
      <c r="F580" s="198"/>
      <c r="I580" s="199"/>
      <c r="J580" s="200"/>
    </row>
    <row r="581">
      <c r="E581" s="198"/>
      <c r="F581" s="198"/>
      <c r="I581" s="199"/>
      <c r="J581" s="200"/>
    </row>
    <row r="582">
      <c r="E582" s="198"/>
      <c r="F582" s="198"/>
      <c r="I582" s="199"/>
      <c r="J582" s="200"/>
    </row>
    <row r="583">
      <c r="E583" s="198"/>
      <c r="F583" s="198"/>
      <c r="I583" s="199"/>
      <c r="J583" s="200"/>
    </row>
    <row r="584">
      <c r="E584" s="198"/>
      <c r="F584" s="198"/>
      <c r="I584" s="199"/>
      <c r="J584" s="200"/>
    </row>
    <row r="585">
      <c r="E585" s="198"/>
      <c r="F585" s="198"/>
      <c r="I585" s="199"/>
      <c r="J585" s="200"/>
    </row>
    <row r="586">
      <c r="E586" s="198"/>
      <c r="F586" s="198"/>
      <c r="I586" s="199"/>
      <c r="J586" s="200"/>
    </row>
    <row r="587">
      <c r="E587" s="198"/>
      <c r="F587" s="198"/>
      <c r="I587" s="199"/>
      <c r="J587" s="200"/>
    </row>
    <row r="588">
      <c r="E588" s="198"/>
      <c r="F588" s="198"/>
      <c r="I588" s="199"/>
      <c r="J588" s="200"/>
    </row>
    <row r="589">
      <c r="E589" s="198"/>
      <c r="F589" s="198"/>
      <c r="I589" s="199"/>
      <c r="J589" s="200"/>
    </row>
    <row r="590">
      <c r="E590" s="198"/>
      <c r="F590" s="198"/>
      <c r="I590" s="199"/>
      <c r="J590" s="200"/>
    </row>
    <row r="591">
      <c r="E591" s="198"/>
      <c r="F591" s="198"/>
      <c r="I591" s="199"/>
      <c r="J591" s="200"/>
    </row>
    <row r="592">
      <c r="E592" s="198"/>
      <c r="F592" s="198"/>
      <c r="I592" s="199"/>
      <c r="J592" s="200"/>
    </row>
    <row r="593">
      <c r="E593" s="198"/>
      <c r="F593" s="198"/>
      <c r="I593" s="199"/>
      <c r="J593" s="200"/>
    </row>
    <row r="594">
      <c r="E594" s="198"/>
      <c r="F594" s="198"/>
      <c r="I594" s="199"/>
      <c r="J594" s="200"/>
    </row>
    <row r="595">
      <c r="E595" s="198"/>
      <c r="F595" s="198"/>
      <c r="I595" s="199"/>
      <c r="J595" s="200"/>
    </row>
    <row r="596">
      <c r="E596" s="198"/>
      <c r="F596" s="198"/>
      <c r="I596" s="199"/>
      <c r="J596" s="200"/>
    </row>
    <row r="597">
      <c r="E597" s="198"/>
      <c r="F597" s="198"/>
      <c r="I597" s="199"/>
      <c r="J597" s="200"/>
    </row>
    <row r="598">
      <c r="E598" s="198"/>
      <c r="F598" s="198"/>
      <c r="I598" s="199"/>
      <c r="J598" s="200"/>
    </row>
    <row r="599">
      <c r="E599" s="198"/>
      <c r="F599" s="198"/>
      <c r="I599" s="199"/>
      <c r="J599" s="200"/>
    </row>
    <row r="600">
      <c r="E600" s="198"/>
      <c r="F600" s="198"/>
      <c r="I600" s="199"/>
      <c r="J600" s="200"/>
    </row>
    <row r="601">
      <c r="E601" s="198"/>
      <c r="F601" s="198"/>
      <c r="I601" s="199"/>
      <c r="J601" s="200"/>
    </row>
    <row r="602">
      <c r="E602" s="198"/>
      <c r="F602" s="198"/>
      <c r="I602" s="199"/>
      <c r="J602" s="200"/>
    </row>
    <row r="603">
      <c r="E603" s="198"/>
      <c r="F603" s="198"/>
      <c r="I603" s="199"/>
      <c r="J603" s="200"/>
    </row>
    <row r="604">
      <c r="E604" s="198"/>
      <c r="F604" s="198"/>
      <c r="I604" s="199"/>
      <c r="J604" s="200"/>
    </row>
    <row r="605">
      <c r="E605" s="198"/>
      <c r="F605" s="198"/>
      <c r="I605" s="199"/>
      <c r="J605" s="200"/>
    </row>
    <row r="606">
      <c r="E606" s="198"/>
      <c r="F606" s="198"/>
      <c r="I606" s="199"/>
      <c r="J606" s="200"/>
    </row>
    <row r="607">
      <c r="E607" s="198"/>
      <c r="F607" s="198"/>
      <c r="I607" s="199"/>
      <c r="J607" s="200"/>
    </row>
    <row r="608">
      <c r="E608" s="198"/>
      <c r="F608" s="198"/>
      <c r="I608" s="199"/>
      <c r="J608" s="200"/>
    </row>
    <row r="609">
      <c r="E609" s="198"/>
      <c r="F609" s="198"/>
      <c r="I609" s="199"/>
      <c r="J609" s="200"/>
    </row>
    <row r="610">
      <c r="E610" s="198"/>
      <c r="F610" s="198"/>
      <c r="I610" s="199"/>
      <c r="J610" s="200"/>
    </row>
    <row r="611">
      <c r="E611" s="198"/>
      <c r="F611" s="198"/>
      <c r="I611" s="199"/>
      <c r="J611" s="200"/>
    </row>
    <row r="612">
      <c r="E612" s="198"/>
      <c r="F612" s="198"/>
      <c r="I612" s="199"/>
      <c r="J612" s="200"/>
    </row>
    <row r="613">
      <c r="E613" s="198"/>
      <c r="F613" s="198"/>
      <c r="I613" s="199"/>
      <c r="J613" s="200"/>
    </row>
    <row r="614">
      <c r="E614" s="198"/>
      <c r="F614" s="198"/>
      <c r="I614" s="199"/>
      <c r="J614" s="200"/>
    </row>
    <row r="615">
      <c r="E615" s="198"/>
      <c r="F615" s="198"/>
      <c r="I615" s="199"/>
      <c r="J615" s="200"/>
    </row>
    <row r="616">
      <c r="E616" s="198"/>
      <c r="F616" s="198"/>
      <c r="I616" s="199"/>
      <c r="J616" s="200"/>
    </row>
    <row r="617">
      <c r="E617" s="198"/>
      <c r="F617" s="198"/>
      <c r="I617" s="199"/>
      <c r="J617" s="200"/>
    </row>
    <row r="618">
      <c r="E618" s="198"/>
      <c r="F618" s="198"/>
      <c r="I618" s="199"/>
      <c r="J618" s="200"/>
    </row>
    <row r="619">
      <c r="E619" s="198"/>
      <c r="F619" s="198"/>
      <c r="I619" s="199"/>
      <c r="J619" s="200"/>
    </row>
    <row r="620">
      <c r="E620" s="198"/>
      <c r="F620" s="198"/>
      <c r="I620" s="199"/>
      <c r="J620" s="200"/>
    </row>
    <row r="621">
      <c r="E621" s="198"/>
      <c r="F621" s="198"/>
      <c r="I621" s="199"/>
      <c r="J621" s="200"/>
    </row>
    <row r="622">
      <c r="E622" s="198"/>
      <c r="F622" s="198"/>
      <c r="I622" s="199"/>
      <c r="J622" s="200"/>
    </row>
    <row r="623">
      <c r="E623" s="198"/>
      <c r="F623" s="198"/>
      <c r="I623" s="199"/>
      <c r="J623" s="200"/>
    </row>
    <row r="624">
      <c r="E624" s="198"/>
      <c r="F624" s="198"/>
      <c r="I624" s="199"/>
      <c r="J624" s="200"/>
    </row>
    <row r="625">
      <c r="E625" s="198"/>
      <c r="F625" s="198"/>
      <c r="I625" s="199"/>
      <c r="J625" s="200"/>
    </row>
    <row r="626">
      <c r="E626" s="198"/>
      <c r="F626" s="198"/>
      <c r="I626" s="199"/>
      <c r="J626" s="200"/>
    </row>
    <row r="627">
      <c r="E627" s="198"/>
      <c r="F627" s="198"/>
      <c r="I627" s="199"/>
      <c r="J627" s="200"/>
    </row>
    <row r="628">
      <c r="E628" s="198"/>
      <c r="F628" s="198"/>
      <c r="I628" s="199"/>
      <c r="J628" s="200"/>
    </row>
    <row r="629">
      <c r="E629" s="198"/>
      <c r="F629" s="198"/>
      <c r="I629" s="199"/>
      <c r="J629" s="200"/>
    </row>
    <row r="630">
      <c r="E630" s="198"/>
      <c r="F630" s="198"/>
      <c r="I630" s="199"/>
      <c r="J630" s="200"/>
    </row>
    <row r="631">
      <c r="E631" s="198"/>
      <c r="F631" s="198"/>
      <c r="I631" s="199"/>
      <c r="J631" s="200"/>
    </row>
    <row r="632">
      <c r="E632" s="198"/>
      <c r="F632" s="198"/>
      <c r="I632" s="199"/>
      <c r="J632" s="200"/>
    </row>
    <row r="633">
      <c r="E633" s="198"/>
      <c r="F633" s="198"/>
      <c r="I633" s="199"/>
      <c r="J633" s="200"/>
    </row>
    <row r="634">
      <c r="E634" s="198"/>
      <c r="F634" s="198"/>
      <c r="I634" s="199"/>
      <c r="J634" s="200"/>
    </row>
    <row r="635">
      <c r="E635" s="198"/>
      <c r="F635" s="198"/>
      <c r="I635" s="199"/>
      <c r="J635" s="200"/>
    </row>
    <row r="636">
      <c r="E636" s="198"/>
      <c r="F636" s="198"/>
      <c r="I636" s="199"/>
      <c r="J636" s="200"/>
    </row>
    <row r="637">
      <c r="E637" s="198"/>
      <c r="F637" s="198"/>
      <c r="I637" s="199"/>
      <c r="J637" s="200"/>
    </row>
    <row r="638">
      <c r="E638" s="198"/>
      <c r="F638" s="198"/>
      <c r="I638" s="199"/>
      <c r="J638" s="200"/>
    </row>
    <row r="639">
      <c r="E639" s="198"/>
      <c r="F639" s="198"/>
      <c r="I639" s="199"/>
      <c r="J639" s="200"/>
    </row>
    <row r="640">
      <c r="E640" s="198"/>
      <c r="F640" s="198"/>
      <c r="I640" s="199"/>
      <c r="J640" s="200"/>
    </row>
    <row r="641">
      <c r="E641" s="198"/>
      <c r="F641" s="198"/>
      <c r="I641" s="199"/>
      <c r="J641" s="200"/>
    </row>
    <row r="642">
      <c r="E642" s="198"/>
      <c r="F642" s="198"/>
      <c r="I642" s="199"/>
      <c r="J642" s="200"/>
    </row>
    <row r="643">
      <c r="E643" s="198"/>
      <c r="F643" s="198"/>
      <c r="I643" s="199"/>
      <c r="J643" s="200"/>
    </row>
    <row r="644">
      <c r="E644" s="198"/>
      <c r="F644" s="198"/>
      <c r="I644" s="199"/>
      <c r="J644" s="200"/>
    </row>
    <row r="645">
      <c r="E645" s="198"/>
      <c r="F645" s="198"/>
      <c r="I645" s="199"/>
      <c r="J645" s="200"/>
    </row>
    <row r="646">
      <c r="E646" s="198"/>
      <c r="F646" s="198"/>
      <c r="I646" s="199"/>
      <c r="J646" s="200"/>
    </row>
    <row r="647">
      <c r="E647" s="198"/>
      <c r="F647" s="198"/>
      <c r="I647" s="199"/>
      <c r="J647" s="200"/>
    </row>
    <row r="648">
      <c r="E648" s="198"/>
      <c r="F648" s="198"/>
      <c r="I648" s="199"/>
      <c r="J648" s="200"/>
    </row>
    <row r="649">
      <c r="E649" s="198"/>
      <c r="F649" s="198"/>
      <c r="I649" s="199"/>
      <c r="J649" s="200"/>
    </row>
    <row r="650">
      <c r="E650" s="198"/>
      <c r="F650" s="198"/>
      <c r="I650" s="199"/>
      <c r="J650" s="200"/>
    </row>
    <row r="651">
      <c r="E651" s="198"/>
      <c r="F651" s="198"/>
      <c r="I651" s="199"/>
      <c r="J651" s="200"/>
    </row>
    <row r="652">
      <c r="E652" s="198"/>
      <c r="F652" s="198"/>
      <c r="I652" s="199"/>
      <c r="J652" s="200"/>
    </row>
    <row r="653">
      <c r="E653" s="198"/>
      <c r="F653" s="198"/>
      <c r="I653" s="199"/>
      <c r="J653" s="200"/>
    </row>
    <row r="654">
      <c r="E654" s="198"/>
      <c r="F654" s="198"/>
      <c r="I654" s="199"/>
      <c r="J654" s="200"/>
    </row>
    <row r="655">
      <c r="E655" s="198"/>
      <c r="F655" s="198"/>
      <c r="I655" s="199"/>
      <c r="J655" s="200"/>
    </row>
    <row r="656">
      <c r="E656" s="198"/>
      <c r="F656" s="198"/>
      <c r="I656" s="199"/>
      <c r="J656" s="200"/>
    </row>
    <row r="657">
      <c r="E657" s="198"/>
      <c r="F657" s="198"/>
      <c r="I657" s="199"/>
      <c r="J657" s="200"/>
    </row>
    <row r="658">
      <c r="E658" s="198"/>
      <c r="F658" s="198"/>
      <c r="I658" s="199"/>
      <c r="J658" s="200"/>
    </row>
    <row r="659">
      <c r="E659" s="198"/>
      <c r="F659" s="198"/>
      <c r="I659" s="199"/>
      <c r="J659" s="200"/>
    </row>
    <row r="660">
      <c r="E660" s="198"/>
      <c r="F660" s="198"/>
      <c r="I660" s="199"/>
      <c r="J660" s="200"/>
    </row>
    <row r="661">
      <c r="E661" s="198"/>
      <c r="F661" s="198"/>
      <c r="I661" s="199"/>
      <c r="J661" s="200"/>
    </row>
    <row r="662">
      <c r="E662" s="198"/>
      <c r="F662" s="198"/>
      <c r="I662" s="199"/>
      <c r="J662" s="200"/>
    </row>
    <row r="663">
      <c r="E663" s="198"/>
      <c r="F663" s="198"/>
      <c r="I663" s="199"/>
      <c r="J663" s="200"/>
    </row>
    <row r="664">
      <c r="E664" s="198"/>
      <c r="F664" s="198"/>
      <c r="I664" s="199"/>
      <c r="J664" s="200"/>
    </row>
    <row r="665">
      <c r="E665" s="198"/>
      <c r="F665" s="198"/>
      <c r="I665" s="199"/>
      <c r="J665" s="200"/>
    </row>
    <row r="666">
      <c r="E666" s="198"/>
      <c r="F666" s="198"/>
      <c r="I666" s="199"/>
      <c r="J666" s="200"/>
    </row>
    <row r="667">
      <c r="E667" s="198"/>
      <c r="F667" s="198"/>
      <c r="I667" s="199"/>
      <c r="J667" s="200"/>
    </row>
    <row r="668">
      <c r="E668" s="198"/>
      <c r="F668" s="198"/>
      <c r="I668" s="199"/>
      <c r="J668" s="200"/>
    </row>
    <row r="669">
      <c r="E669" s="198"/>
      <c r="F669" s="198"/>
      <c r="I669" s="199"/>
      <c r="J669" s="200"/>
    </row>
    <row r="670">
      <c r="E670" s="198"/>
      <c r="F670" s="198"/>
      <c r="I670" s="199"/>
      <c r="J670" s="200"/>
    </row>
    <row r="671">
      <c r="E671" s="198"/>
      <c r="F671" s="198"/>
      <c r="I671" s="199"/>
      <c r="J671" s="200"/>
    </row>
    <row r="672">
      <c r="E672" s="198"/>
      <c r="F672" s="198"/>
      <c r="I672" s="199"/>
      <c r="J672" s="200"/>
    </row>
    <row r="673">
      <c r="E673" s="198"/>
      <c r="F673" s="198"/>
      <c r="I673" s="199"/>
      <c r="J673" s="200"/>
    </row>
    <row r="674">
      <c r="E674" s="198"/>
      <c r="F674" s="198"/>
      <c r="I674" s="199"/>
      <c r="J674" s="200"/>
    </row>
    <row r="675">
      <c r="E675" s="198"/>
      <c r="F675" s="198"/>
      <c r="I675" s="199"/>
      <c r="J675" s="200"/>
    </row>
    <row r="676">
      <c r="E676" s="198"/>
      <c r="F676" s="198"/>
      <c r="I676" s="199"/>
      <c r="J676" s="200"/>
    </row>
    <row r="677">
      <c r="E677" s="198"/>
      <c r="F677" s="198"/>
      <c r="I677" s="199"/>
      <c r="J677" s="200"/>
    </row>
    <row r="678">
      <c r="E678" s="198"/>
      <c r="F678" s="198"/>
      <c r="I678" s="199"/>
      <c r="J678" s="200"/>
    </row>
    <row r="679">
      <c r="E679" s="198"/>
      <c r="F679" s="198"/>
      <c r="I679" s="199"/>
      <c r="J679" s="200"/>
    </row>
    <row r="680">
      <c r="E680" s="198"/>
      <c r="F680" s="198"/>
      <c r="I680" s="199"/>
      <c r="J680" s="200"/>
    </row>
    <row r="681">
      <c r="E681" s="198"/>
      <c r="F681" s="198"/>
      <c r="I681" s="199"/>
      <c r="J681" s="200"/>
    </row>
    <row r="682">
      <c r="E682" s="198"/>
      <c r="F682" s="198"/>
      <c r="I682" s="199"/>
      <c r="J682" s="200"/>
    </row>
    <row r="683">
      <c r="E683" s="198"/>
      <c r="F683" s="198"/>
      <c r="I683" s="199"/>
      <c r="J683" s="200"/>
    </row>
    <row r="684">
      <c r="E684" s="198"/>
      <c r="F684" s="198"/>
      <c r="I684" s="199"/>
      <c r="J684" s="200"/>
    </row>
    <row r="685">
      <c r="E685" s="198"/>
      <c r="F685" s="198"/>
      <c r="I685" s="199"/>
      <c r="J685" s="200"/>
    </row>
    <row r="686">
      <c r="E686" s="198"/>
      <c r="F686" s="198"/>
      <c r="I686" s="199"/>
      <c r="J686" s="200"/>
    </row>
    <row r="687">
      <c r="E687" s="198"/>
      <c r="F687" s="198"/>
      <c r="I687" s="199"/>
      <c r="J687" s="200"/>
    </row>
    <row r="688">
      <c r="E688" s="198"/>
      <c r="F688" s="198"/>
      <c r="I688" s="199"/>
      <c r="J688" s="200"/>
    </row>
    <row r="689">
      <c r="E689" s="198"/>
      <c r="F689" s="198"/>
      <c r="I689" s="199"/>
      <c r="J689" s="200"/>
    </row>
    <row r="690">
      <c r="E690" s="198"/>
      <c r="F690" s="198"/>
      <c r="I690" s="199"/>
      <c r="J690" s="200"/>
    </row>
    <row r="691">
      <c r="E691" s="198"/>
      <c r="F691" s="198"/>
      <c r="I691" s="199"/>
      <c r="J691" s="200"/>
    </row>
    <row r="692">
      <c r="E692" s="198"/>
      <c r="F692" s="198"/>
      <c r="I692" s="199"/>
      <c r="J692" s="200"/>
    </row>
    <row r="693">
      <c r="E693" s="198"/>
      <c r="F693" s="198"/>
      <c r="I693" s="199"/>
      <c r="J693" s="200"/>
    </row>
    <row r="694">
      <c r="E694" s="198"/>
      <c r="F694" s="198"/>
      <c r="I694" s="199"/>
      <c r="J694" s="200"/>
    </row>
    <row r="695">
      <c r="E695" s="198"/>
      <c r="F695" s="198"/>
      <c r="I695" s="199"/>
      <c r="J695" s="200"/>
    </row>
    <row r="696">
      <c r="E696" s="198"/>
      <c r="F696" s="198"/>
      <c r="I696" s="199"/>
      <c r="J696" s="200"/>
    </row>
    <row r="697">
      <c r="E697" s="198"/>
      <c r="F697" s="198"/>
      <c r="I697" s="199"/>
      <c r="J697" s="200"/>
    </row>
    <row r="698">
      <c r="E698" s="198"/>
      <c r="F698" s="198"/>
      <c r="I698" s="199"/>
      <c r="J698" s="200"/>
    </row>
    <row r="699">
      <c r="E699" s="198"/>
      <c r="F699" s="198"/>
      <c r="I699" s="199"/>
      <c r="J699" s="200"/>
    </row>
    <row r="700">
      <c r="E700" s="198"/>
      <c r="F700" s="198"/>
      <c r="I700" s="199"/>
      <c r="J700" s="200"/>
    </row>
    <row r="701">
      <c r="E701" s="198"/>
      <c r="F701" s="198"/>
      <c r="I701" s="199"/>
      <c r="J701" s="200"/>
    </row>
    <row r="702">
      <c r="E702" s="198"/>
      <c r="F702" s="198"/>
      <c r="I702" s="199"/>
      <c r="J702" s="200"/>
    </row>
    <row r="703">
      <c r="E703" s="198"/>
      <c r="F703" s="198"/>
      <c r="I703" s="199"/>
      <c r="J703" s="200"/>
    </row>
    <row r="704">
      <c r="E704" s="198"/>
      <c r="F704" s="198"/>
      <c r="I704" s="199"/>
      <c r="J704" s="200"/>
    </row>
    <row r="705">
      <c r="E705" s="198"/>
      <c r="F705" s="198"/>
      <c r="I705" s="199"/>
      <c r="J705" s="200"/>
    </row>
    <row r="706">
      <c r="E706" s="198"/>
      <c r="F706" s="198"/>
      <c r="I706" s="199"/>
      <c r="J706" s="200"/>
    </row>
    <row r="707">
      <c r="E707" s="198"/>
      <c r="F707" s="198"/>
      <c r="I707" s="199"/>
      <c r="J707" s="200"/>
    </row>
    <row r="708">
      <c r="E708" s="198"/>
      <c r="F708" s="198"/>
      <c r="I708" s="199"/>
      <c r="J708" s="200"/>
    </row>
    <row r="709">
      <c r="E709" s="198"/>
      <c r="F709" s="198"/>
      <c r="I709" s="199"/>
      <c r="J709" s="200"/>
    </row>
    <row r="710">
      <c r="E710" s="198"/>
      <c r="F710" s="198"/>
      <c r="I710" s="199"/>
      <c r="J710" s="200"/>
    </row>
    <row r="711">
      <c r="E711" s="198"/>
      <c r="F711" s="198"/>
      <c r="I711" s="199"/>
      <c r="J711" s="200"/>
    </row>
    <row r="712">
      <c r="E712" s="198"/>
      <c r="F712" s="198"/>
      <c r="I712" s="199"/>
      <c r="J712" s="200"/>
    </row>
    <row r="713">
      <c r="E713" s="198"/>
      <c r="F713" s="198"/>
      <c r="I713" s="199"/>
      <c r="J713" s="200"/>
    </row>
    <row r="714">
      <c r="E714" s="198"/>
      <c r="F714" s="198"/>
      <c r="I714" s="199"/>
      <c r="J714" s="200"/>
    </row>
    <row r="715">
      <c r="E715" s="198"/>
      <c r="F715" s="198"/>
      <c r="I715" s="199"/>
      <c r="J715" s="200"/>
    </row>
    <row r="716">
      <c r="E716" s="198"/>
      <c r="F716" s="198"/>
      <c r="I716" s="199"/>
      <c r="J716" s="200"/>
    </row>
    <row r="717">
      <c r="E717" s="198"/>
      <c r="F717" s="198"/>
      <c r="I717" s="199"/>
      <c r="J717" s="200"/>
    </row>
    <row r="718">
      <c r="E718" s="198"/>
      <c r="F718" s="198"/>
      <c r="I718" s="199"/>
      <c r="J718" s="200"/>
    </row>
    <row r="719">
      <c r="E719" s="198"/>
      <c r="F719" s="198"/>
      <c r="I719" s="199"/>
      <c r="J719" s="200"/>
    </row>
    <row r="720">
      <c r="E720" s="198"/>
      <c r="F720" s="198"/>
      <c r="I720" s="199"/>
      <c r="J720" s="200"/>
    </row>
    <row r="721">
      <c r="E721" s="198"/>
      <c r="F721" s="198"/>
      <c r="I721" s="199"/>
      <c r="J721" s="200"/>
    </row>
    <row r="722">
      <c r="E722" s="198"/>
      <c r="F722" s="198"/>
      <c r="I722" s="199"/>
      <c r="J722" s="200"/>
    </row>
    <row r="723">
      <c r="E723" s="198"/>
      <c r="F723" s="198"/>
      <c r="I723" s="199"/>
      <c r="J723" s="200"/>
    </row>
    <row r="724">
      <c r="E724" s="198"/>
      <c r="F724" s="198"/>
      <c r="I724" s="199"/>
      <c r="J724" s="200"/>
    </row>
    <row r="725">
      <c r="E725" s="198"/>
      <c r="F725" s="198"/>
      <c r="I725" s="199"/>
      <c r="J725" s="200"/>
    </row>
    <row r="726">
      <c r="E726" s="198"/>
      <c r="F726" s="198"/>
      <c r="I726" s="199"/>
      <c r="J726" s="200"/>
    </row>
    <row r="727">
      <c r="E727" s="198"/>
      <c r="F727" s="198"/>
      <c r="I727" s="199"/>
      <c r="J727" s="200"/>
    </row>
    <row r="728">
      <c r="E728" s="198"/>
      <c r="F728" s="198"/>
      <c r="I728" s="199"/>
      <c r="J728" s="200"/>
    </row>
    <row r="729">
      <c r="E729" s="198"/>
      <c r="F729" s="198"/>
      <c r="I729" s="199"/>
      <c r="J729" s="200"/>
    </row>
    <row r="730">
      <c r="E730" s="198"/>
      <c r="F730" s="198"/>
      <c r="I730" s="199"/>
      <c r="J730" s="200"/>
    </row>
    <row r="731">
      <c r="E731" s="198"/>
      <c r="F731" s="198"/>
      <c r="I731" s="199"/>
      <c r="J731" s="200"/>
    </row>
    <row r="732">
      <c r="E732" s="198"/>
      <c r="F732" s="198"/>
      <c r="I732" s="199"/>
      <c r="J732" s="200"/>
    </row>
    <row r="733">
      <c r="E733" s="198"/>
      <c r="F733" s="198"/>
      <c r="I733" s="199"/>
      <c r="J733" s="200"/>
    </row>
    <row r="734">
      <c r="E734" s="198"/>
      <c r="F734" s="198"/>
      <c r="I734" s="199"/>
      <c r="J734" s="200"/>
    </row>
    <row r="735">
      <c r="E735" s="198"/>
      <c r="F735" s="198"/>
      <c r="I735" s="199"/>
      <c r="J735" s="200"/>
    </row>
    <row r="736">
      <c r="E736" s="198"/>
      <c r="F736" s="198"/>
      <c r="I736" s="199"/>
      <c r="J736" s="200"/>
    </row>
    <row r="737">
      <c r="E737" s="198"/>
      <c r="F737" s="198"/>
      <c r="I737" s="199"/>
      <c r="J737" s="200"/>
    </row>
    <row r="738">
      <c r="E738" s="198"/>
      <c r="F738" s="198"/>
      <c r="I738" s="199"/>
      <c r="J738" s="200"/>
    </row>
    <row r="739">
      <c r="E739" s="198"/>
      <c r="F739" s="198"/>
      <c r="I739" s="199"/>
      <c r="J739" s="200"/>
    </row>
    <row r="740">
      <c r="E740" s="198"/>
      <c r="F740" s="198"/>
      <c r="I740" s="199"/>
      <c r="J740" s="200"/>
    </row>
    <row r="741">
      <c r="E741" s="198"/>
      <c r="F741" s="198"/>
      <c r="I741" s="199"/>
      <c r="J741" s="200"/>
    </row>
    <row r="742">
      <c r="E742" s="198"/>
      <c r="F742" s="198"/>
      <c r="I742" s="199"/>
      <c r="J742" s="200"/>
    </row>
    <row r="743">
      <c r="E743" s="198"/>
      <c r="F743" s="198"/>
      <c r="I743" s="199"/>
      <c r="J743" s="200"/>
    </row>
    <row r="744">
      <c r="E744" s="198"/>
      <c r="F744" s="198"/>
      <c r="I744" s="199"/>
      <c r="J744" s="200"/>
    </row>
    <row r="745">
      <c r="E745" s="198"/>
      <c r="F745" s="198"/>
      <c r="I745" s="199"/>
      <c r="J745" s="200"/>
    </row>
    <row r="746">
      <c r="E746" s="198"/>
      <c r="F746" s="198"/>
      <c r="I746" s="199"/>
      <c r="J746" s="200"/>
    </row>
    <row r="747">
      <c r="E747" s="198"/>
      <c r="F747" s="198"/>
      <c r="I747" s="199"/>
      <c r="J747" s="200"/>
    </row>
    <row r="748">
      <c r="E748" s="198"/>
      <c r="F748" s="198"/>
      <c r="I748" s="199"/>
      <c r="J748" s="200"/>
    </row>
    <row r="749">
      <c r="E749" s="198"/>
      <c r="F749" s="198"/>
      <c r="I749" s="199"/>
      <c r="J749" s="200"/>
    </row>
    <row r="750">
      <c r="E750" s="198"/>
      <c r="F750" s="198"/>
      <c r="I750" s="199"/>
      <c r="J750" s="200"/>
    </row>
    <row r="751">
      <c r="E751" s="198"/>
      <c r="F751" s="198"/>
      <c r="I751" s="199"/>
      <c r="J751" s="200"/>
    </row>
    <row r="752">
      <c r="E752" s="198"/>
      <c r="F752" s="198"/>
      <c r="I752" s="199"/>
      <c r="J752" s="200"/>
    </row>
    <row r="753">
      <c r="E753" s="198"/>
      <c r="F753" s="198"/>
      <c r="I753" s="199"/>
      <c r="J753" s="200"/>
    </row>
    <row r="754">
      <c r="E754" s="198"/>
      <c r="F754" s="198"/>
      <c r="I754" s="199"/>
      <c r="J754" s="200"/>
    </row>
    <row r="755">
      <c r="E755" s="198"/>
      <c r="F755" s="198"/>
      <c r="I755" s="199"/>
      <c r="J755" s="200"/>
    </row>
    <row r="756">
      <c r="E756" s="198"/>
      <c r="F756" s="198"/>
      <c r="I756" s="199"/>
      <c r="J756" s="200"/>
    </row>
    <row r="757">
      <c r="E757" s="198"/>
      <c r="F757" s="198"/>
      <c r="I757" s="199"/>
      <c r="J757" s="200"/>
    </row>
    <row r="758">
      <c r="E758" s="198"/>
      <c r="F758" s="198"/>
      <c r="I758" s="199"/>
      <c r="J758" s="200"/>
    </row>
    <row r="759">
      <c r="E759" s="198"/>
      <c r="F759" s="198"/>
      <c r="I759" s="199"/>
      <c r="J759" s="200"/>
    </row>
    <row r="760">
      <c r="E760" s="198"/>
      <c r="F760" s="198"/>
      <c r="I760" s="199"/>
      <c r="J760" s="200"/>
    </row>
    <row r="761">
      <c r="E761" s="198"/>
      <c r="F761" s="198"/>
      <c r="I761" s="199"/>
      <c r="J761" s="200"/>
    </row>
    <row r="762">
      <c r="E762" s="198"/>
      <c r="F762" s="198"/>
      <c r="I762" s="199"/>
      <c r="J762" s="200"/>
    </row>
    <row r="763">
      <c r="E763" s="198"/>
      <c r="F763" s="198"/>
      <c r="I763" s="199"/>
      <c r="J763" s="200"/>
    </row>
    <row r="764">
      <c r="E764" s="198"/>
      <c r="F764" s="198"/>
      <c r="I764" s="199"/>
      <c r="J764" s="200"/>
    </row>
    <row r="765">
      <c r="E765" s="198"/>
      <c r="F765" s="198"/>
      <c r="I765" s="199"/>
      <c r="J765" s="200"/>
    </row>
    <row r="766">
      <c r="E766" s="198"/>
      <c r="F766" s="198"/>
      <c r="I766" s="199"/>
      <c r="J766" s="200"/>
    </row>
    <row r="767">
      <c r="E767" s="198"/>
      <c r="F767" s="198"/>
      <c r="I767" s="199"/>
      <c r="J767" s="200"/>
    </row>
    <row r="768">
      <c r="E768" s="198"/>
      <c r="F768" s="198"/>
      <c r="I768" s="199"/>
      <c r="J768" s="200"/>
    </row>
    <row r="769">
      <c r="E769" s="198"/>
      <c r="F769" s="198"/>
      <c r="I769" s="199"/>
      <c r="J769" s="200"/>
    </row>
    <row r="770">
      <c r="E770" s="198"/>
      <c r="F770" s="198"/>
      <c r="I770" s="199"/>
      <c r="J770" s="200"/>
    </row>
    <row r="771">
      <c r="E771" s="198"/>
      <c r="F771" s="198"/>
      <c r="I771" s="199"/>
      <c r="J771" s="200"/>
    </row>
    <row r="772">
      <c r="E772" s="198"/>
      <c r="F772" s="198"/>
      <c r="I772" s="199"/>
      <c r="J772" s="200"/>
    </row>
    <row r="773">
      <c r="E773" s="198"/>
      <c r="F773" s="198"/>
      <c r="I773" s="199"/>
      <c r="J773" s="200"/>
    </row>
    <row r="774">
      <c r="E774" s="198"/>
      <c r="F774" s="198"/>
      <c r="I774" s="199"/>
      <c r="J774" s="200"/>
    </row>
    <row r="775">
      <c r="E775" s="198"/>
      <c r="F775" s="198"/>
      <c r="I775" s="199"/>
      <c r="J775" s="200"/>
    </row>
    <row r="776">
      <c r="E776" s="198"/>
      <c r="F776" s="198"/>
      <c r="I776" s="199"/>
      <c r="J776" s="200"/>
    </row>
    <row r="777">
      <c r="E777" s="198"/>
      <c r="F777" s="198"/>
      <c r="I777" s="199"/>
      <c r="J777" s="200"/>
    </row>
    <row r="778">
      <c r="E778" s="198"/>
      <c r="F778" s="198"/>
      <c r="I778" s="199"/>
      <c r="J778" s="200"/>
    </row>
    <row r="779">
      <c r="E779" s="198"/>
      <c r="F779" s="198"/>
      <c r="I779" s="199"/>
      <c r="J779" s="200"/>
    </row>
    <row r="780">
      <c r="E780" s="198"/>
      <c r="F780" s="198"/>
      <c r="I780" s="199"/>
      <c r="J780" s="200"/>
    </row>
    <row r="781">
      <c r="E781" s="198"/>
      <c r="F781" s="198"/>
      <c r="I781" s="199"/>
      <c r="J781" s="200"/>
    </row>
    <row r="782">
      <c r="E782" s="198"/>
      <c r="F782" s="198"/>
      <c r="I782" s="199"/>
      <c r="J782" s="200"/>
    </row>
    <row r="783">
      <c r="E783" s="198"/>
      <c r="F783" s="198"/>
      <c r="I783" s="199"/>
      <c r="J783" s="200"/>
    </row>
    <row r="784">
      <c r="E784" s="198"/>
      <c r="F784" s="198"/>
      <c r="I784" s="199"/>
      <c r="J784" s="200"/>
    </row>
    <row r="785">
      <c r="E785" s="198"/>
      <c r="F785" s="198"/>
      <c r="I785" s="199"/>
      <c r="J785" s="200"/>
    </row>
    <row r="786">
      <c r="E786" s="198"/>
      <c r="F786" s="198"/>
      <c r="I786" s="199"/>
      <c r="J786" s="200"/>
    </row>
    <row r="787">
      <c r="E787" s="198"/>
      <c r="F787" s="198"/>
      <c r="I787" s="199"/>
      <c r="J787" s="200"/>
    </row>
    <row r="788">
      <c r="E788" s="198"/>
      <c r="F788" s="198"/>
      <c r="I788" s="199"/>
      <c r="J788" s="200"/>
    </row>
    <row r="789">
      <c r="E789" s="198"/>
      <c r="F789" s="198"/>
      <c r="I789" s="199"/>
      <c r="J789" s="200"/>
    </row>
    <row r="790">
      <c r="E790" s="198"/>
      <c r="F790" s="198"/>
      <c r="I790" s="199"/>
      <c r="J790" s="200"/>
    </row>
    <row r="791">
      <c r="E791" s="198"/>
      <c r="F791" s="198"/>
      <c r="I791" s="199"/>
      <c r="J791" s="200"/>
    </row>
    <row r="792">
      <c r="E792" s="198"/>
      <c r="F792" s="198"/>
      <c r="I792" s="199"/>
      <c r="J792" s="200"/>
    </row>
    <row r="793">
      <c r="E793" s="198"/>
      <c r="F793" s="198"/>
      <c r="I793" s="199"/>
      <c r="J793" s="200"/>
    </row>
    <row r="794">
      <c r="E794" s="198"/>
      <c r="F794" s="198"/>
      <c r="I794" s="199"/>
      <c r="J794" s="200"/>
    </row>
    <row r="795">
      <c r="E795" s="198"/>
      <c r="F795" s="198"/>
      <c r="I795" s="199"/>
      <c r="J795" s="200"/>
    </row>
    <row r="796">
      <c r="E796" s="198"/>
      <c r="F796" s="198"/>
      <c r="I796" s="199"/>
      <c r="J796" s="200"/>
    </row>
    <row r="797">
      <c r="E797" s="198"/>
      <c r="F797" s="198"/>
      <c r="I797" s="199"/>
      <c r="J797" s="200"/>
    </row>
    <row r="798">
      <c r="E798" s="198"/>
      <c r="F798" s="198"/>
      <c r="I798" s="199"/>
      <c r="J798" s="200"/>
    </row>
    <row r="799">
      <c r="E799" s="198"/>
      <c r="F799" s="198"/>
      <c r="I799" s="199"/>
      <c r="J799" s="200"/>
    </row>
    <row r="800">
      <c r="E800" s="198"/>
      <c r="F800" s="198"/>
      <c r="I800" s="199"/>
      <c r="J800" s="200"/>
    </row>
    <row r="801">
      <c r="E801" s="198"/>
      <c r="F801" s="198"/>
      <c r="I801" s="199"/>
      <c r="J801" s="200"/>
    </row>
    <row r="802">
      <c r="E802" s="198"/>
      <c r="F802" s="198"/>
      <c r="I802" s="199"/>
      <c r="J802" s="200"/>
    </row>
    <row r="803">
      <c r="E803" s="198"/>
      <c r="F803" s="198"/>
      <c r="I803" s="199"/>
      <c r="J803" s="200"/>
    </row>
    <row r="804">
      <c r="E804" s="198"/>
      <c r="F804" s="198"/>
      <c r="I804" s="199"/>
      <c r="J804" s="200"/>
    </row>
    <row r="805">
      <c r="E805" s="198"/>
      <c r="F805" s="198"/>
      <c r="I805" s="199"/>
      <c r="J805" s="200"/>
    </row>
    <row r="806">
      <c r="E806" s="198"/>
      <c r="F806" s="198"/>
      <c r="I806" s="199"/>
      <c r="J806" s="200"/>
    </row>
    <row r="807">
      <c r="E807" s="198"/>
      <c r="F807" s="198"/>
      <c r="I807" s="199"/>
      <c r="J807" s="200"/>
    </row>
    <row r="808">
      <c r="E808" s="198"/>
      <c r="F808" s="198"/>
      <c r="I808" s="199"/>
      <c r="J808" s="200"/>
    </row>
    <row r="809">
      <c r="E809" s="198"/>
      <c r="F809" s="198"/>
      <c r="I809" s="199"/>
      <c r="J809" s="200"/>
    </row>
    <row r="810">
      <c r="E810" s="198"/>
      <c r="F810" s="198"/>
      <c r="I810" s="199"/>
      <c r="J810" s="200"/>
    </row>
    <row r="811">
      <c r="E811" s="198"/>
      <c r="F811" s="198"/>
      <c r="I811" s="199"/>
      <c r="J811" s="200"/>
    </row>
    <row r="812">
      <c r="E812" s="198"/>
      <c r="F812" s="198"/>
      <c r="I812" s="199"/>
      <c r="J812" s="200"/>
    </row>
    <row r="813">
      <c r="E813" s="198"/>
      <c r="F813" s="198"/>
      <c r="I813" s="199"/>
      <c r="J813" s="200"/>
    </row>
    <row r="814">
      <c r="E814" s="198"/>
      <c r="F814" s="198"/>
      <c r="I814" s="199"/>
      <c r="J814" s="200"/>
    </row>
    <row r="815">
      <c r="E815" s="198"/>
      <c r="F815" s="198"/>
      <c r="I815" s="199"/>
      <c r="J815" s="200"/>
    </row>
    <row r="816">
      <c r="E816" s="198"/>
      <c r="F816" s="198"/>
      <c r="I816" s="199"/>
      <c r="J816" s="200"/>
    </row>
    <row r="817">
      <c r="E817" s="198"/>
      <c r="F817" s="198"/>
      <c r="I817" s="199"/>
      <c r="J817" s="200"/>
    </row>
    <row r="818">
      <c r="E818" s="198"/>
      <c r="F818" s="198"/>
      <c r="I818" s="199"/>
      <c r="J818" s="200"/>
    </row>
    <row r="819">
      <c r="E819" s="198"/>
      <c r="F819" s="198"/>
      <c r="I819" s="199"/>
      <c r="J819" s="200"/>
    </row>
    <row r="820">
      <c r="E820" s="198"/>
      <c r="F820" s="198"/>
      <c r="I820" s="199"/>
      <c r="J820" s="200"/>
    </row>
    <row r="821">
      <c r="E821" s="198"/>
      <c r="F821" s="198"/>
      <c r="I821" s="199"/>
      <c r="J821" s="200"/>
    </row>
    <row r="822">
      <c r="E822" s="198"/>
      <c r="F822" s="198"/>
      <c r="I822" s="199"/>
      <c r="J822" s="200"/>
    </row>
    <row r="823">
      <c r="E823" s="198"/>
      <c r="F823" s="198"/>
      <c r="I823" s="199"/>
      <c r="J823" s="200"/>
    </row>
    <row r="824">
      <c r="E824" s="198"/>
      <c r="F824" s="198"/>
      <c r="I824" s="199"/>
      <c r="J824" s="200"/>
    </row>
    <row r="825">
      <c r="E825" s="198"/>
      <c r="F825" s="198"/>
      <c r="I825" s="199"/>
      <c r="J825" s="200"/>
    </row>
    <row r="826">
      <c r="E826" s="198"/>
      <c r="F826" s="198"/>
      <c r="I826" s="199"/>
      <c r="J826" s="200"/>
    </row>
    <row r="827">
      <c r="E827" s="198"/>
      <c r="F827" s="198"/>
      <c r="I827" s="199"/>
      <c r="J827" s="200"/>
    </row>
    <row r="828">
      <c r="E828" s="198"/>
      <c r="F828" s="198"/>
      <c r="I828" s="199"/>
      <c r="J828" s="200"/>
    </row>
    <row r="829">
      <c r="E829" s="198"/>
      <c r="F829" s="198"/>
      <c r="I829" s="199"/>
      <c r="J829" s="200"/>
    </row>
    <row r="830">
      <c r="E830" s="198"/>
      <c r="F830" s="198"/>
      <c r="I830" s="199"/>
      <c r="J830" s="200"/>
    </row>
    <row r="831">
      <c r="E831" s="198"/>
      <c r="F831" s="198"/>
      <c r="I831" s="199"/>
      <c r="J831" s="200"/>
    </row>
    <row r="832">
      <c r="E832" s="198"/>
      <c r="F832" s="198"/>
      <c r="I832" s="199"/>
      <c r="J832" s="200"/>
    </row>
    <row r="833">
      <c r="E833" s="198"/>
      <c r="F833" s="198"/>
      <c r="I833" s="199"/>
      <c r="J833" s="200"/>
    </row>
    <row r="834">
      <c r="E834" s="198"/>
      <c r="F834" s="198"/>
      <c r="I834" s="199"/>
      <c r="J834" s="200"/>
    </row>
    <row r="835">
      <c r="E835" s="198"/>
      <c r="F835" s="198"/>
      <c r="I835" s="199"/>
      <c r="J835" s="200"/>
    </row>
    <row r="836">
      <c r="E836" s="198"/>
      <c r="F836" s="198"/>
      <c r="I836" s="199"/>
      <c r="J836" s="200"/>
    </row>
    <row r="837">
      <c r="E837" s="198"/>
      <c r="F837" s="198"/>
      <c r="I837" s="199"/>
      <c r="J837" s="200"/>
    </row>
    <row r="838">
      <c r="E838" s="198"/>
      <c r="F838" s="198"/>
      <c r="I838" s="199"/>
      <c r="J838" s="200"/>
    </row>
    <row r="839">
      <c r="E839" s="198"/>
      <c r="F839" s="198"/>
      <c r="I839" s="199"/>
      <c r="J839" s="200"/>
    </row>
    <row r="840">
      <c r="E840" s="198"/>
      <c r="F840" s="198"/>
      <c r="I840" s="199"/>
      <c r="J840" s="200"/>
    </row>
    <row r="841">
      <c r="E841" s="198"/>
      <c r="F841" s="198"/>
      <c r="I841" s="199"/>
      <c r="J841" s="200"/>
    </row>
    <row r="842">
      <c r="E842" s="198"/>
      <c r="F842" s="198"/>
      <c r="I842" s="199"/>
      <c r="J842" s="200"/>
    </row>
    <row r="843">
      <c r="E843" s="198"/>
      <c r="F843" s="198"/>
      <c r="I843" s="199"/>
      <c r="J843" s="200"/>
    </row>
    <row r="844">
      <c r="E844" s="198"/>
      <c r="F844" s="198"/>
      <c r="I844" s="199"/>
      <c r="J844" s="200"/>
    </row>
    <row r="845">
      <c r="E845" s="198"/>
      <c r="F845" s="198"/>
      <c r="I845" s="199"/>
      <c r="J845" s="200"/>
    </row>
    <row r="846">
      <c r="E846" s="198"/>
      <c r="F846" s="198"/>
      <c r="I846" s="199"/>
      <c r="J846" s="200"/>
    </row>
    <row r="847">
      <c r="E847" s="198"/>
      <c r="F847" s="198"/>
      <c r="I847" s="199"/>
      <c r="J847" s="200"/>
    </row>
    <row r="848">
      <c r="E848" s="198"/>
      <c r="F848" s="198"/>
      <c r="I848" s="199"/>
      <c r="J848" s="200"/>
    </row>
    <row r="849">
      <c r="E849" s="198"/>
      <c r="F849" s="198"/>
      <c r="I849" s="199"/>
      <c r="J849" s="200"/>
    </row>
    <row r="850">
      <c r="E850" s="198"/>
      <c r="F850" s="198"/>
      <c r="I850" s="199"/>
      <c r="J850" s="200"/>
    </row>
    <row r="851">
      <c r="E851" s="198"/>
      <c r="F851" s="198"/>
      <c r="I851" s="199"/>
      <c r="J851" s="200"/>
    </row>
    <row r="852">
      <c r="E852" s="198"/>
      <c r="F852" s="198"/>
      <c r="I852" s="199"/>
      <c r="J852" s="200"/>
    </row>
    <row r="853">
      <c r="E853" s="198"/>
      <c r="F853" s="198"/>
      <c r="I853" s="199"/>
      <c r="J853" s="200"/>
    </row>
    <row r="854">
      <c r="E854" s="198"/>
      <c r="F854" s="198"/>
      <c r="I854" s="199"/>
      <c r="J854" s="200"/>
    </row>
    <row r="855">
      <c r="E855" s="198"/>
      <c r="F855" s="198"/>
      <c r="I855" s="199"/>
      <c r="J855" s="200"/>
    </row>
    <row r="856">
      <c r="E856" s="198"/>
      <c r="F856" s="198"/>
      <c r="I856" s="199"/>
      <c r="J856" s="200"/>
    </row>
    <row r="857">
      <c r="E857" s="198"/>
      <c r="F857" s="198"/>
      <c r="I857" s="199"/>
      <c r="J857" s="200"/>
    </row>
    <row r="858">
      <c r="E858" s="198"/>
      <c r="F858" s="198"/>
      <c r="I858" s="199"/>
      <c r="J858" s="200"/>
    </row>
    <row r="859">
      <c r="E859" s="198"/>
      <c r="F859" s="198"/>
      <c r="I859" s="199"/>
      <c r="J859" s="200"/>
    </row>
    <row r="860">
      <c r="E860" s="198"/>
      <c r="F860" s="198"/>
      <c r="I860" s="199"/>
      <c r="J860" s="200"/>
    </row>
    <row r="861">
      <c r="E861" s="198"/>
      <c r="F861" s="198"/>
      <c r="I861" s="199"/>
      <c r="J861" s="200"/>
    </row>
    <row r="862">
      <c r="E862" s="198"/>
      <c r="F862" s="198"/>
      <c r="I862" s="199"/>
      <c r="J862" s="200"/>
    </row>
    <row r="863">
      <c r="E863" s="198"/>
      <c r="F863" s="198"/>
      <c r="I863" s="199"/>
      <c r="J863" s="200"/>
    </row>
    <row r="864">
      <c r="E864" s="198"/>
      <c r="F864" s="198"/>
      <c r="I864" s="199"/>
      <c r="J864" s="200"/>
    </row>
    <row r="865">
      <c r="E865" s="198"/>
      <c r="F865" s="198"/>
      <c r="I865" s="199"/>
      <c r="J865" s="200"/>
    </row>
    <row r="866">
      <c r="E866" s="198"/>
      <c r="F866" s="198"/>
      <c r="I866" s="199"/>
      <c r="J866" s="200"/>
    </row>
    <row r="867">
      <c r="E867" s="198"/>
      <c r="F867" s="198"/>
      <c r="I867" s="199"/>
      <c r="J867" s="200"/>
    </row>
    <row r="868">
      <c r="E868" s="198"/>
      <c r="F868" s="198"/>
      <c r="I868" s="199"/>
      <c r="J868" s="200"/>
    </row>
    <row r="869">
      <c r="E869" s="198"/>
      <c r="F869" s="198"/>
      <c r="I869" s="199"/>
      <c r="J869" s="200"/>
    </row>
    <row r="870">
      <c r="E870" s="198"/>
      <c r="F870" s="198"/>
      <c r="I870" s="199"/>
      <c r="J870" s="200"/>
    </row>
    <row r="871">
      <c r="E871" s="198"/>
      <c r="F871" s="198"/>
      <c r="I871" s="199"/>
      <c r="J871" s="200"/>
    </row>
    <row r="872">
      <c r="E872" s="198"/>
      <c r="F872" s="198"/>
      <c r="I872" s="199"/>
      <c r="J872" s="200"/>
    </row>
    <row r="873">
      <c r="E873" s="198"/>
      <c r="F873" s="198"/>
      <c r="I873" s="199"/>
      <c r="J873" s="200"/>
    </row>
    <row r="874">
      <c r="E874" s="198"/>
      <c r="F874" s="198"/>
      <c r="I874" s="199"/>
      <c r="J874" s="200"/>
    </row>
    <row r="875">
      <c r="E875" s="198"/>
      <c r="F875" s="198"/>
      <c r="I875" s="199"/>
      <c r="J875" s="200"/>
    </row>
    <row r="876">
      <c r="E876" s="198"/>
      <c r="F876" s="198"/>
      <c r="I876" s="199"/>
      <c r="J876" s="200"/>
    </row>
    <row r="877">
      <c r="E877" s="198"/>
      <c r="F877" s="198"/>
      <c r="I877" s="199"/>
      <c r="J877" s="200"/>
    </row>
    <row r="878">
      <c r="E878" s="198"/>
      <c r="F878" s="198"/>
      <c r="I878" s="199"/>
      <c r="J878" s="200"/>
    </row>
    <row r="879">
      <c r="E879" s="198"/>
      <c r="F879" s="198"/>
      <c r="I879" s="199"/>
      <c r="J879" s="200"/>
    </row>
    <row r="880">
      <c r="E880" s="198"/>
      <c r="F880" s="198"/>
      <c r="I880" s="199"/>
      <c r="J880" s="200"/>
    </row>
    <row r="881">
      <c r="E881" s="198"/>
      <c r="F881" s="198"/>
      <c r="I881" s="199"/>
      <c r="J881" s="200"/>
    </row>
    <row r="882">
      <c r="E882" s="198"/>
      <c r="F882" s="198"/>
      <c r="I882" s="199"/>
      <c r="J882" s="200"/>
    </row>
    <row r="883">
      <c r="E883" s="198"/>
      <c r="F883" s="198"/>
      <c r="I883" s="199"/>
      <c r="J883" s="200"/>
    </row>
    <row r="884">
      <c r="E884" s="198"/>
      <c r="F884" s="198"/>
      <c r="I884" s="199"/>
      <c r="J884" s="200"/>
    </row>
    <row r="885">
      <c r="E885" s="198"/>
      <c r="F885" s="198"/>
      <c r="I885" s="199"/>
      <c r="J885" s="200"/>
    </row>
    <row r="886">
      <c r="E886" s="198"/>
      <c r="F886" s="198"/>
      <c r="I886" s="199"/>
      <c r="J886" s="200"/>
    </row>
    <row r="887">
      <c r="E887" s="198"/>
      <c r="F887" s="198"/>
      <c r="I887" s="199"/>
      <c r="J887" s="200"/>
    </row>
    <row r="888">
      <c r="E888" s="198"/>
      <c r="F888" s="198"/>
      <c r="I888" s="199"/>
      <c r="J888" s="200"/>
    </row>
    <row r="889">
      <c r="E889" s="198"/>
      <c r="F889" s="198"/>
      <c r="I889" s="199"/>
      <c r="J889" s="200"/>
    </row>
    <row r="890">
      <c r="E890" s="198"/>
      <c r="F890" s="198"/>
      <c r="I890" s="199"/>
      <c r="J890" s="200"/>
    </row>
    <row r="891">
      <c r="E891" s="198"/>
      <c r="F891" s="198"/>
      <c r="I891" s="199"/>
      <c r="J891" s="200"/>
    </row>
    <row r="892">
      <c r="E892" s="198"/>
      <c r="F892" s="198"/>
      <c r="I892" s="199"/>
      <c r="J892" s="200"/>
    </row>
    <row r="893">
      <c r="E893" s="198"/>
      <c r="F893" s="198"/>
      <c r="I893" s="199"/>
      <c r="J893" s="200"/>
    </row>
    <row r="894">
      <c r="E894" s="198"/>
      <c r="F894" s="198"/>
      <c r="I894" s="199"/>
      <c r="J894" s="200"/>
    </row>
    <row r="895">
      <c r="E895" s="198"/>
      <c r="F895" s="198"/>
      <c r="I895" s="199"/>
      <c r="J895" s="200"/>
    </row>
    <row r="896">
      <c r="E896" s="198"/>
      <c r="F896" s="198"/>
      <c r="I896" s="199"/>
      <c r="J896" s="200"/>
    </row>
    <row r="897">
      <c r="E897" s="198"/>
      <c r="F897" s="198"/>
      <c r="I897" s="199"/>
      <c r="J897" s="200"/>
    </row>
    <row r="898">
      <c r="E898" s="198"/>
      <c r="F898" s="198"/>
      <c r="I898" s="199"/>
      <c r="J898" s="200"/>
    </row>
    <row r="899">
      <c r="E899" s="198"/>
      <c r="F899" s="198"/>
      <c r="I899" s="199"/>
      <c r="J899" s="200"/>
    </row>
    <row r="900">
      <c r="E900" s="198"/>
      <c r="F900" s="198"/>
      <c r="I900" s="199"/>
      <c r="J900" s="200"/>
    </row>
    <row r="901">
      <c r="E901" s="198"/>
      <c r="F901" s="198"/>
      <c r="I901" s="199"/>
      <c r="J901" s="200"/>
    </row>
    <row r="902">
      <c r="E902" s="198"/>
      <c r="F902" s="198"/>
      <c r="I902" s="199"/>
      <c r="J902" s="200"/>
    </row>
    <row r="903">
      <c r="E903" s="198"/>
      <c r="F903" s="198"/>
      <c r="I903" s="199"/>
      <c r="J903" s="200"/>
    </row>
    <row r="904">
      <c r="E904" s="198"/>
      <c r="F904" s="198"/>
      <c r="I904" s="199"/>
      <c r="J904" s="200"/>
    </row>
    <row r="905">
      <c r="E905" s="198"/>
      <c r="F905" s="198"/>
      <c r="I905" s="199"/>
      <c r="J905" s="200"/>
    </row>
    <row r="906">
      <c r="E906" s="198"/>
      <c r="F906" s="198"/>
      <c r="I906" s="199"/>
      <c r="J906" s="200"/>
    </row>
    <row r="907">
      <c r="E907" s="198"/>
      <c r="F907" s="198"/>
      <c r="I907" s="199"/>
      <c r="J907" s="200"/>
    </row>
    <row r="908">
      <c r="E908" s="198"/>
      <c r="F908" s="198"/>
      <c r="I908" s="199"/>
      <c r="J908" s="200"/>
    </row>
    <row r="909">
      <c r="E909" s="198"/>
      <c r="F909" s="198"/>
      <c r="I909" s="199"/>
      <c r="J909" s="200"/>
    </row>
    <row r="910">
      <c r="E910" s="198"/>
      <c r="F910" s="198"/>
      <c r="I910" s="199"/>
      <c r="J910" s="200"/>
    </row>
    <row r="911">
      <c r="E911" s="198"/>
      <c r="F911" s="198"/>
      <c r="I911" s="199"/>
      <c r="J911" s="200"/>
    </row>
    <row r="912">
      <c r="E912" s="198"/>
      <c r="F912" s="198"/>
      <c r="I912" s="199"/>
      <c r="J912" s="200"/>
    </row>
    <row r="913">
      <c r="E913" s="198"/>
      <c r="F913" s="198"/>
      <c r="I913" s="199"/>
      <c r="J913" s="200"/>
    </row>
    <row r="914">
      <c r="E914" s="198"/>
      <c r="F914" s="198"/>
      <c r="I914" s="199"/>
      <c r="J914" s="200"/>
    </row>
    <row r="915">
      <c r="E915" s="198"/>
      <c r="F915" s="198"/>
      <c r="I915" s="199"/>
      <c r="J915" s="200"/>
    </row>
    <row r="916">
      <c r="E916" s="198"/>
      <c r="F916" s="198"/>
      <c r="I916" s="199"/>
      <c r="J916" s="200"/>
    </row>
    <row r="917">
      <c r="E917" s="198"/>
      <c r="F917" s="198"/>
      <c r="I917" s="199"/>
      <c r="J917" s="200"/>
    </row>
    <row r="918">
      <c r="E918" s="198"/>
      <c r="F918" s="198"/>
      <c r="I918" s="199"/>
      <c r="J918" s="200"/>
    </row>
    <row r="919">
      <c r="E919" s="198"/>
      <c r="F919" s="198"/>
      <c r="I919" s="199"/>
      <c r="J919" s="200"/>
    </row>
    <row r="920">
      <c r="E920" s="198"/>
      <c r="F920" s="198"/>
      <c r="I920" s="199"/>
      <c r="J920" s="200"/>
    </row>
    <row r="921">
      <c r="E921" s="198"/>
      <c r="F921" s="198"/>
      <c r="I921" s="199"/>
      <c r="J921" s="200"/>
    </row>
    <row r="922">
      <c r="E922" s="198"/>
      <c r="F922" s="198"/>
      <c r="I922" s="199"/>
      <c r="J922" s="200"/>
    </row>
    <row r="923">
      <c r="E923" s="198"/>
      <c r="F923" s="198"/>
      <c r="I923" s="199"/>
      <c r="J923" s="200"/>
    </row>
    <row r="924">
      <c r="E924" s="198"/>
      <c r="F924" s="198"/>
      <c r="I924" s="199"/>
      <c r="J924" s="200"/>
    </row>
    <row r="925">
      <c r="E925" s="198"/>
      <c r="F925" s="198"/>
      <c r="I925" s="199"/>
      <c r="J925" s="200"/>
    </row>
    <row r="926">
      <c r="E926" s="198"/>
      <c r="F926" s="198"/>
      <c r="I926" s="199"/>
      <c r="J926" s="200"/>
    </row>
    <row r="927">
      <c r="E927" s="198"/>
      <c r="F927" s="198"/>
      <c r="I927" s="199"/>
      <c r="J927" s="200"/>
    </row>
    <row r="928">
      <c r="E928" s="198"/>
      <c r="F928" s="198"/>
      <c r="I928" s="199"/>
      <c r="J928" s="200"/>
    </row>
    <row r="929">
      <c r="E929" s="198"/>
      <c r="F929" s="198"/>
      <c r="I929" s="199"/>
      <c r="J929" s="200"/>
    </row>
    <row r="930">
      <c r="E930" s="198"/>
      <c r="F930" s="198"/>
      <c r="I930" s="199"/>
      <c r="J930" s="200"/>
    </row>
    <row r="931">
      <c r="E931" s="198"/>
      <c r="F931" s="198"/>
      <c r="I931" s="199"/>
      <c r="J931" s="200"/>
    </row>
    <row r="932">
      <c r="E932" s="198"/>
      <c r="F932" s="198"/>
      <c r="I932" s="199"/>
      <c r="J932" s="200"/>
    </row>
    <row r="933">
      <c r="E933" s="198"/>
      <c r="F933" s="198"/>
      <c r="I933" s="199"/>
      <c r="J933" s="200"/>
    </row>
    <row r="934">
      <c r="E934" s="198"/>
      <c r="F934" s="198"/>
      <c r="I934" s="199"/>
      <c r="J934" s="200"/>
    </row>
    <row r="935">
      <c r="E935" s="198"/>
      <c r="F935" s="198"/>
      <c r="I935" s="199"/>
      <c r="J935" s="200"/>
    </row>
    <row r="936">
      <c r="E936" s="198"/>
      <c r="F936" s="198"/>
      <c r="I936" s="199"/>
      <c r="J936" s="200"/>
    </row>
    <row r="937">
      <c r="E937" s="198"/>
      <c r="F937" s="198"/>
      <c r="I937" s="199"/>
      <c r="J937" s="200"/>
    </row>
    <row r="938">
      <c r="E938" s="198"/>
      <c r="F938" s="198"/>
      <c r="I938" s="199"/>
      <c r="J938" s="200"/>
    </row>
    <row r="939">
      <c r="E939" s="198"/>
      <c r="F939" s="198"/>
      <c r="I939" s="199"/>
      <c r="J939" s="200"/>
    </row>
    <row r="940">
      <c r="E940" s="198"/>
      <c r="F940" s="198"/>
      <c r="I940" s="199"/>
      <c r="J940" s="200"/>
    </row>
    <row r="941">
      <c r="E941" s="198"/>
      <c r="F941" s="198"/>
      <c r="I941" s="199"/>
      <c r="J941" s="200"/>
    </row>
    <row r="942">
      <c r="E942" s="198"/>
      <c r="F942" s="198"/>
      <c r="I942" s="199"/>
      <c r="J942" s="200"/>
    </row>
    <row r="943">
      <c r="E943" s="198"/>
      <c r="F943" s="198"/>
      <c r="I943" s="199"/>
      <c r="J943" s="200"/>
    </row>
    <row r="944">
      <c r="E944" s="198"/>
      <c r="F944" s="198"/>
      <c r="I944" s="199"/>
      <c r="J944" s="200"/>
    </row>
    <row r="945">
      <c r="E945" s="198"/>
      <c r="F945" s="198"/>
      <c r="I945" s="199"/>
      <c r="J945" s="200"/>
    </row>
    <row r="946">
      <c r="E946" s="198"/>
      <c r="F946" s="198"/>
      <c r="I946" s="199"/>
      <c r="J946" s="200"/>
    </row>
    <row r="947">
      <c r="E947" s="198"/>
      <c r="F947" s="198"/>
      <c r="I947" s="199"/>
      <c r="J947" s="200"/>
    </row>
    <row r="948">
      <c r="E948" s="198"/>
      <c r="F948" s="198"/>
      <c r="I948" s="199"/>
      <c r="J948" s="200"/>
    </row>
    <row r="949">
      <c r="E949" s="198"/>
      <c r="F949" s="198"/>
      <c r="I949" s="199"/>
      <c r="J949" s="200"/>
    </row>
    <row r="950">
      <c r="E950" s="198"/>
      <c r="F950" s="198"/>
      <c r="I950" s="199"/>
      <c r="J950" s="200"/>
    </row>
    <row r="951">
      <c r="E951" s="198"/>
      <c r="F951" s="198"/>
      <c r="I951" s="199"/>
      <c r="J951" s="200"/>
    </row>
    <row r="952">
      <c r="E952" s="198"/>
      <c r="F952" s="198"/>
      <c r="I952" s="199"/>
      <c r="J952" s="200"/>
    </row>
    <row r="953">
      <c r="E953" s="198"/>
      <c r="F953" s="198"/>
      <c r="I953" s="199"/>
      <c r="J953" s="200"/>
    </row>
    <row r="954">
      <c r="E954" s="198"/>
      <c r="F954" s="198"/>
      <c r="I954" s="199"/>
      <c r="J954" s="200"/>
    </row>
    <row r="955">
      <c r="E955" s="198"/>
      <c r="F955" s="198"/>
      <c r="I955" s="199"/>
      <c r="J955" s="200"/>
    </row>
    <row r="956">
      <c r="E956" s="198"/>
      <c r="F956" s="198"/>
      <c r="I956" s="199"/>
      <c r="J956" s="200"/>
    </row>
    <row r="957">
      <c r="E957" s="198"/>
      <c r="F957" s="198"/>
      <c r="I957" s="199"/>
      <c r="J957" s="200"/>
    </row>
    <row r="958">
      <c r="E958" s="198"/>
      <c r="F958" s="198"/>
      <c r="I958" s="199"/>
      <c r="J958" s="200"/>
    </row>
    <row r="959">
      <c r="E959" s="198"/>
      <c r="F959" s="198"/>
      <c r="I959" s="199"/>
      <c r="J959" s="200"/>
    </row>
    <row r="960">
      <c r="E960" s="198"/>
      <c r="F960" s="198"/>
      <c r="I960" s="199"/>
      <c r="J960" s="200"/>
    </row>
    <row r="961">
      <c r="E961" s="198"/>
      <c r="F961" s="198"/>
      <c r="I961" s="199"/>
      <c r="J961" s="200"/>
    </row>
    <row r="962">
      <c r="E962" s="198"/>
      <c r="F962" s="198"/>
      <c r="I962" s="199"/>
      <c r="J962" s="200"/>
    </row>
    <row r="963">
      <c r="E963" s="198"/>
      <c r="F963" s="198"/>
      <c r="I963" s="199"/>
      <c r="J963" s="200"/>
    </row>
    <row r="964">
      <c r="E964" s="198"/>
      <c r="F964" s="198"/>
      <c r="I964" s="199"/>
      <c r="J964" s="200"/>
    </row>
    <row r="965">
      <c r="E965" s="198"/>
      <c r="F965" s="198"/>
      <c r="I965" s="199"/>
      <c r="J965" s="200"/>
    </row>
    <row r="966">
      <c r="E966" s="198"/>
      <c r="F966" s="198"/>
      <c r="I966" s="199"/>
      <c r="J966" s="200"/>
    </row>
    <row r="967">
      <c r="E967" s="198"/>
      <c r="F967" s="198"/>
      <c r="I967" s="199"/>
      <c r="J967" s="200"/>
    </row>
    <row r="968">
      <c r="E968" s="198"/>
      <c r="F968" s="198"/>
      <c r="I968" s="199"/>
      <c r="J968" s="200"/>
    </row>
    <row r="969">
      <c r="E969" s="198"/>
      <c r="F969" s="198"/>
      <c r="I969" s="199"/>
      <c r="J969" s="200"/>
    </row>
    <row r="970">
      <c r="E970" s="198"/>
      <c r="F970" s="198"/>
      <c r="I970" s="199"/>
      <c r="J970" s="200"/>
    </row>
    <row r="971">
      <c r="E971" s="198"/>
      <c r="F971" s="198"/>
      <c r="I971" s="199"/>
      <c r="J971" s="200"/>
    </row>
    <row r="972">
      <c r="E972" s="198"/>
      <c r="F972" s="198"/>
      <c r="I972" s="199"/>
      <c r="J972" s="200"/>
    </row>
    <row r="973">
      <c r="E973" s="198"/>
      <c r="F973" s="198"/>
      <c r="I973" s="199"/>
      <c r="J973" s="200"/>
    </row>
    <row r="974">
      <c r="E974" s="198"/>
      <c r="F974" s="198"/>
      <c r="I974" s="199"/>
      <c r="J974" s="200"/>
    </row>
    <row r="975">
      <c r="E975" s="198"/>
      <c r="F975" s="198"/>
      <c r="I975" s="199"/>
      <c r="J975" s="200"/>
    </row>
    <row r="976">
      <c r="E976" s="198"/>
      <c r="F976" s="198"/>
      <c r="I976" s="199"/>
      <c r="J976" s="200"/>
    </row>
    <row r="977">
      <c r="E977" s="198"/>
      <c r="F977" s="198"/>
      <c r="I977" s="199"/>
      <c r="J977" s="200"/>
    </row>
    <row r="978">
      <c r="E978" s="198"/>
      <c r="F978" s="198"/>
      <c r="I978" s="199"/>
      <c r="J978" s="200"/>
    </row>
    <row r="979">
      <c r="E979" s="198"/>
      <c r="F979" s="198"/>
      <c r="I979" s="199"/>
      <c r="J979" s="200"/>
    </row>
    <row r="980">
      <c r="E980" s="198"/>
      <c r="F980" s="198"/>
      <c r="I980" s="199"/>
      <c r="J980" s="200"/>
    </row>
    <row r="981">
      <c r="E981" s="198"/>
      <c r="F981" s="198"/>
      <c r="I981" s="199"/>
      <c r="J981" s="200"/>
    </row>
    <row r="982">
      <c r="E982" s="198"/>
      <c r="F982" s="198"/>
      <c r="I982" s="199"/>
      <c r="J982" s="200"/>
    </row>
    <row r="983">
      <c r="E983" s="198"/>
      <c r="F983" s="198"/>
      <c r="I983" s="199"/>
      <c r="J983" s="200"/>
    </row>
    <row r="984">
      <c r="E984" s="198"/>
      <c r="F984" s="198"/>
      <c r="I984" s="199"/>
      <c r="J984" s="200"/>
    </row>
    <row r="985">
      <c r="E985" s="198"/>
      <c r="F985" s="198"/>
      <c r="I985" s="199"/>
      <c r="J985" s="200"/>
    </row>
    <row r="986">
      <c r="E986" s="198"/>
      <c r="F986" s="198"/>
      <c r="I986" s="199"/>
      <c r="J986" s="200"/>
    </row>
    <row r="987">
      <c r="E987" s="198"/>
      <c r="F987" s="198"/>
      <c r="I987" s="199"/>
      <c r="J987" s="200"/>
    </row>
    <row r="988">
      <c r="E988" s="198"/>
      <c r="F988" s="198"/>
      <c r="I988" s="199"/>
      <c r="J988" s="200"/>
    </row>
    <row r="989">
      <c r="E989" s="198"/>
      <c r="F989" s="198"/>
      <c r="I989" s="199"/>
      <c r="J989" s="200"/>
    </row>
    <row r="990">
      <c r="E990" s="198"/>
      <c r="F990" s="198"/>
      <c r="I990" s="199"/>
      <c r="J990" s="200"/>
    </row>
    <row r="991">
      <c r="E991" s="198"/>
      <c r="F991" s="198"/>
      <c r="I991" s="199"/>
      <c r="J991" s="200"/>
    </row>
    <row r="992">
      <c r="E992" s="198"/>
      <c r="F992" s="198"/>
      <c r="I992" s="199"/>
      <c r="J992" s="200"/>
    </row>
    <row r="993">
      <c r="E993" s="198"/>
      <c r="F993" s="198"/>
      <c r="I993" s="199"/>
      <c r="J993" s="200"/>
    </row>
    <row r="994">
      <c r="E994" s="198"/>
      <c r="F994" s="198"/>
      <c r="I994" s="199"/>
      <c r="J994" s="200"/>
    </row>
    <row r="995">
      <c r="E995" s="198"/>
      <c r="F995" s="198"/>
      <c r="I995" s="199"/>
      <c r="J995" s="200"/>
    </row>
    <row r="996">
      <c r="E996" s="198"/>
      <c r="F996" s="198"/>
      <c r="I996" s="199"/>
      <c r="J996" s="200"/>
    </row>
    <row r="997">
      <c r="E997" s="198"/>
      <c r="F997" s="198"/>
      <c r="I997" s="199"/>
      <c r="J997" s="200"/>
    </row>
    <row r="998">
      <c r="E998" s="198"/>
      <c r="F998" s="198"/>
      <c r="I998" s="199"/>
      <c r="J998" s="200"/>
    </row>
    <row r="999">
      <c r="E999" s="198"/>
      <c r="F999" s="198"/>
      <c r="I999" s="199"/>
      <c r="J999" s="200"/>
    </row>
    <row r="1000">
      <c r="E1000" s="198"/>
      <c r="F1000" s="198"/>
      <c r="I1000" s="199"/>
      <c r="J1000" s="200"/>
    </row>
    <row r="1001">
      <c r="E1001" s="198"/>
      <c r="F1001" s="198"/>
      <c r="I1001" s="199"/>
      <c r="J1001" s="200"/>
    </row>
    <row r="1002">
      <c r="E1002" s="198"/>
      <c r="F1002" s="198"/>
      <c r="I1002" s="199"/>
      <c r="J1002" s="200"/>
    </row>
    <row r="1003">
      <c r="E1003" s="198"/>
      <c r="F1003" s="198"/>
      <c r="I1003" s="199"/>
      <c r="J1003" s="200"/>
    </row>
    <row r="1004">
      <c r="E1004" s="198"/>
      <c r="F1004" s="198"/>
      <c r="I1004" s="199"/>
      <c r="J1004" s="200"/>
    </row>
    <row r="1005">
      <c r="E1005" s="198"/>
      <c r="F1005" s="198"/>
      <c r="I1005" s="199"/>
      <c r="J1005" s="200"/>
    </row>
    <row r="1006">
      <c r="E1006" s="198"/>
      <c r="F1006" s="198"/>
      <c r="I1006" s="199"/>
      <c r="J1006" s="200"/>
    </row>
  </sheetData>
  <mergeCells count="10">
    <mergeCell ref="A297:B297"/>
    <mergeCell ref="A298:B298"/>
    <mergeCell ref="A299:B299"/>
    <mergeCell ref="A1:L1"/>
    <mergeCell ref="A291:B291"/>
    <mergeCell ref="A292:B292"/>
    <mergeCell ref="A293:B293"/>
    <mergeCell ref="A294:B294"/>
    <mergeCell ref="A295:B295"/>
    <mergeCell ref="A296:B296"/>
  </mergeCells>
  <dataValidations>
    <dataValidation type="list" allowBlank="1" showErrorMessage="1" sqref="I3:I288">
      <formula1>"Edge,Negative,Positive"</formula1>
    </dataValidation>
    <dataValidation type="list" allowBlank="1" showErrorMessage="1" sqref="J3:J288">
      <formula1>"Untested,Pass,Fail,Blocked"</formula1>
    </dataValidation>
  </dataValidations>
  <hyperlinks>
    <hyperlink r:id="rId1" ref="E161"/>
    <hyperlink r:id="rId2" ref="F161"/>
  </hyperlinks>
  <printOptions gridLines="1" horizontalCentered="1"/>
  <pageMargins bottom="0.75" footer="0.0" header="0.0" left="0.7" right="0.7" top="0.75"/>
  <pageSetup fitToHeight="0" paperSize="9" cellComments="atEnd" orientation="landscape" pageOrder="overThenDown"/>
  <drawing r:id="rId3"/>
  <tableParts count="3">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0"/>
    <col customWidth="1" min="2" max="2" width="22.5"/>
    <col customWidth="1" min="3" max="3" width="26.0"/>
    <col customWidth="1" min="4" max="4" width="33.38"/>
    <col customWidth="1" min="5" max="8" width="22.5"/>
    <col customWidth="1" min="9" max="9" width="29.63"/>
    <col customWidth="1" min="10" max="25" width="22.5"/>
  </cols>
  <sheetData>
    <row r="1" ht="29.25" customHeight="1">
      <c r="A1" s="205" t="s">
        <v>2727</v>
      </c>
      <c r="B1" s="6"/>
      <c r="C1" s="6"/>
      <c r="D1" s="6"/>
      <c r="E1" s="6"/>
      <c r="F1" s="6"/>
      <c r="G1" s="7"/>
      <c r="H1" s="206"/>
      <c r="I1" s="206"/>
      <c r="J1" s="206"/>
      <c r="K1" s="206"/>
      <c r="L1" s="206"/>
      <c r="M1" s="206"/>
      <c r="N1" s="206"/>
      <c r="O1" s="206"/>
      <c r="P1" s="206"/>
      <c r="Q1" s="206"/>
      <c r="R1" s="206"/>
      <c r="S1" s="206"/>
      <c r="T1" s="206"/>
      <c r="U1" s="206"/>
      <c r="V1" s="206"/>
      <c r="W1" s="206"/>
      <c r="X1" s="206"/>
      <c r="Y1" s="206"/>
    </row>
    <row r="2" ht="29.25" customHeight="1">
      <c r="A2" s="207" t="s">
        <v>2728</v>
      </c>
      <c r="B2" s="207" t="s">
        <v>1389</v>
      </c>
      <c r="C2" s="207" t="s">
        <v>2729</v>
      </c>
      <c r="D2" s="207" t="s">
        <v>2730</v>
      </c>
      <c r="E2" s="207" t="s">
        <v>2731</v>
      </c>
      <c r="F2" s="207" t="s">
        <v>2732</v>
      </c>
      <c r="G2" s="207" t="s">
        <v>149</v>
      </c>
      <c r="H2" s="208"/>
      <c r="I2" s="208"/>
      <c r="J2" s="208"/>
      <c r="K2" s="208"/>
      <c r="L2" s="208"/>
      <c r="M2" s="208"/>
      <c r="N2" s="208"/>
      <c r="O2" s="208"/>
      <c r="P2" s="208"/>
      <c r="Q2" s="208"/>
      <c r="R2" s="208"/>
      <c r="S2" s="208"/>
      <c r="T2" s="208"/>
      <c r="U2" s="208"/>
      <c r="V2" s="208"/>
      <c r="W2" s="208"/>
      <c r="X2" s="208"/>
      <c r="Y2" s="208"/>
    </row>
    <row r="3" ht="48.75" customHeight="1">
      <c r="A3" s="209" t="s">
        <v>2733</v>
      </c>
      <c r="B3" s="210" t="s">
        <v>703</v>
      </c>
      <c r="C3" s="210" t="s">
        <v>704</v>
      </c>
      <c r="D3" s="211" t="s">
        <v>1402</v>
      </c>
      <c r="E3" s="210" t="s">
        <v>1403</v>
      </c>
      <c r="F3" s="209" t="s">
        <v>2734</v>
      </c>
      <c r="G3" s="209" t="s">
        <v>2735</v>
      </c>
      <c r="H3" s="212"/>
      <c r="I3" s="118" t="s">
        <v>2736</v>
      </c>
      <c r="J3" s="212"/>
      <c r="K3" s="212"/>
      <c r="L3" s="212"/>
      <c r="M3" s="212"/>
      <c r="N3" s="212"/>
      <c r="O3" s="212"/>
      <c r="P3" s="212"/>
      <c r="Q3" s="212"/>
      <c r="R3" s="212"/>
      <c r="S3" s="212"/>
      <c r="T3" s="212"/>
      <c r="U3" s="212"/>
      <c r="V3" s="212"/>
      <c r="W3" s="212"/>
      <c r="X3" s="212"/>
      <c r="Y3" s="212"/>
    </row>
    <row r="4" ht="48.75" customHeight="1">
      <c r="A4" s="213" t="s">
        <v>2737</v>
      </c>
      <c r="B4" s="214" t="s">
        <v>705</v>
      </c>
      <c r="C4" s="214" t="s">
        <v>706</v>
      </c>
      <c r="D4" s="215" t="s">
        <v>1408</v>
      </c>
      <c r="E4" s="214" t="s">
        <v>1409</v>
      </c>
      <c r="F4" s="213" t="s">
        <v>2738</v>
      </c>
      <c r="G4" s="213" t="s">
        <v>2735</v>
      </c>
      <c r="H4" s="212"/>
      <c r="I4" s="212"/>
      <c r="J4" s="212"/>
      <c r="K4" s="212"/>
      <c r="L4" s="212"/>
      <c r="M4" s="212"/>
      <c r="N4" s="212"/>
      <c r="O4" s="212"/>
      <c r="P4" s="212"/>
      <c r="Q4" s="212"/>
      <c r="R4" s="212"/>
      <c r="S4" s="212"/>
      <c r="T4" s="212"/>
      <c r="U4" s="212"/>
      <c r="V4" s="212"/>
      <c r="W4" s="212"/>
      <c r="X4" s="212"/>
      <c r="Y4" s="212"/>
    </row>
    <row r="5" ht="48.75" customHeight="1">
      <c r="A5" s="209" t="s">
        <v>2739</v>
      </c>
      <c r="B5" s="210" t="s">
        <v>707</v>
      </c>
      <c r="C5" s="210" t="s">
        <v>708</v>
      </c>
      <c r="D5" s="211" t="s">
        <v>1414</v>
      </c>
      <c r="E5" s="210" t="s">
        <v>1415</v>
      </c>
      <c r="F5" s="209" t="s">
        <v>2740</v>
      </c>
      <c r="G5" s="209" t="s">
        <v>2735</v>
      </c>
      <c r="H5" s="212"/>
      <c r="I5" s="212"/>
      <c r="J5" s="212"/>
      <c r="K5" s="212"/>
      <c r="L5" s="212"/>
      <c r="M5" s="212"/>
      <c r="N5" s="212"/>
      <c r="O5" s="212"/>
      <c r="P5" s="212"/>
      <c r="Q5" s="212"/>
      <c r="R5" s="212"/>
      <c r="S5" s="212"/>
      <c r="T5" s="212"/>
      <c r="U5" s="212"/>
      <c r="V5" s="212"/>
      <c r="W5" s="212"/>
      <c r="X5" s="212"/>
      <c r="Y5" s="212"/>
    </row>
    <row r="6" ht="48.75" customHeight="1">
      <c r="A6" s="213" t="s">
        <v>2741</v>
      </c>
      <c r="B6" s="214" t="s">
        <v>710</v>
      </c>
      <c r="C6" s="214" t="s">
        <v>711</v>
      </c>
      <c r="D6" s="215" t="s">
        <v>1419</v>
      </c>
      <c r="E6" s="214" t="s">
        <v>1420</v>
      </c>
      <c r="F6" s="213" t="s">
        <v>2738</v>
      </c>
      <c r="G6" s="213" t="s">
        <v>2735</v>
      </c>
      <c r="H6" s="212"/>
      <c r="I6" s="212"/>
      <c r="J6" s="212"/>
      <c r="K6" s="212"/>
      <c r="L6" s="212"/>
      <c r="M6" s="212"/>
      <c r="N6" s="212"/>
      <c r="O6" s="212"/>
      <c r="P6" s="212"/>
      <c r="Q6" s="212"/>
      <c r="R6" s="212"/>
      <c r="S6" s="212"/>
      <c r="T6" s="212"/>
      <c r="U6" s="212"/>
      <c r="V6" s="212"/>
      <c r="W6" s="212"/>
      <c r="X6" s="212"/>
      <c r="Y6" s="212"/>
    </row>
    <row r="7" ht="48.75" customHeight="1">
      <c r="A7" s="209" t="s">
        <v>2742</v>
      </c>
      <c r="B7" s="210" t="s">
        <v>712</v>
      </c>
      <c r="C7" s="210" t="s">
        <v>713</v>
      </c>
      <c r="D7" s="211" t="s">
        <v>1424</v>
      </c>
      <c r="E7" s="210" t="s">
        <v>1425</v>
      </c>
      <c r="F7" s="209" t="s">
        <v>2738</v>
      </c>
      <c r="G7" s="209" t="s">
        <v>2735</v>
      </c>
      <c r="H7" s="216"/>
      <c r="I7" s="212"/>
      <c r="J7" s="212"/>
      <c r="K7" s="212"/>
      <c r="L7" s="212"/>
      <c r="M7" s="212"/>
      <c r="N7" s="212"/>
      <c r="O7" s="212"/>
      <c r="P7" s="212"/>
      <c r="Q7" s="212"/>
      <c r="R7" s="212"/>
      <c r="S7" s="212"/>
      <c r="T7" s="212"/>
      <c r="U7" s="212"/>
      <c r="V7" s="212"/>
      <c r="W7" s="212"/>
      <c r="X7" s="212"/>
      <c r="Y7" s="212"/>
    </row>
    <row r="8" ht="48.75" customHeight="1">
      <c r="A8" s="213" t="s">
        <v>2743</v>
      </c>
      <c r="B8" s="214" t="s">
        <v>714</v>
      </c>
      <c r="C8" s="214" t="s">
        <v>715</v>
      </c>
      <c r="D8" s="215" t="s">
        <v>1428</v>
      </c>
      <c r="E8" s="214" t="s">
        <v>1429</v>
      </c>
      <c r="F8" s="213" t="s">
        <v>2738</v>
      </c>
      <c r="G8" s="213" t="s">
        <v>2735</v>
      </c>
      <c r="H8" s="212"/>
      <c r="I8" s="212"/>
      <c r="J8" s="212"/>
      <c r="K8" s="212"/>
      <c r="L8" s="212"/>
      <c r="M8" s="212"/>
      <c r="N8" s="212"/>
      <c r="O8" s="212"/>
      <c r="P8" s="212"/>
      <c r="Q8" s="212"/>
      <c r="R8" s="212"/>
      <c r="S8" s="212"/>
      <c r="T8" s="212"/>
      <c r="U8" s="212"/>
      <c r="V8" s="212"/>
      <c r="W8" s="212"/>
      <c r="X8" s="212"/>
      <c r="Y8" s="212"/>
    </row>
    <row r="9" ht="48.75" customHeight="1">
      <c r="A9" s="209" t="s">
        <v>2744</v>
      </c>
      <c r="B9" s="210" t="s">
        <v>717</v>
      </c>
      <c r="C9" s="210" t="s">
        <v>718</v>
      </c>
      <c r="D9" s="211" t="s">
        <v>1433</v>
      </c>
      <c r="E9" s="210" t="s">
        <v>2745</v>
      </c>
      <c r="F9" s="209" t="s">
        <v>2738</v>
      </c>
      <c r="G9" s="209" t="s">
        <v>2735</v>
      </c>
      <c r="H9" s="212"/>
      <c r="I9" s="212"/>
      <c r="J9" s="212"/>
      <c r="K9" s="212"/>
      <c r="L9" s="212"/>
      <c r="M9" s="212"/>
      <c r="N9" s="212"/>
      <c r="O9" s="212"/>
      <c r="P9" s="212"/>
      <c r="Q9" s="212"/>
      <c r="R9" s="212"/>
      <c r="S9" s="212"/>
      <c r="T9" s="212"/>
      <c r="U9" s="212"/>
      <c r="V9" s="212"/>
      <c r="W9" s="212"/>
      <c r="X9" s="212"/>
      <c r="Y9" s="212"/>
    </row>
    <row r="10" ht="48.75" customHeight="1">
      <c r="A10" s="213" t="s">
        <v>2746</v>
      </c>
      <c r="B10" s="214" t="s">
        <v>719</v>
      </c>
      <c r="C10" s="214" t="s">
        <v>720</v>
      </c>
      <c r="D10" s="215" t="s">
        <v>1437</v>
      </c>
      <c r="E10" s="214" t="s">
        <v>1438</v>
      </c>
      <c r="F10" s="213" t="s">
        <v>2738</v>
      </c>
      <c r="G10" s="213" t="s">
        <v>2735</v>
      </c>
      <c r="H10" s="212"/>
      <c r="I10" s="212"/>
      <c r="J10" s="212"/>
      <c r="K10" s="212"/>
      <c r="L10" s="212"/>
      <c r="M10" s="212"/>
      <c r="N10" s="212"/>
      <c r="O10" s="212"/>
      <c r="P10" s="212"/>
      <c r="Q10" s="212"/>
      <c r="R10" s="212"/>
      <c r="S10" s="212"/>
      <c r="T10" s="212"/>
      <c r="U10" s="212"/>
      <c r="V10" s="212"/>
      <c r="W10" s="212"/>
      <c r="X10" s="212"/>
      <c r="Y10" s="212"/>
    </row>
    <row r="11" ht="48.75" customHeight="1">
      <c r="A11" s="209" t="s">
        <v>2747</v>
      </c>
      <c r="B11" s="210" t="s">
        <v>721</v>
      </c>
      <c r="C11" s="210" t="s">
        <v>722</v>
      </c>
      <c r="D11" s="211" t="s">
        <v>1441</v>
      </c>
      <c r="E11" s="210" t="s">
        <v>1442</v>
      </c>
      <c r="F11" s="209" t="s">
        <v>2740</v>
      </c>
      <c r="G11" s="209" t="s">
        <v>2735</v>
      </c>
      <c r="H11" s="212"/>
      <c r="I11" s="212"/>
      <c r="J11" s="212"/>
      <c r="K11" s="212"/>
      <c r="L11" s="212"/>
      <c r="M11" s="212"/>
      <c r="N11" s="212"/>
      <c r="O11" s="212"/>
      <c r="P11" s="212"/>
      <c r="Q11" s="212"/>
      <c r="R11" s="212"/>
      <c r="S11" s="212"/>
      <c r="T11" s="212"/>
      <c r="U11" s="212"/>
      <c r="V11" s="212"/>
      <c r="W11" s="212"/>
      <c r="X11" s="212"/>
      <c r="Y11" s="212"/>
    </row>
    <row r="12" ht="48.75" customHeight="1">
      <c r="A12" s="213" t="s">
        <v>2748</v>
      </c>
      <c r="B12" s="214" t="s">
        <v>724</v>
      </c>
      <c r="C12" s="214" t="s">
        <v>725</v>
      </c>
      <c r="D12" s="215" t="s">
        <v>1445</v>
      </c>
      <c r="E12" s="214" t="s">
        <v>1446</v>
      </c>
      <c r="F12" s="213" t="s">
        <v>2734</v>
      </c>
      <c r="G12" s="213" t="s">
        <v>2735</v>
      </c>
      <c r="H12" s="212"/>
      <c r="I12" s="212"/>
      <c r="J12" s="212"/>
      <c r="K12" s="212"/>
      <c r="L12" s="212"/>
      <c r="M12" s="212"/>
      <c r="N12" s="212"/>
      <c r="O12" s="212"/>
      <c r="P12" s="212"/>
      <c r="Q12" s="212"/>
      <c r="R12" s="212"/>
      <c r="S12" s="212"/>
      <c r="T12" s="212"/>
      <c r="U12" s="212"/>
      <c r="V12" s="212"/>
      <c r="W12" s="212"/>
      <c r="X12" s="212"/>
      <c r="Y12" s="212"/>
    </row>
    <row r="13" ht="48.75" customHeight="1">
      <c r="A13" s="209" t="s">
        <v>2749</v>
      </c>
      <c r="B13" s="210" t="s">
        <v>726</v>
      </c>
      <c r="C13" s="210" t="s">
        <v>727</v>
      </c>
      <c r="D13" s="211" t="s">
        <v>1450</v>
      </c>
      <c r="E13" s="210" t="s">
        <v>1451</v>
      </c>
      <c r="F13" s="209" t="s">
        <v>2738</v>
      </c>
      <c r="G13" s="209" t="s">
        <v>2735</v>
      </c>
      <c r="H13" s="212"/>
      <c r="I13" s="212"/>
      <c r="J13" s="212"/>
      <c r="K13" s="212"/>
      <c r="L13" s="212"/>
      <c r="M13" s="212"/>
      <c r="N13" s="212"/>
      <c r="O13" s="212"/>
      <c r="P13" s="212"/>
      <c r="Q13" s="212"/>
      <c r="R13" s="212"/>
      <c r="S13" s="212"/>
      <c r="T13" s="212"/>
      <c r="U13" s="212"/>
      <c r="V13" s="212"/>
      <c r="W13" s="212"/>
      <c r="X13" s="212"/>
      <c r="Y13" s="212"/>
    </row>
    <row r="14" ht="48.75" customHeight="1">
      <c r="A14" s="213" t="s">
        <v>2750</v>
      </c>
      <c r="B14" s="214" t="s">
        <v>728</v>
      </c>
      <c r="C14" s="214" t="s">
        <v>729</v>
      </c>
      <c r="D14" s="215" t="s">
        <v>1455</v>
      </c>
      <c r="E14" s="214" t="s">
        <v>1456</v>
      </c>
      <c r="F14" s="213" t="s">
        <v>2734</v>
      </c>
      <c r="G14" s="213" t="s">
        <v>2735</v>
      </c>
      <c r="H14" s="212"/>
      <c r="I14" s="212"/>
      <c r="J14" s="212"/>
      <c r="K14" s="212"/>
      <c r="L14" s="212"/>
      <c r="M14" s="212"/>
      <c r="N14" s="212"/>
      <c r="O14" s="212"/>
      <c r="P14" s="212"/>
      <c r="Q14" s="212"/>
      <c r="R14" s="212"/>
      <c r="S14" s="212"/>
      <c r="T14" s="212"/>
      <c r="U14" s="212"/>
      <c r="V14" s="212"/>
      <c r="W14" s="212"/>
      <c r="X14" s="212"/>
      <c r="Y14" s="212"/>
    </row>
    <row r="15" ht="48.75" customHeight="1">
      <c r="A15" s="209" t="s">
        <v>2751</v>
      </c>
      <c r="B15" s="210" t="s">
        <v>731</v>
      </c>
      <c r="C15" s="210" t="s">
        <v>732</v>
      </c>
      <c r="D15" s="211" t="s">
        <v>1460</v>
      </c>
      <c r="E15" s="210" t="s">
        <v>1461</v>
      </c>
      <c r="F15" s="209" t="s">
        <v>2738</v>
      </c>
      <c r="G15" s="209" t="s">
        <v>2735</v>
      </c>
      <c r="H15" s="212"/>
      <c r="I15" s="212"/>
      <c r="J15" s="212"/>
      <c r="K15" s="212"/>
      <c r="L15" s="212"/>
      <c r="M15" s="212"/>
      <c r="N15" s="212"/>
      <c r="O15" s="212"/>
      <c r="P15" s="212"/>
      <c r="Q15" s="212"/>
      <c r="R15" s="212"/>
      <c r="S15" s="212"/>
      <c r="T15" s="212"/>
      <c r="U15" s="212"/>
      <c r="V15" s="212"/>
      <c r="W15" s="212"/>
      <c r="X15" s="212"/>
      <c r="Y15" s="212"/>
    </row>
    <row r="16" ht="48.75" customHeight="1">
      <c r="A16" s="213" t="s">
        <v>2752</v>
      </c>
      <c r="B16" s="214" t="s">
        <v>733</v>
      </c>
      <c r="C16" s="214" t="s">
        <v>734</v>
      </c>
      <c r="D16" s="215" t="s">
        <v>1465</v>
      </c>
      <c r="E16" s="214" t="s">
        <v>1466</v>
      </c>
      <c r="F16" s="213" t="s">
        <v>2738</v>
      </c>
      <c r="G16" s="213" t="s">
        <v>2735</v>
      </c>
      <c r="H16" s="212"/>
      <c r="I16" s="212"/>
      <c r="J16" s="212"/>
      <c r="K16" s="212"/>
      <c r="L16" s="212"/>
      <c r="M16" s="212"/>
      <c r="N16" s="212"/>
      <c r="O16" s="212"/>
      <c r="P16" s="212"/>
      <c r="Q16" s="212"/>
      <c r="R16" s="212"/>
      <c r="S16" s="212"/>
      <c r="T16" s="212"/>
      <c r="U16" s="212"/>
      <c r="V16" s="212"/>
      <c r="W16" s="212"/>
      <c r="X16" s="212"/>
      <c r="Y16" s="212"/>
    </row>
    <row r="17" ht="48.75" customHeight="1">
      <c r="A17" s="209" t="s">
        <v>2753</v>
      </c>
      <c r="B17" s="210" t="s">
        <v>735</v>
      </c>
      <c r="C17" s="210" t="s">
        <v>736</v>
      </c>
      <c r="D17" s="211" t="s">
        <v>1470</v>
      </c>
      <c r="E17" s="210" t="s">
        <v>1471</v>
      </c>
      <c r="F17" s="209" t="s">
        <v>2734</v>
      </c>
      <c r="G17" s="209" t="s">
        <v>2735</v>
      </c>
      <c r="H17" s="212"/>
      <c r="I17" s="212"/>
      <c r="J17" s="212"/>
      <c r="K17" s="212"/>
      <c r="L17" s="212"/>
      <c r="M17" s="212"/>
      <c r="N17" s="212"/>
      <c r="O17" s="212"/>
      <c r="P17" s="212"/>
      <c r="Q17" s="212"/>
      <c r="R17" s="212"/>
      <c r="S17" s="212"/>
      <c r="T17" s="212"/>
      <c r="U17" s="212"/>
      <c r="V17" s="212"/>
      <c r="W17" s="212"/>
      <c r="X17" s="212"/>
      <c r="Y17" s="212"/>
    </row>
    <row r="18" ht="48.75" customHeight="1">
      <c r="A18" s="213" t="s">
        <v>2754</v>
      </c>
      <c r="B18" s="214" t="s">
        <v>738</v>
      </c>
      <c r="C18" s="214" t="s">
        <v>739</v>
      </c>
      <c r="D18" s="215" t="s">
        <v>1474</v>
      </c>
      <c r="E18" s="214" t="s">
        <v>1475</v>
      </c>
      <c r="F18" s="213" t="s">
        <v>2738</v>
      </c>
      <c r="G18" s="213" t="s">
        <v>2735</v>
      </c>
      <c r="H18" s="212"/>
      <c r="I18" s="212"/>
      <c r="J18" s="212"/>
      <c r="K18" s="212"/>
      <c r="L18" s="212"/>
      <c r="M18" s="212"/>
      <c r="N18" s="212"/>
      <c r="O18" s="212"/>
      <c r="P18" s="212"/>
      <c r="Q18" s="212"/>
      <c r="R18" s="212"/>
      <c r="S18" s="212"/>
      <c r="T18" s="212"/>
      <c r="U18" s="212"/>
      <c r="V18" s="212"/>
      <c r="W18" s="212"/>
      <c r="X18" s="212"/>
      <c r="Y18" s="212"/>
    </row>
    <row r="19" ht="48.75" customHeight="1">
      <c r="A19" s="209" t="s">
        <v>2755</v>
      </c>
      <c r="B19" s="210" t="s">
        <v>740</v>
      </c>
      <c r="C19" s="210" t="s">
        <v>741</v>
      </c>
      <c r="D19" s="211" t="s">
        <v>1479</v>
      </c>
      <c r="E19" s="210" t="s">
        <v>1475</v>
      </c>
      <c r="F19" s="209" t="s">
        <v>2738</v>
      </c>
      <c r="G19" s="209" t="s">
        <v>2735</v>
      </c>
      <c r="H19" s="212"/>
      <c r="I19" s="212"/>
      <c r="J19" s="212"/>
      <c r="K19" s="212"/>
      <c r="L19" s="212"/>
      <c r="M19" s="212"/>
      <c r="N19" s="212"/>
      <c r="O19" s="212"/>
      <c r="P19" s="212"/>
      <c r="Q19" s="212"/>
      <c r="R19" s="212"/>
      <c r="S19" s="212"/>
      <c r="T19" s="212"/>
      <c r="U19" s="212"/>
      <c r="V19" s="212"/>
      <c r="W19" s="212"/>
      <c r="X19" s="212"/>
      <c r="Y19" s="212"/>
    </row>
    <row r="20" ht="48.75" customHeight="1">
      <c r="A20" s="213" t="s">
        <v>2756</v>
      </c>
      <c r="B20" s="214" t="s">
        <v>742</v>
      </c>
      <c r="C20" s="214" t="s">
        <v>743</v>
      </c>
      <c r="D20" s="215" t="s">
        <v>1482</v>
      </c>
      <c r="E20" s="214" t="s">
        <v>1483</v>
      </c>
      <c r="F20" s="213" t="s">
        <v>2734</v>
      </c>
      <c r="G20" s="213" t="s">
        <v>2735</v>
      </c>
      <c r="H20" s="212"/>
      <c r="I20" s="212"/>
      <c r="J20" s="212"/>
      <c r="K20" s="212"/>
      <c r="L20" s="212"/>
      <c r="M20" s="212"/>
      <c r="N20" s="212"/>
      <c r="O20" s="212"/>
      <c r="P20" s="212"/>
      <c r="Q20" s="212"/>
      <c r="R20" s="212"/>
      <c r="S20" s="212"/>
      <c r="T20" s="212"/>
      <c r="U20" s="212"/>
      <c r="V20" s="212"/>
      <c r="W20" s="212"/>
      <c r="X20" s="212"/>
      <c r="Y20" s="212"/>
    </row>
    <row r="21" ht="48.75" customHeight="1">
      <c r="A21" s="209" t="s">
        <v>2757</v>
      </c>
      <c r="B21" s="210" t="s">
        <v>745</v>
      </c>
      <c r="C21" s="210" t="s">
        <v>746</v>
      </c>
      <c r="D21" s="211" t="s">
        <v>1486</v>
      </c>
      <c r="E21" s="210" t="s">
        <v>1487</v>
      </c>
      <c r="F21" s="209" t="s">
        <v>2734</v>
      </c>
      <c r="G21" s="209" t="s">
        <v>2735</v>
      </c>
      <c r="H21" s="212"/>
      <c r="I21" s="212"/>
      <c r="J21" s="212"/>
      <c r="K21" s="212"/>
      <c r="L21" s="212"/>
      <c r="M21" s="212"/>
      <c r="N21" s="212"/>
      <c r="O21" s="212"/>
      <c r="P21" s="212"/>
      <c r="Q21" s="212"/>
      <c r="R21" s="212"/>
      <c r="S21" s="212"/>
      <c r="T21" s="212"/>
      <c r="U21" s="212"/>
      <c r="V21" s="212"/>
      <c r="W21" s="212"/>
      <c r="X21" s="212"/>
      <c r="Y21" s="212"/>
    </row>
    <row r="22" ht="48.75" customHeight="1">
      <c r="A22" s="213" t="s">
        <v>2758</v>
      </c>
      <c r="B22" s="214" t="s">
        <v>747</v>
      </c>
      <c r="C22" s="214" t="s">
        <v>748</v>
      </c>
      <c r="D22" s="215" t="s">
        <v>1491</v>
      </c>
      <c r="E22" s="214" t="s">
        <v>1492</v>
      </c>
      <c r="F22" s="213" t="s">
        <v>2738</v>
      </c>
      <c r="G22" s="213" t="s">
        <v>2735</v>
      </c>
      <c r="H22" s="212"/>
      <c r="I22" s="212"/>
      <c r="J22" s="212"/>
      <c r="K22" s="212"/>
      <c r="L22" s="212"/>
      <c r="M22" s="212"/>
      <c r="N22" s="212"/>
      <c r="O22" s="212"/>
      <c r="P22" s="212"/>
      <c r="Q22" s="212"/>
      <c r="R22" s="212"/>
      <c r="S22" s="212"/>
      <c r="T22" s="212"/>
      <c r="U22" s="212"/>
      <c r="V22" s="212"/>
      <c r="W22" s="212"/>
      <c r="X22" s="212"/>
      <c r="Y22" s="212"/>
    </row>
    <row r="23" ht="48.75" customHeight="1">
      <c r="A23" s="209" t="s">
        <v>2759</v>
      </c>
      <c r="B23" s="210" t="s">
        <v>749</v>
      </c>
      <c r="C23" s="210" t="s">
        <v>750</v>
      </c>
      <c r="D23" s="211" t="s">
        <v>1496</v>
      </c>
      <c r="E23" s="210" t="s">
        <v>1497</v>
      </c>
      <c r="F23" s="209" t="s">
        <v>2740</v>
      </c>
      <c r="G23" s="209" t="s">
        <v>2735</v>
      </c>
      <c r="H23" s="212"/>
      <c r="I23" s="212"/>
      <c r="J23" s="212"/>
      <c r="K23" s="212"/>
      <c r="L23" s="212"/>
      <c r="M23" s="212"/>
      <c r="N23" s="212"/>
      <c r="O23" s="212"/>
      <c r="P23" s="212"/>
      <c r="Q23" s="212"/>
      <c r="R23" s="212"/>
      <c r="S23" s="212"/>
      <c r="T23" s="212"/>
      <c r="U23" s="212"/>
      <c r="V23" s="212"/>
      <c r="W23" s="212"/>
      <c r="X23" s="212"/>
      <c r="Y23" s="212"/>
    </row>
    <row r="24" ht="48.75" customHeight="1">
      <c r="A24" s="213" t="s">
        <v>2760</v>
      </c>
      <c r="B24" s="214" t="s">
        <v>752</v>
      </c>
      <c r="C24" s="214" t="s">
        <v>753</v>
      </c>
      <c r="D24" s="215" t="s">
        <v>1501</v>
      </c>
      <c r="E24" s="214" t="s">
        <v>1502</v>
      </c>
      <c r="F24" s="213" t="s">
        <v>2738</v>
      </c>
      <c r="G24" s="213" t="s">
        <v>2735</v>
      </c>
      <c r="H24" s="212"/>
      <c r="I24" s="212"/>
      <c r="J24" s="212"/>
      <c r="K24" s="212"/>
      <c r="L24" s="212"/>
      <c r="M24" s="212"/>
      <c r="N24" s="212"/>
      <c r="O24" s="212"/>
      <c r="P24" s="212"/>
      <c r="Q24" s="212"/>
      <c r="R24" s="212"/>
      <c r="S24" s="212"/>
      <c r="T24" s="212"/>
      <c r="U24" s="212"/>
      <c r="V24" s="212"/>
      <c r="W24" s="212"/>
      <c r="X24" s="212"/>
      <c r="Y24" s="212"/>
    </row>
    <row r="25" ht="48.75" customHeight="1">
      <c r="A25" s="209" t="s">
        <v>2761</v>
      </c>
      <c r="B25" s="210" t="s">
        <v>754</v>
      </c>
      <c r="C25" s="210" t="s">
        <v>755</v>
      </c>
      <c r="D25" s="211" t="s">
        <v>1506</v>
      </c>
      <c r="E25" s="210" t="s">
        <v>1507</v>
      </c>
      <c r="F25" s="209" t="s">
        <v>2738</v>
      </c>
      <c r="G25" s="209" t="s">
        <v>2735</v>
      </c>
      <c r="H25" s="212"/>
      <c r="I25" s="212"/>
      <c r="J25" s="212"/>
      <c r="K25" s="212"/>
      <c r="L25" s="212"/>
      <c r="M25" s="212"/>
      <c r="N25" s="212"/>
      <c r="O25" s="212"/>
      <c r="P25" s="212"/>
      <c r="Q25" s="212"/>
      <c r="R25" s="212"/>
      <c r="S25" s="212"/>
      <c r="T25" s="212"/>
      <c r="U25" s="212"/>
      <c r="V25" s="212"/>
      <c r="W25" s="212"/>
      <c r="X25" s="212"/>
      <c r="Y25" s="212"/>
    </row>
    <row r="26" ht="48.75" customHeight="1">
      <c r="A26" s="213" t="s">
        <v>2762</v>
      </c>
      <c r="B26" s="214" t="s">
        <v>756</v>
      </c>
      <c r="C26" s="214" t="s">
        <v>757</v>
      </c>
      <c r="D26" s="215" t="s">
        <v>1486</v>
      </c>
      <c r="E26" s="214" t="s">
        <v>1511</v>
      </c>
      <c r="F26" s="213" t="s">
        <v>2734</v>
      </c>
      <c r="G26" s="213" t="s">
        <v>2735</v>
      </c>
      <c r="H26" s="212"/>
      <c r="I26" s="212"/>
      <c r="J26" s="212"/>
      <c r="K26" s="212"/>
      <c r="L26" s="212"/>
      <c r="M26" s="212"/>
      <c r="N26" s="212"/>
      <c r="O26" s="212"/>
      <c r="P26" s="212"/>
      <c r="Q26" s="212"/>
      <c r="R26" s="212"/>
      <c r="S26" s="212"/>
      <c r="T26" s="212"/>
      <c r="U26" s="212"/>
      <c r="V26" s="212"/>
      <c r="W26" s="212"/>
      <c r="X26" s="212"/>
      <c r="Y26" s="212"/>
    </row>
    <row r="27" ht="48.75" customHeight="1">
      <c r="A27" s="209" t="s">
        <v>2763</v>
      </c>
      <c r="B27" s="210" t="s">
        <v>759</v>
      </c>
      <c r="C27" s="210" t="s">
        <v>760</v>
      </c>
      <c r="D27" s="211" t="s">
        <v>1514</v>
      </c>
      <c r="E27" s="210" t="s">
        <v>1515</v>
      </c>
      <c r="F27" s="209" t="s">
        <v>2738</v>
      </c>
      <c r="G27" s="209" t="s">
        <v>2735</v>
      </c>
      <c r="H27" s="212"/>
      <c r="I27" s="212"/>
      <c r="J27" s="212"/>
      <c r="K27" s="212"/>
      <c r="L27" s="212"/>
      <c r="M27" s="212"/>
      <c r="N27" s="212"/>
      <c r="O27" s="212"/>
      <c r="P27" s="212"/>
      <c r="Q27" s="212"/>
      <c r="R27" s="212"/>
      <c r="S27" s="212"/>
      <c r="T27" s="212"/>
      <c r="U27" s="212"/>
      <c r="V27" s="212"/>
      <c r="W27" s="212"/>
      <c r="X27" s="212"/>
      <c r="Y27" s="212"/>
    </row>
    <row r="28" ht="48.75" customHeight="1">
      <c r="A28" s="213" t="s">
        <v>2764</v>
      </c>
      <c r="B28" s="214" t="s">
        <v>761</v>
      </c>
      <c r="C28" s="214" t="s">
        <v>762</v>
      </c>
      <c r="D28" s="215" t="s">
        <v>1486</v>
      </c>
      <c r="E28" s="214" t="s">
        <v>1519</v>
      </c>
      <c r="F28" s="213" t="s">
        <v>2734</v>
      </c>
      <c r="G28" s="213" t="s">
        <v>2735</v>
      </c>
      <c r="H28" s="212"/>
      <c r="I28" s="212"/>
      <c r="J28" s="212"/>
      <c r="K28" s="212"/>
      <c r="L28" s="212"/>
      <c r="M28" s="212"/>
      <c r="N28" s="212"/>
      <c r="O28" s="212"/>
      <c r="P28" s="212"/>
      <c r="Q28" s="212"/>
      <c r="R28" s="212"/>
      <c r="S28" s="212"/>
      <c r="T28" s="212"/>
      <c r="U28" s="212"/>
      <c r="V28" s="212"/>
      <c r="W28" s="212"/>
      <c r="X28" s="212"/>
      <c r="Y28" s="212"/>
    </row>
    <row r="29" ht="48.75" customHeight="1">
      <c r="A29" s="209" t="s">
        <v>2765</v>
      </c>
      <c r="B29" s="210" t="s">
        <v>764</v>
      </c>
      <c r="C29" s="210" t="s">
        <v>765</v>
      </c>
      <c r="D29" s="211" t="s">
        <v>1522</v>
      </c>
      <c r="E29" s="210" t="s">
        <v>1523</v>
      </c>
      <c r="F29" s="209" t="s">
        <v>2738</v>
      </c>
      <c r="G29" s="209" t="s">
        <v>2735</v>
      </c>
      <c r="H29" s="212"/>
      <c r="I29" s="212"/>
      <c r="J29" s="212"/>
      <c r="K29" s="212"/>
      <c r="L29" s="212"/>
      <c r="M29" s="212"/>
      <c r="N29" s="212"/>
      <c r="O29" s="212"/>
      <c r="P29" s="212"/>
      <c r="Q29" s="212"/>
      <c r="R29" s="212"/>
      <c r="S29" s="212"/>
      <c r="T29" s="212"/>
      <c r="U29" s="212"/>
      <c r="V29" s="212"/>
      <c r="W29" s="212"/>
      <c r="X29" s="212"/>
      <c r="Y29" s="212"/>
    </row>
    <row r="30" ht="48.75" customHeight="1">
      <c r="A30" s="213" t="s">
        <v>2766</v>
      </c>
      <c r="B30" s="214" t="s">
        <v>766</v>
      </c>
      <c r="C30" s="214" t="s">
        <v>767</v>
      </c>
      <c r="D30" s="215" t="s">
        <v>1528</v>
      </c>
      <c r="E30" s="214" t="s">
        <v>1529</v>
      </c>
      <c r="F30" s="213" t="s">
        <v>2734</v>
      </c>
      <c r="G30" s="213" t="s">
        <v>2735</v>
      </c>
      <c r="H30" s="212"/>
      <c r="I30" s="212"/>
      <c r="J30" s="212"/>
      <c r="K30" s="212"/>
      <c r="L30" s="212"/>
      <c r="M30" s="212"/>
      <c r="N30" s="212"/>
      <c r="O30" s="212"/>
      <c r="P30" s="212"/>
      <c r="Q30" s="212"/>
      <c r="R30" s="212"/>
      <c r="S30" s="212"/>
      <c r="T30" s="212"/>
      <c r="U30" s="212"/>
      <c r="V30" s="212"/>
      <c r="W30" s="212"/>
      <c r="X30" s="212"/>
      <c r="Y30" s="212"/>
    </row>
    <row r="31" ht="48.75" customHeight="1">
      <c r="A31" s="209" t="s">
        <v>2767</v>
      </c>
      <c r="B31" s="210" t="s">
        <v>768</v>
      </c>
      <c r="C31" s="210" t="s">
        <v>769</v>
      </c>
      <c r="D31" s="211" t="s">
        <v>1532</v>
      </c>
      <c r="E31" s="210" t="s">
        <v>1533</v>
      </c>
      <c r="F31" s="209" t="s">
        <v>2738</v>
      </c>
      <c r="G31" s="209" t="s">
        <v>2735</v>
      </c>
      <c r="H31" s="212"/>
      <c r="I31" s="212"/>
      <c r="J31" s="212"/>
      <c r="K31" s="212"/>
      <c r="L31" s="212"/>
      <c r="M31" s="212"/>
      <c r="N31" s="212"/>
      <c r="O31" s="212"/>
      <c r="P31" s="212"/>
      <c r="Q31" s="212"/>
      <c r="R31" s="212"/>
      <c r="S31" s="212"/>
      <c r="T31" s="212"/>
      <c r="U31" s="212"/>
      <c r="V31" s="212"/>
      <c r="W31" s="212"/>
      <c r="X31" s="212"/>
      <c r="Y31" s="212"/>
    </row>
    <row r="32" ht="48.75" customHeight="1">
      <c r="A32" s="213" t="s">
        <v>2768</v>
      </c>
      <c r="B32" s="214" t="s">
        <v>771</v>
      </c>
      <c r="C32" s="214" t="s">
        <v>772</v>
      </c>
      <c r="D32" s="217" t="s">
        <v>1538</v>
      </c>
      <c r="E32" s="214" t="s">
        <v>2769</v>
      </c>
      <c r="F32" s="213" t="s">
        <v>2734</v>
      </c>
      <c r="G32" s="213" t="s">
        <v>2735</v>
      </c>
      <c r="H32" s="212"/>
      <c r="I32" s="212"/>
      <c r="J32" s="212"/>
      <c r="K32" s="212"/>
      <c r="L32" s="212"/>
      <c r="M32" s="212"/>
      <c r="N32" s="212"/>
      <c r="O32" s="212"/>
      <c r="P32" s="212"/>
      <c r="Q32" s="212"/>
      <c r="R32" s="212"/>
      <c r="S32" s="212"/>
      <c r="T32" s="212"/>
      <c r="U32" s="212"/>
      <c r="V32" s="212"/>
      <c r="W32" s="212"/>
      <c r="X32" s="212"/>
      <c r="Y32" s="212"/>
    </row>
    <row r="33" ht="48.75" customHeight="1">
      <c r="A33" s="209" t="s">
        <v>2770</v>
      </c>
      <c r="B33" s="210" t="s">
        <v>773</v>
      </c>
      <c r="C33" s="210" t="s">
        <v>774</v>
      </c>
      <c r="D33" s="217" t="s">
        <v>1543</v>
      </c>
      <c r="E33" s="210" t="s">
        <v>2771</v>
      </c>
      <c r="F33" s="209" t="s">
        <v>2734</v>
      </c>
      <c r="G33" s="209" t="s">
        <v>2735</v>
      </c>
      <c r="H33" s="212"/>
      <c r="I33" s="212"/>
      <c r="J33" s="212"/>
      <c r="K33" s="212"/>
      <c r="L33" s="212"/>
      <c r="M33" s="212"/>
      <c r="N33" s="212"/>
      <c r="O33" s="212"/>
      <c r="P33" s="212"/>
      <c r="Q33" s="212"/>
      <c r="R33" s="212"/>
      <c r="S33" s="212"/>
      <c r="T33" s="212"/>
      <c r="U33" s="212"/>
      <c r="V33" s="212"/>
      <c r="W33" s="212"/>
      <c r="X33" s="212"/>
      <c r="Y33" s="212"/>
    </row>
    <row r="34" ht="48.75" customHeight="1">
      <c r="A34" s="213" t="s">
        <v>2772</v>
      </c>
      <c r="B34" s="214" t="s">
        <v>775</v>
      </c>
      <c r="C34" s="214" t="s">
        <v>776</v>
      </c>
      <c r="D34" s="217" t="s">
        <v>1548</v>
      </c>
      <c r="E34" s="214" t="s">
        <v>2773</v>
      </c>
      <c r="F34" s="213" t="s">
        <v>2738</v>
      </c>
      <c r="G34" s="213" t="s">
        <v>2735</v>
      </c>
      <c r="H34" s="212"/>
      <c r="I34" s="212"/>
      <c r="J34" s="212"/>
      <c r="K34" s="212"/>
      <c r="L34" s="212"/>
      <c r="M34" s="212"/>
      <c r="N34" s="212"/>
      <c r="O34" s="212"/>
      <c r="P34" s="212"/>
      <c r="Q34" s="212"/>
      <c r="R34" s="212"/>
      <c r="S34" s="212"/>
      <c r="T34" s="212"/>
      <c r="U34" s="212"/>
      <c r="V34" s="212"/>
      <c r="W34" s="212"/>
      <c r="X34" s="212"/>
      <c r="Y34" s="212"/>
    </row>
    <row r="35" ht="48.75" customHeight="1">
      <c r="A35" s="209" t="s">
        <v>2774</v>
      </c>
      <c r="B35" s="210" t="s">
        <v>778</v>
      </c>
      <c r="C35" s="210" t="s">
        <v>779</v>
      </c>
      <c r="D35" s="217" t="s">
        <v>1553</v>
      </c>
      <c r="E35" s="210" t="s">
        <v>2775</v>
      </c>
      <c r="F35" s="209" t="s">
        <v>2734</v>
      </c>
      <c r="G35" s="209" t="s">
        <v>2735</v>
      </c>
      <c r="H35" s="212"/>
      <c r="I35" s="212"/>
      <c r="J35" s="212"/>
      <c r="K35" s="212"/>
      <c r="L35" s="212"/>
      <c r="M35" s="212"/>
      <c r="N35" s="212"/>
      <c r="O35" s="212"/>
      <c r="P35" s="212"/>
      <c r="Q35" s="212"/>
      <c r="R35" s="212"/>
      <c r="S35" s="212"/>
      <c r="T35" s="212"/>
      <c r="U35" s="212"/>
      <c r="V35" s="212"/>
      <c r="W35" s="212"/>
      <c r="X35" s="212"/>
      <c r="Y35" s="212"/>
    </row>
    <row r="36" ht="48.75" customHeight="1">
      <c r="A36" s="213" t="s">
        <v>2776</v>
      </c>
      <c r="B36" s="214" t="s">
        <v>780</v>
      </c>
      <c r="C36" s="214" t="s">
        <v>781</v>
      </c>
      <c r="D36" s="217" t="s">
        <v>1558</v>
      </c>
      <c r="E36" s="214" t="s">
        <v>2777</v>
      </c>
      <c r="F36" s="213" t="s">
        <v>2734</v>
      </c>
      <c r="G36" s="213" t="s">
        <v>2735</v>
      </c>
      <c r="H36" s="212"/>
      <c r="I36" s="212"/>
      <c r="J36" s="212"/>
      <c r="K36" s="212"/>
      <c r="L36" s="212"/>
      <c r="M36" s="212"/>
      <c r="N36" s="212"/>
      <c r="O36" s="212"/>
      <c r="P36" s="212"/>
      <c r="Q36" s="212"/>
      <c r="R36" s="212"/>
      <c r="S36" s="212"/>
      <c r="T36" s="212"/>
      <c r="U36" s="212"/>
      <c r="V36" s="212"/>
      <c r="W36" s="212"/>
      <c r="X36" s="212"/>
      <c r="Y36" s="212"/>
    </row>
    <row r="37" ht="48.75" customHeight="1">
      <c r="A37" s="209" t="s">
        <v>2778</v>
      </c>
      <c r="B37" s="210" t="s">
        <v>782</v>
      </c>
      <c r="C37" s="210" t="s">
        <v>783</v>
      </c>
      <c r="D37" s="217" t="s">
        <v>1564</v>
      </c>
      <c r="E37" s="210" t="s">
        <v>2779</v>
      </c>
      <c r="F37" s="209" t="s">
        <v>2738</v>
      </c>
      <c r="G37" s="209" t="s">
        <v>2735</v>
      </c>
      <c r="H37" s="212"/>
      <c r="I37" s="212"/>
      <c r="J37" s="212"/>
      <c r="K37" s="212"/>
      <c r="L37" s="212"/>
      <c r="M37" s="212"/>
      <c r="N37" s="212"/>
      <c r="O37" s="212"/>
      <c r="P37" s="212"/>
      <c r="Q37" s="212"/>
      <c r="R37" s="212"/>
      <c r="S37" s="212"/>
      <c r="T37" s="212"/>
      <c r="U37" s="212"/>
      <c r="V37" s="212"/>
      <c r="W37" s="212"/>
      <c r="X37" s="212"/>
      <c r="Y37" s="212"/>
    </row>
    <row r="38" ht="48.75" customHeight="1">
      <c r="A38" s="213" t="s">
        <v>2780</v>
      </c>
      <c r="B38" s="214" t="s">
        <v>785</v>
      </c>
      <c r="C38" s="214" t="s">
        <v>786</v>
      </c>
      <c r="D38" s="217" t="s">
        <v>1570</v>
      </c>
      <c r="E38" s="214" t="s">
        <v>2781</v>
      </c>
      <c r="F38" s="213" t="s">
        <v>2734</v>
      </c>
      <c r="G38" s="213" t="s">
        <v>2735</v>
      </c>
      <c r="H38" s="212"/>
      <c r="I38" s="212"/>
      <c r="J38" s="212"/>
      <c r="K38" s="212"/>
      <c r="L38" s="212"/>
      <c r="M38" s="212"/>
      <c r="N38" s="212"/>
      <c r="O38" s="212"/>
      <c r="P38" s="212"/>
      <c r="Q38" s="212"/>
      <c r="R38" s="212"/>
      <c r="S38" s="212"/>
      <c r="T38" s="212"/>
      <c r="U38" s="212"/>
      <c r="V38" s="212"/>
      <c r="W38" s="212"/>
      <c r="X38" s="212"/>
      <c r="Y38" s="212"/>
    </row>
    <row r="39" ht="48.75" customHeight="1">
      <c r="A39" s="209" t="s">
        <v>2782</v>
      </c>
      <c r="B39" s="210" t="s">
        <v>787</v>
      </c>
      <c r="C39" s="210" t="s">
        <v>788</v>
      </c>
      <c r="D39" s="217" t="s">
        <v>1575</v>
      </c>
      <c r="E39" s="210" t="s">
        <v>2783</v>
      </c>
      <c r="F39" s="209" t="s">
        <v>2740</v>
      </c>
      <c r="G39" s="209" t="s">
        <v>2735</v>
      </c>
      <c r="H39" s="212"/>
      <c r="I39" s="212"/>
      <c r="J39" s="212"/>
      <c r="K39" s="212"/>
      <c r="L39" s="212"/>
      <c r="M39" s="212"/>
      <c r="N39" s="212"/>
      <c r="O39" s="212"/>
      <c r="P39" s="212"/>
      <c r="Q39" s="212"/>
      <c r="R39" s="212"/>
      <c r="S39" s="212"/>
      <c r="T39" s="212"/>
      <c r="U39" s="212"/>
      <c r="V39" s="212"/>
      <c r="W39" s="212"/>
      <c r="X39" s="212"/>
      <c r="Y39" s="212"/>
    </row>
    <row r="40" ht="48.75" customHeight="1">
      <c r="A40" s="213" t="s">
        <v>2784</v>
      </c>
      <c r="B40" s="214" t="s">
        <v>789</v>
      </c>
      <c r="C40" s="214" t="s">
        <v>790</v>
      </c>
      <c r="D40" s="217" t="s">
        <v>1580</v>
      </c>
      <c r="E40" s="214" t="s">
        <v>2785</v>
      </c>
      <c r="F40" s="213" t="s">
        <v>2740</v>
      </c>
      <c r="G40" s="213" t="s">
        <v>2735</v>
      </c>
      <c r="H40" s="212"/>
      <c r="I40" s="212"/>
      <c r="J40" s="212"/>
      <c r="K40" s="212"/>
      <c r="L40" s="212"/>
      <c r="M40" s="212"/>
      <c r="N40" s="212"/>
      <c r="O40" s="212"/>
      <c r="P40" s="212"/>
      <c r="Q40" s="212"/>
      <c r="R40" s="212"/>
      <c r="S40" s="212"/>
      <c r="T40" s="212"/>
      <c r="U40" s="212"/>
      <c r="V40" s="212"/>
      <c r="W40" s="212"/>
      <c r="X40" s="212"/>
      <c r="Y40" s="212"/>
    </row>
    <row r="41" ht="48.75" customHeight="1">
      <c r="A41" s="209" t="s">
        <v>2786</v>
      </c>
      <c r="B41" s="210" t="s">
        <v>792</v>
      </c>
      <c r="C41" s="210" t="s">
        <v>793</v>
      </c>
      <c r="D41" s="217" t="s">
        <v>1588</v>
      </c>
      <c r="E41" s="210" t="s">
        <v>2787</v>
      </c>
      <c r="F41" s="209" t="s">
        <v>2734</v>
      </c>
      <c r="G41" s="209" t="s">
        <v>2735</v>
      </c>
      <c r="H41" s="212"/>
      <c r="I41" s="212"/>
      <c r="J41" s="212"/>
      <c r="K41" s="212"/>
      <c r="L41" s="212"/>
      <c r="M41" s="212"/>
      <c r="N41" s="212"/>
      <c r="O41" s="212"/>
      <c r="P41" s="212"/>
      <c r="Q41" s="212"/>
      <c r="R41" s="212"/>
      <c r="S41" s="212"/>
      <c r="T41" s="212"/>
      <c r="U41" s="212"/>
      <c r="V41" s="212"/>
      <c r="W41" s="212"/>
      <c r="X41" s="212"/>
      <c r="Y41" s="212"/>
    </row>
    <row r="42" ht="48.75" customHeight="1">
      <c r="A42" s="213" t="s">
        <v>2788</v>
      </c>
      <c r="B42" s="214" t="s">
        <v>794</v>
      </c>
      <c r="C42" s="214" t="s">
        <v>795</v>
      </c>
      <c r="D42" s="217" t="s">
        <v>1588</v>
      </c>
      <c r="E42" s="214" t="s">
        <v>2789</v>
      </c>
      <c r="F42" s="213" t="s">
        <v>2738</v>
      </c>
      <c r="G42" s="213" t="s">
        <v>2735</v>
      </c>
      <c r="H42" s="212"/>
      <c r="I42" s="212"/>
      <c r="J42" s="212"/>
      <c r="K42" s="212"/>
      <c r="L42" s="212"/>
      <c r="M42" s="212"/>
      <c r="N42" s="212"/>
      <c r="O42" s="212"/>
      <c r="P42" s="212"/>
      <c r="Q42" s="212"/>
      <c r="R42" s="212"/>
      <c r="S42" s="212"/>
      <c r="T42" s="212"/>
      <c r="U42" s="212"/>
      <c r="V42" s="212"/>
      <c r="W42" s="212"/>
      <c r="X42" s="212"/>
      <c r="Y42" s="212"/>
    </row>
    <row r="43" ht="48.75" customHeight="1">
      <c r="A43" s="209" t="s">
        <v>2790</v>
      </c>
      <c r="B43" s="210" t="s">
        <v>797</v>
      </c>
      <c r="C43" s="210" t="s">
        <v>798</v>
      </c>
      <c r="D43" s="217" t="s">
        <v>1599</v>
      </c>
      <c r="E43" s="210" t="s">
        <v>2791</v>
      </c>
      <c r="F43" s="209" t="s">
        <v>2738</v>
      </c>
      <c r="G43" s="209" t="s">
        <v>2735</v>
      </c>
      <c r="H43" s="212"/>
      <c r="I43" s="212"/>
      <c r="J43" s="212"/>
      <c r="K43" s="212"/>
      <c r="L43" s="212"/>
      <c r="M43" s="212"/>
      <c r="N43" s="212"/>
      <c r="O43" s="212"/>
      <c r="P43" s="212"/>
      <c r="Q43" s="212"/>
      <c r="R43" s="212"/>
      <c r="S43" s="212"/>
      <c r="T43" s="212"/>
      <c r="U43" s="212"/>
      <c r="V43" s="212"/>
      <c r="W43" s="212"/>
      <c r="X43" s="212"/>
      <c r="Y43" s="212"/>
    </row>
    <row r="44" ht="48.75" customHeight="1">
      <c r="A44" s="213" t="s">
        <v>2792</v>
      </c>
      <c r="B44" s="214" t="s">
        <v>799</v>
      </c>
      <c r="C44" s="214" t="s">
        <v>800</v>
      </c>
      <c r="D44" s="217" t="s">
        <v>1605</v>
      </c>
      <c r="E44" s="214" t="s">
        <v>2793</v>
      </c>
      <c r="F44" s="213" t="s">
        <v>2734</v>
      </c>
      <c r="G44" s="213" t="s">
        <v>2735</v>
      </c>
      <c r="H44" s="212"/>
      <c r="I44" s="212"/>
      <c r="J44" s="212"/>
      <c r="K44" s="212"/>
      <c r="L44" s="212"/>
      <c r="M44" s="212"/>
      <c r="N44" s="212"/>
      <c r="O44" s="212"/>
      <c r="P44" s="212"/>
      <c r="Q44" s="212"/>
      <c r="R44" s="212"/>
      <c r="S44" s="212"/>
      <c r="T44" s="212"/>
      <c r="U44" s="212"/>
      <c r="V44" s="212"/>
      <c r="W44" s="212"/>
      <c r="X44" s="212"/>
      <c r="Y44" s="212"/>
    </row>
    <row r="45" ht="48.75" customHeight="1">
      <c r="A45" s="209" t="s">
        <v>2794</v>
      </c>
      <c r="B45" s="210" t="s">
        <v>802</v>
      </c>
      <c r="C45" s="210" t="s">
        <v>803</v>
      </c>
      <c r="D45" s="217" t="s">
        <v>1610</v>
      </c>
      <c r="E45" s="210" t="s">
        <v>2795</v>
      </c>
      <c r="F45" s="209" t="s">
        <v>2734</v>
      </c>
      <c r="G45" s="209" t="s">
        <v>2735</v>
      </c>
      <c r="H45" s="212"/>
      <c r="I45" s="212"/>
      <c r="J45" s="212"/>
      <c r="K45" s="212"/>
      <c r="L45" s="212"/>
      <c r="M45" s="212"/>
      <c r="N45" s="212"/>
      <c r="O45" s="212"/>
      <c r="P45" s="212"/>
      <c r="Q45" s="212"/>
      <c r="R45" s="212"/>
      <c r="S45" s="212"/>
      <c r="T45" s="212"/>
      <c r="U45" s="212"/>
      <c r="V45" s="212"/>
      <c r="W45" s="212"/>
      <c r="X45" s="212"/>
      <c r="Y45" s="212"/>
    </row>
    <row r="46" ht="48.75" customHeight="1">
      <c r="A46" s="213" t="s">
        <v>2796</v>
      </c>
      <c r="B46" s="214" t="s">
        <v>804</v>
      </c>
      <c r="C46" s="214" t="s">
        <v>805</v>
      </c>
      <c r="D46" s="217" t="s">
        <v>1616</v>
      </c>
      <c r="E46" s="214" t="s">
        <v>2797</v>
      </c>
      <c r="F46" s="213" t="s">
        <v>2734</v>
      </c>
      <c r="G46" s="213" t="s">
        <v>2735</v>
      </c>
      <c r="H46" s="212"/>
      <c r="I46" s="212"/>
      <c r="J46" s="212"/>
      <c r="K46" s="212"/>
      <c r="L46" s="212"/>
      <c r="M46" s="212"/>
      <c r="N46" s="212"/>
      <c r="O46" s="212"/>
      <c r="P46" s="212"/>
      <c r="Q46" s="212"/>
      <c r="R46" s="212"/>
      <c r="S46" s="212"/>
      <c r="T46" s="212"/>
      <c r="U46" s="212"/>
      <c r="V46" s="212"/>
      <c r="W46" s="212"/>
      <c r="X46" s="212"/>
      <c r="Y46" s="212"/>
    </row>
    <row r="47" ht="48.75" customHeight="1">
      <c r="A47" s="209" t="s">
        <v>2798</v>
      </c>
      <c r="B47" s="210" t="s">
        <v>806</v>
      </c>
      <c r="C47" s="210" t="s">
        <v>807</v>
      </c>
      <c r="D47" s="217" t="s">
        <v>1622</v>
      </c>
      <c r="E47" s="210" t="s">
        <v>2799</v>
      </c>
      <c r="F47" s="209" t="s">
        <v>2740</v>
      </c>
      <c r="G47" s="209" t="s">
        <v>2735</v>
      </c>
      <c r="H47" s="212"/>
      <c r="I47" s="212"/>
      <c r="J47" s="212"/>
      <c r="K47" s="212"/>
      <c r="L47" s="212"/>
      <c r="M47" s="212"/>
      <c r="N47" s="212"/>
      <c r="O47" s="212"/>
      <c r="P47" s="212"/>
      <c r="Q47" s="212"/>
      <c r="R47" s="212"/>
      <c r="S47" s="212"/>
      <c r="T47" s="212"/>
      <c r="U47" s="212"/>
      <c r="V47" s="212"/>
      <c r="W47" s="212"/>
      <c r="X47" s="212"/>
      <c r="Y47" s="212"/>
    </row>
    <row r="48" ht="48.75" customHeight="1">
      <c r="A48" s="213" t="s">
        <v>2800</v>
      </c>
      <c r="B48" s="214" t="s">
        <v>809</v>
      </c>
      <c r="C48" s="214" t="s">
        <v>810</v>
      </c>
      <c r="D48" s="217" t="s">
        <v>1628</v>
      </c>
      <c r="E48" s="214" t="s">
        <v>2801</v>
      </c>
      <c r="F48" s="213" t="s">
        <v>2734</v>
      </c>
      <c r="G48" s="213" t="s">
        <v>2735</v>
      </c>
      <c r="H48" s="212"/>
      <c r="I48" s="212"/>
      <c r="J48" s="212"/>
      <c r="K48" s="212"/>
      <c r="L48" s="212"/>
      <c r="M48" s="212"/>
      <c r="N48" s="212"/>
      <c r="O48" s="212"/>
      <c r="P48" s="212"/>
      <c r="Q48" s="212"/>
      <c r="R48" s="212"/>
      <c r="S48" s="212"/>
      <c r="T48" s="212"/>
      <c r="U48" s="212"/>
      <c r="V48" s="212"/>
      <c r="W48" s="212"/>
      <c r="X48" s="212"/>
      <c r="Y48" s="212"/>
    </row>
    <row r="49" ht="48.75" customHeight="1">
      <c r="A49" s="209" t="s">
        <v>2802</v>
      </c>
      <c r="B49" s="210" t="s">
        <v>811</v>
      </c>
      <c r="C49" s="210" t="s">
        <v>812</v>
      </c>
      <c r="D49" s="217" t="s">
        <v>1633</v>
      </c>
      <c r="E49" s="210" t="s">
        <v>2803</v>
      </c>
      <c r="F49" s="209" t="s">
        <v>2734</v>
      </c>
      <c r="G49" s="209" t="s">
        <v>2735</v>
      </c>
      <c r="H49" s="212"/>
      <c r="I49" s="212"/>
      <c r="J49" s="212"/>
      <c r="K49" s="212"/>
      <c r="L49" s="212"/>
      <c r="M49" s="212"/>
      <c r="N49" s="212"/>
      <c r="O49" s="212"/>
      <c r="P49" s="212"/>
      <c r="Q49" s="212"/>
      <c r="R49" s="212"/>
      <c r="S49" s="212"/>
      <c r="T49" s="212"/>
      <c r="U49" s="212"/>
      <c r="V49" s="212"/>
      <c r="W49" s="212"/>
      <c r="X49" s="212"/>
      <c r="Y49" s="212"/>
    </row>
    <row r="50" ht="48.75" customHeight="1">
      <c r="A50" s="213" t="s">
        <v>2804</v>
      </c>
      <c r="B50" s="214" t="s">
        <v>813</v>
      </c>
      <c r="C50" s="214" t="s">
        <v>814</v>
      </c>
      <c r="D50" s="217" t="s">
        <v>1638</v>
      </c>
      <c r="E50" s="214" t="s">
        <v>2805</v>
      </c>
      <c r="F50" s="213" t="s">
        <v>2740</v>
      </c>
      <c r="G50" s="213" t="s">
        <v>2735</v>
      </c>
      <c r="H50" s="212"/>
      <c r="I50" s="212"/>
      <c r="J50" s="212"/>
      <c r="K50" s="212"/>
      <c r="L50" s="212"/>
      <c r="M50" s="212"/>
      <c r="N50" s="212"/>
      <c r="O50" s="212"/>
      <c r="P50" s="212"/>
      <c r="Q50" s="212"/>
      <c r="R50" s="212"/>
      <c r="S50" s="212"/>
      <c r="T50" s="212"/>
      <c r="U50" s="212"/>
      <c r="V50" s="212"/>
      <c r="W50" s="212"/>
      <c r="X50" s="212"/>
      <c r="Y50" s="212"/>
    </row>
    <row r="51" ht="48.75" customHeight="1">
      <c r="A51" s="209" t="s">
        <v>2806</v>
      </c>
      <c r="B51" s="210" t="s">
        <v>816</v>
      </c>
      <c r="C51" s="210" t="s">
        <v>817</v>
      </c>
      <c r="D51" s="217" t="s">
        <v>1644</v>
      </c>
      <c r="E51" s="210" t="s">
        <v>2807</v>
      </c>
      <c r="F51" s="209" t="s">
        <v>2734</v>
      </c>
      <c r="G51" s="209" t="s">
        <v>2735</v>
      </c>
      <c r="H51" s="212"/>
      <c r="I51" s="212"/>
      <c r="J51" s="212"/>
      <c r="K51" s="212"/>
      <c r="L51" s="212"/>
      <c r="M51" s="212"/>
      <c r="N51" s="212"/>
      <c r="O51" s="212"/>
      <c r="P51" s="212"/>
      <c r="Q51" s="212"/>
      <c r="R51" s="212"/>
      <c r="S51" s="212"/>
      <c r="T51" s="212"/>
      <c r="U51" s="212"/>
      <c r="V51" s="212"/>
      <c r="W51" s="212"/>
      <c r="X51" s="212"/>
      <c r="Y51" s="212"/>
    </row>
    <row r="52" ht="48.75" customHeight="1">
      <c r="A52" s="213" t="s">
        <v>2808</v>
      </c>
      <c r="B52" s="214" t="s">
        <v>818</v>
      </c>
      <c r="C52" s="214" t="s">
        <v>819</v>
      </c>
      <c r="D52" s="217" t="s">
        <v>1649</v>
      </c>
      <c r="E52" s="214" t="s">
        <v>2809</v>
      </c>
      <c r="F52" s="213" t="s">
        <v>2734</v>
      </c>
      <c r="G52" s="213" t="s">
        <v>2735</v>
      </c>
      <c r="H52" s="212"/>
      <c r="I52" s="212"/>
      <c r="J52" s="212"/>
      <c r="K52" s="212"/>
      <c r="L52" s="212"/>
      <c r="M52" s="212"/>
      <c r="N52" s="212"/>
      <c r="O52" s="212"/>
      <c r="P52" s="212"/>
      <c r="Q52" s="212"/>
      <c r="R52" s="212"/>
      <c r="S52" s="212"/>
      <c r="T52" s="212"/>
      <c r="U52" s="212"/>
      <c r="V52" s="212"/>
      <c r="W52" s="212"/>
      <c r="X52" s="212"/>
      <c r="Y52" s="212"/>
    </row>
    <row r="53" ht="48.75" customHeight="1">
      <c r="A53" s="209" t="s">
        <v>2810</v>
      </c>
      <c r="B53" s="210" t="s">
        <v>820</v>
      </c>
      <c r="C53" s="210" t="s">
        <v>821</v>
      </c>
      <c r="D53" s="217" t="s">
        <v>1654</v>
      </c>
      <c r="E53" s="210" t="s">
        <v>2811</v>
      </c>
      <c r="F53" s="209" t="s">
        <v>2734</v>
      </c>
      <c r="G53" s="209" t="s">
        <v>2735</v>
      </c>
      <c r="H53" s="212"/>
      <c r="I53" s="212"/>
      <c r="J53" s="212"/>
      <c r="K53" s="212"/>
      <c r="L53" s="212"/>
      <c r="M53" s="212"/>
      <c r="N53" s="212"/>
      <c r="O53" s="212"/>
      <c r="P53" s="212"/>
      <c r="Q53" s="212"/>
      <c r="R53" s="212"/>
      <c r="S53" s="212"/>
      <c r="T53" s="212"/>
      <c r="U53" s="212"/>
      <c r="V53" s="212"/>
      <c r="W53" s="212"/>
      <c r="X53" s="212"/>
      <c r="Y53" s="212"/>
    </row>
    <row r="54" ht="48.75" customHeight="1">
      <c r="A54" s="213" t="s">
        <v>2812</v>
      </c>
      <c r="B54" s="214" t="s">
        <v>823</v>
      </c>
      <c r="C54" s="214" t="s">
        <v>824</v>
      </c>
      <c r="D54" s="217" t="s">
        <v>1659</v>
      </c>
      <c r="E54" s="214" t="s">
        <v>2813</v>
      </c>
      <c r="F54" s="213" t="s">
        <v>2734</v>
      </c>
      <c r="G54" s="213" t="s">
        <v>2735</v>
      </c>
      <c r="H54" s="212"/>
      <c r="I54" s="212"/>
      <c r="J54" s="212"/>
      <c r="K54" s="212"/>
      <c r="L54" s="212"/>
      <c r="M54" s="212"/>
      <c r="N54" s="212"/>
      <c r="O54" s="212"/>
      <c r="P54" s="212"/>
      <c r="Q54" s="212"/>
      <c r="R54" s="212"/>
      <c r="S54" s="212"/>
      <c r="T54" s="212"/>
      <c r="U54" s="212"/>
      <c r="V54" s="212"/>
      <c r="W54" s="212"/>
      <c r="X54" s="212"/>
      <c r="Y54" s="212"/>
    </row>
    <row r="55" ht="48.75" customHeight="1">
      <c r="A55" s="209" t="s">
        <v>2814</v>
      </c>
      <c r="B55" s="210" t="s">
        <v>825</v>
      </c>
      <c r="C55" s="210" t="s">
        <v>826</v>
      </c>
      <c r="D55" s="217" t="s">
        <v>1665</v>
      </c>
      <c r="E55" s="210" t="s">
        <v>2815</v>
      </c>
      <c r="F55" s="209" t="s">
        <v>2740</v>
      </c>
      <c r="G55" s="209" t="s">
        <v>2735</v>
      </c>
      <c r="H55" s="212"/>
      <c r="I55" s="212"/>
      <c r="J55" s="212"/>
      <c r="K55" s="212"/>
      <c r="L55" s="212"/>
      <c r="M55" s="212"/>
      <c r="N55" s="212"/>
      <c r="O55" s="212"/>
      <c r="P55" s="212"/>
      <c r="Q55" s="212"/>
      <c r="R55" s="212"/>
      <c r="S55" s="212"/>
      <c r="T55" s="212"/>
      <c r="U55" s="212"/>
      <c r="V55" s="212"/>
      <c r="W55" s="212"/>
      <c r="X55" s="212"/>
      <c r="Y55" s="212"/>
    </row>
    <row r="56" ht="48.75" customHeight="1">
      <c r="A56" s="213" t="s">
        <v>2816</v>
      </c>
      <c r="B56" s="214" t="s">
        <v>828</v>
      </c>
      <c r="C56" s="214" t="s">
        <v>829</v>
      </c>
      <c r="D56" s="217" t="s">
        <v>1671</v>
      </c>
      <c r="E56" s="214" t="s">
        <v>2817</v>
      </c>
      <c r="F56" s="213" t="s">
        <v>2734</v>
      </c>
      <c r="G56" s="213" t="s">
        <v>2735</v>
      </c>
      <c r="H56" s="212"/>
      <c r="I56" s="212"/>
      <c r="J56" s="212"/>
      <c r="K56" s="212"/>
      <c r="L56" s="212"/>
      <c r="M56" s="212"/>
      <c r="N56" s="212"/>
      <c r="O56" s="212"/>
      <c r="P56" s="212"/>
      <c r="Q56" s="212"/>
      <c r="R56" s="212"/>
      <c r="S56" s="212"/>
      <c r="T56" s="212"/>
      <c r="U56" s="212"/>
      <c r="V56" s="212"/>
      <c r="W56" s="212"/>
      <c r="X56" s="212"/>
      <c r="Y56" s="212"/>
    </row>
    <row r="57" ht="48.75" customHeight="1">
      <c r="A57" s="209" t="s">
        <v>2818</v>
      </c>
      <c r="B57" s="210" t="s">
        <v>830</v>
      </c>
      <c r="C57" s="210" t="s">
        <v>831</v>
      </c>
      <c r="D57" s="217" t="s">
        <v>1677</v>
      </c>
      <c r="E57" s="210" t="s">
        <v>2819</v>
      </c>
      <c r="F57" s="209" t="s">
        <v>2738</v>
      </c>
      <c r="G57" s="209" t="s">
        <v>2735</v>
      </c>
      <c r="H57" s="212"/>
      <c r="I57" s="212"/>
      <c r="J57" s="212"/>
      <c r="K57" s="212"/>
      <c r="L57" s="212"/>
      <c r="M57" s="212"/>
      <c r="N57" s="212"/>
      <c r="O57" s="212"/>
      <c r="P57" s="212"/>
      <c r="Q57" s="212"/>
      <c r="R57" s="212"/>
      <c r="S57" s="212"/>
      <c r="T57" s="212"/>
      <c r="U57" s="212"/>
      <c r="V57" s="212"/>
      <c r="W57" s="212"/>
      <c r="X57" s="212"/>
      <c r="Y57" s="212"/>
    </row>
    <row r="58" ht="48.75" customHeight="1">
      <c r="A58" s="213" t="s">
        <v>2820</v>
      </c>
      <c r="B58" s="214" t="s">
        <v>832</v>
      </c>
      <c r="C58" s="214" t="s">
        <v>833</v>
      </c>
      <c r="D58" s="217" t="s">
        <v>1682</v>
      </c>
      <c r="E58" s="214" t="s">
        <v>2821</v>
      </c>
      <c r="F58" s="213" t="s">
        <v>2740</v>
      </c>
      <c r="G58" s="213" t="s">
        <v>2735</v>
      </c>
      <c r="H58" s="212"/>
      <c r="I58" s="212"/>
      <c r="J58" s="212"/>
      <c r="K58" s="212"/>
      <c r="L58" s="212"/>
      <c r="M58" s="212"/>
      <c r="N58" s="212"/>
      <c r="O58" s="212"/>
      <c r="P58" s="212"/>
      <c r="Q58" s="212"/>
      <c r="R58" s="212"/>
      <c r="S58" s="212"/>
      <c r="T58" s="212"/>
      <c r="U58" s="212"/>
      <c r="V58" s="212"/>
      <c r="W58" s="212"/>
      <c r="X58" s="212"/>
      <c r="Y58" s="212"/>
    </row>
    <row r="59" ht="48.75" customHeight="1">
      <c r="A59" s="209" t="s">
        <v>2822</v>
      </c>
      <c r="B59" s="210" t="s">
        <v>835</v>
      </c>
      <c r="C59" s="210" t="s">
        <v>836</v>
      </c>
      <c r="D59" s="217" t="s">
        <v>1687</v>
      </c>
      <c r="E59" s="210" t="s">
        <v>2823</v>
      </c>
      <c r="F59" s="209" t="s">
        <v>2734</v>
      </c>
      <c r="G59" s="209" t="s">
        <v>2735</v>
      </c>
      <c r="H59" s="212"/>
      <c r="I59" s="212"/>
      <c r="J59" s="212"/>
      <c r="K59" s="212"/>
      <c r="L59" s="212"/>
      <c r="M59" s="212"/>
      <c r="N59" s="212"/>
      <c r="O59" s="212"/>
      <c r="P59" s="212"/>
      <c r="Q59" s="212"/>
      <c r="R59" s="212"/>
      <c r="S59" s="212"/>
      <c r="T59" s="212"/>
      <c r="U59" s="212"/>
      <c r="V59" s="212"/>
      <c r="W59" s="212"/>
      <c r="X59" s="212"/>
      <c r="Y59" s="212"/>
    </row>
    <row r="60" ht="48.75" customHeight="1">
      <c r="A60" s="213" t="s">
        <v>2824</v>
      </c>
      <c r="B60" s="214" t="s">
        <v>837</v>
      </c>
      <c r="C60" s="214" t="s">
        <v>838</v>
      </c>
      <c r="D60" s="217" t="s">
        <v>1693</v>
      </c>
      <c r="E60" s="214" t="s">
        <v>2825</v>
      </c>
      <c r="F60" s="213" t="s">
        <v>2734</v>
      </c>
      <c r="G60" s="213" t="s">
        <v>2735</v>
      </c>
      <c r="H60" s="212"/>
      <c r="I60" s="212"/>
      <c r="J60" s="212"/>
      <c r="K60" s="212"/>
      <c r="L60" s="212"/>
      <c r="M60" s="212"/>
      <c r="N60" s="212"/>
      <c r="O60" s="212"/>
      <c r="P60" s="212"/>
      <c r="Q60" s="212"/>
      <c r="R60" s="212"/>
      <c r="S60" s="212"/>
      <c r="T60" s="212"/>
      <c r="U60" s="212"/>
      <c r="V60" s="212"/>
      <c r="W60" s="212"/>
      <c r="X60" s="212"/>
      <c r="Y60" s="212"/>
    </row>
    <row r="61" ht="48.75" customHeight="1">
      <c r="A61" s="209" t="s">
        <v>2826</v>
      </c>
      <c r="B61" s="210" t="s">
        <v>839</v>
      </c>
      <c r="C61" s="210" t="s">
        <v>840</v>
      </c>
      <c r="D61" s="217" t="s">
        <v>1699</v>
      </c>
      <c r="E61" s="210" t="s">
        <v>2827</v>
      </c>
      <c r="F61" s="209" t="s">
        <v>2740</v>
      </c>
      <c r="G61" s="209" t="s">
        <v>2735</v>
      </c>
      <c r="H61" s="212"/>
      <c r="I61" s="212"/>
      <c r="J61" s="212"/>
      <c r="K61" s="212"/>
      <c r="L61" s="212"/>
      <c r="M61" s="212"/>
      <c r="N61" s="212"/>
      <c r="O61" s="212"/>
      <c r="P61" s="212"/>
      <c r="Q61" s="212"/>
      <c r="R61" s="212"/>
      <c r="S61" s="212"/>
      <c r="T61" s="212"/>
      <c r="U61" s="212"/>
      <c r="V61" s="212"/>
      <c r="W61" s="212"/>
      <c r="X61" s="212"/>
      <c r="Y61" s="212"/>
    </row>
    <row r="62" ht="48.75" customHeight="1">
      <c r="A62" s="213" t="s">
        <v>2828</v>
      </c>
      <c r="B62" s="214" t="s">
        <v>842</v>
      </c>
      <c r="C62" s="214" t="s">
        <v>843</v>
      </c>
      <c r="D62" s="217" t="s">
        <v>1704</v>
      </c>
      <c r="E62" s="214" t="s">
        <v>2829</v>
      </c>
      <c r="F62" s="213" t="s">
        <v>2734</v>
      </c>
      <c r="G62" s="213" t="s">
        <v>2735</v>
      </c>
      <c r="H62" s="212"/>
      <c r="I62" s="212"/>
      <c r="J62" s="212"/>
      <c r="K62" s="212"/>
      <c r="L62" s="212"/>
      <c r="M62" s="212"/>
      <c r="N62" s="212"/>
      <c r="O62" s="212"/>
      <c r="P62" s="212"/>
      <c r="Q62" s="212"/>
      <c r="R62" s="212"/>
      <c r="S62" s="212"/>
      <c r="T62" s="212"/>
      <c r="U62" s="212"/>
      <c r="V62" s="212"/>
      <c r="W62" s="212"/>
      <c r="X62" s="212"/>
      <c r="Y62" s="212"/>
    </row>
    <row r="63" ht="48.75" customHeight="1">
      <c r="A63" s="209" t="s">
        <v>2830</v>
      </c>
      <c r="B63" s="210" t="s">
        <v>844</v>
      </c>
      <c r="C63" s="210" t="s">
        <v>845</v>
      </c>
      <c r="D63" s="217" t="s">
        <v>1709</v>
      </c>
      <c r="E63" s="210" t="s">
        <v>2831</v>
      </c>
      <c r="F63" s="209" t="s">
        <v>2734</v>
      </c>
      <c r="G63" s="209" t="s">
        <v>2735</v>
      </c>
      <c r="H63" s="212"/>
      <c r="I63" s="212"/>
      <c r="J63" s="212"/>
      <c r="K63" s="212"/>
      <c r="L63" s="212"/>
      <c r="M63" s="212"/>
      <c r="N63" s="212"/>
      <c r="O63" s="212"/>
      <c r="P63" s="212"/>
      <c r="Q63" s="212"/>
      <c r="R63" s="212"/>
      <c r="S63" s="212"/>
      <c r="T63" s="212"/>
      <c r="U63" s="212"/>
      <c r="V63" s="212"/>
      <c r="W63" s="212"/>
      <c r="X63" s="212"/>
      <c r="Y63" s="212"/>
    </row>
    <row r="64" ht="48.75" customHeight="1">
      <c r="A64" s="213" t="s">
        <v>2832</v>
      </c>
      <c r="B64" s="214" t="s">
        <v>846</v>
      </c>
      <c r="C64" s="214" t="s">
        <v>847</v>
      </c>
      <c r="D64" s="217" t="s">
        <v>1715</v>
      </c>
      <c r="E64" s="214" t="s">
        <v>2833</v>
      </c>
      <c r="F64" s="213" t="s">
        <v>2738</v>
      </c>
      <c r="G64" s="213" t="s">
        <v>2735</v>
      </c>
      <c r="H64" s="212"/>
      <c r="I64" s="212"/>
      <c r="J64" s="212"/>
      <c r="K64" s="212"/>
      <c r="L64" s="212"/>
      <c r="M64" s="212"/>
      <c r="N64" s="212"/>
      <c r="O64" s="212"/>
      <c r="P64" s="212"/>
      <c r="Q64" s="212"/>
      <c r="R64" s="212"/>
      <c r="S64" s="212"/>
      <c r="T64" s="212"/>
      <c r="U64" s="212"/>
      <c r="V64" s="212"/>
      <c r="W64" s="212"/>
      <c r="X64" s="212"/>
      <c r="Y64" s="212"/>
    </row>
    <row r="65" ht="48.75" customHeight="1">
      <c r="A65" s="209" t="s">
        <v>2834</v>
      </c>
      <c r="B65" s="210" t="s">
        <v>849</v>
      </c>
      <c r="C65" s="210" t="s">
        <v>850</v>
      </c>
      <c r="D65" s="217" t="s">
        <v>1720</v>
      </c>
      <c r="E65" s="210" t="s">
        <v>2835</v>
      </c>
      <c r="F65" s="209" t="s">
        <v>2734</v>
      </c>
      <c r="G65" s="209" t="s">
        <v>2735</v>
      </c>
      <c r="H65" s="212"/>
      <c r="I65" s="212"/>
      <c r="J65" s="212"/>
      <c r="K65" s="212"/>
      <c r="L65" s="212"/>
      <c r="M65" s="212"/>
      <c r="N65" s="212"/>
      <c r="O65" s="212"/>
      <c r="P65" s="212"/>
      <c r="Q65" s="212"/>
      <c r="R65" s="212"/>
      <c r="S65" s="212"/>
      <c r="T65" s="212"/>
      <c r="U65" s="212"/>
      <c r="V65" s="212"/>
      <c r="W65" s="212"/>
      <c r="X65" s="212"/>
      <c r="Y65" s="212"/>
    </row>
    <row r="66" ht="48.75" customHeight="1">
      <c r="A66" s="213" t="s">
        <v>2836</v>
      </c>
      <c r="B66" s="214" t="s">
        <v>851</v>
      </c>
      <c r="C66" s="214" t="s">
        <v>852</v>
      </c>
      <c r="D66" s="217" t="s">
        <v>1726</v>
      </c>
      <c r="E66" s="214" t="s">
        <v>2837</v>
      </c>
      <c r="F66" s="213" t="s">
        <v>2734</v>
      </c>
      <c r="G66" s="213" t="s">
        <v>2735</v>
      </c>
      <c r="H66" s="212"/>
      <c r="I66" s="212"/>
      <c r="J66" s="212"/>
      <c r="K66" s="212"/>
      <c r="L66" s="212"/>
      <c r="M66" s="212"/>
      <c r="N66" s="212"/>
      <c r="O66" s="212"/>
      <c r="P66" s="212"/>
      <c r="Q66" s="212"/>
      <c r="R66" s="212"/>
      <c r="S66" s="212"/>
      <c r="T66" s="212"/>
      <c r="U66" s="212"/>
      <c r="V66" s="212"/>
      <c r="W66" s="212"/>
      <c r="X66" s="212"/>
      <c r="Y66" s="212"/>
    </row>
    <row r="67" ht="48.75" customHeight="1">
      <c r="A67" s="209" t="s">
        <v>2838</v>
      </c>
      <c r="B67" s="210" t="s">
        <v>854</v>
      </c>
      <c r="C67" s="210" t="s">
        <v>855</v>
      </c>
      <c r="D67" s="217" t="s">
        <v>1732</v>
      </c>
      <c r="E67" s="210" t="s">
        <v>2839</v>
      </c>
      <c r="F67" s="209" t="s">
        <v>2734</v>
      </c>
      <c r="G67" s="209" t="s">
        <v>2735</v>
      </c>
      <c r="H67" s="212"/>
      <c r="I67" s="212"/>
      <c r="J67" s="212"/>
      <c r="K67" s="212"/>
      <c r="L67" s="212"/>
      <c r="M67" s="212"/>
      <c r="N67" s="212"/>
      <c r="O67" s="212"/>
      <c r="P67" s="212"/>
      <c r="Q67" s="212"/>
      <c r="R67" s="212"/>
      <c r="S67" s="212"/>
      <c r="T67" s="212"/>
      <c r="U67" s="212"/>
      <c r="V67" s="212"/>
      <c r="W67" s="212"/>
      <c r="X67" s="212"/>
      <c r="Y67" s="212"/>
    </row>
    <row r="68" ht="48.75" customHeight="1">
      <c r="A68" s="213" t="s">
        <v>2840</v>
      </c>
      <c r="B68" s="214" t="s">
        <v>856</v>
      </c>
      <c r="C68" s="214" t="s">
        <v>857</v>
      </c>
      <c r="D68" s="217" t="s">
        <v>1737</v>
      </c>
      <c r="E68" s="214" t="s">
        <v>2841</v>
      </c>
      <c r="F68" s="213" t="s">
        <v>2734</v>
      </c>
      <c r="G68" s="213" t="s">
        <v>2735</v>
      </c>
      <c r="H68" s="212"/>
      <c r="I68" s="212"/>
      <c r="J68" s="212"/>
      <c r="K68" s="212"/>
      <c r="L68" s="212"/>
      <c r="M68" s="212"/>
      <c r="N68" s="212"/>
      <c r="O68" s="212"/>
      <c r="P68" s="212"/>
      <c r="Q68" s="212"/>
      <c r="R68" s="212"/>
      <c r="S68" s="212"/>
      <c r="T68" s="212"/>
      <c r="U68" s="212"/>
      <c r="V68" s="212"/>
      <c r="W68" s="212"/>
      <c r="X68" s="212"/>
      <c r="Y68" s="212"/>
    </row>
    <row r="69" ht="48.75" customHeight="1">
      <c r="A69" s="209" t="s">
        <v>2842</v>
      </c>
      <c r="B69" s="210" t="s">
        <v>858</v>
      </c>
      <c r="C69" s="210" t="s">
        <v>859</v>
      </c>
      <c r="D69" s="217" t="s">
        <v>1742</v>
      </c>
      <c r="E69" s="210" t="s">
        <v>2843</v>
      </c>
      <c r="F69" s="209" t="s">
        <v>2740</v>
      </c>
      <c r="G69" s="209" t="s">
        <v>2735</v>
      </c>
      <c r="H69" s="212"/>
      <c r="I69" s="212"/>
      <c r="J69" s="212"/>
      <c r="K69" s="212"/>
      <c r="L69" s="212"/>
      <c r="M69" s="212"/>
      <c r="N69" s="212"/>
      <c r="O69" s="212"/>
      <c r="P69" s="212"/>
      <c r="Q69" s="212"/>
      <c r="R69" s="212"/>
      <c r="S69" s="212"/>
      <c r="T69" s="212"/>
      <c r="U69" s="212"/>
      <c r="V69" s="212"/>
      <c r="W69" s="212"/>
      <c r="X69" s="212"/>
      <c r="Y69" s="212"/>
    </row>
    <row r="70" ht="48.75" customHeight="1">
      <c r="A70" s="213" t="s">
        <v>2844</v>
      </c>
      <c r="B70" s="214" t="s">
        <v>861</v>
      </c>
      <c r="C70" s="214" t="s">
        <v>862</v>
      </c>
      <c r="D70" s="217" t="s">
        <v>1747</v>
      </c>
      <c r="E70" s="214" t="s">
        <v>2845</v>
      </c>
      <c r="F70" s="213" t="s">
        <v>2734</v>
      </c>
      <c r="G70" s="213" t="s">
        <v>2735</v>
      </c>
      <c r="H70" s="212"/>
      <c r="I70" s="212"/>
      <c r="J70" s="212"/>
      <c r="K70" s="212"/>
      <c r="L70" s="212"/>
      <c r="M70" s="212"/>
      <c r="N70" s="212"/>
      <c r="O70" s="212"/>
      <c r="P70" s="212"/>
      <c r="Q70" s="212"/>
      <c r="R70" s="212"/>
      <c r="S70" s="212"/>
      <c r="T70" s="212"/>
      <c r="U70" s="212"/>
      <c r="V70" s="212"/>
      <c r="W70" s="212"/>
      <c r="X70" s="212"/>
      <c r="Y70" s="212"/>
    </row>
    <row r="71" ht="48.75" customHeight="1">
      <c r="A71" s="209" t="s">
        <v>2846</v>
      </c>
      <c r="B71" s="210" t="s">
        <v>863</v>
      </c>
      <c r="C71" s="210" t="s">
        <v>864</v>
      </c>
      <c r="D71" s="218" t="s">
        <v>1753</v>
      </c>
      <c r="E71" s="210" t="s">
        <v>2847</v>
      </c>
      <c r="F71" s="209" t="s">
        <v>2738</v>
      </c>
      <c r="G71" s="209" t="s">
        <v>2735</v>
      </c>
      <c r="H71" s="212"/>
      <c r="I71" s="212"/>
      <c r="J71" s="212"/>
      <c r="K71" s="212"/>
      <c r="L71" s="212"/>
      <c r="M71" s="212"/>
      <c r="N71" s="212"/>
      <c r="O71" s="212"/>
      <c r="P71" s="212"/>
      <c r="Q71" s="212"/>
      <c r="R71" s="212"/>
      <c r="S71" s="212"/>
      <c r="T71" s="212"/>
      <c r="U71" s="212"/>
      <c r="V71" s="212"/>
      <c r="W71" s="212"/>
      <c r="X71" s="212"/>
      <c r="Y71" s="212"/>
    </row>
    <row r="72" ht="48.75" customHeight="1">
      <c r="A72" s="213" t="s">
        <v>2848</v>
      </c>
      <c r="B72" s="214" t="s">
        <v>866</v>
      </c>
      <c r="C72" s="214" t="s">
        <v>867</v>
      </c>
      <c r="D72" s="215" t="s">
        <v>1758</v>
      </c>
      <c r="E72" s="214" t="s">
        <v>1759</v>
      </c>
      <c r="F72" s="213" t="s">
        <v>2734</v>
      </c>
      <c r="G72" s="213" t="s">
        <v>2735</v>
      </c>
      <c r="H72" s="212"/>
      <c r="I72" s="212"/>
      <c r="J72" s="212"/>
      <c r="K72" s="212"/>
      <c r="L72" s="212"/>
      <c r="M72" s="212"/>
      <c r="N72" s="212"/>
      <c r="O72" s="212"/>
      <c r="P72" s="212"/>
      <c r="Q72" s="212"/>
      <c r="R72" s="212"/>
      <c r="S72" s="212"/>
      <c r="T72" s="212"/>
      <c r="U72" s="212"/>
      <c r="V72" s="212"/>
      <c r="W72" s="212"/>
      <c r="X72" s="212"/>
      <c r="Y72" s="212"/>
    </row>
    <row r="73" ht="48.75" customHeight="1">
      <c r="A73" s="209" t="s">
        <v>2849</v>
      </c>
      <c r="B73" s="210" t="s">
        <v>868</v>
      </c>
      <c r="C73" s="210" t="s">
        <v>869</v>
      </c>
      <c r="D73" s="211" t="s">
        <v>1762</v>
      </c>
      <c r="E73" s="210" t="s">
        <v>1763</v>
      </c>
      <c r="F73" s="209" t="s">
        <v>2734</v>
      </c>
      <c r="G73" s="209" t="s">
        <v>2735</v>
      </c>
      <c r="H73" s="212"/>
      <c r="I73" s="212"/>
      <c r="J73" s="212"/>
      <c r="K73" s="212"/>
      <c r="L73" s="212"/>
      <c r="M73" s="212"/>
      <c r="N73" s="212"/>
      <c r="O73" s="212"/>
      <c r="P73" s="212"/>
      <c r="Q73" s="212"/>
      <c r="R73" s="212"/>
      <c r="S73" s="212"/>
      <c r="T73" s="212"/>
      <c r="U73" s="212"/>
      <c r="V73" s="212"/>
      <c r="W73" s="212"/>
      <c r="X73" s="212"/>
      <c r="Y73" s="212"/>
    </row>
    <row r="74" ht="48.75" customHeight="1">
      <c r="A74" s="213" t="s">
        <v>2850</v>
      </c>
      <c r="B74" s="214" t="s">
        <v>870</v>
      </c>
      <c r="C74" s="214" t="s">
        <v>871</v>
      </c>
      <c r="D74" s="215" t="s">
        <v>1768</v>
      </c>
      <c r="E74" s="214" t="s">
        <v>1769</v>
      </c>
      <c r="F74" s="213" t="s">
        <v>2734</v>
      </c>
      <c r="G74" s="213" t="s">
        <v>2735</v>
      </c>
      <c r="H74" s="212"/>
      <c r="I74" s="212"/>
      <c r="J74" s="212"/>
      <c r="K74" s="212"/>
      <c r="L74" s="212"/>
      <c r="M74" s="212"/>
      <c r="N74" s="212"/>
      <c r="O74" s="212"/>
      <c r="P74" s="212"/>
      <c r="Q74" s="212"/>
      <c r="R74" s="212"/>
      <c r="S74" s="212"/>
      <c r="T74" s="212"/>
      <c r="U74" s="212"/>
      <c r="V74" s="212"/>
      <c r="W74" s="212"/>
      <c r="X74" s="212"/>
      <c r="Y74" s="212"/>
    </row>
    <row r="75" ht="48.75" customHeight="1">
      <c r="A75" s="209" t="s">
        <v>2851</v>
      </c>
      <c r="B75" s="210" t="s">
        <v>873</v>
      </c>
      <c r="C75" s="210" t="s">
        <v>874</v>
      </c>
      <c r="D75" s="211" t="s">
        <v>1772</v>
      </c>
      <c r="E75" s="210" t="s">
        <v>1773</v>
      </c>
      <c r="F75" s="209" t="s">
        <v>2738</v>
      </c>
      <c r="G75" s="209" t="s">
        <v>2735</v>
      </c>
      <c r="H75" s="212"/>
      <c r="I75" s="212"/>
      <c r="J75" s="212"/>
      <c r="K75" s="212"/>
      <c r="L75" s="212"/>
      <c r="M75" s="212"/>
      <c r="N75" s="212"/>
      <c r="O75" s="212"/>
      <c r="P75" s="212"/>
      <c r="Q75" s="212"/>
      <c r="R75" s="212"/>
      <c r="S75" s="212"/>
      <c r="T75" s="212"/>
      <c r="U75" s="212"/>
      <c r="V75" s="212"/>
      <c r="W75" s="212"/>
      <c r="X75" s="212"/>
      <c r="Y75" s="212"/>
    </row>
    <row r="76" ht="48.75" customHeight="1">
      <c r="A76" s="213" t="s">
        <v>2852</v>
      </c>
      <c r="B76" s="214" t="s">
        <v>875</v>
      </c>
      <c r="C76" s="214" t="s">
        <v>876</v>
      </c>
      <c r="D76" s="215" t="s">
        <v>1772</v>
      </c>
      <c r="E76" s="214" t="s">
        <v>1777</v>
      </c>
      <c r="F76" s="213" t="s">
        <v>2740</v>
      </c>
      <c r="G76" s="213" t="s">
        <v>2735</v>
      </c>
      <c r="H76" s="212"/>
      <c r="I76" s="212"/>
      <c r="J76" s="212"/>
      <c r="K76" s="212"/>
      <c r="L76" s="212"/>
      <c r="M76" s="212"/>
      <c r="N76" s="212"/>
      <c r="O76" s="212"/>
      <c r="P76" s="212"/>
      <c r="Q76" s="212"/>
      <c r="R76" s="212"/>
      <c r="S76" s="212"/>
      <c r="T76" s="212"/>
      <c r="U76" s="212"/>
      <c r="V76" s="212"/>
      <c r="W76" s="212"/>
      <c r="X76" s="212"/>
      <c r="Y76" s="212"/>
    </row>
    <row r="77" ht="48.75" customHeight="1">
      <c r="A77" s="209" t="s">
        <v>2853</v>
      </c>
      <c r="B77" s="210" t="s">
        <v>878</v>
      </c>
      <c r="C77" s="210" t="s">
        <v>879</v>
      </c>
      <c r="D77" s="211" t="s">
        <v>1780</v>
      </c>
      <c r="E77" s="210" t="s">
        <v>1781</v>
      </c>
      <c r="F77" s="209" t="s">
        <v>2738</v>
      </c>
      <c r="G77" s="209" t="s">
        <v>2735</v>
      </c>
      <c r="H77" s="212"/>
      <c r="I77" s="212"/>
      <c r="J77" s="212"/>
      <c r="K77" s="212"/>
      <c r="L77" s="212"/>
      <c r="M77" s="212"/>
      <c r="N77" s="212"/>
      <c r="O77" s="212"/>
      <c r="P77" s="212"/>
      <c r="Q77" s="212"/>
      <c r="R77" s="212"/>
      <c r="S77" s="212"/>
      <c r="T77" s="212"/>
      <c r="U77" s="212"/>
      <c r="V77" s="212"/>
      <c r="W77" s="212"/>
      <c r="X77" s="212"/>
      <c r="Y77" s="212"/>
    </row>
    <row r="78" ht="48.75" customHeight="1">
      <c r="A78" s="213" t="s">
        <v>2854</v>
      </c>
      <c r="B78" s="214" t="s">
        <v>880</v>
      </c>
      <c r="C78" s="214" t="s">
        <v>881</v>
      </c>
      <c r="D78" s="215" t="s">
        <v>1784</v>
      </c>
      <c r="E78" s="214" t="s">
        <v>1781</v>
      </c>
      <c r="F78" s="213" t="s">
        <v>2738</v>
      </c>
      <c r="G78" s="213" t="s">
        <v>2735</v>
      </c>
      <c r="H78" s="212"/>
      <c r="I78" s="212"/>
      <c r="J78" s="212"/>
      <c r="K78" s="212"/>
      <c r="L78" s="212"/>
      <c r="M78" s="212"/>
      <c r="N78" s="212"/>
      <c r="O78" s="212"/>
      <c r="P78" s="212"/>
      <c r="Q78" s="212"/>
      <c r="R78" s="212"/>
      <c r="S78" s="212"/>
      <c r="T78" s="212"/>
      <c r="U78" s="212"/>
      <c r="V78" s="212"/>
      <c r="W78" s="212"/>
      <c r="X78" s="212"/>
      <c r="Y78" s="212"/>
    </row>
    <row r="79" ht="48.75" customHeight="1">
      <c r="A79" s="209" t="s">
        <v>2855</v>
      </c>
      <c r="B79" s="210" t="s">
        <v>883</v>
      </c>
      <c r="C79" s="210" t="s">
        <v>884</v>
      </c>
      <c r="D79" s="211" t="s">
        <v>1787</v>
      </c>
      <c r="E79" s="210" t="s">
        <v>2856</v>
      </c>
      <c r="F79" s="209" t="s">
        <v>2734</v>
      </c>
      <c r="G79" s="209" t="s">
        <v>2735</v>
      </c>
      <c r="H79" s="212"/>
      <c r="I79" s="212"/>
      <c r="J79" s="212"/>
      <c r="K79" s="212"/>
      <c r="L79" s="212"/>
      <c r="M79" s="212"/>
      <c r="N79" s="212"/>
      <c r="O79" s="212"/>
      <c r="P79" s="212"/>
      <c r="Q79" s="212"/>
      <c r="R79" s="212"/>
      <c r="S79" s="212"/>
      <c r="T79" s="212"/>
      <c r="U79" s="212"/>
      <c r="V79" s="212"/>
      <c r="W79" s="212"/>
      <c r="X79" s="212"/>
      <c r="Y79" s="212"/>
    </row>
    <row r="80" ht="48.75" customHeight="1">
      <c r="A80" s="213" t="s">
        <v>2857</v>
      </c>
      <c r="B80" s="214" t="s">
        <v>885</v>
      </c>
      <c r="C80" s="214" t="s">
        <v>886</v>
      </c>
      <c r="D80" s="215" t="s">
        <v>1791</v>
      </c>
      <c r="E80" s="214" t="s">
        <v>1792</v>
      </c>
      <c r="F80" s="213" t="s">
        <v>2734</v>
      </c>
      <c r="G80" s="213" t="s">
        <v>2735</v>
      </c>
      <c r="H80" s="212"/>
      <c r="I80" s="212"/>
      <c r="J80" s="212"/>
      <c r="K80" s="212"/>
      <c r="L80" s="212"/>
      <c r="M80" s="212"/>
      <c r="N80" s="212"/>
      <c r="O80" s="212"/>
      <c r="P80" s="212"/>
      <c r="Q80" s="212"/>
      <c r="R80" s="212"/>
      <c r="S80" s="212"/>
      <c r="T80" s="212"/>
      <c r="U80" s="212"/>
      <c r="V80" s="212"/>
      <c r="W80" s="212"/>
      <c r="X80" s="212"/>
      <c r="Y80" s="212"/>
    </row>
    <row r="81" ht="48.75" customHeight="1">
      <c r="A81" s="209" t="s">
        <v>2858</v>
      </c>
      <c r="B81" s="210" t="s">
        <v>887</v>
      </c>
      <c r="C81" s="210" t="s">
        <v>888</v>
      </c>
      <c r="D81" s="211" t="s">
        <v>1795</v>
      </c>
      <c r="E81" s="210" t="s">
        <v>1796</v>
      </c>
      <c r="F81" s="209" t="s">
        <v>2740</v>
      </c>
      <c r="G81" s="209" t="s">
        <v>2735</v>
      </c>
      <c r="H81" s="212"/>
      <c r="I81" s="212"/>
      <c r="J81" s="212"/>
      <c r="K81" s="212"/>
      <c r="L81" s="212"/>
      <c r="M81" s="212"/>
      <c r="N81" s="212"/>
      <c r="O81" s="212"/>
      <c r="P81" s="212"/>
      <c r="Q81" s="212"/>
      <c r="R81" s="212"/>
      <c r="S81" s="212"/>
      <c r="T81" s="212"/>
      <c r="U81" s="212"/>
      <c r="V81" s="212"/>
      <c r="W81" s="212"/>
      <c r="X81" s="212"/>
      <c r="Y81" s="212"/>
    </row>
    <row r="82" ht="48.75" customHeight="1">
      <c r="A82" s="213" t="s">
        <v>2859</v>
      </c>
      <c r="B82" s="214" t="s">
        <v>890</v>
      </c>
      <c r="C82" s="214" t="s">
        <v>891</v>
      </c>
      <c r="D82" s="215" t="s">
        <v>1799</v>
      </c>
      <c r="E82" s="214" t="s">
        <v>1800</v>
      </c>
      <c r="F82" s="213" t="s">
        <v>2734</v>
      </c>
      <c r="G82" s="213" t="s">
        <v>2735</v>
      </c>
      <c r="H82" s="212"/>
      <c r="I82" s="212"/>
      <c r="J82" s="212"/>
      <c r="K82" s="212"/>
      <c r="L82" s="212"/>
      <c r="M82" s="212"/>
      <c r="N82" s="212"/>
      <c r="O82" s="212"/>
      <c r="P82" s="212"/>
      <c r="Q82" s="212"/>
      <c r="R82" s="212"/>
      <c r="S82" s="212"/>
      <c r="T82" s="212"/>
      <c r="U82" s="212"/>
      <c r="V82" s="212"/>
      <c r="W82" s="212"/>
      <c r="X82" s="212"/>
      <c r="Y82" s="212"/>
    </row>
    <row r="83" ht="48.75" customHeight="1">
      <c r="A83" s="209" t="s">
        <v>2860</v>
      </c>
      <c r="B83" s="210" t="s">
        <v>892</v>
      </c>
      <c r="C83" s="210" t="s">
        <v>893</v>
      </c>
      <c r="D83" s="211" t="s">
        <v>1803</v>
      </c>
      <c r="E83" s="210" t="s">
        <v>1804</v>
      </c>
      <c r="F83" s="209" t="s">
        <v>2734</v>
      </c>
      <c r="G83" s="209" t="s">
        <v>2735</v>
      </c>
      <c r="H83" s="212"/>
      <c r="I83" s="212"/>
      <c r="J83" s="212"/>
      <c r="K83" s="212"/>
      <c r="L83" s="212"/>
      <c r="M83" s="212"/>
      <c r="N83" s="212"/>
      <c r="O83" s="212"/>
      <c r="P83" s="212"/>
      <c r="Q83" s="212"/>
      <c r="R83" s="212"/>
      <c r="S83" s="212"/>
      <c r="T83" s="212"/>
      <c r="U83" s="212"/>
      <c r="V83" s="212"/>
      <c r="W83" s="212"/>
      <c r="X83" s="212"/>
      <c r="Y83" s="212"/>
    </row>
    <row r="84" ht="48.75" customHeight="1">
      <c r="A84" s="213" t="s">
        <v>2861</v>
      </c>
      <c r="B84" s="214" t="s">
        <v>894</v>
      </c>
      <c r="C84" s="214" t="s">
        <v>895</v>
      </c>
      <c r="D84" s="215" t="s">
        <v>1807</v>
      </c>
      <c r="E84" s="214" t="s">
        <v>1808</v>
      </c>
      <c r="F84" s="213" t="s">
        <v>2734</v>
      </c>
      <c r="G84" s="213" t="s">
        <v>2735</v>
      </c>
      <c r="H84" s="212"/>
      <c r="I84" s="212"/>
      <c r="J84" s="212"/>
      <c r="K84" s="212"/>
      <c r="L84" s="212"/>
      <c r="M84" s="212"/>
      <c r="N84" s="212"/>
      <c r="O84" s="212"/>
      <c r="P84" s="212"/>
      <c r="Q84" s="212"/>
      <c r="R84" s="212"/>
      <c r="S84" s="212"/>
      <c r="T84" s="212"/>
      <c r="U84" s="212"/>
      <c r="V84" s="212"/>
      <c r="W84" s="212"/>
      <c r="X84" s="212"/>
      <c r="Y84" s="212"/>
    </row>
    <row r="85" ht="48.75" customHeight="1">
      <c r="A85" s="209" t="s">
        <v>2862</v>
      </c>
      <c r="B85" s="210" t="s">
        <v>897</v>
      </c>
      <c r="C85" s="210" t="s">
        <v>898</v>
      </c>
      <c r="D85" s="211" t="s">
        <v>1811</v>
      </c>
      <c r="E85" s="210" t="s">
        <v>1812</v>
      </c>
      <c r="F85" s="209" t="s">
        <v>2738</v>
      </c>
      <c r="G85" s="209" t="s">
        <v>2735</v>
      </c>
      <c r="H85" s="212"/>
      <c r="I85" s="212"/>
      <c r="J85" s="212"/>
      <c r="K85" s="212"/>
      <c r="L85" s="212"/>
      <c r="M85" s="212"/>
      <c r="N85" s="212"/>
      <c r="O85" s="212"/>
      <c r="P85" s="212"/>
      <c r="Q85" s="212"/>
      <c r="R85" s="212"/>
      <c r="S85" s="212"/>
      <c r="T85" s="212"/>
      <c r="U85" s="212"/>
      <c r="V85" s="212"/>
      <c r="W85" s="212"/>
      <c r="X85" s="212"/>
      <c r="Y85" s="212"/>
    </row>
    <row r="86" ht="48.75" customHeight="1">
      <c r="A86" s="213" t="s">
        <v>2863</v>
      </c>
      <c r="B86" s="214" t="s">
        <v>899</v>
      </c>
      <c r="C86" s="214" t="s">
        <v>900</v>
      </c>
      <c r="D86" s="215" t="s">
        <v>1815</v>
      </c>
      <c r="E86" s="214" t="s">
        <v>1816</v>
      </c>
      <c r="F86" s="213" t="s">
        <v>2734</v>
      </c>
      <c r="G86" s="213" t="s">
        <v>2735</v>
      </c>
      <c r="H86" s="212"/>
      <c r="I86" s="212"/>
      <c r="J86" s="212"/>
      <c r="K86" s="212"/>
      <c r="L86" s="212"/>
      <c r="M86" s="212"/>
      <c r="N86" s="212"/>
      <c r="O86" s="212"/>
      <c r="P86" s="212"/>
      <c r="Q86" s="212"/>
      <c r="R86" s="212"/>
      <c r="S86" s="212"/>
      <c r="T86" s="212"/>
      <c r="U86" s="212"/>
      <c r="V86" s="212"/>
      <c r="W86" s="212"/>
      <c r="X86" s="212"/>
      <c r="Y86" s="212"/>
    </row>
    <row r="87" ht="48.75" customHeight="1">
      <c r="A87" s="209" t="s">
        <v>2864</v>
      </c>
      <c r="B87" s="210" t="s">
        <v>902</v>
      </c>
      <c r="C87" s="210" t="s">
        <v>903</v>
      </c>
      <c r="D87" s="211" t="s">
        <v>1819</v>
      </c>
      <c r="E87" s="210" t="s">
        <v>1820</v>
      </c>
      <c r="F87" s="209" t="s">
        <v>2738</v>
      </c>
      <c r="G87" s="209" t="s">
        <v>2735</v>
      </c>
      <c r="H87" s="212"/>
      <c r="I87" s="212"/>
      <c r="J87" s="212"/>
      <c r="K87" s="212"/>
      <c r="L87" s="212"/>
      <c r="M87" s="212"/>
      <c r="N87" s="212"/>
      <c r="O87" s="212"/>
      <c r="P87" s="212"/>
      <c r="Q87" s="212"/>
      <c r="R87" s="212"/>
      <c r="S87" s="212"/>
      <c r="T87" s="212"/>
      <c r="U87" s="212"/>
      <c r="V87" s="212"/>
      <c r="W87" s="212"/>
      <c r="X87" s="212"/>
      <c r="Y87" s="212"/>
    </row>
    <row r="88" ht="48.75" customHeight="1">
      <c r="A88" s="213" t="s">
        <v>2865</v>
      </c>
      <c r="B88" s="214" t="s">
        <v>904</v>
      </c>
      <c r="C88" s="214" t="s">
        <v>905</v>
      </c>
      <c r="D88" s="215" t="s">
        <v>1823</v>
      </c>
      <c r="E88" s="214" t="s">
        <v>1824</v>
      </c>
      <c r="F88" s="213" t="s">
        <v>2738</v>
      </c>
      <c r="G88" s="213" t="s">
        <v>2735</v>
      </c>
      <c r="H88" s="212"/>
      <c r="I88" s="212"/>
      <c r="J88" s="212"/>
      <c r="K88" s="212"/>
      <c r="L88" s="212"/>
      <c r="M88" s="212"/>
      <c r="N88" s="212"/>
      <c r="O88" s="212"/>
      <c r="P88" s="212"/>
      <c r="Q88" s="212"/>
      <c r="R88" s="212"/>
      <c r="S88" s="212"/>
      <c r="T88" s="212"/>
      <c r="U88" s="212"/>
      <c r="V88" s="212"/>
      <c r="W88" s="212"/>
      <c r="X88" s="212"/>
      <c r="Y88" s="212"/>
    </row>
    <row r="89" ht="48.75" customHeight="1">
      <c r="A89" s="209" t="s">
        <v>2866</v>
      </c>
      <c r="B89" s="210" t="s">
        <v>906</v>
      </c>
      <c r="C89" s="210" t="s">
        <v>907</v>
      </c>
      <c r="D89" s="211" t="s">
        <v>1827</v>
      </c>
      <c r="E89" s="210" t="s">
        <v>1828</v>
      </c>
      <c r="F89" s="209" t="s">
        <v>2734</v>
      </c>
      <c r="G89" s="209" t="s">
        <v>2735</v>
      </c>
      <c r="H89" s="212"/>
      <c r="I89" s="212"/>
      <c r="J89" s="212"/>
      <c r="K89" s="212"/>
      <c r="L89" s="212"/>
      <c r="M89" s="212"/>
      <c r="N89" s="212"/>
      <c r="O89" s="212"/>
      <c r="P89" s="212"/>
      <c r="Q89" s="212"/>
      <c r="R89" s="212"/>
      <c r="S89" s="212"/>
      <c r="T89" s="212"/>
      <c r="U89" s="212"/>
      <c r="V89" s="212"/>
      <c r="W89" s="212"/>
      <c r="X89" s="212"/>
      <c r="Y89" s="212"/>
    </row>
    <row r="90" ht="48.75" customHeight="1">
      <c r="A90" s="213" t="s">
        <v>2867</v>
      </c>
      <c r="B90" s="214" t="s">
        <v>909</v>
      </c>
      <c r="C90" s="214" t="s">
        <v>910</v>
      </c>
      <c r="D90" s="215" t="s">
        <v>1831</v>
      </c>
      <c r="E90" s="214" t="s">
        <v>1832</v>
      </c>
      <c r="F90" s="213" t="s">
        <v>2738</v>
      </c>
      <c r="G90" s="213" t="s">
        <v>2735</v>
      </c>
      <c r="H90" s="212"/>
      <c r="I90" s="212"/>
      <c r="J90" s="212"/>
      <c r="K90" s="212"/>
      <c r="L90" s="212"/>
      <c r="M90" s="212"/>
      <c r="N90" s="212"/>
      <c r="O90" s="212"/>
      <c r="P90" s="212"/>
      <c r="Q90" s="212"/>
      <c r="R90" s="212"/>
      <c r="S90" s="212"/>
      <c r="T90" s="212"/>
      <c r="U90" s="212"/>
      <c r="V90" s="212"/>
      <c r="W90" s="212"/>
      <c r="X90" s="212"/>
      <c r="Y90" s="212"/>
    </row>
    <row r="91" ht="48.75" customHeight="1">
      <c r="A91" s="209" t="s">
        <v>2868</v>
      </c>
      <c r="B91" s="210" t="s">
        <v>911</v>
      </c>
      <c r="C91" s="210" t="s">
        <v>912</v>
      </c>
      <c r="D91" s="211" t="s">
        <v>1835</v>
      </c>
      <c r="E91" s="210" t="s">
        <v>1836</v>
      </c>
      <c r="F91" s="209" t="s">
        <v>2734</v>
      </c>
      <c r="G91" s="209" t="s">
        <v>2735</v>
      </c>
      <c r="H91" s="212"/>
      <c r="I91" s="212"/>
      <c r="J91" s="212"/>
      <c r="K91" s="212"/>
      <c r="L91" s="212"/>
      <c r="M91" s="212"/>
      <c r="N91" s="212"/>
      <c r="O91" s="212"/>
      <c r="P91" s="212"/>
      <c r="Q91" s="212"/>
      <c r="R91" s="212"/>
      <c r="S91" s="212"/>
      <c r="T91" s="212"/>
      <c r="U91" s="212"/>
      <c r="V91" s="212"/>
      <c r="W91" s="212"/>
      <c r="X91" s="212"/>
      <c r="Y91" s="212"/>
    </row>
    <row r="92" ht="48.75" customHeight="1">
      <c r="A92" s="213" t="s">
        <v>2869</v>
      </c>
      <c r="B92" s="214" t="s">
        <v>914</v>
      </c>
      <c r="C92" s="214" t="s">
        <v>915</v>
      </c>
      <c r="D92" s="215" t="s">
        <v>1839</v>
      </c>
      <c r="E92" s="214" t="s">
        <v>1840</v>
      </c>
      <c r="F92" s="213" t="s">
        <v>2738</v>
      </c>
      <c r="G92" s="213" t="s">
        <v>2735</v>
      </c>
      <c r="H92" s="212"/>
      <c r="I92" s="212"/>
      <c r="J92" s="212"/>
      <c r="K92" s="212"/>
      <c r="L92" s="212"/>
      <c r="M92" s="212"/>
      <c r="N92" s="212"/>
      <c r="O92" s="212"/>
      <c r="P92" s="212"/>
      <c r="Q92" s="212"/>
      <c r="R92" s="212"/>
      <c r="S92" s="212"/>
      <c r="T92" s="212"/>
      <c r="U92" s="212"/>
      <c r="V92" s="212"/>
      <c r="W92" s="212"/>
      <c r="X92" s="212"/>
      <c r="Y92" s="212"/>
    </row>
    <row r="93" ht="48.75" customHeight="1">
      <c r="A93" s="209" t="s">
        <v>2870</v>
      </c>
      <c r="B93" s="210" t="s">
        <v>916</v>
      </c>
      <c r="C93" s="210" t="s">
        <v>917</v>
      </c>
      <c r="D93" s="211" t="s">
        <v>1845</v>
      </c>
      <c r="E93" s="210" t="s">
        <v>1846</v>
      </c>
      <c r="F93" s="209" t="s">
        <v>2738</v>
      </c>
      <c r="G93" s="209" t="s">
        <v>2735</v>
      </c>
      <c r="H93" s="212"/>
      <c r="I93" s="212"/>
      <c r="J93" s="212"/>
      <c r="K93" s="212"/>
      <c r="L93" s="212"/>
      <c r="M93" s="212"/>
      <c r="N93" s="212"/>
      <c r="O93" s="212"/>
      <c r="P93" s="212"/>
      <c r="Q93" s="212"/>
      <c r="R93" s="212"/>
      <c r="S93" s="212"/>
      <c r="T93" s="212"/>
      <c r="U93" s="212"/>
      <c r="V93" s="212"/>
      <c r="W93" s="212"/>
      <c r="X93" s="212"/>
      <c r="Y93" s="212"/>
    </row>
    <row r="94" ht="48.75" customHeight="1">
      <c r="A94" s="213" t="s">
        <v>2871</v>
      </c>
      <c r="B94" s="214" t="s">
        <v>918</v>
      </c>
      <c r="C94" s="214" t="s">
        <v>919</v>
      </c>
      <c r="D94" s="215" t="s">
        <v>1851</v>
      </c>
      <c r="E94" s="214" t="s">
        <v>1852</v>
      </c>
      <c r="F94" s="213" t="s">
        <v>2740</v>
      </c>
      <c r="G94" s="213" t="s">
        <v>2735</v>
      </c>
      <c r="H94" s="212"/>
      <c r="I94" s="212"/>
      <c r="J94" s="212"/>
      <c r="K94" s="212"/>
      <c r="L94" s="212"/>
      <c r="M94" s="212"/>
      <c r="N94" s="212"/>
      <c r="O94" s="212"/>
      <c r="P94" s="212"/>
      <c r="Q94" s="212"/>
      <c r="R94" s="212"/>
      <c r="S94" s="212"/>
      <c r="T94" s="212"/>
      <c r="U94" s="212"/>
      <c r="V94" s="212"/>
      <c r="W94" s="212"/>
      <c r="X94" s="212"/>
      <c r="Y94" s="212"/>
    </row>
    <row r="95" ht="48.75" customHeight="1">
      <c r="A95" s="209" t="s">
        <v>2872</v>
      </c>
      <c r="B95" s="210" t="s">
        <v>921</v>
      </c>
      <c r="C95" s="210" t="s">
        <v>922</v>
      </c>
      <c r="D95" s="211" t="s">
        <v>1855</v>
      </c>
      <c r="E95" s="210" t="s">
        <v>1856</v>
      </c>
      <c r="F95" s="209" t="s">
        <v>2734</v>
      </c>
      <c r="G95" s="209" t="s">
        <v>2735</v>
      </c>
      <c r="H95" s="212"/>
      <c r="I95" s="212"/>
      <c r="J95" s="212"/>
      <c r="K95" s="212"/>
      <c r="L95" s="212"/>
      <c r="M95" s="212"/>
      <c r="N95" s="212"/>
      <c r="O95" s="212"/>
      <c r="P95" s="212"/>
      <c r="Q95" s="212"/>
      <c r="R95" s="212"/>
      <c r="S95" s="212"/>
      <c r="T95" s="212"/>
      <c r="U95" s="212"/>
      <c r="V95" s="212"/>
      <c r="W95" s="212"/>
      <c r="X95" s="212"/>
      <c r="Y95" s="212"/>
    </row>
    <row r="96" ht="48.75" customHeight="1">
      <c r="A96" s="213" t="s">
        <v>2873</v>
      </c>
      <c r="B96" s="214" t="s">
        <v>923</v>
      </c>
      <c r="C96" s="214" t="s">
        <v>924</v>
      </c>
      <c r="D96" s="215" t="s">
        <v>1855</v>
      </c>
      <c r="E96" s="214" t="s">
        <v>1859</v>
      </c>
      <c r="F96" s="213" t="s">
        <v>2740</v>
      </c>
      <c r="G96" s="213" t="s">
        <v>2735</v>
      </c>
      <c r="H96" s="212"/>
      <c r="I96" s="212"/>
      <c r="J96" s="212"/>
      <c r="K96" s="212"/>
      <c r="L96" s="212"/>
      <c r="M96" s="212"/>
      <c r="N96" s="212"/>
      <c r="O96" s="212"/>
      <c r="P96" s="212"/>
      <c r="Q96" s="212"/>
      <c r="R96" s="212"/>
      <c r="S96" s="212"/>
      <c r="T96" s="212"/>
      <c r="U96" s="212"/>
      <c r="V96" s="212"/>
      <c r="W96" s="212"/>
      <c r="X96" s="212"/>
      <c r="Y96" s="212"/>
    </row>
    <row r="97" ht="48.75" customHeight="1">
      <c r="A97" s="209" t="s">
        <v>2874</v>
      </c>
      <c r="B97" s="210" t="s">
        <v>926</v>
      </c>
      <c r="C97" s="210" t="s">
        <v>927</v>
      </c>
      <c r="D97" s="211" t="s">
        <v>1862</v>
      </c>
      <c r="E97" s="210" t="s">
        <v>1863</v>
      </c>
      <c r="F97" s="209" t="s">
        <v>2734</v>
      </c>
      <c r="G97" s="209" t="s">
        <v>2735</v>
      </c>
      <c r="H97" s="212"/>
      <c r="I97" s="212"/>
      <c r="J97" s="212"/>
      <c r="K97" s="212"/>
      <c r="L97" s="212"/>
      <c r="M97" s="212"/>
      <c r="N97" s="212"/>
      <c r="O97" s="212"/>
      <c r="P97" s="212"/>
      <c r="Q97" s="212"/>
      <c r="R97" s="212"/>
      <c r="S97" s="212"/>
      <c r="T97" s="212"/>
      <c r="U97" s="212"/>
      <c r="V97" s="212"/>
      <c r="W97" s="212"/>
      <c r="X97" s="212"/>
      <c r="Y97" s="212"/>
    </row>
    <row r="98" ht="48.75" customHeight="1">
      <c r="A98" s="213" t="s">
        <v>2875</v>
      </c>
      <c r="B98" s="214" t="s">
        <v>928</v>
      </c>
      <c r="C98" s="214" t="s">
        <v>929</v>
      </c>
      <c r="D98" s="215" t="s">
        <v>1866</v>
      </c>
      <c r="E98" s="214" t="s">
        <v>1867</v>
      </c>
      <c r="F98" s="213" t="s">
        <v>2738</v>
      </c>
      <c r="G98" s="213" t="s">
        <v>2735</v>
      </c>
      <c r="H98" s="212"/>
      <c r="I98" s="212"/>
      <c r="J98" s="212"/>
      <c r="K98" s="212"/>
      <c r="L98" s="212"/>
      <c r="M98" s="212"/>
      <c r="N98" s="212"/>
      <c r="O98" s="212"/>
      <c r="P98" s="212"/>
      <c r="Q98" s="212"/>
      <c r="R98" s="212"/>
      <c r="S98" s="212"/>
      <c r="T98" s="212"/>
      <c r="U98" s="212"/>
      <c r="V98" s="212"/>
      <c r="W98" s="212"/>
      <c r="X98" s="212"/>
      <c r="Y98" s="212"/>
    </row>
    <row r="99" ht="48.75" customHeight="1">
      <c r="A99" s="209" t="s">
        <v>2876</v>
      </c>
      <c r="B99" s="210" t="s">
        <v>930</v>
      </c>
      <c r="C99" s="210" t="s">
        <v>931</v>
      </c>
      <c r="D99" s="211" t="s">
        <v>1872</v>
      </c>
      <c r="E99" s="210" t="s">
        <v>1873</v>
      </c>
      <c r="F99" s="209" t="s">
        <v>2738</v>
      </c>
      <c r="G99" s="209" t="s">
        <v>2735</v>
      </c>
      <c r="H99" s="212"/>
      <c r="I99" s="212"/>
      <c r="J99" s="212"/>
      <c r="K99" s="212"/>
      <c r="L99" s="212"/>
      <c r="M99" s="212"/>
      <c r="N99" s="212"/>
      <c r="O99" s="212"/>
      <c r="P99" s="212"/>
      <c r="Q99" s="212"/>
      <c r="R99" s="212"/>
      <c r="S99" s="212"/>
      <c r="T99" s="212"/>
      <c r="U99" s="212"/>
      <c r="V99" s="212"/>
      <c r="W99" s="212"/>
      <c r="X99" s="212"/>
      <c r="Y99" s="212"/>
    </row>
    <row r="100" ht="48.75" customHeight="1">
      <c r="A100" s="213" t="s">
        <v>2877</v>
      </c>
      <c r="B100" s="214" t="s">
        <v>933</v>
      </c>
      <c r="C100" s="214" t="s">
        <v>934</v>
      </c>
      <c r="D100" s="215" t="s">
        <v>1855</v>
      </c>
      <c r="E100" s="214" t="s">
        <v>1876</v>
      </c>
      <c r="F100" s="213" t="s">
        <v>2734</v>
      </c>
      <c r="G100" s="213" t="s">
        <v>2735</v>
      </c>
      <c r="H100" s="212"/>
      <c r="I100" s="212"/>
      <c r="J100" s="212"/>
      <c r="K100" s="212"/>
      <c r="L100" s="212"/>
      <c r="M100" s="212"/>
      <c r="N100" s="212"/>
      <c r="O100" s="212"/>
      <c r="P100" s="212"/>
      <c r="Q100" s="212"/>
      <c r="R100" s="212"/>
      <c r="S100" s="212"/>
      <c r="T100" s="212"/>
      <c r="U100" s="212"/>
      <c r="V100" s="212"/>
      <c r="W100" s="212"/>
      <c r="X100" s="212"/>
      <c r="Y100" s="212"/>
    </row>
    <row r="101" ht="48.75" customHeight="1">
      <c r="A101" s="209" t="s">
        <v>2878</v>
      </c>
      <c r="B101" s="210" t="s">
        <v>935</v>
      </c>
      <c r="C101" s="210" t="s">
        <v>936</v>
      </c>
      <c r="D101" s="211" t="s">
        <v>1879</v>
      </c>
      <c r="E101" s="210" t="s">
        <v>1880</v>
      </c>
      <c r="F101" s="209" t="s">
        <v>2734</v>
      </c>
      <c r="G101" s="209" t="s">
        <v>2735</v>
      </c>
      <c r="H101" s="212"/>
      <c r="I101" s="212"/>
      <c r="J101" s="212"/>
      <c r="K101" s="212"/>
      <c r="L101" s="212"/>
      <c r="M101" s="212"/>
      <c r="N101" s="212"/>
      <c r="O101" s="212"/>
      <c r="P101" s="212"/>
      <c r="Q101" s="212"/>
      <c r="R101" s="212"/>
      <c r="S101" s="212"/>
      <c r="T101" s="212"/>
      <c r="U101" s="212"/>
      <c r="V101" s="212"/>
      <c r="W101" s="212"/>
      <c r="X101" s="212"/>
      <c r="Y101" s="212"/>
    </row>
    <row r="102" ht="48.75" customHeight="1">
      <c r="A102" s="213" t="s">
        <v>2879</v>
      </c>
      <c r="B102" s="214" t="s">
        <v>937</v>
      </c>
      <c r="C102" s="214" t="s">
        <v>938</v>
      </c>
      <c r="D102" s="215" t="s">
        <v>1855</v>
      </c>
      <c r="E102" s="214" t="s">
        <v>1883</v>
      </c>
      <c r="F102" s="213" t="s">
        <v>2740</v>
      </c>
      <c r="G102" s="213" t="s">
        <v>2735</v>
      </c>
      <c r="H102" s="212"/>
      <c r="I102" s="212"/>
      <c r="J102" s="212"/>
      <c r="K102" s="212"/>
      <c r="L102" s="212"/>
      <c r="M102" s="212"/>
      <c r="N102" s="212"/>
      <c r="O102" s="212"/>
      <c r="P102" s="212"/>
      <c r="Q102" s="212"/>
      <c r="R102" s="212"/>
      <c r="S102" s="212"/>
      <c r="T102" s="212"/>
      <c r="U102" s="212"/>
      <c r="V102" s="212"/>
      <c r="W102" s="212"/>
      <c r="X102" s="212"/>
      <c r="Y102" s="212"/>
    </row>
    <row r="103" ht="48.75" customHeight="1">
      <c r="A103" s="209" t="s">
        <v>2880</v>
      </c>
      <c r="B103" s="210" t="s">
        <v>940</v>
      </c>
      <c r="C103" s="210" t="s">
        <v>941</v>
      </c>
      <c r="D103" s="211" t="s">
        <v>1887</v>
      </c>
      <c r="E103" s="210" t="s">
        <v>1888</v>
      </c>
      <c r="F103" s="209" t="s">
        <v>2734</v>
      </c>
      <c r="G103" s="209" t="s">
        <v>2735</v>
      </c>
      <c r="H103" s="212"/>
      <c r="I103" s="212"/>
      <c r="J103" s="212"/>
      <c r="K103" s="212"/>
      <c r="L103" s="212"/>
      <c r="M103" s="212"/>
      <c r="N103" s="212"/>
      <c r="O103" s="212"/>
      <c r="P103" s="212"/>
      <c r="Q103" s="212"/>
      <c r="R103" s="212"/>
      <c r="S103" s="212"/>
      <c r="T103" s="212"/>
      <c r="U103" s="212"/>
      <c r="V103" s="212"/>
      <c r="W103" s="212"/>
      <c r="X103" s="212"/>
      <c r="Y103" s="212"/>
    </row>
    <row r="104" ht="48.75" customHeight="1">
      <c r="A104" s="213" t="s">
        <v>2881</v>
      </c>
      <c r="B104" s="214" t="s">
        <v>942</v>
      </c>
      <c r="C104" s="214" t="s">
        <v>943</v>
      </c>
      <c r="D104" s="215" t="s">
        <v>1891</v>
      </c>
      <c r="E104" s="214" t="s">
        <v>1892</v>
      </c>
      <c r="F104" s="213" t="s">
        <v>2738</v>
      </c>
      <c r="G104" s="213" t="s">
        <v>2735</v>
      </c>
      <c r="H104" s="212"/>
      <c r="I104" s="212"/>
      <c r="J104" s="212"/>
      <c r="K104" s="212"/>
      <c r="L104" s="212"/>
      <c r="M104" s="212"/>
      <c r="N104" s="212"/>
      <c r="O104" s="212"/>
      <c r="P104" s="212"/>
      <c r="Q104" s="212"/>
      <c r="R104" s="212"/>
      <c r="S104" s="212"/>
      <c r="T104" s="212"/>
      <c r="U104" s="212"/>
      <c r="V104" s="212"/>
      <c r="W104" s="212"/>
      <c r="X104" s="212"/>
      <c r="Y104" s="212"/>
    </row>
    <row r="105" ht="48.75" customHeight="1">
      <c r="A105" s="209" t="s">
        <v>2882</v>
      </c>
      <c r="B105" s="210" t="s">
        <v>944</v>
      </c>
      <c r="C105" s="210" t="s">
        <v>945</v>
      </c>
      <c r="D105" s="211" t="s">
        <v>1895</v>
      </c>
      <c r="E105" s="210" t="s">
        <v>1896</v>
      </c>
      <c r="F105" s="209" t="s">
        <v>2734</v>
      </c>
      <c r="G105" s="209" t="s">
        <v>2735</v>
      </c>
      <c r="H105" s="212"/>
      <c r="I105" s="212"/>
      <c r="J105" s="212"/>
      <c r="K105" s="212"/>
      <c r="L105" s="212"/>
      <c r="M105" s="212"/>
      <c r="N105" s="212"/>
      <c r="O105" s="212"/>
      <c r="P105" s="212"/>
      <c r="Q105" s="212"/>
      <c r="R105" s="212"/>
      <c r="S105" s="212"/>
      <c r="T105" s="212"/>
      <c r="U105" s="212"/>
      <c r="V105" s="212"/>
      <c r="W105" s="212"/>
      <c r="X105" s="212"/>
      <c r="Y105" s="212"/>
    </row>
    <row r="106" ht="48.75" customHeight="1">
      <c r="A106" s="213" t="s">
        <v>2883</v>
      </c>
      <c r="B106" s="214" t="s">
        <v>947</v>
      </c>
      <c r="C106" s="214" t="s">
        <v>948</v>
      </c>
      <c r="D106" s="215" t="s">
        <v>1855</v>
      </c>
      <c r="E106" s="214" t="s">
        <v>1899</v>
      </c>
      <c r="F106" s="213" t="s">
        <v>2738</v>
      </c>
      <c r="G106" s="213" t="s">
        <v>2735</v>
      </c>
      <c r="H106" s="212"/>
      <c r="I106" s="212"/>
      <c r="J106" s="212"/>
      <c r="K106" s="212"/>
      <c r="L106" s="212"/>
      <c r="M106" s="212"/>
      <c r="N106" s="212"/>
      <c r="O106" s="212"/>
      <c r="P106" s="212"/>
      <c r="Q106" s="212"/>
      <c r="R106" s="212"/>
      <c r="S106" s="212"/>
      <c r="T106" s="212"/>
      <c r="U106" s="212"/>
      <c r="V106" s="212"/>
      <c r="W106" s="212"/>
      <c r="X106" s="212"/>
      <c r="Y106" s="212"/>
    </row>
    <row r="107" ht="48.75" customHeight="1">
      <c r="A107" s="209" t="s">
        <v>2884</v>
      </c>
      <c r="B107" s="210" t="s">
        <v>949</v>
      </c>
      <c r="C107" s="210" t="s">
        <v>950</v>
      </c>
      <c r="D107" s="211" t="s">
        <v>1855</v>
      </c>
      <c r="E107" s="210" t="s">
        <v>1905</v>
      </c>
      <c r="F107" s="209" t="s">
        <v>2734</v>
      </c>
      <c r="G107" s="209" t="s">
        <v>2735</v>
      </c>
      <c r="H107" s="212"/>
      <c r="I107" s="212"/>
      <c r="J107" s="212"/>
      <c r="K107" s="212"/>
      <c r="L107" s="212"/>
      <c r="M107" s="212"/>
      <c r="N107" s="212"/>
      <c r="O107" s="212"/>
      <c r="P107" s="212"/>
      <c r="Q107" s="212"/>
      <c r="R107" s="212"/>
      <c r="S107" s="212"/>
      <c r="T107" s="212"/>
      <c r="U107" s="212"/>
      <c r="V107" s="212"/>
      <c r="W107" s="212"/>
      <c r="X107" s="212"/>
      <c r="Y107" s="212"/>
    </row>
    <row r="108" ht="48.75" customHeight="1">
      <c r="A108" s="213" t="s">
        <v>2885</v>
      </c>
      <c r="B108" s="214" t="s">
        <v>952</v>
      </c>
      <c r="C108" s="214" t="s">
        <v>953</v>
      </c>
      <c r="D108" s="215" t="s">
        <v>1908</v>
      </c>
      <c r="E108" s="214" t="s">
        <v>1909</v>
      </c>
      <c r="F108" s="213" t="s">
        <v>2738</v>
      </c>
      <c r="G108" s="213" t="s">
        <v>2735</v>
      </c>
      <c r="H108" s="212"/>
      <c r="I108" s="212"/>
      <c r="J108" s="212"/>
      <c r="K108" s="212"/>
      <c r="L108" s="212"/>
      <c r="M108" s="212"/>
      <c r="N108" s="212"/>
      <c r="O108" s="212"/>
      <c r="P108" s="212"/>
      <c r="Q108" s="212"/>
      <c r="R108" s="212"/>
      <c r="S108" s="212"/>
      <c r="T108" s="212"/>
      <c r="U108" s="212"/>
      <c r="V108" s="212"/>
      <c r="W108" s="212"/>
      <c r="X108" s="212"/>
      <c r="Y108" s="212"/>
    </row>
    <row r="109" ht="48.75" customHeight="1">
      <c r="A109" s="209" t="s">
        <v>2886</v>
      </c>
      <c r="B109" s="210" t="s">
        <v>954</v>
      </c>
      <c r="C109" s="210" t="s">
        <v>955</v>
      </c>
      <c r="D109" s="211" t="s">
        <v>1912</v>
      </c>
      <c r="E109" s="210" t="s">
        <v>1867</v>
      </c>
      <c r="F109" s="209" t="s">
        <v>2738</v>
      </c>
      <c r="G109" s="209" t="s">
        <v>2735</v>
      </c>
      <c r="H109" s="212"/>
      <c r="I109" s="212"/>
      <c r="J109" s="212"/>
      <c r="K109" s="212"/>
      <c r="L109" s="212"/>
      <c r="M109" s="212"/>
      <c r="N109" s="212"/>
      <c r="O109" s="212"/>
      <c r="P109" s="212"/>
      <c r="Q109" s="212"/>
      <c r="R109" s="212"/>
      <c r="S109" s="212"/>
      <c r="T109" s="212"/>
      <c r="U109" s="212"/>
      <c r="V109" s="212"/>
      <c r="W109" s="212"/>
      <c r="X109" s="212"/>
      <c r="Y109" s="212"/>
    </row>
    <row r="110" ht="48.75" customHeight="1">
      <c r="A110" s="213" t="s">
        <v>2887</v>
      </c>
      <c r="B110" s="214" t="s">
        <v>956</v>
      </c>
      <c r="C110" s="214" t="s">
        <v>957</v>
      </c>
      <c r="D110" s="215" t="s">
        <v>1917</v>
      </c>
      <c r="E110" s="214" t="s">
        <v>1918</v>
      </c>
      <c r="F110" s="213" t="s">
        <v>2734</v>
      </c>
      <c r="G110" s="213" t="s">
        <v>2735</v>
      </c>
      <c r="H110" s="212"/>
      <c r="I110" s="212"/>
      <c r="J110" s="212"/>
      <c r="K110" s="212"/>
      <c r="L110" s="212"/>
      <c r="M110" s="212"/>
      <c r="N110" s="212"/>
      <c r="O110" s="212"/>
      <c r="P110" s="212"/>
      <c r="Q110" s="212"/>
      <c r="R110" s="212"/>
      <c r="S110" s="212"/>
      <c r="T110" s="212"/>
      <c r="U110" s="212"/>
      <c r="V110" s="212"/>
      <c r="W110" s="212"/>
      <c r="X110" s="212"/>
      <c r="Y110" s="212"/>
    </row>
    <row r="111" ht="48.75" customHeight="1">
      <c r="A111" s="209" t="s">
        <v>2888</v>
      </c>
      <c r="B111" s="210" t="s">
        <v>959</v>
      </c>
      <c r="C111" s="210" t="s">
        <v>960</v>
      </c>
      <c r="D111" s="211" t="s">
        <v>1921</v>
      </c>
      <c r="E111" s="210" t="s">
        <v>1922</v>
      </c>
      <c r="F111" s="209" t="s">
        <v>2734</v>
      </c>
      <c r="G111" s="209" t="s">
        <v>2735</v>
      </c>
      <c r="H111" s="212"/>
      <c r="I111" s="212"/>
      <c r="J111" s="212"/>
      <c r="K111" s="212"/>
      <c r="L111" s="212"/>
      <c r="M111" s="212"/>
      <c r="N111" s="212"/>
      <c r="O111" s="212"/>
      <c r="P111" s="212"/>
      <c r="Q111" s="212"/>
      <c r="R111" s="212"/>
      <c r="S111" s="212"/>
      <c r="T111" s="212"/>
      <c r="U111" s="212"/>
      <c r="V111" s="212"/>
      <c r="W111" s="212"/>
      <c r="X111" s="212"/>
      <c r="Y111" s="212"/>
    </row>
    <row r="112" ht="48.75" customHeight="1">
      <c r="A112" s="213" t="s">
        <v>2889</v>
      </c>
      <c r="B112" s="214" t="s">
        <v>961</v>
      </c>
      <c r="C112" s="214" t="s">
        <v>962</v>
      </c>
      <c r="D112" s="211" t="s">
        <v>1925</v>
      </c>
      <c r="E112" s="214" t="s">
        <v>2890</v>
      </c>
      <c r="F112" s="213" t="s">
        <v>2740</v>
      </c>
      <c r="G112" s="213" t="s">
        <v>2735</v>
      </c>
      <c r="H112" s="212"/>
      <c r="I112" s="212"/>
      <c r="J112" s="212"/>
      <c r="K112" s="212"/>
      <c r="L112" s="212"/>
      <c r="M112" s="212"/>
      <c r="N112" s="212"/>
      <c r="O112" s="212"/>
      <c r="P112" s="212"/>
      <c r="Q112" s="212"/>
      <c r="R112" s="212"/>
      <c r="S112" s="212"/>
      <c r="T112" s="212"/>
      <c r="U112" s="212"/>
      <c r="V112" s="212"/>
      <c r="W112" s="212"/>
      <c r="X112" s="212"/>
      <c r="Y112" s="212"/>
    </row>
    <row r="113" ht="48.75" customHeight="1">
      <c r="A113" s="209" t="s">
        <v>2891</v>
      </c>
      <c r="B113" s="210" t="s">
        <v>963</v>
      </c>
      <c r="C113" s="210" t="s">
        <v>964</v>
      </c>
      <c r="D113" s="211" t="s">
        <v>1929</v>
      </c>
      <c r="E113" s="210" t="s">
        <v>2892</v>
      </c>
      <c r="F113" s="209" t="s">
        <v>2738</v>
      </c>
      <c r="G113" s="209" t="s">
        <v>2735</v>
      </c>
      <c r="H113" s="212"/>
      <c r="I113" s="212"/>
      <c r="J113" s="212"/>
      <c r="K113" s="212"/>
      <c r="L113" s="212"/>
      <c r="M113" s="212"/>
      <c r="N113" s="212"/>
      <c r="O113" s="212"/>
      <c r="P113" s="212"/>
      <c r="Q113" s="212"/>
      <c r="R113" s="212"/>
      <c r="S113" s="212"/>
      <c r="T113" s="212"/>
      <c r="U113" s="212"/>
      <c r="V113" s="212"/>
      <c r="W113" s="212"/>
      <c r="X113" s="212"/>
      <c r="Y113" s="212"/>
    </row>
    <row r="114" ht="48.75" customHeight="1">
      <c r="A114" s="213" t="s">
        <v>2893</v>
      </c>
      <c r="B114" s="214" t="s">
        <v>966</v>
      </c>
      <c r="C114" s="214" t="s">
        <v>1931</v>
      </c>
      <c r="D114" s="215" t="s">
        <v>1934</v>
      </c>
      <c r="E114" s="214" t="s">
        <v>1935</v>
      </c>
      <c r="F114" s="213" t="s">
        <v>2738</v>
      </c>
      <c r="G114" s="213" t="s">
        <v>2735</v>
      </c>
      <c r="H114" s="212"/>
      <c r="I114" s="212"/>
      <c r="J114" s="212"/>
      <c r="K114" s="212"/>
      <c r="L114" s="212"/>
      <c r="M114" s="212"/>
      <c r="N114" s="212"/>
      <c r="O114" s="212"/>
      <c r="P114" s="212"/>
      <c r="Q114" s="212"/>
      <c r="R114" s="212"/>
      <c r="S114" s="212"/>
      <c r="T114" s="212"/>
      <c r="U114" s="212"/>
      <c r="V114" s="212"/>
      <c r="W114" s="212"/>
      <c r="X114" s="212"/>
      <c r="Y114" s="212"/>
    </row>
    <row r="115" ht="48.75" customHeight="1">
      <c r="A115" s="209" t="s">
        <v>2894</v>
      </c>
      <c r="B115" s="210" t="s">
        <v>968</v>
      </c>
      <c r="C115" s="210" t="s">
        <v>969</v>
      </c>
      <c r="D115" s="211" t="s">
        <v>1938</v>
      </c>
      <c r="E115" s="210" t="s">
        <v>1939</v>
      </c>
      <c r="F115" s="209" t="s">
        <v>2734</v>
      </c>
      <c r="G115" s="209" t="s">
        <v>2735</v>
      </c>
      <c r="H115" s="212"/>
      <c r="I115" s="212"/>
      <c r="J115" s="212"/>
      <c r="K115" s="212"/>
      <c r="L115" s="212"/>
      <c r="M115" s="212"/>
      <c r="N115" s="212"/>
      <c r="O115" s="212"/>
      <c r="P115" s="212"/>
      <c r="Q115" s="212"/>
      <c r="R115" s="212"/>
      <c r="S115" s="212"/>
      <c r="T115" s="212"/>
      <c r="U115" s="212"/>
      <c r="V115" s="212"/>
      <c r="W115" s="212"/>
      <c r="X115" s="212"/>
      <c r="Y115" s="212"/>
    </row>
    <row r="116" ht="48.75" customHeight="1">
      <c r="A116" s="213" t="s">
        <v>2895</v>
      </c>
      <c r="B116" s="214" t="s">
        <v>971</v>
      </c>
      <c r="C116" s="214" t="s">
        <v>972</v>
      </c>
      <c r="D116" s="215" t="s">
        <v>1942</v>
      </c>
      <c r="E116" s="214" t="s">
        <v>1943</v>
      </c>
      <c r="F116" s="213" t="s">
        <v>2740</v>
      </c>
      <c r="G116" s="213" t="s">
        <v>2735</v>
      </c>
      <c r="H116" s="212"/>
      <c r="I116" s="212"/>
      <c r="J116" s="212"/>
      <c r="K116" s="212"/>
      <c r="L116" s="212"/>
      <c r="M116" s="212"/>
      <c r="N116" s="212"/>
      <c r="O116" s="212"/>
      <c r="P116" s="212"/>
      <c r="Q116" s="212"/>
      <c r="R116" s="212"/>
      <c r="S116" s="212"/>
      <c r="T116" s="212"/>
      <c r="U116" s="212"/>
      <c r="V116" s="212"/>
      <c r="W116" s="212"/>
      <c r="X116" s="212"/>
      <c r="Y116" s="212"/>
    </row>
    <row r="117" ht="48.75" customHeight="1">
      <c r="A117" s="209" t="s">
        <v>2896</v>
      </c>
      <c r="B117" s="210" t="s">
        <v>973</v>
      </c>
      <c r="C117" s="210" t="s">
        <v>974</v>
      </c>
      <c r="D117" s="211" t="s">
        <v>1946</v>
      </c>
      <c r="E117" s="210" t="s">
        <v>2897</v>
      </c>
      <c r="F117" s="209" t="s">
        <v>2738</v>
      </c>
      <c r="G117" s="209" t="s">
        <v>2735</v>
      </c>
      <c r="H117" s="212"/>
      <c r="I117" s="212"/>
      <c r="J117" s="212"/>
      <c r="K117" s="212"/>
      <c r="L117" s="212"/>
      <c r="M117" s="212"/>
      <c r="N117" s="212"/>
      <c r="O117" s="212"/>
      <c r="P117" s="212"/>
      <c r="Q117" s="212"/>
      <c r="R117" s="212"/>
      <c r="S117" s="212"/>
      <c r="T117" s="212"/>
      <c r="U117" s="212"/>
      <c r="V117" s="212"/>
      <c r="W117" s="212"/>
      <c r="X117" s="212"/>
      <c r="Y117" s="212"/>
    </row>
    <row r="118" ht="48.75" customHeight="1">
      <c r="A118" s="213" t="s">
        <v>2898</v>
      </c>
      <c r="B118" s="214" t="s">
        <v>975</v>
      </c>
      <c r="C118" s="214" t="s">
        <v>976</v>
      </c>
      <c r="D118" s="215" t="s">
        <v>1950</v>
      </c>
      <c r="E118" s="214" t="s">
        <v>2899</v>
      </c>
      <c r="F118" s="213" t="s">
        <v>2738</v>
      </c>
      <c r="G118" s="213" t="s">
        <v>2735</v>
      </c>
      <c r="H118" s="212"/>
      <c r="I118" s="212"/>
      <c r="J118" s="212"/>
      <c r="K118" s="212"/>
      <c r="L118" s="212"/>
      <c r="M118" s="212"/>
      <c r="N118" s="212"/>
      <c r="O118" s="212"/>
      <c r="P118" s="212"/>
      <c r="Q118" s="212"/>
      <c r="R118" s="212"/>
      <c r="S118" s="212"/>
      <c r="T118" s="212"/>
      <c r="U118" s="212"/>
      <c r="V118" s="212"/>
      <c r="W118" s="212"/>
      <c r="X118" s="212"/>
      <c r="Y118" s="212"/>
    </row>
    <row r="119" ht="48.75" customHeight="1">
      <c r="A119" s="209" t="s">
        <v>2900</v>
      </c>
      <c r="B119" s="210" t="s">
        <v>978</v>
      </c>
      <c r="C119" s="210" t="s">
        <v>979</v>
      </c>
      <c r="D119" s="211" t="s">
        <v>1954</v>
      </c>
      <c r="E119" s="210" t="s">
        <v>1955</v>
      </c>
      <c r="F119" s="209" t="s">
        <v>2734</v>
      </c>
      <c r="G119" s="209" t="s">
        <v>2735</v>
      </c>
      <c r="H119" s="212"/>
      <c r="I119" s="212"/>
      <c r="J119" s="212"/>
      <c r="K119" s="212"/>
      <c r="L119" s="212"/>
      <c r="M119" s="212"/>
      <c r="N119" s="212"/>
      <c r="O119" s="212"/>
      <c r="P119" s="212"/>
      <c r="Q119" s="212"/>
      <c r="R119" s="212"/>
      <c r="S119" s="212"/>
      <c r="T119" s="212"/>
      <c r="U119" s="212"/>
      <c r="V119" s="212"/>
      <c r="W119" s="212"/>
      <c r="X119" s="212"/>
      <c r="Y119" s="212"/>
    </row>
    <row r="120" ht="48.75" customHeight="1">
      <c r="A120" s="213" t="s">
        <v>2901</v>
      </c>
      <c r="B120" s="214" t="s">
        <v>980</v>
      </c>
      <c r="C120" s="214" t="s">
        <v>981</v>
      </c>
      <c r="D120" s="215" t="s">
        <v>1958</v>
      </c>
      <c r="E120" s="214" t="s">
        <v>2902</v>
      </c>
      <c r="F120" s="213" t="s">
        <v>2734</v>
      </c>
      <c r="G120" s="213" t="s">
        <v>2735</v>
      </c>
      <c r="H120" s="212"/>
      <c r="I120" s="212"/>
      <c r="J120" s="212"/>
      <c r="K120" s="212"/>
      <c r="L120" s="212"/>
      <c r="M120" s="212"/>
      <c r="N120" s="212"/>
      <c r="O120" s="212"/>
      <c r="P120" s="212"/>
      <c r="Q120" s="212"/>
      <c r="R120" s="212"/>
      <c r="S120" s="212"/>
      <c r="T120" s="212"/>
      <c r="U120" s="212"/>
      <c r="V120" s="212"/>
      <c r="W120" s="212"/>
      <c r="X120" s="212"/>
      <c r="Y120" s="212"/>
    </row>
    <row r="121" ht="48.75" customHeight="1">
      <c r="A121" s="209" t="s">
        <v>2903</v>
      </c>
      <c r="B121" s="210" t="s">
        <v>983</v>
      </c>
      <c r="C121" s="210" t="s">
        <v>984</v>
      </c>
      <c r="D121" s="211" t="s">
        <v>1962</v>
      </c>
      <c r="E121" s="210" t="s">
        <v>1963</v>
      </c>
      <c r="F121" s="209" t="s">
        <v>2734</v>
      </c>
      <c r="G121" s="209" t="s">
        <v>2735</v>
      </c>
      <c r="H121" s="212"/>
      <c r="I121" s="212"/>
      <c r="J121" s="212"/>
      <c r="K121" s="212"/>
      <c r="L121" s="212"/>
      <c r="M121" s="212"/>
      <c r="N121" s="212"/>
      <c r="O121" s="212"/>
      <c r="P121" s="212"/>
      <c r="Q121" s="212"/>
      <c r="R121" s="212"/>
      <c r="S121" s="212"/>
      <c r="T121" s="212"/>
      <c r="U121" s="212"/>
      <c r="V121" s="212"/>
      <c r="W121" s="212"/>
      <c r="X121" s="212"/>
      <c r="Y121" s="212"/>
    </row>
    <row r="122" ht="48.75" customHeight="1">
      <c r="A122" s="213" t="s">
        <v>2904</v>
      </c>
      <c r="B122" s="214" t="s">
        <v>985</v>
      </c>
      <c r="C122" s="214" t="s">
        <v>986</v>
      </c>
      <c r="D122" s="215" t="s">
        <v>1966</v>
      </c>
      <c r="E122" s="214" t="s">
        <v>1967</v>
      </c>
      <c r="F122" s="213" t="s">
        <v>2734</v>
      </c>
      <c r="G122" s="213" t="s">
        <v>2735</v>
      </c>
      <c r="H122" s="212"/>
      <c r="I122" s="212"/>
      <c r="J122" s="212"/>
      <c r="K122" s="212"/>
      <c r="L122" s="212"/>
      <c r="M122" s="212"/>
      <c r="N122" s="212"/>
      <c r="O122" s="212"/>
      <c r="P122" s="212"/>
      <c r="Q122" s="212"/>
      <c r="R122" s="212"/>
      <c r="S122" s="212"/>
      <c r="T122" s="212"/>
      <c r="U122" s="212"/>
      <c r="V122" s="212"/>
      <c r="W122" s="212"/>
      <c r="X122" s="212"/>
      <c r="Y122" s="212"/>
    </row>
    <row r="123" ht="48.75" customHeight="1">
      <c r="A123" s="209" t="s">
        <v>2905</v>
      </c>
      <c r="B123" s="210" t="s">
        <v>987</v>
      </c>
      <c r="C123" s="210" t="s">
        <v>988</v>
      </c>
      <c r="D123" s="211" t="s">
        <v>1970</v>
      </c>
      <c r="E123" s="210" t="s">
        <v>2906</v>
      </c>
      <c r="F123" s="209" t="s">
        <v>2740</v>
      </c>
      <c r="G123" s="209" t="s">
        <v>2735</v>
      </c>
      <c r="H123" s="212"/>
      <c r="I123" s="212"/>
      <c r="J123" s="212"/>
      <c r="K123" s="212"/>
      <c r="L123" s="212"/>
      <c r="M123" s="212"/>
      <c r="N123" s="212"/>
      <c r="O123" s="212"/>
      <c r="P123" s="212"/>
      <c r="Q123" s="212"/>
      <c r="R123" s="212"/>
      <c r="S123" s="212"/>
      <c r="T123" s="212"/>
      <c r="U123" s="212"/>
      <c r="V123" s="212"/>
      <c r="W123" s="212"/>
      <c r="X123" s="212"/>
      <c r="Y123" s="212"/>
    </row>
    <row r="124" ht="48.75" customHeight="1">
      <c r="A124" s="213" t="s">
        <v>2907</v>
      </c>
      <c r="B124" s="214" t="s">
        <v>990</v>
      </c>
      <c r="C124" s="214" t="s">
        <v>991</v>
      </c>
      <c r="D124" s="215" t="s">
        <v>1974</v>
      </c>
      <c r="E124" s="214" t="s">
        <v>1975</v>
      </c>
      <c r="F124" s="213" t="s">
        <v>2738</v>
      </c>
      <c r="G124" s="213" t="s">
        <v>2735</v>
      </c>
      <c r="H124" s="212"/>
      <c r="I124" s="212"/>
      <c r="J124" s="212"/>
      <c r="K124" s="212"/>
      <c r="L124" s="212"/>
      <c r="M124" s="212"/>
      <c r="N124" s="212"/>
      <c r="O124" s="212"/>
      <c r="P124" s="212"/>
      <c r="Q124" s="212"/>
      <c r="R124" s="212"/>
      <c r="S124" s="212"/>
      <c r="T124" s="212"/>
      <c r="U124" s="212"/>
      <c r="V124" s="212"/>
      <c r="W124" s="212"/>
      <c r="X124" s="212"/>
      <c r="Y124" s="212"/>
    </row>
    <row r="125" ht="48.75" customHeight="1">
      <c r="A125" s="209" t="s">
        <v>2908</v>
      </c>
      <c r="B125" s="210" t="s">
        <v>992</v>
      </c>
      <c r="C125" s="210" t="s">
        <v>993</v>
      </c>
      <c r="D125" s="211" t="s">
        <v>1978</v>
      </c>
      <c r="E125" s="210" t="s">
        <v>1979</v>
      </c>
      <c r="F125" s="209" t="s">
        <v>2740</v>
      </c>
      <c r="G125" s="209" t="s">
        <v>2735</v>
      </c>
      <c r="H125" s="212"/>
      <c r="I125" s="212"/>
      <c r="J125" s="212"/>
      <c r="K125" s="212"/>
      <c r="L125" s="212"/>
      <c r="M125" s="212"/>
      <c r="N125" s="212"/>
      <c r="O125" s="212"/>
      <c r="P125" s="212"/>
      <c r="Q125" s="212"/>
      <c r="R125" s="212"/>
      <c r="S125" s="212"/>
      <c r="T125" s="212"/>
      <c r="U125" s="212"/>
      <c r="V125" s="212"/>
      <c r="W125" s="212"/>
      <c r="X125" s="212"/>
      <c r="Y125" s="212"/>
    </row>
    <row r="126" ht="48.75" customHeight="1">
      <c r="A126" s="213" t="s">
        <v>2909</v>
      </c>
      <c r="B126" s="214" t="s">
        <v>995</v>
      </c>
      <c r="C126" s="214" t="s">
        <v>996</v>
      </c>
      <c r="D126" s="215" t="s">
        <v>1982</v>
      </c>
      <c r="E126" s="214" t="s">
        <v>1983</v>
      </c>
      <c r="F126" s="213" t="s">
        <v>2734</v>
      </c>
      <c r="G126" s="213" t="s">
        <v>2735</v>
      </c>
      <c r="H126" s="212"/>
      <c r="I126" s="212"/>
      <c r="J126" s="212"/>
      <c r="K126" s="212"/>
      <c r="L126" s="212"/>
      <c r="M126" s="212"/>
      <c r="N126" s="212"/>
      <c r="O126" s="212"/>
      <c r="P126" s="212"/>
      <c r="Q126" s="212"/>
      <c r="R126" s="212"/>
      <c r="S126" s="212"/>
      <c r="T126" s="212"/>
      <c r="U126" s="212"/>
      <c r="V126" s="212"/>
      <c r="W126" s="212"/>
      <c r="X126" s="212"/>
      <c r="Y126" s="212"/>
    </row>
    <row r="127" ht="48.75" customHeight="1">
      <c r="A127" s="209" t="s">
        <v>2910</v>
      </c>
      <c r="B127" s="210" t="s">
        <v>997</v>
      </c>
      <c r="C127" s="210" t="s">
        <v>998</v>
      </c>
      <c r="D127" s="211" t="s">
        <v>1986</v>
      </c>
      <c r="E127" s="210" t="s">
        <v>2911</v>
      </c>
      <c r="F127" s="209" t="s">
        <v>2734</v>
      </c>
      <c r="G127" s="209" t="s">
        <v>2735</v>
      </c>
      <c r="H127" s="212"/>
      <c r="I127" s="212"/>
      <c r="J127" s="212"/>
      <c r="K127" s="212"/>
      <c r="L127" s="212"/>
      <c r="M127" s="212"/>
      <c r="N127" s="212"/>
      <c r="O127" s="212"/>
      <c r="P127" s="212"/>
      <c r="Q127" s="212"/>
      <c r="R127" s="212"/>
      <c r="S127" s="212"/>
      <c r="T127" s="212"/>
      <c r="U127" s="212"/>
      <c r="V127" s="212"/>
      <c r="W127" s="212"/>
      <c r="X127" s="212"/>
      <c r="Y127" s="212"/>
    </row>
    <row r="128" ht="48.75" customHeight="1">
      <c r="A128" s="213" t="s">
        <v>2912</v>
      </c>
      <c r="B128" s="214" t="s">
        <v>999</v>
      </c>
      <c r="C128" s="214" t="s">
        <v>1000</v>
      </c>
      <c r="D128" s="215" t="s">
        <v>1990</v>
      </c>
      <c r="E128" s="214" t="s">
        <v>1991</v>
      </c>
      <c r="F128" s="213" t="s">
        <v>2734</v>
      </c>
      <c r="G128" s="213" t="s">
        <v>2735</v>
      </c>
      <c r="H128" s="212"/>
      <c r="I128" s="212"/>
      <c r="J128" s="212"/>
      <c r="K128" s="212"/>
      <c r="L128" s="212"/>
      <c r="M128" s="212"/>
      <c r="N128" s="212"/>
      <c r="O128" s="212"/>
      <c r="P128" s="212"/>
      <c r="Q128" s="212"/>
      <c r="R128" s="212"/>
      <c r="S128" s="212"/>
      <c r="T128" s="212"/>
      <c r="U128" s="212"/>
      <c r="V128" s="212"/>
      <c r="W128" s="212"/>
      <c r="X128" s="212"/>
      <c r="Y128" s="212"/>
    </row>
    <row r="129" ht="48.75" customHeight="1">
      <c r="A129" s="209" t="s">
        <v>2913</v>
      </c>
      <c r="B129" s="210" t="s">
        <v>1002</v>
      </c>
      <c r="C129" s="210" t="s">
        <v>1003</v>
      </c>
      <c r="D129" s="211" t="s">
        <v>1994</v>
      </c>
      <c r="E129" s="210" t="s">
        <v>2914</v>
      </c>
      <c r="F129" s="209" t="s">
        <v>2738</v>
      </c>
      <c r="G129" s="209" t="s">
        <v>2735</v>
      </c>
      <c r="H129" s="212"/>
      <c r="I129" s="212"/>
      <c r="J129" s="212"/>
      <c r="K129" s="212"/>
      <c r="L129" s="212"/>
      <c r="M129" s="212"/>
      <c r="N129" s="212"/>
      <c r="O129" s="212"/>
      <c r="P129" s="212"/>
      <c r="Q129" s="212"/>
      <c r="R129" s="212"/>
      <c r="S129" s="212"/>
      <c r="T129" s="212"/>
      <c r="U129" s="212"/>
      <c r="V129" s="212"/>
      <c r="W129" s="212"/>
      <c r="X129" s="212"/>
      <c r="Y129" s="212"/>
    </row>
    <row r="130" ht="48.75" customHeight="1">
      <c r="A130" s="213" t="s">
        <v>2915</v>
      </c>
      <c r="B130" s="214" t="s">
        <v>1004</v>
      </c>
      <c r="C130" s="214" t="s">
        <v>1005</v>
      </c>
      <c r="D130" s="215" t="s">
        <v>1998</v>
      </c>
      <c r="E130" s="214" t="s">
        <v>1999</v>
      </c>
      <c r="F130" s="213" t="s">
        <v>2740</v>
      </c>
      <c r="G130" s="213" t="s">
        <v>2735</v>
      </c>
      <c r="H130" s="212"/>
      <c r="I130" s="212"/>
      <c r="J130" s="212"/>
      <c r="K130" s="212"/>
      <c r="L130" s="212"/>
      <c r="M130" s="212"/>
      <c r="N130" s="212"/>
      <c r="O130" s="212"/>
      <c r="P130" s="212"/>
      <c r="Q130" s="212"/>
      <c r="R130" s="212"/>
      <c r="S130" s="212"/>
      <c r="T130" s="212"/>
      <c r="U130" s="212"/>
      <c r="V130" s="212"/>
      <c r="W130" s="212"/>
      <c r="X130" s="212"/>
      <c r="Y130" s="212"/>
    </row>
    <row r="131" ht="48.75" customHeight="1">
      <c r="A131" s="209" t="s">
        <v>2916</v>
      </c>
      <c r="B131" s="210" t="s">
        <v>1007</v>
      </c>
      <c r="C131" s="210" t="s">
        <v>2917</v>
      </c>
      <c r="D131" s="211" t="s">
        <v>2002</v>
      </c>
      <c r="E131" s="210" t="s">
        <v>2003</v>
      </c>
      <c r="F131" s="209" t="s">
        <v>2738</v>
      </c>
      <c r="G131" s="209" t="s">
        <v>2735</v>
      </c>
      <c r="H131" s="212"/>
      <c r="I131" s="212"/>
      <c r="J131" s="212"/>
      <c r="K131" s="212"/>
      <c r="L131" s="212"/>
      <c r="M131" s="212"/>
      <c r="N131" s="212"/>
      <c r="O131" s="212"/>
      <c r="P131" s="212"/>
      <c r="Q131" s="212"/>
      <c r="R131" s="212"/>
      <c r="S131" s="212"/>
      <c r="T131" s="212"/>
      <c r="U131" s="212"/>
      <c r="V131" s="212"/>
      <c r="W131" s="212"/>
      <c r="X131" s="212"/>
      <c r="Y131" s="212"/>
    </row>
    <row r="132" ht="48.75" customHeight="1">
      <c r="A132" s="213" t="s">
        <v>2918</v>
      </c>
      <c r="B132" s="214" t="s">
        <v>1009</v>
      </c>
      <c r="C132" s="214" t="s">
        <v>2919</v>
      </c>
      <c r="D132" s="215" t="s">
        <v>2006</v>
      </c>
      <c r="E132" s="214" t="s">
        <v>2007</v>
      </c>
      <c r="F132" s="213" t="s">
        <v>2734</v>
      </c>
      <c r="G132" s="213" t="s">
        <v>2735</v>
      </c>
      <c r="H132" s="212"/>
      <c r="I132" s="212"/>
      <c r="J132" s="212"/>
      <c r="K132" s="212"/>
      <c r="L132" s="212"/>
      <c r="M132" s="212"/>
      <c r="N132" s="212"/>
      <c r="O132" s="212"/>
      <c r="P132" s="212"/>
      <c r="Q132" s="212"/>
      <c r="R132" s="212"/>
      <c r="S132" s="212"/>
      <c r="T132" s="212"/>
      <c r="U132" s="212"/>
      <c r="V132" s="212"/>
      <c r="W132" s="212"/>
      <c r="X132" s="212"/>
      <c r="Y132" s="212"/>
    </row>
    <row r="133" ht="48.75" customHeight="1">
      <c r="A133" s="209" t="s">
        <v>2920</v>
      </c>
      <c r="B133" s="210" t="s">
        <v>1011</v>
      </c>
      <c r="C133" s="210" t="s">
        <v>1012</v>
      </c>
      <c r="D133" s="211" t="s">
        <v>2010</v>
      </c>
      <c r="E133" s="210" t="s">
        <v>2011</v>
      </c>
      <c r="F133" s="209" t="s">
        <v>2740</v>
      </c>
      <c r="G133" s="209" t="s">
        <v>2735</v>
      </c>
      <c r="H133" s="212"/>
      <c r="I133" s="212"/>
      <c r="J133" s="212"/>
      <c r="K133" s="212"/>
      <c r="L133" s="212"/>
      <c r="M133" s="212"/>
      <c r="N133" s="212"/>
      <c r="O133" s="212"/>
      <c r="P133" s="212"/>
      <c r="Q133" s="212"/>
      <c r="R133" s="212"/>
      <c r="S133" s="212"/>
      <c r="T133" s="212"/>
      <c r="U133" s="212"/>
      <c r="V133" s="212"/>
      <c r="W133" s="212"/>
      <c r="X133" s="212"/>
      <c r="Y133" s="212"/>
    </row>
    <row r="134" ht="48.75" customHeight="1">
      <c r="A134" s="213" t="s">
        <v>2921</v>
      </c>
      <c r="B134" s="214" t="s">
        <v>1014</v>
      </c>
      <c r="C134" s="214" t="s">
        <v>1015</v>
      </c>
      <c r="D134" s="215" t="s">
        <v>2014</v>
      </c>
      <c r="E134" s="214" t="s">
        <v>2015</v>
      </c>
      <c r="F134" s="213" t="s">
        <v>2734</v>
      </c>
      <c r="G134" s="213" t="s">
        <v>2735</v>
      </c>
      <c r="H134" s="212"/>
      <c r="I134" s="212"/>
      <c r="J134" s="212"/>
      <c r="K134" s="212"/>
      <c r="L134" s="212"/>
      <c r="M134" s="212"/>
      <c r="N134" s="212"/>
      <c r="O134" s="212"/>
      <c r="P134" s="212"/>
      <c r="Q134" s="212"/>
      <c r="R134" s="212"/>
      <c r="S134" s="212"/>
      <c r="T134" s="212"/>
      <c r="U134" s="212"/>
      <c r="V134" s="212"/>
      <c r="W134" s="212"/>
      <c r="X134" s="212"/>
      <c r="Y134" s="212"/>
    </row>
    <row r="135" ht="48.75" customHeight="1">
      <c r="A135" s="209" t="s">
        <v>2922</v>
      </c>
      <c r="B135" s="210" t="s">
        <v>1016</v>
      </c>
      <c r="C135" s="210" t="s">
        <v>1017</v>
      </c>
      <c r="D135" s="211" t="s">
        <v>2018</v>
      </c>
      <c r="E135" s="210" t="s">
        <v>2019</v>
      </c>
      <c r="F135" s="209" t="s">
        <v>2738</v>
      </c>
      <c r="G135" s="209" t="s">
        <v>2735</v>
      </c>
      <c r="H135" s="212"/>
      <c r="I135" s="212"/>
      <c r="J135" s="212"/>
      <c r="K135" s="212"/>
      <c r="L135" s="212"/>
      <c r="M135" s="212"/>
      <c r="N135" s="212"/>
      <c r="O135" s="212"/>
      <c r="P135" s="212"/>
      <c r="Q135" s="212"/>
      <c r="R135" s="212"/>
      <c r="S135" s="212"/>
      <c r="T135" s="212"/>
      <c r="U135" s="212"/>
      <c r="V135" s="212"/>
      <c r="W135" s="212"/>
      <c r="X135" s="212"/>
      <c r="Y135" s="212"/>
    </row>
    <row r="136" ht="48.75" customHeight="1">
      <c r="A136" s="213" t="s">
        <v>2923</v>
      </c>
      <c r="B136" s="214" t="s">
        <v>1018</v>
      </c>
      <c r="C136" s="214" t="s">
        <v>1019</v>
      </c>
      <c r="D136" s="215" t="s">
        <v>2022</v>
      </c>
      <c r="E136" s="214" t="s">
        <v>2924</v>
      </c>
      <c r="F136" s="213" t="s">
        <v>2738</v>
      </c>
      <c r="G136" s="213" t="s">
        <v>2735</v>
      </c>
      <c r="H136" s="212"/>
      <c r="I136" s="212"/>
      <c r="J136" s="212"/>
      <c r="K136" s="212"/>
      <c r="L136" s="212"/>
      <c r="M136" s="212"/>
      <c r="N136" s="212"/>
      <c r="O136" s="212"/>
      <c r="P136" s="212"/>
      <c r="Q136" s="212"/>
      <c r="R136" s="212"/>
      <c r="S136" s="212"/>
      <c r="T136" s="212"/>
      <c r="U136" s="212"/>
      <c r="V136" s="212"/>
      <c r="W136" s="212"/>
      <c r="X136" s="212"/>
      <c r="Y136" s="212"/>
    </row>
    <row r="137" ht="48.75" customHeight="1">
      <c r="A137" s="209" t="s">
        <v>2925</v>
      </c>
      <c r="B137" s="210" t="s">
        <v>1021</v>
      </c>
      <c r="C137" s="210" t="s">
        <v>1022</v>
      </c>
      <c r="D137" s="211" t="s">
        <v>2026</v>
      </c>
      <c r="E137" s="210" t="s">
        <v>2027</v>
      </c>
      <c r="F137" s="209" t="s">
        <v>2734</v>
      </c>
      <c r="G137" s="209" t="s">
        <v>2735</v>
      </c>
      <c r="H137" s="212"/>
      <c r="I137" s="212"/>
      <c r="J137" s="212"/>
      <c r="K137" s="212"/>
      <c r="L137" s="212"/>
      <c r="M137" s="212"/>
      <c r="N137" s="212"/>
      <c r="O137" s="212"/>
      <c r="P137" s="212"/>
      <c r="Q137" s="212"/>
      <c r="R137" s="212"/>
      <c r="S137" s="212"/>
      <c r="T137" s="212"/>
      <c r="U137" s="212"/>
      <c r="V137" s="212"/>
      <c r="W137" s="212"/>
      <c r="X137" s="212"/>
      <c r="Y137" s="212"/>
    </row>
    <row r="138" ht="48.75" customHeight="1">
      <c r="A138" s="213" t="s">
        <v>2926</v>
      </c>
      <c r="B138" s="214" t="s">
        <v>1023</v>
      </c>
      <c r="C138" s="214" t="s">
        <v>1024</v>
      </c>
      <c r="D138" s="215" t="s">
        <v>2026</v>
      </c>
      <c r="E138" s="214" t="s">
        <v>2030</v>
      </c>
      <c r="F138" s="213" t="s">
        <v>2734</v>
      </c>
      <c r="G138" s="213" t="s">
        <v>2735</v>
      </c>
      <c r="H138" s="212"/>
      <c r="I138" s="212"/>
      <c r="J138" s="212"/>
      <c r="K138" s="212"/>
      <c r="L138" s="212"/>
      <c r="M138" s="212"/>
      <c r="N138" s="212"/>
      <c r="O138" s="212"/>
      <c r="P138" s="212"/>
      <c r="Q138" s="212"/>
      <c r="R138" s="212"/>
      <c r="S138" s="212"/>
      <c r="T138" s="212"/>
      <c r="U138" s="212"/>
      <c r="V138" s="212"/>
      <c r="W138" s="212"/>
      <c r="X138" s="212"/>
      <c r="Y138" s="212"/>
    </row>
    <row r="139" ht="48.75" customHeight="1">
      <c r="A139" s="209" t="s">
        <v>2927</v>
      </c>
      <c r="B139" s="210" t="s">
        <v>1026</v>
      </c>
      <c r="C139" s="210" t="s">
        <v>1027</v>
      </c>
      <c r="D139" s="211" t="s">
        <v>2033</v>
      </c>
      <c r="E139" s="210" t="s">
        <v>2928</v>
      </c>
      <c r="F139" s="209" t="s">
        <v>2738</v>
      </c>
      <c r="G139" s="209" t="s">
        <v>2735</v>
      </c>
      <c r="H139" s="212"/>
      <c r="I139" s="212"/>
      <c r="J139" s="212"/>
      <c r="K139" s="212"/>
      <c r="L139" s="212"/>
      <c r="M139" s="212"/>
      <c r="N139" s="212"/>
      <c r="O139" s="212"/>
      <c r="P139" s="212"/>
      <c r="Q139" s="212"/>
      <c r="R139" s="212"/>
      <c r="S139" s="212"/>
      <c r="T139" s="212"/>
      <c r="U139" s="212"/>
      <c r="V139" s="212"/>
      <c r="W139" s="212"/>
      <c r="X139" s="212"/>
      <c r="Y139" s="212"/>
    </row>
    <row r="140" ht="48.75" customHeight="1">
      <c r="A140" s="213" t="s">
        <v>2929</v>
      </c>
      <c r="B140" s="214" t="s">
        <v>1028</v>
      </c>
      <c r="C140" s="214" t="s">
        <v>1029</v>
      </c>
      <c r="D140" s="215" t="s">
        <v>2038</v>
      </c>
      <c r="E140" s="214" t="s">
        <v>2930</v>
      </c>
      <c r="F140" s="213" t="s">
        <v>2738</v>
      </c>
      <c r="G140" s="213" t="s">
        <v>2735</v>
      </c>
      <c r="H140" s="212"/>
      <c r="I140" s="212"/>
      <c r="J140" s="212"/>
      <c r="K140" s="212"/>
      <c r="L140" s="212"/>
      <c r="M140" s="212"/>
      <c r="N140" s="212"/>
      <c r="O140" s="212"/>
      <c r="P140" s="212"/>
      <c r="Q140" s="212"/>
      <c r="R140" s="212"/>
      <c r="S140" s="212"/>
      <c r="T140" s="212"/>
      <c r="U140" s="212"/>
      <c r="V140" s="212"/>
      <c r="W140" s="212"/>
      <c r="X140" s="212"/>
      <c r="Y140" s="212"/>
    </row>
    <row r="141" ht="48.75" customHeight="1">
      <c r="A141" s="209" t="s">
        <v>2931</v>
      </c>
      <c r="B141" s="210" t="s">
        <v>1030</v>
      </c>
      <c r="C141" s="210" t="s">
        <v>1031</v>
      </c>
      <c r="D141" s="211" t="s">
        <v>2042</v>
      </c>
      <c r="E141" s="210" t="s">
        <v>2043</v>
      </c>
      <c r="F141" s="209" t="s">
        <v>2734</v>
      </c>
      <c r="G141" s="209" t="s">
        <v>2735</v>
      </c>
      <c r="H141" s="212"/>
      <c r="I141" s="212"/>
      <c r="J141" s="212"/>
      <c r="K141" s="212"/>
      <c r="L141" s="212"/>
      <c r="M141" s="212"/>
      <c r="N141" s="212"/>
      <c r="O141" s="212"/>
      <c r="P141" s="212"/>
      <c r="Q141" s="212"/>
      <c r="R141" s="212"/>
      <c r="S141" s="212"/>
      <c r="T141" s="212"/>
      <c r="U141" s="212"/>
      <c r="V141" s="212"/>
      <c r="W141" s="212"/>
      <c r="X141" s="212"/>
      <c r="Y141" s="212"/>
    </row>
    <row r="142" ht="48.75" customHeight="1">
      <c r="A142" s="213" t="s">
        <v>2932</v>
      </c>
      <c r="B142" s="214" t="s">
        <v>1033</v>
      </c>
      <c r="C142" s="214" t="s">
        <v>1034</v>
      </c>
      <c r="D142" s="215" t="s">
        <v>2046</v>
      </c>
      <c r="E142" s="214" t="s">
        <v>2047</v>
      </c>
      <c r="F142" s="213" t="s">
        <v>2734</v>
      </c>
      <c r="G142" s="213" t="s">
        <v>2735</v>
      </c>
      <c r="H142" s="212"/>
      <c r="I142" s="212"/>
      <c r="J142" s="212"/>
      <c r="K142" s="212"/>
      <c r="L142" s="212"/>
      <c r="M142" s="212"/>
      <c r="N142" s="212"/>
      <c r="O142" s="212"/>
      <c r="P142" s="212"/>
      <c r="Q142" s="212"/>
      <c r="R142" s="212"/>
      <c r="S142" s="212"/>
      <c r="T142" s="212"/>
      <c r="U142" s="212"/>
      <c r="V142" s="212"/>
      <c r="W142" s="212"/>
      <c r="X142" s="212"/>
      <c r="Y142" s="212"/>
    </row>
    <row r="143" ht="48.75" customHeight="1">
      <c r="A143" s="209" t="s">
        <v>2933</v>
      </c>
      <c r="B143" s="210" t="s">
        <v>1035</v>
      </c>
      <c r="C143" s="210" t="s">
        <v>1036</v>
      </c>
      <c r="D143" s="211" t="s">
        <v>2050</v>
      </c>
      <c r="E143" s="210" t="s">
        <v>2051</v>
      </c>
      <c r="F143" s="209" t="s">
        <v>2738</v>
      </c>
      <c r="G143" s="209" t="s">
        <v>2735</v>
      </c>
      <c r="H143" s="212"/>
      <c r="I143" s="212"/>
      <c r="J143" s="212"/>
      <c r="K143" s="212"/>
      <c r="L143" s="212"/>
      <c r="M143" s="212"/>
      <c r="N143" s="212"/>
      <c r="O143" s="212"/>
      <c r="P143" s="212"/>
      <c r="Q143" s="212"/>
      <c r="R143" s="212"/>
      <c r="S143" s="212"/>
      <c r="T143" s="212"/>
      <c r="U143" s="212"/>
      <c r="V143" s="212"/>
      <c r="W143" s="212"/>
      <c r="X143" s="212"/>
      <c r="Y143" s="212"/>
    </row>
    <row r="144" ht="48.75" customHeight="1">
      <c r="A144" s="213" t="s">
        <v>2934</v>
      </c>
      <c r="B144" s="214" t="s">
        <v>1037</v>
      </c>
      <c r="C144" s="214" t="s">
        <v>1038</v>
      </c>
      <c r="D144" s="215" t="s">
        <v>2056</v>
      </c>
      <c r="E144" s="214" t="s">
        <v>2057</v>
      </c>
      <c r="F144" s="213" t="s">
        <v>2738</v>
      </c>
      <c r="G144" s="213" t="s">
        <v>2735</v>
      </c>
      <c r="H144" s="212"/>
      <c r="I144" s="212"/>
      <c r="J144" s="212"/>
      <c r="K144" s="212"/>
      <c r="L144" s="212"/>
      <c r="M144" s="212"/>
      <c r="N144" s="212"/>
      <c r="O144" s="212"/>
      <c r="P144" s="212"/>
      <c r="Q144" s="212"/>
      <c r="R144" s="212"/>
      <c r="S144" s="212"/>
      <c r="T144" s="212"/>
      <c r="U144" s="212"/>
      <c r="V144" s="212"/>
      <c r="W144" s="212"/>
      <c r="X144" s="212"/>
      <c r="Y144" s="212"/>
    </row>
    <row r="145" ht="48.75" customHeight="1">
      <c r="A145" s="209" t="s">
        <v>2935</v>
      </c>
      <c r="B145" s="210" t="s">
        <v>1040</v>
      </c>
      <c r="C145" s="210" t="s">
        <v>1041</v>
      </c>
      <c r="D145" s="211" t="s">
        <v>2061</v>
      </c>
      <c r="E145" s="210" t="s">
        <v>2062</v>
      </c>
      <c r="F145" s="209" t="s">
        <v>2734</v>
      </c>
      <c r="G145" s="209" t="s">
        <v>2735</v>
      </c>
      <c r="H145" s="212"/>
      <c r="I145" s="212"/>
      <c r="J145" s="212"/>
      <c r="K145" s="212"/>
      <c r="L145" s="212"/>
      <c r="M145" s="212"/>
      <c r="N145" s="212"/>
      <c r="O145" s="212"/>
      <c r="P145" s="212"/>
      <c r="Q145" s="212"/>
      <c r="R145" s="212"/>
      <c r="S145" s="212"/>
      <c r="T145" s="212"/>
      <c r="U145" s="212"/>
      <c r="V145" s="212"/>
      <c r="W145" s="212"/>
      <c r="X145" s="212"/>
      <c r="Y145" s="212"/>
    </row>
    <row r="146" ht="48.75" customHeight="1">
      <c r="A146" s="213" t="s">
        <v>2936</v>
      </c>
      <c r="B146" s="214" t="s">
        <v>1042</v>
      </c>
      <c r="C146" s="214" t="s">
        <v>1043</v>
      </c>
      <c r="D146" s="215" t="s">
        <v>2065</v>
      </c>
      <c r="E146" s="214" t="s">
        <v>2066</v>
      </c>
      <c r="F146" s="213" t="s">
        <v>2734</v>
      </c>
      <c r="G146" s="213" t="s">
        <v>2735</v>
      </c>
      <c r="H146" s="212"/>
      <c r="I146" s="212"/>
      <c r="J146" s="212"/>
      <c r="K146" s="212"/>
      <c r="L146" s="212"/>
      <c r="M146" s="212"/>
      <c r="N146" s="212"/>
      <c r="O146" s="212"/>
      <c r="P146" s="212"/>
      <c r="Q146" s="212"/>
      <c r="R146" s="212"/>
      <c r="S146" s="212"/>
      <c r="T146" s="212"/>
      <c r="U146" s="212"/>
      <c r="V146" s="212"/>
      <c r="W146" s="212"/>
      <c r="X146" s="212"/>
      <c r="Y146" s="212"/>
    </row>
    <row r="147" ht="48.75" customHeight="1">
      <c r="A147" s="209" t="s">
        <v>2937</v>
      </c>
      <c r="B147" s="210" t="s">
        <v>1044</v>
      </c>
      <c r="C147" s="210" t="s">
        <v>1045</v>
      </c>
      <c r="D147" s="211" t="s">
        <v>2069</v>
      </c>
      <c r="E147" s="210" t="s">
        <v>2070</v>
      </c>
      <c r="F147" s="209" t="s">
        <v>2740</v>
      </c>
      <c r="G147" s="209" t="s">
        <v>2735</v>
      </c>
      <c r="H147" s="212"/>
      <c r="I147" s="212"/>
      <c r="J147" s="212"/>
      <c r="K147" s="212"/>
      <c r="L147" s="212"/>
      <c r="M147" s="212"/>
      <c r="N147" s="212"/>
      <c r="O147" s="212"/>
      <c r="P147" s="212"/>
      <c r="Q147" s="212"/>
      <c r="R147" s="212"/>
      <c r="S147" s="212"/>
      <c r="T147" s="212"/>
      <c r="U147" s="212"/>
      <c r="V147" s="212"/>
      <c r="W147" s="212"/>
      <c r="X147" s="212"/>
      <c r="Y147" s="212"/>
    </row>
    <row r="148" ht="48.75" customHeight="1">
      <c r="A148" s="213" t="s">
        <v>2938</v>
      </c>
      <c r="B148" s="214" t="s">
        <v>1047</v>
      </c>
      <c r="C148" s="214" t="s">
        <v>1048</v>
      </c>
      <c r="D148" s="215" t="s">
        <v>2073</v>
      </c>
      <c r="E148" s="214" t="s">
        <v>2939</v>
      </c>
      <c r="F148" s="213" t="s">
        <v>2738</v>
      </c>
      <c r="G148" s="213" t="s">
        <v>2735</v>
      </c>
      <c r="H148" s="212"/>
      <c r="I148" s="212"/>
      <c r="J148" s="212"/>
      <c r="K148" s="212"/>
      <c r="L148" s="212"/>
      <c r="M148" s="212"/>
      <c r="N148" s="212"/>
      <c r="O148" s="212"/>
      <c r="P148" s="212"/>
      <c r="Q148" s="212"/>
      <c r="R148" s="212"/>
      <c r="S148" s="212"/>
      <c r="T148" s="212"/>
      <c r="U148" s="212"/>
      <c r="V148" s="212"/>
      <c r="W148" s="212"/>
      <c r="X148" s="212"/>
      <c r="Y148" s="212"/>
    </row>
    <row r="149" ht="48.75" customHeight="1">
      <c r="A149" s="209" t="s">
        <v>2940</v>
      </c>
      <c r="B149" s="210" t="s">
        <v>1049</v>
      </c>
      <c r="C149" s="210" t="s">
        <v>1050</v>
      </c>
      <c r="D149" s="211" t="s">
        <v>2079</v>
      </c>
      <c r="E149" s="210" t="s">
        <v>2080</v>
      </c>
      <c r="F149" s="209" t="s">
        <v>2740</v>
      </c>
      <c r="G149" s="209" t="s">
        <v>2735</v>
      </c>
      <c r="H149" s="212"/>
      <c r="I149" s="212"/>
      <c r="J149" s="212"/>
      <c r="K149" s="212"/>
      <c r="L149" s="212"/>
      <c r="M149" s="212"/>
      <c r="N149" s="212"/>
      <c r="O149" s="212"/>
      <c r="P149" s="212"/>
      <c r="Q149" s="212"/>
      <c r="R149" s="212"/>
      <c r="S149" s="212"/>
      <c r="T149" s="212"/>
      <c r="U149" s="212"/>
      <c r="V149" s="212"/>
      <c r="W149" s="212"/>
      <c r="X149" s="212"/>
      <c r="Y149" s="212"/>
    </row>
    <row r="150" ht="48.75" customHeight="1">
      <c r="A150" s="213" t="s">
        <v>2941</v>
      </c>
      <c r="B150" s="214" t="s">
        <v>1051</v>
      </c>
      <c r="C150" s="214" t="s">
        <v>1052</v>
      </c>
      <c r="D150" s="215" t="s">
        <v>2083</v>
      </c>
      <c r="E150" s="214" t="s">
        <v>2084</v>
      </c>
      <c r="F150" s="213" t="s">
        <v>2738</v>
      </c>
      <c r="G150" s="213" t="s">
        <v>2735</v>
      </c>
      <c r="H150" s="212"/>
      <c r="I150" s="212"/>
      <c r="J150" s="212"/>
      <c r="K150" s="212"/>
      <c r="L150" s="212"/>
      <c r="M150" s="212"/>
      <c r="N150" s="212"/>
      <c r="O150" s="212"/>
      <c r="P150" s="212"/>
      <c r="Q150" s="212"/>
      <c r="R150" s="212"/>
      <c r="S150" s="212"/>
      <c r="T150" s="212"/>
      <c r="U150" s="212"/>
      <c r="V150" s="212"/>
      <c r="W150" s="212"/>
      <c r="X150" s="212"/>
      <c r="Y150" s="212"/>
    </row>
    <row r="151" ht="48.75" customHeight="1">
      <c r="A151" s="209" t="s">
        <v>2942</v>
      </c>
      <c r="B151" s="210" t="s">
        <v>1054</v>
      </c>
      <c r="C151" s="210" t="s">
        <v>1055</v>
      </c>
      <c r="D151" s="211" t="s">
        <v>2087</v>
      </c>
      <c r="E151" s="210" t="s">
        <v>2088</v>
      </c>
      <c r="F151" s="209" t="s">
        <v>2734</v>
      </c>
      <c r="G151" s="209" t="s">
        <v>2735</v>
      </c>
      <c r="H151" s="212"/>
      <c r="I151" s="212"/>
      <c r="J151" s="212"/>
      <c r="K151" s="212"/>
      <c r="L151" s="212"/>
      <c r="M151" s="212"/>
      <c r="N151" s="212"/>
      <c r="O151" s="212"/>
      <c r="P151" s="212"/>
      <c r="Q151" s="212"/>
      <c r="R151" s="212"/>
      <c r="S151" s="212"/>
      <c r="T151" s="212"/>
      <c r="U151" s="212"/>
      <c r="V151" s="212"/>
      <c r="W151" s="212"/>
      <c r="X151" s="212"/>
      <c r="Y151" s="212"/>
    </row>
    <row r="152" ht="48.75" customHeight="1">
      <c r="A152" s="213" t="s">
        <v>2943</v>
      </c>
      <c r="B152" s="214" t="s">
        <v>1056</v>
      </c>
      <c r="C152" s="214" t="s">
        <v>1057</v>
      </c>
      <c r="D152" s="215" t="s">
        <v>2092</v>
      </c>
      <c r="E152" s="214" t="s">
        <v>2093</v>
      </c>
      <c r="F152" s="213" t="s">
        <v>2734</v>
      </c>
      <c r="G152" s="213" t="s">
        <v>2735</v>
      </c>
      <c r="H152" s="212"/>
      <c r="I152" s="212"/>
      <c r="J152" s="212"/>
      <c r="K152" s="212"/>
      <c r="L152" s="212"/>
      <c r="M152" s="212"/>
      <c r="N152" s="212"/>
      <c r="O152" s="212"/>
      <c r="P152" s="212"/>
      <c r="Q152" s="212"/>
      <c r="R152" s="212"/>
      <c r="S152" s="212"/>
      <c r="T152" s="212"/>
      <c r="U152" s="212"/>
      <c r="V152" s="212"/>
      <c r="W152" s="212"/>
      <c r="X152" s="212"/>
      <c r="Y152" s="212"/>
    </row>
    <row r="153" ht="48.75" customHeight="1">
      <c r="A153" s="209" t="s">
        <v>2944</v>
      </c>
      <c r="B153" s="210" t="s">
        <v>1058</v>
      </c>
      <c r="C153" s="210" t="s">
        <v>1059</v>
      </c>
      <c r="D153" s="211" t="s">
        <v>2096</v>
      </c>
      <c r="E153" s="210" t="s">
        <v>2097</v>
      </c>
      <c r="F153" s="209" t="s">
        <v>2734</v>
      </c>
      <c r="G153" s="209" t="s">
        <v>2735</v>
      </c>
      <c r="H153" s="212"/>
      <c r="I153" s="212"/>
      <c r="J153" s="212"/>
      <c r="K153" s="212"/>
      <c r="L153" s="212"/>
      <c r="M153" s="212"/>
      <c r="N153" s="212"/>
      <c r="O153" s="212"/>
      <c r="P153" s="212"/>
      <c r="Q153" s="212"/>
      <c r="R153" s="212"/>
      <c r="S153" s="212"/>
      <c r="T153" s="212"/>
      <c r="U153" s="212"/>
      <c r="V153" s="212"/>
      <c r="W153" s="212"/>
      <c r="X153" s="212"/>
      <c r="Y153" s="212"/>
    </row>
    <row r="154" ht="48.75" customHeight="1">
      <c r="A154" s="213" t="s">
        <v>2945</v>
      </c>
      <c r="B154" s="214" t="s">
        <v>1061</v>
      </c>
      <c r="C154" s="214" t="s">
        <v>1062</v>
      </c>
      <c r="D154" s="215" t="s">
        <v>2099</v>
      </c>
      <c r="E154" s="214" t="s">
        <v>2100</v>
      </c>
      <c r="F154" s="213" t="s">
        <v>2734</v>
      </c>
      <c r="G154" s="213" t="s">
        <v>2735</v>
      </c>
      <c r="H154" s="212"/>
      <c r="I154" s="212"/>
      <c r="J154" s="212"/>
      <c r="K154" s="212"/>
      <c r="L154" s="212"/>
      <c r="M154" s="212"/>
      <c r="N154" s="212"/>
      <c r="O154" s="212"/>
      <c r="P154" s="212"/>
      <c r="Q154" s="212"/>
      <c r="R154" s="212"/>
      <c r="S154" s="212"/>
      <c r="T154" s="212"/>
      <c r="U154" s="212"/>
      <c r="V154" s="212"/>
      <c r="W154" s="212"/>
      <c r="X154" s="212"/>
      <c r="Y154" s="212"/>
    </row>
    <row r="155" ht="48.75" customHeight="1">
      <c r="A155" s="209" t="s">
        <v>2946</v>
      </c>
      <c r="B155" s="210" t="s">
        <v>1063</v>
      </c>
      <c r="C155" s="210" t="s">
        <v>1064</v>
      </c>
      <c r="D155" s="211" t="s">
        <v>2103</v>
      </c>
      <c r="E155" s="210" t="s">
        <v>2104</v>
      </c>
      <c r="F155" s="209" t="s">
        <v>2740</v>
      </c>
      <c r="G155" s="209" t="s">
        <v>2735</v>
      </c>
      <c r="H155" s="212"/>
      <c r="I155" s="212"/>
      <c r="J155" s="212"/>
      <c r="K155" s="212"/>
      <c r="L155" s="212"/>
      <c r="M155" s="212"/>
      <c r="N155" s="212"/>
      <c r="O155" s="212"/>
      <c r="P155" s="212"/>
      <c r="Q155" s="212"/>
      <c r="R155" s="212"/>
      <c r="S155" s="212"/>
      <c r="T155" s="212"/>
      <c r="U155" s="212"/>
      <c r="V155" s="212"/>
      <c r="W155" s="212"/>
      <c r="X155" s="212"/>
      <c r="Y155" s="212"/>
    </row>
    <row r="156" ht="48.75" customHeight="1">
      <c r="A156" s="213" t="s">
        <v>2947</v>
      </c>
      <c r="B156" s="214" t="s">
        <v>1066</v>
      </c>
      <c r="C156" s="214" t="s">
        <v>1067</v>
      </c>
      <c r="D156" s="215" t="s">
        <v>2107</v>
      </c>
      <c r="E156" s="214" t="s">
        <v>2108</v>
      </c>
      <c r="F156" s="213" t="s">
        <v>2734</v>
      </c>
      <c r="G156" s="213" t="s">
        <v>2735</v>
      </c>
      <c r="H156" s="212"/>
      <c r="I156" s="212"/>
      <c r="J156" s="212"/>
      <c r="K156" s="212"/>
      <c r="L156" s="212"/>
      <c r="M156" s="212"/>
      <c r="N156" s="212"/>
      <c r="O156" s="212"/>
      <c r="P156" s="212"/>
      <c r="Q156" s="212"/>
      <c r="R156" s="212"/>
      <c r="S156" s="212"/>
      <c r="T156" s="212"/>
      <c r="U156" s="212"/>
      <c r="V156" s="212"/>
      <c r="W156" s="212"/>
      <c r="X156" s="212"/>
      <c r="Y156" s="212"/>
    </row>
    <row r="157" ht="48.75" customHeight="1">
      <c r="A157" s="209" t="s">
        <v>2948</v>
      </c>
      <c r="B157" s="210" t="s">
        <v>1068</v>
      </c>
      <c r="C157" s="210" t="s">
        <v>1069</v>
      </c>
      <c r="D157" s="211" t="s">
        <v>2111</v>
      </c>
      <c r="E157" s="210" t="s">
        <v>2112</v>
      </c>
      <c r="F157" s="209" t="s">
        <v>2734</v>
      </c>
      <c r="G157" s="209" t="s">
        <v>2735</v>
      </c>
      <c r="H157" s="212"/>
      <c r="I157" s="212"/>
      <c r="J157" s="212"/>
      <c r="K157" s="212"/>
      <c r="L157" s="212"/>
      <c r="M157" s="212"/>
      <c r="N157" s="212"/>
      <c r="O157" s="212"/>
      <c r="P157" s="212"/>
      <c r="Q157" s="212"/>
      <c r="R157" s="212"/>
      <c r="S157" s="212"/>
      <c r="T157" s="212"/>
      <c r="U157" s="212"/>
      <c r="V157" s="212"/>
      <c r="W157" s="212"/>
      <c r="X157" s="212"/>
      <c r="Y157" s="212"/>
    </row>
    <row r="158" ht="48.75" customHeight="1">
      <c r="A158" s="213" t="s">
        <v>2949</v>
      </c>
      <c r="B158" s="214" t="s">
        <v>1070</v>
      </c>
      <c r="C158" s="214" t="s">
        <v>1071</v>
      </c>
      <c r="D158" s="215" t="s">
        <v>2114</v>
      </c>
      <c r="E158" s="214" t="s">
        <v>2115</v>
      </c>
      <c r="F158" s="213" t="s">
        <v>2734</v>
      </c>
      <c r="G158" s="213" t="s">
        <v>2735</v>
      </c>
      <c r="H158" s="212"/>
      <c r="I158" s="212"/>
      <c r="J158" s="212"/>
      <c r="K158" s="212"/>
      <c r="L158" s="212"/>
      <c r="M158" s="212"/>
      <c r="N158" s="212"/>
      <c r="O158" s="212"/>
      <c r="P158" s="212"/>
      <c r="Q158" s="212"/>
      <c r="R158" s="212"/>
      <c r="S158" s="212"/>
      <c r="T158" s="212"/>
      <c r="U158" s="212"/>
      <c r="V158" s="212"/>
      <c r="W158" s="212"/>
      <c r="X158" s="212"/>
      <c r="Y158" s="212"/>
    </row>
    <row r="159" ht="48.75" customHeight="1">
      <c r="A159" s="209" t="s">
        <v>2950</v>
      </c>
      <c r="B159" s="210" t="s">
        <v>1073</v>
      </c>
      <c r="C159" s="210" t="s">
        <v>1074</v>
      </c>
      <c r="D159" s="211" t="s">
        <v>2114</v>
      </c>
      <c r="E159" s="210" t="s">
        <v>2117</v>
      </c>
      <c r="F159" s="209" t="s">
        <v>2738</v>
      </c>
      <c r="G159" s="209" t="s">
        <v>2735</v>
      </c>
      <c r="H159" s="212"/>
      <c r="I159" s="212"/>
      <c r="J159" s="212"/>
      <c r="K159" s="212"/>
      <c r="L159" s="212"/>
      <c r="M159" s="212"/>
      <c r="N159" s="212"/>
      <c r="O159" s="212"/>
      <c r="P159" s="212"/>
      <c r="Q159" s="212"/>
      <c r="R159" s="212"/>
      <c r="S159" s="212"/>
      <c r="T159" s="212"/>
      <c r="U159" s="212"/>
      <c r="V159" s="212"/>
      <c r="W159" s="212"/>
      <c r="X159" s="212"/>
      <c r="Y159" s="212"/>
    </row>
    <row r="160" ht="48.75" customHeight="1">
      <c r="A160" s="213" t="s">
        <v>2951</v>
      </c>
      <c r="B160" s="214" t="s">
        <v>1075</v>
      </c>
      <c r="C160" s="214" t="s">
        <v>1076</v>
      </c>
      <c r="D160" s="215" t="s">
        <v>1588</v>
      </c>
      <c r="E160" s="214" t="s">
        <v>2120</v>
      </c>
      <c r="F160" s="213" t="s">
        <v>2734</v>
      </c>
      <c r="G160" s="213" t="s">
        <v>2735</v>
      </c>
      <c r="H160" s="212"/>
      <c r="I160" s="212"/>
      <c r="J160" s="212"/>
      <c r="K160" s="212"/>
      <c r="L160" s="212"/>
      <c r="M160" s="212"/>
      <c r="N160" s="212"/>
      <c r="O160" s="212"/>
      <c r="P160" s="212"/>
      <c r="Q160" s="212"/>
      <c r="R160" s="212"/>
      <c r="S160" s="212"/>
      <c r="T160" s="212"/>
      <c r="U160" s="212"/>
      <c r="V160" s="212"/>
      <c r="W160" s="212"/>
      <c r="X160" s="212"/>
      <c r="Y160" s="212"/>
    </row>
    <row r="161" ht="48.75" customHeight="1">
      <c r="A161" s="209" t="s">
        <v>2952</v>
      </c>
      <c r="B161" s="210" t="s">
        <v>1078</v>
      </c>
      <c r="C161" s="210" t="s">
        <v>1079</v>
      </c>
      <c r="D161" s="219" t="s">
        <v>2953</v>
      </c>
      <c r="E161" s="210" t="s">
        <v>2124</v>
      </c>
      <c r="F161" s="209" t="s">
        <v>2738</v>
      </c>
      <c r="G161" s="209" t="s">
        <v>2735</v>
      </c>
      <c r="H161" s="212"/>
      <c r="I161" s="212"/>
      <c r="J161" s="212"/>
      <c r="K161" s="212"/>
      <c r="L161" s="212"/>
      <c r="M161" s="212"/>
      <c r="N161" s="212"/>
      <c r="O161" s="212"/>
      <c r="P161" s="212"/>
      <c r="Q161" s="212"/>
      <c r="R161" s="212"/>
      <c r="S161" s="212"/>
      <c r="T161" s="212"/>
      <c r="U161" s="212"/>
      <c r="V161" s="212"/>
      <c r="W161" s="212"/>
      <c r="X161" s="212"/>
      <c r="Y161" s="212"/>
    </row>
    <row r="162" ht="48.75" customHeight="1">
      <c r="A162" s="213" t="s">
        <v>2954</v>
      </c>
      <c r="B162" s="214" t="s">
        <v>1080</v>
      </c>
      <c r="C162" s="214" t="s">
        <v>1081</v>
      </c>
      <c r="D162" s="215" t="s">
        <v>2127</v>
      </c>
      <c r="E162" s="214" t="s">
        <v>2128</v>
      </c>
      <c r="F162" s="213" t="s">
        <v>2738</v>
      </c>
      <c r="G162" s="213" t="s">
        <v>2735</v>
      </c>
      <c r="H162" s="212"/>
      <c r="I162" s="212"/>
      <c r="J162" s="212"/>
      <c r="K162" s="212"/>
      <c r="L162" s="212"/>
      <c r="M162" s="212"/>
      <c r="N162" s="212"/>
      <c r="O162" s="212"/>
      <c r="P162" s="212"/>
      <c r="Q162" s="212"/>
      <c r="R162" s="212"/>
      <c r="S162" s="212"/>
      <c r="T162" s="212"/>
      <c r="U162" s="212"/>
      <c r="V162" s="212"/>
      <c r="W162" s="212"/>
      <c r="X162" s="212"/>
      <c r="Y162" s="212"/>
    </row>
    <row r="163" ht="48.75" customHeight="1">
      <c r="A163" s="209" t="s">
        <v>2955</v>
      </c>
      <c r="B163" s="210" t="s">
        <v>1082</v>
      </c>
      <c r="C163" s="210" t="s">
        <v>1083</v>
      </c>
      <c r="D163" s="211" t="s">
        <v>2131</v>
      </c>
      <c r="E163" s="210" t="s">
        <v>2132</v>
      </c>
      <c r="F163" s="209" t="s">
        <v>2738</v>
      </c>
      <c r="G163" s="209" t="s">
        <v>2735</v>
      </c>
      <c r="H163" s="212"/>
      <c r="I163" s="212"/>
      <c r="J163" s="212"/>
      <c r="K163" s="212"/>
      <c r="L163" s="212"/>
      <c r="M163" s="212"/>
      <c r="N163" s="212"/>
      <c r="O163" s="212"/>
      <c r="P163" s="212"/>
      <c r="Q163" s="212"/>
      <c r="R163" s="212"/>
      <c r="S163" s="212"/>
      <c r="T163" s="212"/>
      <c r="U163" s="212"/>
      <c r="V163" s="212"/>
      <c r="W163" s="212"/>
      <c r="X163" s="212"/>
      <c r="Y163" s="212"/>
    </row>
    <row r="164" ht="48.75" customHeight="1">
      <c r="A164" s="213" t="s">
        <v>2956</v>
      </c>
      <c r="B164" s="214" t="s">
        <v>1085</v>
      </c>
      <c r="C164" s="214" t="s">
        <v>1086</v>
      </c>
      <c r="D164" s="215" t="s">
        <v>2135</v>
      </c>
      <c r="E164" s="214" t="s">
        <v>2136</v>
      </c>
      <c r="F164" s="213" t="s">
        <v>2734</v>
      </c>
      <c r="G164" s="213" t="s">
        <v>2735</v>
      </c>
      <c r="H164" s="212"/>
      <c r="I164" s="212"/>
      <c r="J164" s="212"/>
      <c r="K164" s="212"/>
      <c r="L164" s="212"/>
      <c r="M164" s="212"/>
      <c r="N164" s="212"/>
      <c r="O164" s="212"/>
      <c r="P164" s="212"/>
      <c r="Q164" s="212"/>
      <c r="R164" s="212"/>
      <c r="S164" s="212"/>
      <c r="T164" s="212"/>
      <c r="U164" s="212"/>
      <c r="V164" s="212"/>
      <c r="W164" s="212"/>
      <c r="X164" s="212"/>
      <c r="Y164" s="212"/>
    </row>
    <row r="165" ht="48.75" customHeight="1">
      <c r="A165" s="209" t="s">
        <v>2957</v>
      </c>
      <c r="B165" s="210" t="s">
        <v>1087</v>
      </c>
      <c r="C165" s="210" t="s">
        <v>1088</v>
      </c>
      <c r="D165" s="211" t="s">
        <v>2139</v>
      </c>
      <c r="E165" s="210" t="s">
        <v>2140</v>
      </c>
      <c r="F165" s="209" t="s">
        <v>2738</v>
      </c>
      <c r="G165" s="209" t="s">
        <v>2735</v>
      </c>
      <c r="H165" s="212"/>
      <c r="I165" s="212"/>
      <c r="J165" s="212"/>
      <c r="K165" s="212"/>
      <c r="L165" s="212"/>
      <c r="M165" s="212"/>
      <c r="N165" s="212"/>
      <c r="O165" s="212"/>
      <c r="P165" s="212"/>
      <c r="Q165" s="212"/>
      <c r="R165" s="212"/>
      <c r="S165" s="212"/>
      <c r="T165" s="212"/>
      <c r="U165" s="212"/>
      <c r="V165" s="212"/>
      <c r="W165" s="212"/>
      <c r="X165" s="212"/>
      <c r="Y165" s="212"/>
    </row>
    <row r="166" ht="48.75" customHeight="1">
      <c r="A166" s="213" t="s">
        <v>2958</v>
      </c>
      <c r="B166" s="214" t="s">
        <v>1089</v>
      </c>
      <c r="C166" s="214" t="s">
        <v>1090</v>
      </c>
      <c r="D166" s="215" t="s">
        <v>2143</v>
      </c>
      <c r="E166" s="214" t="s">
        <v>2144</v>
      </c>
      <c r="F166" s="213" t="s">
        <v>2740</v>
      </c>
      <c r="G166" s="213" t="s">
        <v>2735</v>
      </c>
      <c r="H166" s="212"/>
      <c r="I166" s="212"/>
      <c r="J166" s="212"/>
      <c r="K166" s="212"/>
      <c r="L166" s="212"/>
      <c r="M166" s="212"/>
      <c r="N166" s="212"/>
      <c r="O166" s="212"/>
      <c r="P166" s="212"/>
      <c r="Q166" s="212"/>
      <c r="R166" s="212"/>
      <c r="S166" s="212"/>
      <c r="T166" s="212"/>
      <c r="U166" s="212"/>
      <c r="V166" s="212"/>
      <c r="W166" s="212"/>
      <c r="X166" s="212"/>
      <c r="Y166" s="212"/>
    </row>
    <row r="167" ht="48.75" customHeight="1">
      <c r="A167" s="209" t="s">
        <v>2959</v>
      </c>
      <c r="B167" s="210" t="s">
        <v>1092</v>
      </c>
      <c r="C167" s="210" t="s">
        <v>1093</v>
      </c>
      <c r="D167" s="211" t="s">
        <v>2147</v>
      </c>
      <c r="E167" s="210" t="s">
        <v>2148</v>
      </c>
      <c r="F167" s="209" t="s">
        <v>2734</v>
      </c>
      <c r="G167" s="209" t="s">
        <v>2735</v>
      </c>
      <c r="H167" s="212"/>
      <c r="I167" s="212"/>
      <c r="J167" s="212"/>
      <c r="K167" s="212"/>
      <c r="L167" s="212"/>
      <c r="M167" s="212"/>
      <c r="N167" s="212"/>
      <c r="O167" s="212"/>
      <c r="P167" s="212"/>
      <c r="Q167" s="212"/>
      <c r="R167" s="212"/>
      <c r="S167" s="212"/>
      <c r="T167" s="212"/>
      <c r="U167" s="212"/>
      <c r="V167" s="212"/>
      <c r="W167" s="212"/>
      <c r="X167" s="212"/>
      <c r="Y167" s="212"/>
    </row>
    <row r="168" ht="48.75" customHeight="1">
      <c r="A168" s="213" t="s">
        <v>2960</v>
      </c>
      <c r="B168" s="214" t="s">
        <v>1094</v>
      </c>
      <c r="C168" s="214" t="s">
        <v>1095</v>
      </c>
      <c r="D168" s="215" t="s">
        <v>2151</v>
      </c>
      <c r="E168" s="214" t="s">
        <v>2152</v>
      </c>
      <c r="F168" s="213" t="s">
        <v>2734</v>
      </c>
      <c r="G168" s="213" t="s">
        <v>2735</v>
      </c>
      <c r="H168" s="212"/>
      <c r="I168" s="212"/>
      <c r="J168" s="212"/>
      <c r="K168" s="212"/>
      <c r="L168" s="212"/>
      <c r="M168" s="212"/>
      <c r="N168" s="212"/>
      <c r="O168" s="212"/>
      <c r="P168" s="212"/>
      <c r="Q168" s="212"/>
      <c r="R168" s="212"/>
      <c r="S168" s="212"/>
      <c r="T168" s="212"/>
      <c r="U168" s="212"/>
      <c r="V168" s="212"/>
      <c r="W168" s="212"/>
      <c r="X168" s="212"/>
      <c r="Y168" s="212"/>
    </row>
    <row r="169" ht="48.75" customHeight="1">
      <c r="A169" s="209" t="s">
        <v>2961</v>
      </c>
      <c r="B169" s="210" t="s">
        <v>1096</v>
      </c>
      <c r="C169" s="210" t="s">
        <v>1097</v>
      </c>
      <c r="D169" s="211" t="s">
        <v>2155</v>
      </c>
      <c r="E169" s="210" t="s">
        <v>2156</v>
      </c>
      <c r="F169" s="209" t="s">
        <v>2740</v>
      </c>
      <c r="G169" s="209" t="s">
        <v>2735</v>
      </c>
      <c r="H169" s="212"/>
      <c r="I169" s="212"/>
      <c r="J169" s="212"/>
      <c r="K169" s="212"/>
      <c r="L169" s="212"/>
      <c r="M169" s="212"/>
      <c r="N169" s="212"/>
      <c r="O169" s="212"/>
      <c r="P169" s="212"/>
      <c r="Q169" s="212"/>
      <c r="R169" s="212"/>
      <c r="S169" s="212"/>
      <c r="T169" s="212"/>
      <c r="U169" s="212"/>
      <c r="V169" s="212"/>
      <c r="W169" s="212"/>
      <c r="X169" s="212"/>
      <c r="Y169" s="212"/>
    </row>
    <row r="170" ht="48.75" customHeight="1">
      <c r="A170" s="213" t="s">
        <v>2962</v>
      </c>
      <c r="B170" s="214" t="s">
        <v>1099</v>
      </c>
      <c r="C170" s="214" t="s">
        <v>1100</v>
      </c>
      <c r="D170" s="215" t="s">
        <v>2159</v>
      </c>
      <c r="E170" s="214" t="s">
        <v>2160</v>
      </c>
      <c r="F170" s="213" t="s">
        <v>2738</v>
      </c>
      <c r="G170" s="213" t="s">
        <v>2735</v>
      </c>
      <c r="H170" s="212"/>
      <c r="I170" s="212"/>
      <c r="J170" s="212"/>
      <c r="K170" s="212"/>
      <c r="L170" s="212"/>
      <c r="M170" s="212"/>
      <c r="N170" s="212"/>
      <c r="O170" s="212"/>
      <c r="P170" s="212"/>
      <c r="Q170" s="212"/>
      <c r="R170" s="212"/>
      <c r="S170" s="212"/>
      <c r="T170" s="212"/>
      <c r="U170" s="212"/>
      <c r="V170" s="212"/>
      <c r="W170" s="212"/>
      <c r="X170" s="212"/>
      <c r="Y170" s="212"/>
    </row>
    <row r="171" ht="48.75" customHeight="1">
      <c r="A171" s="209" t="s">
        <v>2963</v>
      </c>
      <c r="B171" s="210" t="s">
        <v>1101</v>
      </c>
      <c r="C171" s="210" t="s">
        <v>1102</v>
      </c>
      <c r="D171" s="211" t="s">
        <v>2163</v>
      </c>
      <c r="E171" s="210" t="s">
        <v>2132</v>
      </c>
      <c r="F171" s="209" t="s">
        <v>2738</v>
      </c>
      <c r="G171" s="209" t="s">
        <v>2735</v>
      </c>
      <c r="H171" s="212"/>
      <c r="I171" s="212"/>
      <c r="J171" s="212"/>
      <c r="K171" s="212"/>
      <c r="L171" s="212"/>
      <c r="M171" s="212"/>
      <c r="N171" s="212"/>
      <c r="O171" s="212"/>
      <c r="P171" s="212"/>
      <c r="Q171" s="212"/>
      <c r="R171" s="212"/>
      <c r="S171" s="212"/>
      <c r="T171" s="212"/>
      <c r="U171" s="212"/>
      <c r="V171" s="212"/>
      <c r="W171" s="212"/>
      <c r="X171" s="212"/>
      <c r="Y171" s="212"/>
    </row>
    <row r="172" ht="48.75" customHeight="1">
      <c r="A172" s="213" t="s">
        <v>2964</v>
      </c>
      <c r="B172" s="214" t="s">
        <v>1104</v>
      </c>
      <c r="C172" s="214" t="s">
        <v>1105</v>
      </c>
      <c r="D172" s="215" t="s">
        <v>2166</v>
      </c>
      <c r="E172" s="214" t="s">
        <v>2167</v>
      </c>
      <c r="F172" s="213" t="s">
        <v>2734</v>
      </c>
      <c r="G172" s="213" t="s">
        <v>2735</v>
      </c>
      <c r="H172" s="212"/>
      <c r="I172" s="212"/>
      <c r="J172" s="212"/>
      <c r="K172" s="212"/>
      <c r="L172" s="212"/>
      <c r="M172" s="212"/>
      <c r="N172" s="212"/>
      <c r="O172" s="212"/>
      <c r="P172" s="212"/>
      <c r="Q172" s="212"/>
      <c r="R172" s="212"/>
      <c r="S172" s="212"/>
      <c r="T172" s="212"/>
      <c r="U172" s="212"/>
      <c r="V172" s="212"/>
      <c r="W172" s="212"/>
      <c r="X172" s="212"/>
      <c r="Y172" s="212"/>
    </row>
    <row r="173" ht="48.75" customHeight="1">
      <c r="A173" s="209" t="s">
        <v>2965</v>
      </c>
      <c r="B173" s="210" t="s">
        <v>1106</v>
      </c>
      <c r="C173" s="210" t="s">
        <v>1107</v>
      </c>
      <c r="D173" s="211" t="s">
        <v>2172</v>
      </c>
      <c r="E173" s="210" t="s">
        <v>2173</v>
      </c>
      <c r="F173" s="209" t="s">
        <v>2738</v>
      </c>
      <c r="G173" s="209" t="s">
        <v>2735</v>
      </c>
      <c r="H173" s="212"/>
      <c r="I173" s="212"/>
      <c r="J173" s="212"/>
      <c r="K173" s="212"/>
      <c r="L173" s="212"/>
      <c r="M173" s="212"/>
      <c r="N173" s="212"/>
      <c r="O173" s="212"/>
      <c r="P173" s="212"/>
      <c r="Q173" s="212"/>
      <c r="R173" s="212"/>
      <c r="S173" s="212"/>
      <c r="T173" s="212"/>
      <c r="U173" s="212"/>
      <c r="V173" s="212"/>
      <c r="W173" s="212"/>
      <c r="X173" s="212"/>
      <c r="Y173" s="212"/>
    </row>
    <row r="174" ht="48.75" customHeight="1">
      <c r="A174" s="213" t="s">
        <v>2966</v>
      </c>
      <c r="B174" s="214" t="s">
        <v>1108</v>
      </c>
      <c r="C174" s="214" t="s">
        <v>945</v>
      </c>
      <c r="D174" s="215" t="s">
        <v>2178</v>
      </c>
      <c r="E174" s="214" t="s">
        <v>2179</v>
      </c>
      <c r="F174" s="213" t="s">
        <v>2734</v>
      </c>
      <c r="G174" s="213" t="s">
        <v>2735</v>
      </c>
      <c r="H174" s="212"/>
      <c r="I174" s="212"/>
      <c r="J174" s="212"/>
      <c r="K174" s="212"/>
      <c r="L174" s="212"/>
      <c r="M174" s="212"/>
      <c r="N174" s="212"/>
      <c r="O174" s="212"/>
      <c r="P174" s="212"/>
      <c r="Q174" s="212"/>
      <c r="R174" s="212"/>
      <c r="S174" s="212"/>
      <c r="T174" s="212"/>
      <c r="U174" s="212"/>
      <c r="V174" s="212"/>
      <c r="W174" s="212"/>
      <c r="X174" s="212"/>
      <c r="Y174" s="212"/>
    </row>
    <row r="175" ht="48.75" customHeight="1">
      <c r="A175" s="209" t="s">
        <v>2967</v>
      </c>
      <c r="B175" s="210" t="s">
        <v>1110</v>
      </c>
      <c r="C175" s="210" t="s">
        <v>1111</v>
      </c>
      <c r="D175" s="211" t="s">
        <v>2183</v>
      </c>
      <c r="E175" s="210" t="s">
        <v>2184</v>
      </c>
      <c r="F175" s="209" t="s">
        <v>2734</v>
      </c>
      <c r="G175" s="209" t="s">
        <v>2735</v>
      </c>
      <c r="H175" s="212"/>
      <c r="I175" s="212"/>
      <c r="J175" s="212"/>
      <c r="K175" s="212"/>
      <c r="L175" s="212"/>
      <c r="M175" s="212"/>
      <c r="N175" s="212"/>
      <c r="O175" s="212"/>
      <c r="P175" s="212"/>
      <c r="Q175" s="212"/>
      <c r="R175" s="212"/>
      <c r="S175" s="212"/>
      <c r="T175" s="212"/>
      <c r="U175" s="212"/>
      <c r="V175" s="212"/>
      <c r="W175" s="212"/>
      <c r="X175" s="212"/>
      <c r="Y175" s="212"/>
    </row>
    <row r="176" ht="48.75" customHeight="1">
      <c r="A176" s="213" t="s">
        <v>2968</v>
      </c>
      <c r="B176" s="214" t="s">
        <v>1112</v>
      </c>
      <c r="C176" s="214" t="s">
        <v>1113</v>
      </c>
      <c r="D176" s="215" t="s">
        <v>2188</v>
      </c>
      <c r="E176" s="214" t="s">
        <v>2969</v>
      </c>
      <c r="F176" s="213" t="s">
        <v>2738</v>
      </c>
      <c r="G176" s="213" t="s">
        <v>2735</v>
      </c>
      <c r="H176" s="212"/>
      <c r="I176" s="212"/>
      <c r="J176" s="212"/>
      <c r="K176" s="212"/>
      <c r="L176" s="212"/>
      <c r="M176" s="212"/>
      <c r="N176" s="212"/>
      <c r="O176" s="212"/>
      <c r="P176" s="212"/>
      <c r="Q176" s="212"/>
      <c r="R176" s="212"/>
      <c r="S176" s="212"/>
      <c r="T176" s="212"/>
      <c r="U176" s="212"/>
      <c r="V176" s="212"/>
      <c r="W176" s="212"/>
      <c r="X176" s="212"/>
      <c r="Y176" s="212"/>
    </row>
    <row r="177" ht="48.75" customHeight="1">
      <c r="A177" s="209" t="s">
        <v>2970</v>
      </c>
      <c r="B177" s="210" t="s">
        <v>1115</v>
      </c>
      <c r="C177" s="210" t="s">
        <v>1116</v>
      </c>
      <c r="D177" s="211" t="s">
        <v>2193</v>
      </c>
      <c r="E177" s="210" t="s">
        <v>2194</v>
      </c>
      <c r="F177" s="209" t="s">
        <v>2734</v>
      </c>
      <c r="G177" s="209" t="s">
        <v>2735</v>
      </c>
      <c r="H177" s="212"/>
      <c r="I177" s="212"/>
      <c r="J177" s="212"/>
      <c r="K177" s="212"/>
      <c r="L177" s="212"/>
      <c r="M177" s="212"/>
      <c r="N177" s="212"/>
      <c r="O177" s="212"/>
      <c r="P177" s="212"/>
      <c r="Q177" s="212"/>
      <c r="R177" s="212"/>
      <c r="S177" s="212"/>
      <c r="T177" s="212"/>
      <c r="U177" s="212"/>
      <c r="V177" s="212"/>
      <c r="W177" s="212"/>
      <c r="X177" s="212"/>
      <c r="Y177" s="212"/>
    </row>
    <row r="178" ht="48.75" customHeight="1">
      <c r="A178" s="213" t="s">
        <v>2971</v>
      </c>
      <c r="B178" s="214" t="s">
        <v>1118</v>
      </c>
      <c r="C178" s="214" t="s">
        <v>1119</v>
      </c>
      <c r="D178" s="215" t="s">
        <v>2111</v>
      </c>
      <c r="E178" s="214" t="s">
        <v>2197</v>
      </c>
      <c r="F178" s="213" t="s">
        <v>2734</v>
      </c>
      <c r="G178" s="213" t="s">
        <v>2735</v>
      </c>
      <c r="H178" s="212"/>
      <c r="I178" s="212"/>
      <c r="J178" s="212"/>
      <c r="K178" s="212"/>
      <c r="L178" s="212"/>
      <c r="M178" s="212"/>
      <c r="N178" s="212"/>
      <c r="O178" s="212"/>
      <c r="P178" s="212"/>
      <c r="Q178" s="212"/>
      <c r="R178" s="212"/>
      <c r="S178" s="212"/>
      <c r="T178" s="212"/>
      <c r="U178" s="212"/>
      <c r="V178" s="212"/>
      <c r="W178" s="212"/>
      <c r="X178" s="212"/>
      <c r="Y178" s="212"/>
    </row>
    <row r="179" ht="48.75" customHeight="1">
      <c r="A179" s="209" t="s">
        <v>2972</v>
      </c>
      <c r="B179" s="210" t="s">
        <v>1120</v>
      </c>
      <c r="C179" s="210" t="s">
        <v>1121</v>
      </c>
      <c r="D179" s="211" t="s">
        <v>2201</v>
      </c>
      <c r="E179" s="210" t="s">
        <v>2202</v>
      </c>
      <c r="F179" s="209" t="s">
        <v>2734</v>
      </c>
      <c r="G179" s="209" t="s">
        <v>2735</v>
      </c>
      <c r="H179" s="212"/>
      <c r="I179" s="212"/>
      <c r="J179" s="212"/>
      <c r="K179" s="212"/>
      <c r="L179" s="212"/>
      <c r="M179" s="212"/>
      <c r="N179" s="212"/>
      <c r="O179" s="212"/>
      <c r="P179" s="212"/>
      <c r="Q179" s="212"/>
      <c r="R179" s="212"/>
      <c r="S179" s="212"/>
      <c r="T179" s="212"/>
      <c r="U179" s="212"/>
      <c r="V179" s="212"/>
      <c r="W179" s="212"/>
      <c r="X179" s="212"/>
      <c r="Y179" s="212"/>
    </row>
    <row r="180" ht="48.75" customHeight="1">
      <c r="A180" s="213" t="s">
        <v>2973</v>
      </c>
      <c r="B180" s="214" t="s">
        <v>1122</v>
      </c>
      <c r="C180" s="214" t="s">
        <v>1123</v>
      </c>
      <c r="D180" s="215" t="s">
        <v>2205</v>
      </c>
      <c r="E180" s="214" t="s">
        <v>2206</v>
      </c>
      <c r="F180" s="213" t="s">
        <v>2738</v>
      </c>
      <c r="G180" s="213" t="s">
        <v>2735</v>
      </c>
      <c r="H180" s="212"/>
      <c r="I180" s="212"/>
      <c r="J180" s="212"/>
      <c r="K180" s="212"/>
      <c r="L180" s="212"/>
      <c r="M180" s="212"/>
      <c r="N180" s="212"/>
      <c r="O180" s="212"/>
      <c r="P180" s="212"/>
      <c r="Q180" s="212"/>
      <c r="R180" s="212"/>
      <c r="S180" s="212"/>
      <c r="T180" s="212"/>
      <c r="U180" s="212"/>
      <c r="V180" s="212"/>
      <c r="W180" s="212"/>
      <c r="X180" s="212"/>
      <c r="Y180" s="212"/>
    </row>
    <row r="181" ht="48.75" customHeight="1">
      <c r="A181" s="209" t="s">
        <v>2974</v>
      </c>
      <c r="B181" s="210" t="s">
        <v>1125</v>
      </c>
      <c r="C181" s="210" t="s">
        <v>1126</v>
      </c>
      <c r="D181" s="211" t="s">
        <v>2209</v>
      </c>
      <c r="E181" s="210" t="s">
        <v>2210</v>
      </c>
      <c r="F181" s="209" t="s">
        <v>2738</v>
      </c>
      <c r="G181" s="209" t="s">
        <v>2735</v>
      </c>
      <c r="H181" s="212"/>
      <c r="I181" s="212"/>
      <c r="J181" s="212"/>
      <c r="K181" s="212"/>
      <c r="L181" s="212"/>
      <c r="M181" s="212"/>
      <c r="N181" s="212"/>
      <c r="O181" s="212"/>
      <c r="P181" s="212"/>
      <c r="Q181" s="212"/>
      <c r="R181" s="212"/>
      <c r="S181" s="212"/>
      <c r="T181" s="212"/>
      <c r="U181" s="212"/>
      <c r="V181" s="212"/>
      <c r="W181" s="212"/>
      <c r="X181" s="212"/>
      <c r="Y181" s="212"/>
    </row>
    <row r="182" ht="48.75" customHeight="1">
      <c r="A182" s="213" t="s">
        <v>2975</v>
      </c>
      <c r="B182" s="214" t="s">
        <v>1127</v>
      </c>
      <c r="C182" s="214" t="s">
        <v>1128</v>
      </c>
      <c r="D182" s="215" t="s">
        <v>2205</v>
      </c>
      <c r="E182" s="214" t="s">
        <v>2212</v>
      </c>
      <c r="F182" s="213" t="s">
        <v>2738</v>
      </c>
      <c r="G182" s="213" t="s">
        <v>2735</v>
      </c>
      <c r="H182" s="212"/>
      <c r="I182" s="212"/>
      <c r="J182" s="212"/>
      <c r="K182" s="212"/>
      <c r="L182" s="212"/>
      <c r="M182" s="212"/>
      <c r="N182" s="212"/>
      <c r="O182" s="212"/>
      <c r="P182" s="212"/>
      <c r="Q182" s="212"/>
      <c r="R182" s="212"/>
      <c r="S182" s="212"/>
      <c r="T182" s="212"/>
      <c r="U182" s="212"/>
      <c r="V182" s="212"/>
      <c r="W182" s="212"/>
      <c r="X182" s="212"/>
      <c r="Y182" s="212"/>
    </row>
    <row r="183" ht="48.75" customHeight="1">
      <c r="A183" s="209" t="s">
        <v>2976</v>
      </c>
      <c r="B183" s="210" t="s">
        <v>1129</v>
      </c>
      <c r="C183" s="210" t="s">
        <v>1130</v>
      </c>
      <c r="D183" s="211" t="s">
        <v>2111</v>
      </c>
      <c r="E183" s="210" t="s">
        <v>2214</v>
      </c>
      <c r="F183" s="209" t="s">
        <v>2734</v>
      </c>
      <c r="G183" s="209" t="s">
        <v>2735</v>
      </c>
      <c r="H183" s="212"/>
      <c r="I183" s="212"/>
      <c r="J183" s="212"/>
      <c r="K183" s="212"/>
      <c r="L183" s="212"/>
      <c r="M183" s="212"/>
      <c r="N183" s="212"/>
      <c r="O183" s="212"/>
      <c r="P183" s="212"/>
      <c r="Q183" s="212"/>
      <c r="R183" s="212"/>
      <c r="S183" s="212"/>
      <c r="T183" s="212"/>
      <c r="U183" s="212"/>
      <c r="V183" s="212"/>
      <c r="W183" s="212"/>
      <c r="X183" s="212"/>
      <c r="Y183" s="212"/>
    </row>
    <row r="184" ht="48.75" customHeight="1">
      <c r="A184" s="213" t="s">
        <v>2977</v>
      </c>
      <c r="B184" s="214" t="s">
        <v>1132</v>
      </c>
      <c r="C184" s="214" t="s">
        <v>1133</v>
      </c>
      <c r="D184" s="215" t="s">
        <v>2217</v>
      </c>
      <c r="E184" s="214" t="s">
        <v>2218</v>
      </c>
      <c r="F184" s="213" t="s">
        <v>2734</v>
      </c>
      <c r="G184" s="213" t="s">
        <v>2735</v>
      </c>
      <c r="H184" s="212"/>
      <c r="I184" s="212"/>
      <c r="J184" s="212"/>
      <c r="K184" s="212"/>
      <c r="L184" s="212"/>
      <c r="M184" s="212"/>
      <c r="N184" s="212"/>
      <c r="O184" s="212"/>
      <c r="P184" s="212"/>
      <c r="Q184" s="212"/>
      <c r="R184" s="212"/>
      <c r="S184" s="212"/>
      <c r="T184" s="212"/>
      <c r="U184" s="212"/>
      <c r="V184" s="212"/>
      <c r="W184" s="212"/>
      <c r="X184" s="212"/>
      <c r="Y184" s="212"/>
    </row>
    <row r="185" ht="48.75" customHeight="1">
      <c r="A185" s="209" t="s">
        <v>2978</v>
      </c>
      <c r="B185" s="210" t="s">
        <v>1134</v>
      </c>
      <c r="C185" s="210" t="s">
        <v>1135</v>
      </c>
      <c r="D185" s="211" t="s">
        <v>2222</v>
      </c>
      <c r="E185" s="210" t="s">
        <v>2223</v>
      </c>
      <c r="F185" s="209" t="s">
        <v>2740</v>
      </c>
      <c r="G185" s="209" t="s">
        <v>2735</v>
      </c>
      <c r="H185" s="212"/>
      <c r="I185" s="212"/>
      <c r="J185" s="212"/>
      <c r="K185" s="212"/>
      <c r="L185" s="212"/>
      <c r="M185" s="212"/>
      <c r="N185" s="212"/>
      <c r="O185" s="212"/>
      <c r="P185" s="212"/>
      <c r="Q185" s="212"/>
      <c r="R185" s="212"/>
      <c r="S185" s="212"/>
      <c r="T185" s="212"/>
      <c r="U185" s="212"/>
      <c r="V185" s="212"/>
      <c r="W185" s="212"/>
      <c r="X185" s="212"/>
      <c r="Y185" s="212"/>
    </row>
    <row r="186" ht="48.75" customHeight="1">
      <c r="A186" s="213" t="s">
        <v>2979</v>
      </c>
      <c r="B186" s="214" t="s">
        <v>1137</v>
      </c>
      <c r="C186" s="214" t="s">
        <v>1138</v>
      </c>
      <c r="D186" s="215" t="s">
        <v>2227</v>
      </c>
      <c r="E186" s="214" t="s">
        <v>2212</v>
      </c>
      <c r="F186" s="213" t="s">
        <v>2738</v>
      </c>
      <c r="G186" s="213" t="s">
        <v>2735</v>
      </c>
      <c r="H186" s="212"/>
      <c r="I186" s="212"/>
      <c r="J186" s="212"/>
      <c r="K186" s="212"/>
      <c r="L186" s="212"/>
      <c r="M186" s="212"/>
      <c r="N186" s="212"/>
      <c r="O186" s="212"/>
      <c r="P186" s="212"/>
      <c r="Q186" s="212"/>
      <c r="R186" s="212"/>
      <c r="S186" s="212"/>
      <c r="T186" s="212"/>
      <c r="U186" s="212"/>
      <c r="V186" s="212"/>
      <c r="W186" s="212"/>
      <c r="X186" s="212"/>
      <c r="Y186" s="212"/>
    </row>
    <row r="187" ht="48.75" customHeight="1">
      <c r="A187" s="209" t="s">
        <v>2980</v>
      </c>
      <c r="B187" s="210" t="s">
        <v>1139</v>
      </c>
      <c r="C187" s="210" t="s">
        <v>1140</v>
      </c>
      <c r="D187" s="211" t="s">
        <v>2111</v>
      </c>
      <c r="E187" s="210" t="s">
        <v>2231</v>
      </c>
      <c r="F187" s="209" t="s">
        <v>2734</v>
      </c>
      <c r="G187" s="209" t="s">
        <v>2735</v>
      </c>
      <c r="H187" s="212"/>
      <c r="I187" s="212"/>
      <c r="J187" s="212"/>
      <c r="K187" s="212"/>
      <c r="L187" s="212"/>
      <c r="M187" s="212"/>
      <c r="N187" s="212"/>
      <c r="O187" s="212"/>
      <c r="P187" s="212"/>
      <c r="Q187" s="212"/>
      <c r="R187" s="212"/>
      <c r="S187" s="212"/>
      <c r="T187" s="212"/>
      <c r="U187" s="212"/>
      <c r="V187" s="212"/>
      <c r="W187" s="212"/>
      <c r="X187" s="212"/>
      <c r="Y187" s="212"/>
    </row>
    <row r="188" ht="48.75" customHeight="1">
      <c r="A188" s="213" t="s">
        <v>2981</v>
      </c>
      <c r="B188" s="214" t="s">
        <v>1142</v>
      </c>
      <c r="C188" s="214" t="s">
        <v>1143</v>
      </c>
      <c r="D188" s="215" t="s">
        <v>2235</v>
      </c>
      <c r="E188" s="214" t="s">
        <v>2236</v>
      </c>
      <c r="F188" s="213" t="s">
        <v>2734</v>
      </c>
      <c r="G188" s="213" t="s">
        <v>2735</v>
      </c>
      <c r="H188" s="212"/>
      <c r="I188" s="212"/>
      <c r="J188" s="212"/>
      <c r="K188" s="212"/>
      <c r="L188" s="212"/>
      <c r="M188" s="212"/>
      <c r="N188" s="212"/>
      <c r="O188" s="212"/>
      <c r="P188" s="212"/>
      <c r="Q188" s="212"/>
      <c r="R188" s="212"/>
      <c r="S188" s="212"/>
      <c r="T188" s="212"/>
      <c r="U188" s="212"/>
      <c r="V188" s="212"/>
      <c r="W188" s="212"/>
      <c r="X188" s="212"/>
      <c r="Y188" s="212"/>
    </row>
    <row r="189" ht="48.75" customHeight="1">
      <c r="A189" s="209" t="s">
        <v>2982</v>
      </c>
      <c r="B189" s="210" t="s">
        <v>1144</v>
      </c>
      <c r="C189" s="210" t="s">
        <v>1145</v>
      </c>
      <c r="D189" s="211" t="s">
        <v>2240</v>
      </c>
      <c r="E189" s="210" t="s">
        <v>2241</v>
      </c>
      <c r="F189" s="209" t="s">
        <v>2738</v>
      </c>
      <c r="G189" s="209" t="s">
        <v>2735</v>
      </c>
      <c r="H189" s="212"/>
      <c r="I189" s="212"/>
      <c r="J189" s="212"/>
      <c r="K189" s="212"/>
      <c r="L189" s="212"/>
      <c r="M189" s="212"/>
      <c r="N189" s="212"/>
      <c r="O189" s="212"/>
      <c r="P189" s="212"/>
      <c r="Q189" s="212"/>
      <c r="R189" s="212"/>
      <c r="S189" s="212"/>
      <c r="T189" s="212"/>
      <c r="U189" s="212"/>
      <c r="V189" s="212"/>
      <c r="W189" s="212"/>
      <c r="X189" s="212"/>
      <c r="Y189" s="212"/>
    </row>
    <row r="190" ht="48.75" customHeight="1">
      <c r="A190" s="213" t="s">
        <v>2983</v>
      </c>
      <c r="B190" s="214" t="s">
        <v>1146</v>
      </c>
      <c r="C190" s="214" t="s">
        <v>1147</v>
      </c>
      <c r="D190" s="215" t="s">
        <v>2245</v>
      </c>
      <c r="E190" s="214" t="s">
        <v>2246</v>
      </c>
      <c r="F190" s="213" t="s">
        <v>2734</v>
      </c>
      <c r="G190" s="213" t="s">
        <v>2735</v>
      </c>
      <c r="H190" s="212"/>
      <c r="I190" s="212"/>
      <c r="J190" s="212"/>
      <c r="K190" s="212"/>
      <c r="L190" s="212"/>
      <c r="M190" s="212"/>
      <c r="N190" s="212"/>
      <c r="O190" s="212"/>
      <c r="P190" s="212"/>
      <c r="Q190" s="212"/>
      <c r="R190" s="212"/>
      <c r="S190" s="212"/>
      <c r="T190" s="212"/>
      <c r="U190" s="212"/>
      <c r="V190" s="212"/>
      <c r="W190" s="212"/>
      <c r="X190" s="212"/>
      <c r="Y190" s="212"/>
    </row>
    <row r="191" ht="48.75" customHeight="1">
      <c r="A191" s="209" t="s">
        <v>2984</v>
      </c>
      <c r="B191" s="210" t="s">
        <v>1149</v>
      </c>
      <c r="C191" s="210" t="s">
        <v>1150</v>
      </c>
      <c r="D191" s="211" t="s">
        <v>2250</v>
      </c>
      <c r="E191" s="210" t="s">
        <v>2251</v>
      </c>
      <c r="F191" s="209" t="s">
        <v>2738</v>
      </c>
      <c r="G191" s="209" t="s">
        <v>2735</v>
      </c>
      <c r="H191" s="212"/>
      <c r="I191" s="212"/>
      <c r="J191" s="212"/>
      <c r="K191" s="212"/>
      <c r="L191" s="212"/>
      <c r="M191" s="212"/>
      <c r="N191" s="212"/>
      <c r="O191" s="212"/>
      <c r="P191" s="212"/>
      <c r="Q191" s="212"/>
      <c r="R191" s="212"/>
      <c r="S191" s="212"/>
      <c r="T191" s="212"/>
      <c r="U191" s="212"/>
      <c r="V191" s="212"/>
      <c r="W191" s="212"/>
      <c r="X191" s="212"/>
      <c r="Y191" s="212"/>
    </row>
    <row r="192" ht="48.75" customHeight="1">
      <c r="A192" s="213" t="s">
        <v>2985</v>
      </c>
      <c r="B192" s="214" t="s">
        <v>1151</v>
      </c>
      <c r="C192" s="214" t="s">
        <v>1152</v>
      </c>
      <c r="D192" s="215" t="s">
        <v>2254</v>
      </c>
      <c r="E192" s="214" t="s">
        <v>2255</v>
      </c>
      <c r="F192" s="213" t="s">
        <v>2734</v>
      </c>
      <c r="G192" s="213" t="s">
        <v>2735</v>
      </c>
      <c r="H192" s="212"/>
      <c r="I192" s="212"/>
      <c r="J192" s="212"/>
      <c r="K192" s="212"/>
      <c r="L192" s="212"/>
      <c r="M192" s="212"/>
      <c r="N192" s="212"/>
      <c r="O192" s="212"/>
      <c r="P192" s="212"/>
      <c r="Q192" s="212"/>
      <c r="R192" s="212"/>
      <c r="S192" s="212"/>
      <c r="T192" s="212"/>
      <c r="U192" s="212"/>
      <c r="V192" s="212"/>
      <c r="W192" s="212"/>
      <c r="X192" s="212"/>
      <c r="Y192" s="212"/>
    </row>
    <row r="193" ht="48.75" customHeight="1">
      <c r="A193" s="209" t="s">
        <v>2986</v>
      </c>
      <c r="B193" s="210" t="s">
        <v>1154</v>
      </c>
      <c r="C193" s="210" t="s">
        <v>1155</v>
      </c>
      <c r="D193" s="220" t="s">
        <v>2259</v>
      </c>
      <c r="E193" s="210" t="s">
        <v>2987</v>
      </c>
      <c r="F193" s="209" t="s">
        <v>2734</v>
      </c>
      <c r="G193" s="209" t="s">
        <v>2735</v>
      </c>
      <c r="H193" s="212"/>
      <c r="I193" s="212"/>
      <c r="J193" s="212"/>
      <c r="K193" s="212"/>
      <c r="L193" s="212"/>
      <c r="M193" s="212"/>
      <c r="N193" s="212"/>
      <c r="O193" s="212"/>
      <c r="P193" s="212"/>
      <c r="Q193" s="212"/>
      <c r="R193" s="212"/>
      <c r="S193" s="212"/>
      <c r="T193" s="212"/>
      <c r="U193" s="212"/>
      <c r="V193" s="212"/>
      <c r="W193" s="212"/>
      <c r="X193" s="212"/>
      <c r="Y193" s="212"/>
    </row>
    <row r="194" ht="48.75" customHeight="1">
      <c r="A194" s="213" t="s">
        <v>2988</v>
      </c>
      <c r="B194" s="214" t="s">
        <v>1156</v>
      </c>
      <c r="C194" s="214" t="s">
        <v>1157</v>
      </c>
      <c r="D194" s="220" t="s">
        <v>2264</v>
      </c>
      <c r="E194" s="214" t="s">
        <v>2989</v>
      </c>
      <c r="F194" s="213" t="s">
        <v>2734</v>
      </c>
      <c r="G194" s="213" t="s">
        <v>2735</v>
      </c>
      <c r="H194" s="212"/>
      <c r="I194" s="212"/>
      <c r="J194" s="212"/>
      <c r="K194" s="212"/>
      <c r="L194" s="212"/>
      <c r="M194" s="212"/>
      <c r="N194" s="212"/>
      <c r="O194" s="212"/>
      <c r="P194" s="212"/>
      <c r="Q194" s="212"/>
      <c r="R194" s="212"/>
      <c r="S194" s="212"/>
      <c r="T194" s="212"/>
      <c r="U194" s="212"/>
      <c r="V194" s="212"/>
      <c r="W194" s="212"/>
      <c r="X194" s="212"/>
      <c r="Y194" s="212"/>
    </row>
    <row r="195" ht="48.75" customHeight="1">
      <c r="A195" s="209" t="s">
        <v>2990</v>
      </c>
      <c r="B195" s="210" t="s">
        <v>1159</v>
      </c>
      <c r="C195" s="210" t="s">
        <v>1160</v>
      </c>
      <c r="D195" s="220" t="s">
        <v>2270</v>
      </c>
      <c r="E195" s="210" t="s">
        <v>2991</v>
      </c>
      <c r="F195" s="209" t="s">
        <v>2734</v>
      </c>
      <c r="G195" s="209" t="s">
        <v>2735</v>
      </c>
      <c r="H195" s="212"/>
      <c r="I195" s="212"/>
      <c r="J195" s="212"/>
      <c r="K195" s="212"/>
      <c r="L195" s="212"/>
      <c r="M195" s="212"/>
      <c r="N195" s="212"/>
      <c r="O195" s="212"/>
      <c r="P195" s="212"/>
      <c r="Q195" s="212"/>
      <c r="R195" s="212"/>
      <c r="S195" s="212"/>
      <c r="T195" s="212"/>
      <c r="U195" s="212"/>
      <c r="V195" s="212"/>
      <c r="W195" s="212"/>
      <c r="X195" s="212"/>
      <c r="Y195" s="212"/>
    </row>
    <row r="196" ht="48.75" customHeight="1">
      <c r="A196" s="213" t="s">
        <v>2992</v>
      </c>
      <c r="B196" s="214" t="s">
        <v>1161</v>
      </c>
      <c r="C196" s="214" t="s">
        <v>1162</v>
      </c>
      <c r="D196" s="220" t="s">
        <v>2276</v>
      </c>
      <c r="E196" s="214" t="s">
        <v>2212</v>
      </c>
      <c r="F196" s="213" t="s">
        <v>2738</v>
      </c>
      <c r="G196" s="213" t="s">
        <v>2735</v>
      </c>
      <c r="H196" s="212"/>
      <c r="I196" s="212"/>
      <c r="J196" s="212"/>
      <c r="K196" s="212"/>
      <c r="L196" s="212"/>
      <c r="M196" s="212"/>
      <c r="N196" s="212"/>
      <c r="O196" s="212"/>
      <c r="P196" s="212"/>
      <c r="Q196" s="212"/>
      <c r="R196" s="212"/>
      <c r="S196" s="212"/>
      <c r="T196" s="212"/>
      <c r="U196" s="212"/>
      <c r="V196" s="212"/>
      <c r="W196" s="212"/>
      <c r="X196" s="212"/>
      <c r="Y196" s="212"/>
    </row>
    <row r="197" ht="48.75" customHeight="1">
      <c r="A197" s="209" t="s">
        <v>2993</v>
      </c>
      <c r="B197" s="210" t="s">
        <v>1163</v>
      </c>
      <c r="C197" s="210" t="s">
        <v>1164</v>
      </c>
      <c r="D197" s="220" t="s">
        <v>2282</v>
      </c>
      <c r="E197" s="210" t="s">
        <v>2994</v>
      </c>
      <c r="F197" s="209" t="s">
        <v>2734</v>
      </c>
      <c r="G197" s="209" t="s">
        <v>2735</v>
      </c>
      <c r="H197" s="212"/>
      <c r="I197" s="212"/>
      <c r="J197" s="212"/>
      <c r="K197" s="212"/>
      <c r="L197" s="212"/>
      <c r="M197" s="212"/>
      <c r="N197" s="212"/>
      <c r="O197" s="212"/>
      <c r="P197" s="212"/>
      <c r="Q197" s="212"/>
      <c r="R197" s="212"/>
      <c r="S197" s="212"/>
      <c r="T197" s="212"/>
      <c r="U197" s="212"/>
      <c r="V197" s="212"/>
      <c r="W197" s="212"/>
      <c r="X197" s="212"/>
      <c r="Y197" s="212"/>
    </row>
    <row r="198" ht="48.75" customHeight="1">
      <c r="A198" s="213" t="s">
        <v>2995</v>
      </c>
      <c r="B198" s="214" t="s">
        <v>1166</v>
      </c>
      <c r="C198" s="214" t="s">
        <v>1167</v>
      </c>
      <c r="D198" s="220" t="s">
        <v>2288</v>
      </c>
      <c r="E198" s="214" t="s">
        <v>2996</v>
      </c>
      <c r="F198" s="213" t="s">
        <v>2734</v>
      </c>
      <c r="G198" s="213" t="s">
        <v>2735</v>
      </c>
      <c r="H198" s="212"/>
      <c r="I198" s="212"/>
      <c r="J198" s="212"/>
      <c r="K198" s="212"/>
      <c r="L198" s="212"/>
      <c r="M198" s="212"/>
      <c r="N198" s="212"/>
      <c r="O198" s="212"/>
      <c r="P198" s="212"/>
      <c r="Q198" s="212"/>
      <c r="R198" s="212"/>
      <c r="S198" s="212"/>
      <c r="T198" s="212"/>
      <c r="U198" s="212"/>
      <c r="V198" s="212"/>
      <c r="W198" s="212"/>
      <c r="X198" s="212"/>
      <c r="Y198" s="212"/>
    </row>
    <row r="199" ht="48.75" customHeight="1">
      <c r="A199" s="209" t="s">
        <v>2997</v>
      </c>
      <c r="B199" s="210" t="s">
        <v>1168</v>
      </c>
      <c r="C199" s="210" t="s">
        <v>1169</v>
      </c>
      <c r="D199" s="220" t="s">
        <v>2294</v>
      </c>
      <c r="E199" s="210" t="s">
        <v>2534</v>
      </c>
      <c r="F199" s="209" t="s">
        <v>2738</v>
      </c>
      <c r="G199" s="209" t="s">
        <v>2735</v>
      </c>
      <c r="H199" s="212"/>
      <c r="I199" s="212"/>
      <c r="J199" s="212"/>
      <c r="K199" s="212"/>
      <c r="L199" s="212"/>
      <c r="M199" s="212"/>
      <c r="N199" s="212"/>
      <c r="O199" s="212"/>
      <c r="P199" s="212"/>
      <c r="Q199" s="212"/>
      <c r="R199" s="212"/>
      <c r="S199" s="212"/>
      <c r="T199" s="212"/>
      <c r="U199" s="212"/>
      <c r="V199" s="212"/>
      <c r="W199" s="212"/>
      <c r="X199" s="212"/>
      <c r="Y199" s="212"/>
    </row>
    <row r="200" ht="48.75" customHeight="1">
      <c r="A200" s="213" t="s">
        <v>2998</v>
      </c>
      <c r="B200" s="214" t="s">
        <v>1170</v>
      </c>
      <c r="C200" s="214" t="s">
        <v>1171</v>
      </c>
      <c r="D200" s="220" t="s">
        <v>2299</v>
      </c>
      <c r="E200" s="214" t="s">
        <v>2999</v>
      </c>
      <c r="F200" s="213" t="s">
        <v>2734</v>
      </c>
      <c r="G200" s="213" t="s">
        <v>2735</v>
      </c>
      <c r="H200" s="212"/>
      <c r="I200" s="212"/>
      <c r="J200" s="212"/>
      <c r="K200" s="212"/>
      <c r="L200" s="212"/>
      <c r="M200" s="212"/>
      <c r="N200" s="212"/>
      <c r="O200" s="212"/>
      <c r="P200" s="212"/>
      <c r="Q200" s="212"/>
      <c r="R200" s="212"/>
      <c r="S200" s="212"/>
      <c r="T200" s="212"/>
      <c r="U200" s="212"/>
      <c r="V200" s="212"/>
      <c r="W200" s="212"/>
      <c r="X200" s="212"/>
      <c r="Y200" s="212"/>
    </row>
    <row r="201" ht="48.75" customHeight="1">
      <c r="A201" s="209" t="s">
        <v>3000</v>
      </c>
      <c r="B201" s="210" t="s">
        <v>1173</v>
      </c>
      <c r="C201" s="210" t="s">
        <v>1174</v>
      </c>
      <c r="D201" s="220" t="s">
        <v>2305</v>
      </c>
      <c r="E201" s="210" t="s">
        <v>3001</v>
      </c>
      <c r="F201" s="209" t="s">
        <v>2734</v>
      </c>
      <c r="G201" s="209" t="s">
        <v>2735</v>
      </c>
      <c r="H201" s="212"/>
      <c r="I201" s="212"/>
      <c r="J201" s="212"/>
      <c r="K201" s="212"/>
      <c r="L201" s="212"/>
      <c r="M201" s="212"/>
      <c r="N201" s="212"/>
      <c r="O201" s="212"/>
      <c r="P201" s="212"/>
      <c r="Q201" s="212"/>
      <c r="R201" s="212"/>
      <c r="S201" s="212"/>
      <c r="T201" s="212"/>
      <c r="U201" s="212"/>
      <c r="V201" s="212"/>
      <c r="W201" s="212"/>
      <c r="X201" s="212"/>
      <c r="Y201" s="212"/>
    </row>
    <row r="202" ht="48.75" customHeight="1">
      <c r="A202" s="213" t="s">
        <v>3002</v>
      </c>
      <c r="B202" s="214" t="s">
        <v>1175</v>
      </c>
      <c r="C202" s="214" t="s">
        <v>1176</v>
      </c>
      <c r="D202" s="220" t="s">
        <v>2311</v>
      </c>
      <c r="E202" s="214" t="s">
        <v>3003</v>
      </c>
      <c r="F202" s="213" t="s">
        <v>2740</v>
      </c>
      <c r="G202" s="213" t="s">
        <v>2735</v>
      </c>
      <c r="H202" s="212"/>
      <c r="I202" s="212"/>
      <c r="J202" s="212"/>
      <c r="K202" s="212"/>
      <c r="L202" s="212"/>
      <c r="M202" s="212"/>
      <c r="N202" s="212"/>
      <c r="O202" s="212"/>
      <c r="P202" s="212"/>
      <c r="Q202" s="212"/>
      <c r="R202" s="212"/>
      <c r="S202" s="212"/>
      <c r="T202" s="212"/>
      <c r="U202" s="212"/>
      <c r="V202" s="212"/>
      <c r="W202" s="212"/>
      <c r="X202" s="212"/>
      <c r="Y202" s="212"/>
    </row>
    <row r="203" ht="48.75" customHeight="1">
      <c r="A203" s="209" t="s">
        <v>3004</v>
      </c>
      <c r="B203" s="210" t="s">
        <v>1178</v>
      </c>
      <c r="C203" s="210" t="s">
        <v>1179</v>
      </c>
      <c r="D203" s="220" t="s">
        <v>2317</v>
      </c>
      <c r="E203" s="210" t="s">
        <v>3005</v>
      </c>
      <c r="F203" s="209" t="s">
        <v>2734</v>
      </c>
      <c r="G203" s="209" t="s">
        <v>2735</v>
      </c>
      <c r="H203" s="212"/>
      <c r="I203" s="212"/>
      <c r="J203" s="212"/>
      <c r="K203" s="212"/>
      <c r="L203" s="212"/>
      <c r="M203" s="212"/>
      <c r="N203" s="212"/>
      <c r="O203" s="212"/>
      <c r="P203" s="212"/>
      <c r="Q203" s="212"/>
      <c r="R203" s="212"/>
      <c r="S203" s="212"/>
      <c r="T203" s="212"/>
      <c r="U203" s="212"/>
      <c r="V203" s="212"/>
      <c r="W203" s="212"/>
      <c r="X203" s="212"/>
      <c r="Y203" s="212"/>
    </row>
    <row r="204" ht="48.75" customHeight="1">
      <c r="A204" s="213" t="s">
        <v>3006</v>
      </c>
      <c r="B204" s="214" t="s">
        <v>1180</v>
      </c>
      <c r="C204" s="214" t="s">
        <v>1181</v>
      </c>
      <c r="D204" s="220" t="s">
        <v>2323</v>
      </c>
      <c r="E204" s="214" t="s">
        <v>3007</v>
      </c>
      <c r="F204" s="213" t="s">
        <v>2734</v>
      </c>
      <c r="G204" s="213" t="s">
        <v>2735</v>
      </c>
      <c r="H204" s="212"/>
      <c r="I204" s="212"/>
      <c r="J204" s="212"/>
      <c r="K204" s="212"/>
      <c r="L204" s="212"/>
      <c r="M204" s="212"/>
      <c r="N204" s="212"/>
      <c r="O204" s="212"/>
      <c r="P204" s="212"/>
      <c r="Q204" s="212"/>
      <c r="R204" s="212"/>
      <c r="S204" s="212"/>
      <c r="T204" s="212"/>
      <c r="U204" s="212"/>
      <c r="V204" s="212"/>
      <c r="W204" s="212"/>
      <c r="X204" s="212"/>
      <c r="Y204" s="212"/>
    </row>
    <row r="205" ht="48.75" customHeight="1">
      <c r="A205" s="209" t="s">
        <v>3008</v>
      </c>
      <c r="B205" s="210" t="s">
        <v>1183</v>
      </c>
      <c r="C205" s="210" t="s">
        <v>1184</v>
      </c>
      <c r="D205" s="220" t="s">
        <v>2329</v>
      </c>
      <c r="E205" s="210" t="s">
        <v>3009</v>
      </c>
      <c r="F205" s="209" t="s">
        <v>2734</v>
      </c>
      <c r="G205" s="209" t="s">
        <v>2735</v>
      </c>
      <c r="H205" s="212"/>
      <c r="I205" s="212"/>
      <c r="J205" s="212"/>
      <c r="K205" s="212"/>
      <c r="L205" s="212"/>
      <c r="M205" s="212"/>
      <c r="N205" s="212"/>
      <c r="O205" s="212"/>
      <c r="P205" s="212"/>
      <c r="Q205" s="212"/>
      <c r="R205" s="212"/>
      <c r="S205" s="212"/>
      <c r="T205" s="212"/>
      <c r="U205" s="212"/>
      <c r="V205" s="212"/>
      <c r="W205" s="212"/>
      <c r="X205" s="212"/>
      <c r="Y205" s="212"/>
    </row>
    <row r="206" ht="48.75" customHeight="1">
      <c r="A206" s="213" t="s">
        <v>3010</v>
      </c>
      <c r="B206" s="214" t="s">
        <v>1185</v>
      </c>
      <c r="C206" s="214" t="s">
        <v>1186</v>
      </c>
      <c r="D206" s="220" t="s">
        <v>2335</v>
      </c>
      <c r="E206" s="214" t="s">
        <v>3011</v>
      </c>
      <c r="F206" s="213" t="s">
        <v>2740</v>
      </c>
      <c r="G206" s="213" t="s">
        <v>2735</v>
      </c>
      <c r="H206" s="212"/>
      <c r="I206" s="212"/>
      <c r="J206" s="212"/>
      <c r="K206" s="212"/>
      <c r="L206" s="212"/>
      <c r="M206" s="212"/>
      <c r="N206" s="212"/>
      <c r="O206" s="212"/>
      <c r="P206" s="212"/>
      <c r="Q206" s="212"/>
      <c r="R206" s="212"/>
      <c r="S206" s="212"/>
      <c r="T206" s="212"/>
      <c r="U206" s="212"/>
      <c r="V206" s="212"/>
      <c r="W206" s="212"/>
      <c r="X206" s="212"/>
      <c r="Y206" s="212"/>
    </row>
    <row r="207" ht="48.75" customHeight="1">
      <c r="A207" s="209" t="s">
        <v>3012</v>
      </c>
      <c r="B207" s="210" t="s">
        <v>1188</v>
      </c>
      <c r="C207" s="210" t="s">
        <v>1189</v>
      </c>
      <c r="D207" s="220" t="s">
        <v>2341</v>
      </c>
      <c r="E207" s="210" t="s">
        <v>3013</v>
      </c>
      <c r="F207" s="209" t="s">
        <v>2738</v>
      </c>
      <c r="G207" s="209" t="s">
        <v>2735</v>
      </c>
      <c r="H207" s="212"/>
      <c r="I207" s="212"/>
      <c r="J207" s="212"/>
      <c r="K207" s="212"/>
      <c r="L207" s="212"/>
      <c r="M207" s="212"/>
      <c r="N207" s="212"/>
      <c r="O207" s="212"/>
      <c r="P207" s="212"/>
      <c r="Q207" s="212"/>
      <c r="R207" s="212"/>
      <c r="S207" s="212"/>
      <c r="T207" s="212"/>
      <c r="U207" s="212"/>
      <c r="V207" s="212"/>
      <c r="W207" s="212"/>
      <c r="X207" s="212"/>
      <c r="Y207" s="212"/>
    </row>
    <row r="208" ht="48.75" customHeight="1">
      <c r="A208" s="213" t="s">
        <v>3014</v>
      </c>
      <c r="B208" s="214" t="s">
        <v>1190</v>
      </c>
      <c r="C208" s="214" t="s">
        <v>1191</v>
      </c>
      <c r="D208" s="220" t="s">
        <v>2347</v>
      </c>
      <c r="E208" s="214" t="s">
        <v>3015</v>
      </c>
      <c r="F208" s="213" t="s">
        <v>2734</v>
      </c>
      <c r="G208" s="213" t="s">
        <v>2735</v>
      </c>
      <c r="H208" s="212"/>
      <c r="I208" s="212"/>
      <c r="J208" s="212"/>
      <c r="K208" s="212"/>
      <c r="L208" s="212"/>
      <c r="M208" s="212"/>
      <c r="N208" s="212"/>
      <c r="O208" s="212"/>
      <c r="P208" s="212"/>
      <c r="Q208" s="212"/>
      <c r="R208" s="212"/>
      <c r="S208" s="212"/>
      <c r="T208" s="212"/>
      <c r="U208" s="212"/>
      <c r="V208" s="212"/>
      <c r="W208" s="212"/>
      <c r="X208" s="212"/>
      <c r="Y208" s="212"/>
    </row>
    <row r="209" ht="48.75" customHeight="1">
      <c r="A209" s="209" t="s">
        <v>3016</v>
      </c>
      <c r="B209" s="210" t="s">
        <v>1192</v>
      </c>
      <c r="C209" s="210" t="s">
        <v>1193</v>
      </c>
      <c r="D209" s="220" t="s">
        <v>2353</v>
      </c>
      <c r="E209" s="210" t="s">
        <v>3017</v>
      </c>
      <c r="F209" s="209" t="s">
        <v>2740</v>
      </c>
      <c r="G209" s="209" t="s">
        <v>2735</v>
      </c>
      <c r="H209" s="212"/>
      <c r="I209" s="212"/>
      <c r="J209" s="212"/>
      <c r="K209" s="212"/>
      <c r="L209" s="212"/>
      <c r="M209" s="212"/>
      <c r="N209" s="212"/>
      <c r="O209" s="212"/>
      <c r="P209" s="212"/>
      <c r="Q209" s="212"/>
      <c r="R209" s="212"/>
      <c r="S209" s="212"/>
      <c r="T209" s="212"/>
      <c r="U209" s="212"/>
      <c r="V209" s="212"/>
      <c r="W209" s="212"/>
      <c r="X209" s="212"/>
      <c r="Y209" s="212"/>
    </row>
    <row r="210" ht="48.75" customHeight="1">
      <c r="A210" s="213" t="s">
        <v>3018</v>
      </c>
      <c r="B210" s="214" t="s">
        <v>1195</v>
      </c>
      <c r="C210" s="214" t="s">
        <v>1196</v>
      </c>
      <c r="D210" s="220" t="s">
        <v>2359</v>
      </c>
      <c r="E210" s="214" t="s">
        <v>3019</v>
      </c>
      <c r="F210" s="213" t="s">
        <v>2734</v>
      </c>
      <c r="G210" s="213" t="s">
        <v>2735</v>
      </c>
      <c r="H210" s="212"/>
      <c r="I210" s="212"/>
      <c r="J210" s="212"/>
      <c r="K210" s="212"/>
      <c r="L210" s="212"/>
      <c r="M210" s="212"/>
      <c r="N210" s="212"/>
      <c r="O210" s="212"/>
      <c r="P210" s="212"/>
      <c r="Q210" s="212"/>
      <c r="R210" s="212"/>
      <c r="S210" s="212"/>
      <c r="T210" s="212"/>
      <c r="U210" s="212"/>
      <c r="V210" s="212"/>
      <c r="W210" s="212"/>
      <c r="X210" s="212"/>
      <c r="Y210" s="212"/>
    </row>
    <row r="211" ht="48.75" customHeight="1">
      <c r="A211" s="209" t="s">
        <v>3020</v>
      </c>
      <c r="B211" s="210" t="s">
        <v>1197</v>
      </c>
      <c r="C211" s="210" t="s">
        <v>1198</v>
      </c>
      <c r="D211" s="220" t="s">
        <v>2365</v>
      </c>
      <c r="E211" s="210" t="s">
        <v>3021</v>
      </c>
      <c r="F211" s="209" t="s">
        <v>2740</v>
      </c>
      <c r="G211" s="209" t="s">
        <v>2735</v>
      </c>
      <c r="H211" s="212"/>
      <c r="I211" s="212"/>
      <c r="J211" s="212"/>
      <c r="K211" s="212"/>
      <c r="L211" s="212"/>
      <c r="M211" s="212"/>
      <c r="N211" s="212"/>
      <c r="O211" s="212"/>
      <c r="P211" s="212"/>
      <c r="Q211" s="212"/>
      <c r="R211" s="212"/>
      <c r="S211" s="212"/>
      <c r="T211" s="212"/>
      <c r="U211" s="212"/>
      <c r="V211" s="212"/>
      <c r="W211" s="212"/>
      <c r="X211" s="212"/>
      <c r="Y211" s="212"/>
    </row>
    <row r="212" ht="48.75" customHeight="1">
      <c r="A212" s="213" t="s">
        <v>3022</v>
      </c>
      <c r="B212" s="214" t="s">
        <v>1199</v>
      </c>
      <c r="C212" s="214" t="s">
        <v>1200</v>
      </c>
      <c r="D212" s="220" t="s">
        <v>2259</v>
      </c>
      <c r="E212" s="214" t="s">
        <v>3023</v>
      </c>
      <c r="F212" s="213" t="s">
        <v>2734</v>
      </c>
      <c r="G212" s="213" t="s">
        <v>2735</v>
      </c>
      <c r="H212" s="212"/>
      <c r="I212" s="212"/>
      <c r="J212" s="212"/>
      <c r="K212" s="212"/>
      <c r="L212" s="212"/>
      <c r="M212" s="212"/>
      <c r="N212" s="212"/>
      <c r="O212" s="212"/>
      <c r="P212" s="212"/>
      <c r="Q212" s="212"/>
      <c r="R212" s="212"/>
      <c r="S212" s="212"/>
      <c r="T212" s="212"/>
      <c r="U212" s="212"/>
      <c r="V212" s="212"/>
      <c r="W212" s="212"/>
      <c r="X212" s="212"/>
      <c r="Y212" s="212"/>
    </row>
    <row r="213" ht="48.75" customHeight="1">
      <c r="A213" s="209" t="s">
        <v>3024</v>
      </c>
      <c r="B213" s="210" t="s">
        <v>1201</v>
      </c>
      <c r="C213" s="210" t="s">
        <v>1202</v>
      </c>
      <c r="D213" s="220" t="s">
        <v>2376</v>
      </c>
      <c r="E213" s="210" t="s">
        <v>3025</v>
      </c>
      <c r="F213" s="209" t="s">
        <v>2740</v>
      </c>
      <c r="G213" s="209" t="s">
        <v>2735</v>
      </c>
      <c r="H213" s="212"/>
      <c r="I213" s="212"/>
      <c r="J213" s="212"/>
      <c r="K213" s="212"/>
      <c r="L213" s="212"/>
      <c r="M213" s="212"/>
      <c r="N213" s="212"/>
      <c r="O213" s="212"/>
      <c r="P213" s="212"/>
      <c r="Q213" s="212"/>
      <c r="R213" s="212"/>
      <c r="S213" s="212"/>
      <c r="T213" s="212"/>
      <c r="U213" s="212"/>
      <c r="V213" s="212"/>
      <c r="W213" s="212"/>
      <c r="X213" s="212"/>
      <c r="Y213" s="212"/>
    </row>
    <row r="214" ht="48.75" customHeight="1">
      <c r="A214" s="213" t="s">
        <v>3026</v>
      </c>
      <c r="B214" s="214" t="s">
        <v>1204</v>
      </c>
      <c r="C214" s="214" t="s">
        <v>1205</v>
      </c>
      <c r="D214" s="220" t="s">
        <v>2382</v>
      </c>
      <c r="E214" s="214" t="s">
        <v>3027</v>
      </c>
      <c r="F214" s="213" t="s">
        <v>2734</v>
      </c>
      <c r="G214" s="213" t="s">
        <v>2735</v>
      </c>
      <c r="H214" s="212"/>
      <c r="I214" s="212"/>
      <c r="J214" s="212"/>
      <c r="K214" s="212"/>
      <c r="L214" s="212"/>
      <c r="M214" s="212"/>
      <c r="N214" s="212"/>
      <c r="O214" s="212"/>
      <c r="P214" s="212"/>
      <c r="Q214" s="212"/>
      <c r="R214" s="212"/>
      <c r="S214" s="212"/>
      <c r="T214" s="212"/>
      <c r="U214" s="212"/>
      <c r="V214" s="212"/>
      <c r="W214" s="212"/>
      <c r="X214" s="212"/>
      <c r="Y214" s="212"/>
    </row>
    <row r="215" ht="48.75" customHeight="1">
      <c r="A215" s="209" t="s">
        <v>3028</v>
      </c>
      <c r="B215" s="210" t="s">
        <v>1206</v>
      </c>
      <c r="C215" s="210" t="s">
        <v>1207</v>
      </c>
      <c r="D215" s="220" t="s">
        <v>2276</v>
      </c>
      <c r="E215" s="210" t="s">
        <v>3029</v>
      </c>
      <c r="F215" s="209" t="s">
        <v>2738</v>
      </c>
      <c r="G215" s="209" t="s">
        <v>2735</v>
      </c>
      <c r="H215" s="212"/>
      <c r="I215" s="212"/>
      <c r="J215" s="212"/>
      <c r="K215" s="212"/>
      <c r="L215" s="212"/>
      <c r="M215" s="212"/>
      <c r="N215" s="212"/>
      <c r="O215" s="212"/>
      <c r="P215" s="212"/>
      <c r="Q215" s="212"/>
      <c r="R215" s="212"/>
      <c r="S215" s="212"/>
      <c r="T215" s="212"/>
      <c r="U215" s="212"/>
      <c r="V215" s="212"/>
      <c r="W215" s="212"/>
      <c r="X215" s="212"/>
      <c r="Y215" s="212"/>
    </row>
    <row r="216" ht="48.75" customHeight="1">
      <c r="A216" s="213" t="s">
        <v>3030</v>
      </c>
      <c r="B216" s="214" t="s">
        <v>1208</v>
      </c>
      <c r="C216" s="214" t="s">
        <v>1209</v>
      </c>
      <c r="D216" s="220" t="s">
        <v>2393</v>
      </c>
      <c r="E216" s="214" t="s">
        <v>3031</v>
      </c>
      <c r="F216" s="213" t="s">
        <v>2740</v>
      </c>
      <c r="G216" s="213" t="s">
        <v>2735</v>
      </c>
      <c r="H216" s="212"/>
      <c r="I216" s="212"/>
      <c r="J216" s="212"/>
      <c r="K216" s="212"/>
      <c r="L216" s="212"/>
      <c r="M216" s="212"/>
      <c r="N216" s="212"/>
      <c r="O216" s="212"/>
      <c r="P216" s="212"/>
      <c r="Q216" s="212"/>
      <c r="R216" s="212"/>
      <c r="S216" s="212"/>
      <c r="T216" s="212"/>
      <c r="U216" s="212"/>
      <c r="V216" s="212"/>
      <c r="W216" s="212"/>
      <c r="X216" s="212"/>
      <c r="Y216" s="212"/>
    </row>
    <row r="217" ht="48.75" customHeight="1">
      <c r="A217" s="209" t="s">
        <v>3032</v>
      </c>
      <c r="B217" s="210" t="s">
        <v>1211</v>
      </c>
      <c r="C217" s="210" t="s">
        <v>1212</v>
      </c>
      <c r="D217" s="220" t="s">
        <v>2399</v>
      </c>
      <c r="E217" s="210" t="s">
        <v>3033</v>
      </c>
      <c r="F217" s="209" t="s">
        <v>2734</v>
      </c>
      <c r="G217" s="209" t="s">
        <v>2735</v>
      </c>
      <c r="H217" s="212"/>
      <c r="I217" s="212"/>
      <c r="J217" s="212"/>
      <c r="K217" s="212"/>
      <c r="L217" s="212"/>
      <c r="M217" s="212"/>
      <c r="N217" s="212"/>
      <c r="O217" s="212"/>
      <c r="P217" s="212"/>
      <c r="Q217" s="212"/>
      <c r="R217" s="212"/>
      <c r="S217" s="212"/>
      <c r="T217" s="212"/>
      <c r="U217" s="212"/>
      <c r="V217" s="212"/>
      <c r="W217" s="212"/>
      <c r="X217" s="212"/>
      <c r="Y217" s="212"/>
    </row>
    <row r="218" ht="48.75" customHeight="1">
      <c r="A218" s="213" t="s">
        <v>3034</v>
      </c>
      <c r="B218" s="214" t="s">
        <v>1213</v>
      </c>
      <c r="C218" s="214" t="s">
        <v>1214</v>
      </c>
      <c r="D218" s="220" t="s">
        <v>2276</v>
      </c>
      <c r="E218" s="214" t="s">
        <v>3029</v>
      </c>
      <c r="F218" s="213" t="s">
        <v>2738</v>
      </c>
      <c r="G218" s="213" t="s">
        <v>2735</v>
      </c>
      <c r="H218" s="212"/>
      <c r="I218" s="212"/>
      <c r="J218" s="212"/>
      <c r="K218" s="212"/>
      <c r="L218" s="212"/>
      <c r="M218" s="212"/>
      <c r="N218" s="212"/>
      <c r="O218" s="212"/>
      <c r="P218" s="212"/>
      <c r="Q218" s="212"/>
      <c r="R218" s="212"/>
      <c r="S218" s="212"/>
      <c r="T218" s="212"/>
      <c r="U218" s="212"/>
      <c r="V218" s="212"/>
      <c r="W218" s="212"/>
      <c r="X218" s="212"/>
      <c r="Y218" s="212"/>
    </row>
    <row r="219" ht="48.75" customHeight="1">
      <c r="A219" s="209" t="s">
        <v>3035</v>
      </c>
      <c r="B219" s="210" t="s">
        <v>1215</v>
      </c>
      <c r="C219" s="210" t="s">
        <v>1216</v>
      </c>
      <c r="D219" s="220" t="s">
        <v>2410</v>
      </c>
      <c r="E219" s="210" t="s">
        <v>3036</v>
      </c>
      <c r="F219" s="209" t="s">
        <v>2734</v>
      </c>
      <c r="G219" s="209" t="s">
        <v>2735</v>
      </c>
      <c r="H219" s="212"/>
      <c r="I219" s="212"/>
      <c r="J219" s="212"/>
      <c r="K219" s="212"/>
      <c r="L219" s="212"/>
      <c r="M219" s="212"/>
      <c r="N219" s="212"/>
      <c r="O219" s="212"/>
      <c r="P219" s="212"/>
      <c r="Q219" s="212"/>
      <c r="R219" s="212"/>
      <c r="S219" s="212"/>
      <c r="T219" s="212"/>
      <c r="U219" s="212"/>
      <c r="V219" s="212"/>
      <c r="W219" s="212"/>
      <c r="X219" s="212"/>
      <c r="Y219" s="212"/>
    </row>
    <row r="220" ht="48.75" customHeight="1">
      <c r="A220" s="213" t="s">
        <v>3037</v>
      </c>
      <c r="B220" s="214" t="s">
        <v>1218</v>
      </c>
      <c r="C220" s="214" t="s">
        <v>1219</v>
      </c>
      <c r="D220" s="220" t="s">
        <v>2416</v>
      </c>
      <c r="E220" s="214" t="s">
        <v>3038</v>
      </c>
      <c r="F220" s="213" t="s">
        <v>2734</v>
      </c>
      <c r="G220" s="213" t="s">
        <v>2735</v>
      </c>
      <c r="H220" s="212"/>
      <c r="I220" s="212"/>
      <c r="J220" s="212"/>
      <c r="K220" s="212"/>
      <c r="L220" s="212"/>
      <c r="M220" s="212"/>
      <c r="N220" s="212"/>
      <c r="O220" s="212"/>
      <c r="P220" s="212"/>
      <c r="Q220" s="212"/>
      <c r="R220" s="212"/>
      <c r="S220" s="212"/>
      <c r="T220" s="212"/>
      <c r="U220" s="212"/>
      <c r="V220" s="212"/>
      <c r="W220" s="212"/>
      <c r="X220" s="212"/>
      <c r="Y220" s="212"/>
    </row>
    <row r="221" ht="48.75" customHeight="1">
      <c r="A221" s="209" t="s">
        <v>3039</v>
      </c>
      <c r="B221" s="210" t="s">
        <v>1220</v>
      </c>
      <c r="C221" s="210" t="s">
        <v>1221</v>
      </c>
      <c r="D221" s="220" t="s">
        <v>2422</v>
      </c>
      <c r="E221" s="210" t="s">
        <v>3040</v>
      </c>
      <c r="F221" s="209" t="s">
        <v>2740</v>
      </c>
      <c r="G221" s="209" t="s">
        <v>2735</v>
      </c>
      <c r="H221" s="212"/>
      <c r="I221" s="212"/>
      <c r="J221" s="212"/>
      <c r="K221" s="212"/>
      <c r="L221" s="212"/>
      <c r="M221" s="212"/>
      <c r="N221" s="212"/>
      <c r="O221" s="212"/>
      <c r="P221" s="212"/>
      <c r="Q221" s="212"/>
      <c r="R221" s="212"/>
      <c r="S221" s="212"/>
      <c r="T221" s="212"/>
      <c r="U221" s="212"/>
      <c r="V221" s="212"/>
      <c r="W221" s="212"/>
      <c r="X221" s="212"/>
      <c r="Y221" s="212"/>
    </row>
    <row r="222" ht="48.75" customHeight="1">
      <c r="A222" s="213" t="s">
        <v>3041</v>
      </c>
      <c r="B222" s="214" t="s">
        <v>1223</v>
      </c>
      <c r="C222" s="214" t="s">
        <v>1224</v>
      </c>
      <c r="D222" s="220" t="s">
        <v>2427</v>
      </c>
      <c r="E222" s="214" t="s">
        <v>3042</v>
      </c>
      <c r="F222" s="213" t="s">
        <v>2734</v>
      </c>
      <c r="G222" s="213" t="s">
        <v>2735</v>
      </c>
      <c r="H222" s="212"/>
      <c r="I222" s="212"/>
      <c r="J222" s="212"/>
      <c r="K222" s="212"/>
      <c r="L222" s="212"/>
      <c r="M222" s="212"/>
      <c r="N222" s="212"/>
      <c r="O222" s="212"/>
      <c r="P222" s="212"/>
      <c r="Q222" s="212"/>
      <c r="R222" s="212"/>
      <c r="S222" s="212"/>
      <c r="T222" s="212"/>
      <c r="U222" s="212"/>
      <c r="V222" s="212"/>
      <c r="W222" s="212"/>
      <c r="X222" s="212"/>
      <c r="Y222" s="212"/>
    </row>
    <row r="223" ht="48.75" customHeight="1">
      <c r="A223" s="209" t="s">
        <v>3043</v>
      </c>
      <c r="B223" s="210" t="s">
        <v>1225</v>
      </c>
      <c r="C223" s="210" t="s">
        <v>1226</v>
      </c>
      <c r="D223" s="220" t="s">
        <v>2433</v>
      </c>
      <c r="E223" s="210" t="s">
        <v>3044</v>
      </c>
      <c r="F223" s="209" t="s">
        <v>2738</v>
      </c>
      <c r="G223" s="209" t="s">
        <v>2735</v>
      </c>
      <c r="H223" s="212"/>
      <c r="I223" s="212"/>
      <c r="J223" s="212"/>
      <c r="K223" s="212"/>
      <c r="L223" s="212"/>
      <c r="M223" s="212"/>
      <c r="N223" s="212"/>
      <c r="O223" s="212"/>
      <c r="P223" s="212"/>
      <c r="Q223" s="212"/>
      <c r="R223" s="212"/>
      <c r="S223" s="212"/>
      <c r="T223" s="212"/>
      <c r="U223" s="212"/>
      <c r="V223" s="212"/>
      <c r="W223" s="212"/>
      <c r="X223" s="212"/>
      <c r="Y223" s="212"/>
    </row>
    <row r="224" ht="48.75" customHeight="1">
      <c r="A224" s="213" t="s">
        <v>3045</v>
      </c>
      <c r="B224" s="214" t="s">
        <v>1228</v>
      </c>
      <c r="C224" s="214" t="s">
        <v>1229</v>
      </c>
      <c r="D224" s="220" t="s">
        <v>2439</v>
      </c>
      <c r="E224" s="214" t="s">
        <v>3046</v>
      </c>
      <c r="F224" s="213" t="s">
        <v>2734</v>
      </c>
      <c r="G224" s="213" t="s">
        <v>2735</v>
      </c>
      <c r="H224" s="212"/>
      <c r="I224" s="212"/>
      <c r="J224" s="212"/>
      <c r="K224" s="212"/>
      <c r="L224" s="212"/>
      <c r="M224" s="212"/>
      <c r="N224" s="212"/>
      <c r="O224" s="212"/>
      <c r="P224" s="212"/>
      <c r="Q224" s="212"/>
      <c r="R224" s="212"/>
      <c r="S224" s="212"/>
      <c r="T224" s="212"/>
      <c r="U224" s="212"/>
      <c r="V224" s="212"/>
      <c r="W224" s="212"/>
      <c r="X224" s="212"/>
      <c r="Y224" s="212"/>
    </row>
    <row r="225" ht="48.75" customHeight="1">
      <c r="A225" s="209" t="s">
        <v>3047</v>
      </c>
      <c r="B225" s="210" t="s">
        <v>1230</v>
      </c>
      <c r="C225" s="210" t="s">
        <v>1231</v>
      </c>
      <c r="D225" s="220" t="s">
        <v>2444</v>
      </c>
      <c r="E225" s="210" t="s">
        <v>3048</v>
      </c>
      <c r="F225" s="209" t="s">
        <v>2738</v>
      </c>
      <c r="G225" s="209" t="s">
        <v>2735</v>
      </c>
      <c r="H225" s="212"/>
      <c r="I225" s="212"/>
      <c r="J225" s="212"/>
      <c r="K225" s="212"/>
      <c r="L225" s="212"/>
      <c r="M225" s="212"/>
      <c r="N225" s="212"/>
      <c r="O225" s="212"/>
      <c r="P225" s="212"/>
      <c r="Q225" s="212"/>
      <c r="R225" s="212"/>
      <c r="S225" s="212"/>
      <c r="T225" s="212"/>
      <c r="U225" s="212"/>
      <c r="V225" s="212"/>
      <c r="W225" s="212"/>
      <c r="X225" s="212"/>
      <c r="Y225" s="212"/>
    </row>
    <row r="226" ht="48.75" customHeight="1">
      <c r="A226" s="213" t="s">
        <v>3049</v>
      </c>
      <c r="B226" s="214" t="s">
        <v>1233</v>
      </c>
      <c r="C226" s="214" t="s">
        <v>1234</v>
      </c>
      <c r="D226" s="220" t="s">
        <v>2450</v>
      </c>
      <c r="E226" s="214" t="s">
        <v>3050</v>
      </c>
      <c r="F226" s="213" t="s">
        <v>2734</v>
      </c>
      <c r="G226" s="213" t="s">
        <v>2735</v>
      </c>
      <c r="H226" s="212"/>
      <c r="I226" s="212"/>
      <c r="J226" s="212"/>
      <c r="K226" s="212"/>
      <c r="L226" s="212"/>
      <c r="M226" s="212"/>
      <c r="N226" s="212"/>
      <c r="O226" s="212"/>
      <c r="P226" s="212"/>
      <c r="Q226" s="212"/>
      <c r="R226" s="212"/>
      <c r="S226" s="212"/>
      <c r="T226" s="212"/>
      <c r="U226" s="212"/>
      <c r="V226" s="212"/>
      <c r="W226" s="212"/>
      <c r="X226" s="212"/>
      <c r="Y226" s="212"/>
    </row>
    <row r="227" ht="48.75" customHeight="1">
      <c r="A227" s="209" t="s">
        <v>3051</v>
      </c>
      <c r="B227" s="210" t="s">
        <v>1235</v>
      </c>
      <c r="C227" s="210" t="s">
        <v>1236</v>
      </c>
      <c r="D227" s="220" t="s">
        <v>2450</v>
      </c>
      <c r="E227" s="210" t="s">
        <v>3052</v>
      </c>
      <c r="F227" s="209" t="s">
        <v>2734</v>
      </c>
      <c r="G227" s="209" t="s">
        <v>2735</v>
      </c>
      <c r="H227" s="212"/>
      <c r="I227" s="212"/>
      <c r="J227" s="212"/>
      <c r="K227" s="212"/>
      <c r="L227" s="212"/>
      <c r="M227" s="212"/>
      <c r="N227" s="212"/>
      <c r="O227" s="212"/>
      <c r="P227" s="212"/>
      <c r="Q227" s="212"/>
      <c r="R227" s="212"/>
      <c r="S227" s="212"/>
      <c r="T227" s="212"/>
      <c r="U227" s="212"/>
      <c r="V227" s="212"/>
      <c r="W227" s="212"/>
      <c r="X227" s="212"/>
      <c r="Y227" s="212"/>
    </row>
    <row r="228" ht="48.75" customHeight="1">
      <c r="A228" s="213" t="s">
        <v>3053</v>
      </c>
      <c r="B228" s="214" t="s">
        <v>1238</v>
      </c>
      <c r="C228" s="214" t="s">
        <v>1239</v>
      </c>
      <c r="D228" s="220" t="s">
        <v>2460</v>
      </c>
      <c r="E228" s="214" t="s">
        <v>3054</v>
      </c>
      <c r="F228" s="213" t="s">
        <v>2738</v>
      </c>
      <c r="G228" s="213" t="s">
        <v>2735</v>
      </c>
      <c r="H228" s="212"/>
      <c r="I228" s="212"/>
      <c r="J228" s="212"/>
      <c r="K228" s="212"/>
      <c r="L228" s="212"/>
      <c r="M228" s="212"/>
      <c r="N228" s="212"/>
      <c r="O228" s="212"/>
      <c r="P228" s="212"/>
      <c r="Q228" s="212"/>
      <c r="R228" s="212"/>
      <c r="S228" s="212"/>
      <c r="T228" s="212"/>
      <c r="U228" s="212"/>
      <c r="V228" s="212"/>
      <c r="W228" s="212"/>
      <c r="X228" s="212"/>
      <c r="Y228" s="212"/>
    </row>
    <row r="229" ht="48.75" customHeight="1">
      <c r="A229" s="209" t="s">
        <v>3055</v>
      </c>
      <c r="B229" s="210" t="s">
        <v>1240</v>
      </c>
      <c r="C229" s="210" t="s">
        <v>1241</v>
      </c>
      <c r="D229" s="220" t="s">
        <v>2460</v>
      </c>
      <c r="E229" s="210" t="s">
        <v>3056</v>
      </c>
      <c r="F229" s="209" t="s">
        <v>2738</v>
      </c>
      <c r="G229" s="209" t="s">
        <v>2735</v>
      </c>
      <c r="H229" s="212"/>
      <c r="I229" s="212"/>
      <c r="J229" s="212"/>
      <c r="K229" s="212"/>
      <c r="L229" s="212"/>
      <c r="M229" s="212"/>
      <c r="N229" s="212"/>
      <c r="O229" s="212"/>
      <c r="P229" s="212"/>
      <c r="Q229" s="212"/>
      <c r="R229" s="212"/>
      <c r="S229" s="212"/>
      <c r="T229" s="212"/>
      <c r="U229" s="212"/>
      <c r="V229" s="212"/>
      <c r="W229" s="212"/>
      <c r="X229" s="212"/>
      <c r="Y229" s="212"/>
    </row>
    <row r="230" ht="48.75" customHeight="1">
      <c r="A230" s="213" t="s">
        <v>3057</v>
      </c>
      <c r="B230" s="214" t="s">
        <v>1242</v>
      </c>
      <c r="C230" s="214" t="s">
        <v>1243</v>
      </c>
      <c r="D230" s="220" t="s">
        <v>2471</v>
      </c>
      <c r="E230" s="214" t="s">
        <v>3058</v>
      </c>
      <c r="F230" s="213" t="s">
        <v>2734</v>
      </c>
      <c r="G230" s="213" t="s">
        <v>2735</v>
      </c>
      <c r="H230" s="212"/>
      <c r="I230" s="212"/>
      <c r="J230" s="212"/>
      <c r="K230" s="212"/>
      <c r="L230" s="212"/>
      <c r="M230" s="212"/>
      <c r="N230" s="212"/>
      <c r="O230" s="212"/>
      <c r="P230" s="212"/>
      <c r="Q230" s="212"/>
      <c r="R230" s="212"/>
      <c r="S230" s="212"/>
      <c r="T230" s="212"/>
      <c r="U230" s="212"/>
      <c r="V230" s="212"/>
      <c r="W230" s="212"/>
      <c r="X230" s="212"/>
      <c r="Y230" s="212"/>
    </row>
    <row r="231" ht="48.75" customHeight="1">
      <c r="A231" s="209" t="s">
        <v>3059</v>
      </c>
      <c r="B231" s="210" t="s">
        <v>1245</v>
      </c>
      <c r="C231" s="210" t="s">
        <v>1246</v>
      </c>
      <c r="D231" s="211" t="s">
        <v>2475</v>
      </c>
      <c r="E231" s="210" t="s">
        <v>2476</v>
      </c>
      <c r="F231" s="209" t="s">
        <v>2734</v>
      </c>
      <c r="G231" s="209" t="s">
        <v>2735</v>
      </c>
      <c r="H231" s="212"/>
      <c r="I231" s="212"/>
      <c r="J231" s="212"/>
      <c r="K231" s="212"/>
      <c r="L231" s="212"/>
      <c r="M231" s="212"/>
      <c r="N231" s="212"/>
      <c r="O231" s="212"/>
      <c r="P231" s="212"/>
      <c r="Q231" s="212"/>
      <c r="R231" s="212"/>
      <c r="S231" s="212"/>
      <c r="T231" s="212"/>
      <c r="U231" s="212"/>
      <c r="V231" s="212"/>
      <c r="W231" s="212"/>
      <c r="X231" s="212"/>
      <c r="Y231" s="212"/>
    </row>
    <row r="232" ht="48.75" customHeight="1">
      <c r="A232" s="213" t="s">
        <v>3060</v>
      </c>
      <c r="B232" s="214" t="s">
        <v>1247</v>
      </c>
      <c r="C232" s="214" t="s">
        <v>1248</v>
      </c>
      <c r="D232" s="215" t="s">
        <v>2479</v>
      </c>
      <c r="E232" s="214" t="s">
        <v>2480</v>
      </c>
      <c r="F232" s="213" t="s">
        <v>2740</v>
      </c>
      <c r="G232" s="213" t="s">
        <v>2735</v>
      </c>
      <c r="H232" s="212"/>
      <c r="I232" s="212"/>
      <c r="J232" s="212"/>
      <c r="K232" s="212"/>
      <c r="L232" s="212"/>
      <c r="M232" s="212"/>
      <c r="N232" s="212"/>
      <c r="O232" s="212"/>
      <c r="P232" s="212"/>
      <c r="Q232" s="212"/>
      <c r="R232" s="212"/>
      <c r="S232" s="212"/>
      <c r="T232" s="212"/>
      <c r="U232" s="212"/>
      <c r="V232" s="212"/>
      <c r="W232" s="212"/>
      <c r="X232" s="212"/>
      <c r="Y232" s="212"/>
    </row>
    <row r="233" ht="48.75" customHeight="1">
      <c r="A233" s="209" t="s">
        <v>3061</v>
      </c>
      <c r="B233" s="210" t="s">
        <v>1249</v>
      </c>
      <c r="C233" s="210" t="s">
        <v>1250</v>
      </c>
      <c r="D233" s="211" t="s">
        <v>2484</v>
      </c>
      <c r="E233" s="210" t="s">
        <v>2485</v>
      </c>
      <c r="F233" s="209" t="s">
        <v>2734</v>
      </c>
      <c r="G233" s="209" t="s">
        <v>2735</v>
      </c>
      <c r="H233" s="212"/>
      <c r="I233" s="212"/>
      <c r="J233" s="212"/>
      <c r="K233" s="212"/>
      <c r="L233" s="212"/>
      <c r="M233" s="212"/>
      <c r="N233" s="212"/>
      <c r="O233" s="212"/>
      <c r="P233" s="212"/>
      <c r="Q233" s="212"/>
      <c r="R233" s="212"/>
      <c r="S233" s="212"/>
      <c r="T233" s="212"/>
      <c r="U233" s="212"/>
      <c r="V233" s="212"/>
      <c r="W233" s="212"/>
      <c r="X233" s="212"/>
      <c r="Y233" s="212"/>
    </row>
    <row r="234" ht="48.75" customHeight="1">
      <c r="A234" s="213" t="s">
        <v>3062</v>
      </c>
      <c r="B234" s="214" t="s">
        <v>1252</v>
      </c>
      <c r="C234" s="214" t="s">
        <v>1253</v>
      </c>
      <c r="D234" s="215" t="s">
        <v>2488</v>
      </c>
      <c r="E234" s="214" t="s">
        <v>2489</v>
      </c>
      <c r="F234" s="213" t="s">
        <v>2738</v>
      </c>
      <c r="G234" s="213" t="s">
        <v>2735</v>
      </c>
      <c r="H234" s="212"/>
      <c r="I234" s="212"/>
      <c r="J234" s="212"/>
      <c r="K234" s="212"/>
      <c r="L234" s="212"/>
      <c r="M234" s="212"/>
      <c r="N234" s="212"/>
      <c r="O234" s="212"/>
      <c r="P234" s="212"/>
      <c r="Q234" s="212"/>
      <c r="R234" s="212"/>
      <c r="S234" s="212"/>
      <c r="T234" s="212"/>
      <c r="U234" s="212"/>
      <c r="V234" s="212"/>
      <c r="W234" s="212"/>
      <c r="X234" s="212"/>
      <c r="Y234" s="212"/>
    </row>
    <row r="235" ht="48.75" customHeight="1">
      <c r="A235" s="209" t="s">
        <v>3063</v>
      </c>
      <c r="B235" s="210" t="s">
        <v>1254</v>
      </c>
      <c r="C235" s="210" t="s">
        <v>1255</v>
      </c>
      <c r="D235" s="211" t="s">
        <v>2492</v>
      </c>
      <c r="E235" s="210" t="s">
        <v>2493</v>
      </c>
      <c r="F235" s="209" t="s">
        <v>2738</v>
      </c>
      <c r="G235" s="209" t="s">
        <v>2735</v>
      </c>
      <c r="H235" s="212"/>
      <c r="I235" s="212"/>
      <c r="J235" s="212"/>
      <c r="K235" s="212"/>
      <c r="L235" s="212"/>
      <c r="M235" s="212"/>
      <c r="N235" s="212"/>
      <c r="O235" s="212"/>
      <c r="P235" s="212"/>
      <c r="Q235" s="212"/>
      <c r="R235" s="212"/>
      <c r="S235" s="212"/>
      <c r="T235" s="212"/>
      <c r="U235" s="212"/>
      <c r="V235" s="212"/>
      <c r="W235" s="212"/>
      <c r="X235" s="212"/>
      <c r="Y235" s="212"/>
    </row>
    <row r="236" ht="48.75" customHeight="1">
      <c r="A236" s="213" t="s">
        <v>3064</v>
      </c>
      <c r="B236" s="214" t="s">
        <v>1256</v>
      </c>
      <c r="C236" s="214" t="s">
        <v>1257</v>
      </c>
      <c r="D236" s="215" t="s">
        <v>2497</v>
      </c>
      <c r="E236" s="214" t="s">
        <v>2498</v>
      </c>
      <c r="F236" s="213" t="s">
        <v>2738</v>
      </c>
      <c r="G236" s="213" t="s">
        <v>2735</v>
      </c>
      <c r="H236" s="212"/>
      <c r="I236" s="212"/>
      <c r="J236" s="212"/>
      <c r="K236" s="212"/>
      <c r="L236" s="212"/>
      <c r="M236" s="212"/>
      <c r="N236" s="212"/>
      <c r="O236" s="212"/>
      <c r="P236" s="212"/>
      <c r="Q236" s="212"/>
      <c r="R236" s="212"/>
      <c r="S236" s="212"/>
      <c r="T236" s="212"/>
      <c r="U236" s="212"/>
      <c r="V236" s="212"/>
      <c r="W236" s="212"/>
      <c r="X236" s="212"/>
      <c r="Y236" s="212"/>
    </row>
    <row r="237" ht="48.75" customHeight="1">
      <c r="A237" s="209" t="s">
        <v>3065</v>
      </c>
      <c r="B237" s="210" t="s">
        <v>1259</v>
      </c>
      <c r="C237" s="210" t="s">
        <v>1260</v>
      </c>
      <c r="D237" s="211" t="s">
        <v>2503</v>
      </c>
      <c r="E237" s="210" t="s">
        <v>2504</v>
      </c>
      <c r="F237" s="209" t="s">
        <v>2734</v>
      </c>
      <c r="G237" s="209" t="s">
        <v>2735</v>
      </c>
      <c r="H237" s="212"/>
      <c r="I237" s="212"/>
      <c r="J237" s="212"/>
      <c r="K237" s="212"/>
      <c r="L237" s="212"/>
      <c r="M237" s="212"/>
      <c r="N237" s="212"/>
      <c r="O237" s="212"/>
      <c r="P237" s="212"/>
      <c r="Q237" s="212"/>
      <c r="R237" s="212"/>
      <c r="S237" s="212"/>
      <c r="T237" s="212"/>
      <c r="U237" s="212"/>
      <c r="V237" s="212"/>
      <c r="W237" s="212"/>
      <c r="X237" s="212"/>
      <c r="Y237" s="212"/>
    </row>
    <row r="238" ht="48.75" customHeight="1">
      <c r="A238" s="213" t="s">
        <v>3066</v>
      </c>
      <c r="B238" s="214" t="s">
        <v>1261</v>
      </c>
      <c r="C238" s="214" t="s">
        <v>1262</v>
      </c>
      <c r="D238" s="215" t="s">
        <v>2507</v>
      </c>
      <c r="E238" s="214" t="s">
        <v>2508</v>
      </c>
      <c r="F238" s="213" t="s">
        <v>2734</v>
      </c>
      <c r="G238" s="213" t="s">
        <v>2735</v>
      </c>
      <c r="H238" s="212"/>
      <c r="I238" s="212"/>
      <c r="J238" s="212"/>
      <c r="K238" s="212"/>
      <c r="L238" s="212"/>
      <c r="M238" s="212"/>
      <c r="N238" s="212"/>
      <c r="O238" s="212"/>
      <c r="P238" s="212"/>
      <c r="Q238" s="212"/>
      <c r="R238" s="212"/>
      <c r="S238" s="212"/>
      <c r="T238" s="212"/>
      <c r="U238" s="212"/>
      <c r="V238" s="212"/>
      <c r="W238" s="212"/>
      <c r="X238" s="212"/>
      <c r="Y238" s="212"/>
    </row>
    <row r="239" ht="48.75" customHeight="1">
      <c r="A239" s="209" t="s">
        <v>3067</v>
      </c>
      <c r="B239" s="210" t="s">
        <v>1263</v>
      </c>
      <c r="C239" s="210" t="s">
        <v>1264</v>
      </c>
      <c r="D239" s="211" t="s">
        <v>2503</v>
      </c>
      <c r="E239" s="210" t="s">
        <v>2511</v>
      </c>
      <c r="F239" s="209" t="s">
        <v>2740</v>
      </c>
      <c r="G239" s="209" t="s">
        <v>2735</v>
      </c>
      <c r="H239" s="212"/>
      <c r="I239" s="212"/>
      <c r="J239" s="212"/>
      <c r="K239" s="212"/>
      <c r="L239" s="212"/>
      <c r="M239" s="212"/>
      <c r="N239" s="212"/>
      <c r="O239" s="212"/>
      <c r="P239" s="212"/>
      <c r="Q239" s="212"/>
      <c r="R239" s="212"/>
      <c r="S239" s="212"/>
      <c r="T239" s="212"/>
      <c r="U239" s="212"/>
      <c r="V239" s="212"/>
      <c r="W239" s="212"/>
      <c r="X239" s="212"/>
      <c r="Y239" s="212"/>
    </row>
    <row r="240" ht="48.75" customHeight="1">
      <c r="A240" s="213" t="s">
        <v>3068</v>
      </c>
      <c r="B240" s="214" t="s">
        <v>1266</v>
      </c>
      <c r="C240" s="214" t="s">
        <v>1267</v>
      </c>
      <c r="D240" s="215" t="s">
        <v>1772</v>
      </c>
      <c r="E240" s="214" t="s">
        <v>2514</v>
      </c>
      <c r="F240" s="213" t="s">
        <v>2734</v>
      </c>
      <c r="G240" s="213" t="s">
        <v>2735</v>
      </c>
      <c r="H240" s="212"/>
      <c r="I240" s="212"/>
      <c r="J240" s="212"/>
      <c r="K240" s="212"/>
      <c r="L240" s="212"/>
      <c r="M240" s="212"/>
      <c r="N240" s="212"/>
      <c r="O240" s="212"/>
      <c r="P240" s="212"/>
      <c r="Q240" s="212"/>
      <c r="R240" s="212"/>
      <c r="S240" s="212"/>
      <c r="T240" s="212"/>
      <c r="U240" s="212"/>
      <c r="V240" s="212"/>
      <c r="W240" s="212"/>
      <c r="X240" s="212"/>
      <c r="Y240" s="212"/>
    </row>
    <row r="241" ht="48.75" customHeight="1">
      <c r="A241" s="209" t="s">
        <v>3069</v>
      </c>
      <c r="B241" s="210" t="s">
        <v>1268</v>
      </c>
      <c r="C241" s="210" t="s">
        <v>1269</v>
      </c>
      <c r="D241" s="211" t="s">
        <v>2517</v>
      </c>
      <c r="E241" s="210" t="s">
        <v>2518</v>
      </c>
      <c r="F241" s="209" t="s">
        <v>2738</v>
      </c>
      <c r="G241" s="209" t="s">
        <v>2735</v>
      </c>
      <c r="H241" s="212"/>
      <c r="I241" s="212"/>
      <c r="J241" s="212"/>
      <c r="K241" s="212"/>
      <c r="L241" s="212"/>
      <c r="M241" s="212"/>
      <c r="N241" s="212"/>
      <c r="O241" s="212"/>
      <c r="P241" s="212"/>
      <c r="Q241" s="212"/>
      <c r="R241" s="212"/>
      <c r="S241" s="212"/>
      <c r="T241" s="212"/>
      <c r="U241" s="212"/>
      <c r="V241" s="212"/>
      <c r="W241" s="212"/>
      <c r="X241" s="212"/>
      <c r="Y241" s="212"/>
    </row>
    <row r="242" ht="48.75" customHeight="1">
      <c r="A242" s="213" t="s">
        <v>3070</v>
      </c>
      <c r="B242" s="214" t="s">
        <v>1271</v>
      </c>
      <c r="C242" s="214" t="s">
        <v>1272</v>
      </c>
      <c r="D242" s="215" t="s">
        <v>2521</v>
      </c>
      <c r="E242" s="214" t="s">
        <v>2522</v>
      </c>
      <c r="F242" s="213" t="s">
        <v>2738</v>
      </c>
      <c r="G242" s="213" t="s">
        <v>2735</v>
      </c>
      <c r="H242" s="212"/>
      <c r="I242" s="212"/>
      <c r="J242" s="212"/>
      <c r="K242" s="212"/>
      <c r="L242" s="212"/>
      <c r="M242" s="212"/>
      <c r="N242" s="212"/>
      <c r="O242" s="212"/>
      <c r="P242" s="212"/>
      <c r="Q242" s="212"/>
      <c r="R242" s="212"/>
      <c r="S242" s="212"/>
      <c r="T242" s="212"/>
      <c r="U242" s="212"/>
      <c r="V242" s="212"/>
      <c r="W242" s="212"/>
      <c r="X242" s="212"/>
      <c r="Y242" s="212"/>
    </row>
    <row r="243" ht="48.75" customHeight="1">
      <c r="A243" s="209" t="s">
        <v>3071</v>
      </c>
      <c r="B243" s="210" t="s">
        <v>1273</v>
      </c>
      <c r="C243" s="210" t="s">
        <v>1274</v>
      </c>
      <c r="D243" s="211" t="s">
        <v>2525</v>
      </c>
      <c r="E243" s="210" t="s">
        <v>2526</v>
      </c>
      <c r="F243" s="209" t="s">
        <v>2734</v>
      </c>
      <c r="G243" s="209" t="s">
        <v>2735</v>
      </c>
      <c r="H243" s="212"/>
      <c r="I243" s="212"/>
      <c r="J243" s="212"/>
      <c r="K243" s="212"/>
      <c r="L243" s="212"/>
      <c r="M243" s="212"/>
      <c r="N243" s="212"/>
      <c r="O243" s="212"/>
      <c r="P243" s="212"/>
      <c r="Q243" s="212"/>
      <c r="R243" s="212"/>
      <c r="S243" s="212"/>
      <c r="T243" s="212"/>
      <c r="U243" s="212"/>
      <c r="V243" s="212"/>
      <c r="W243" s="212"/>
      <c r="X243" s="212"/>
      <c r="Y243" s="212"/>
    </row>
    <row r="244" ht="48.75" customHeight="1">
      <c r="A244" s="213" t="s">
        <v>3072</v>
      </c>
      <c r="B244" s="214" t="s">
        <v>1276</v>
      </c>
      <c r="C244" s="214" t="s">
        <v>1277</v>
      </c>
      <c r="D244" s="215" t="s">
        <v>2529</v>
      </c>
      <c r="E244" s="214" t="s">
        <v>2530</v>
      </c>
      <c r="F244" s="213" t="s">
        <v>2738</v>
      </c>
      <c r="G244" s="213" t="s">
        <v>2735</v>
      </c>
      <c r="H244" s="212"/>
      <c r="I244" s="212"/>
      <c r="J244" s="212"/>
      <c r="K244" s="212"/>
      <c r="L244" s="212"/>
      <c r="M244" s="212"/>
      <c r="N244" s="212"/>
      <c r="O244" s="212"/>
      <c r="P244" s="212"/>
      <c r="Q244" s="212"/>
      <c r="R244" s="212"/>
      <c r="S244" s="212"/>
      <c r="T244" s="212"/>
      <c r="U244" s="212"/>
      <c r="V244" s="212"/>
      <c r="W244" s="212"/>
      <c r="X244" s="212"/>
      <c r="Y244" s="212"/>
    </row>
    <row r="245" ht="48.75" customHeight="1">
      <c r="A245" s="209" t="s">
        <v>3073</v>
      </c>
      <c r="B245" s="210" t="s">
        <v>1278</v>
      </c>
      <c r="C245" s="210" t="s">
        <v>1279</v>
      </c>
      <c r="D245" s="211" t="s">
        <v>2533</v>
      </c>
      <c r="E245" s="210" t="s">
        <v>2534</v>
      </c>
      <c r="F245" s="209" t="s">
        <v>2738</v>
      </c>
      <c r="G245" s="209" t="s">
        <v>2735</v>
      </c>
      <c r="H245" s="212"/>
      <c r="I245" s="212"/>
      <c r="J245" s="212"/>
      <c r="K245" s="212"/>
      <c r="L245" s="212"/>
      <c r="M245" s="212"/>
      <c r="N245" s="212"/>
      <c r="O245" s="212"/>
      <c r="P245" s="212"/>
      <c r="Q245" s="212"/>
      <c r="R245" s="212"/>
      <c r="S245" s="212"/>
      <c r="T245" s="212"/>
      <c r="U245" s="212"/>
      <c r="V245" s="212"/>
      <c r="W245" s="212"/>
      <c r="X245" s="212"/>
      <c r="Y245" s="212"/>
    </row>
    <row r="246" ht="48.75" customHeight="1">
      <c r="A246" s="213" t="s">
        <v>3074</v>
      </c>
      <c r="B246" s="214" t="s">
        <v>1280</v>
      </c>
      <c r="C246" s="214" t="s">
        <v>1281</v>
      </c>
      <c r="D246" s="215" t="s">
        <v>2537</v>
      </c>
      <c r="E246" s="214" t="s">
        <v>2538</v>
      </c>
      <c r="F246" s="213" t="s">
        <v>2734</v>
      </c>
      <c r="G246" s="213" t="s">
        <v>2735</v>
      </c>
      <c r="H246" s="212"/>
      <c r="I246" s="212"/>
      <c r="J246" s="212"/>
      <c r="K246" s="212"/>
      <c r="L246" s="212"/>
      <c r="M246" s="212"/>
      <c r="N246" s="212"/>
      <c r="O246" s="212"/>
      <c r="P246" s="212"/>
      <c r="Q246" s="212"/>
      <c r="R246" s="212"/>
      <c r="S246" s="212"/>
      <c r="T246" s="212"/>
      <c r="U246" s="212"/>
      <c r="V246" s="212"/>
      <c r="W246" s="212"/>
      <c r="X246" s="212"/>
      <c r="Y246" s="212"/>
    </row>
    <row r="247" ht="48.75" customHeight="1">
      <c r="A247" s="209" t="s">
        <v>3075</v>
      </c>
      <c r="B247" s="210" t="s">
        <v>1283</v>
      </c>
      <c r="C247" s="210" t="s">
        <v>1284</v>
      </c>
      <c r="D247" s="211" t="s">
        <v>2541</v>
      </c>
      <c r="E247" s="210" t="s">
        <v>2542</v>
      </c>
      <c r="F247" s="209" t="s">
        <v>2734</v>
      </c>
      <c r="G247" s="209" t="s">
        <v>2735</v>
      </c>
      <c r="H247" s="212"/>
      <c r="I247" s="212"/>
      <c r="J247" s="212"/>
      <c r="K247" s="212"/>
      <c r="L247" s="212"/>
      <c r="M247" s="212"/>
      <c r="N247" s="212"/>
      <c r="O247" s="212"/>
      <c r="P247" s="212"/>
      <c r="Q247" s="212"/>
      <c r="R247" s="212"/>
      <c r="S247" s="212"/>
      <c r="T247" s="212"/>
      <c r="U247" s="212"/>
      <c r="V247" s="212"/>
      <c r="W247" s="212"/>
      <c r="X247" s="212"/>
      <c r="Y247" s="212"/>
    </row>
    <row r="248" ht="48.75" customHeight="1">
      <c r="A248" s="213" t="s">
        <v>3076</v>
      </c>
      <c r="B248" s="214" t="s">
        <v>1285</v>
      </c>
      <c r="C248" s="214" t="s">
        <v>1286</v>
      </c>
      <c r="D248" s="215" t="s">
        <v>2545</v>
      </c>
      <c r="E248" s="214" t="s">
        <v>2546</v>
      </c>
      <c r="F248" s="213" t="s">
        <v>2740</v>
      </c>
      <c r="G248" s="213" t="s">
        <v>2735</v>
      </c>
      <c r="H248" s="212"/>
      <c r="I248" s="212"/>
      <c r="J248" s="212"/>
      <c r="K248" s="212"/>
      <c r="L248" s="212"/>
      <c r="M248" s="212"/>
      <c r="N248" s="212"/>
      <c r="O248" s="212"/>
      <c r="P248" s="212"/>
      <c r="Q248" s="212"/>
      <c r="R248" s="212"/>
      <c r="S248" s="212"/>
      <c r="T248" s="212"/>
      <c r="U248" s="212"/>
      <c r="V248" s="212"/>
      <c r="W248" s="212"/>
      <c r="X248" s="212"/>
      <c r="Y248" s="212"/>
    </row>
    <row r="249" ht="48.75" customHeight="1">
      <c r="A249" s="209" t="s">
        <v>3077</v>
      </c>
      <c r="B249" s="210" t="s">
        <v>1288</v>
      </c>
      <c r="C249" s="210" t="s">
        <v>1289</v>
      </c>
      <c r="D249" s="211" t="s">
        <v>2549</v>
      </c>
      <c r="E249" s="210" t="s">
        <v>2550</v>
      </c>
      <c r="F249" s="209" t="s">
        <v>2734</v>
      </c>
      <c r="G249" s="209" t="s">
        <v>2735</v>
      </c>
      <c r="H249" s="212"/>
      <c r="I249" s="212"/>
      <c r="J249" s="212"/>
      <c r="K249" s="212"/>
      <c r="L249" s="212"/>
      <c r="M249" s="212"/>
      <c r="N249" s="212"/>
      <c r="O249" s="212"/>
      <c r="P249" s="212"/>
      <c r="Q249" s="212"/>
      <c r="R249" s="212"/>
      <c r="S249" s="212"/>
      <c r="T249" s="212"/>
      <c r="U249" s="212"/>
      <c r="V249" s="212"/>
      <c r="W249" s="212"/>
      <c r="X249" s="212"/>
      <c r="Y249" s="212"/>
    </row>
    <row r="250" ht="48.75" customHeight="1">
      <c r="A250" s="213" t="s">
        <v>3078</v>
      </c>
      <c r="B250" s="214" t="s">
        <v>1290</v>
      </c>
      <c r="C250" s="214" t="s">
        <v>1291</v>
      </c>
      <c r="D250" s="215" t="s">
        <v>2553</v>
      </c>
      <c r="E250" s="214" t="s">
        <v>2554</v>
      </c>
      <c r="F250" s="213" t="s">
        <v>2740</v>
      </c>
      <c r="G250" s="213" t="s">
        <v>2735</v>
      </c>
      <c r="H250" s="212"/>
      <c r="I250" s="212"/>
      <c r="J250" s="212"/>
      <c r="K250" s="212"/>
      <c r="L250" s="212"/>
      <c r="M250" s="212"/>
      <c r="N250" s="212"/>
      <c r="O250" s="212"/>
      <c r="P250" s="212"/>
      <c r="Q250" s="212"/>
      <c r="R250" s="212"/>
      <c r="S250" s="212"/>
      <c r="T250" s="212"/>
      <c r="U250" s="212"/>
      <c r="V250" s="212"/>
      <c r="W250" s="212"/>
      <c r="X250" s="212"/>
      <c r="Y250" s="212"/>
    </row>
    <row r="251" ht="48.75" customHeight="1">
      <c r="A251" s="209" t="s">
        <v>3079</v>
      </c>
      <c r="B251" s="210" t="s">
        <v>1292</v>
      </c>
      <c r="C251" s="210" t="s">
        <v>1293</v>
      </c>
      <c r="D251" s="211" t="s">
        <v>2557</v>
      </c>
      <c r="E251" s="210" t="s">
        <v>2558</v>
      </c>
      <c r="F251" s="209" t="s">
        <v>2734</v>
      </c>
      <c r="G251" s="209" t="s">
        <v>2735</v>
      </c>
      <c r="H251" s="212"/>
      <c r="I251" s="212"/>
      <c r="J251" s="212"/>
      <c r="K251" s="212"/>
      <c r="L251" s="212"/>
      <c r="M251" s="212"/>
      <c r="N251" s="212"/>
      <c r="O251" s="212"/>
      <c r="P251" s="212"/>
      <c r="Q251" s="212"/>
      <c r="R251" s="212"/>
      <c r="S251" s="212"/>
      <c r="T251" s="212"/>
      <c r="U251" s="212"/>
      <c r="V251" s="212"/>
      <c r="W251" s="212"/>
      <c r="X251" s="212"/>
      <c r="Y251" s="212"/>
    </row>
    <row r="252" ht="48.75" customHeight="1">
      <c r="A252" s="213" t="s">
        <v>3080</v>
      </c>
      <c r="B252" s="214" t="s">
        <v>1295</v>
      </c>
      <c r="C252" s="214" t="s">
        <v>1296</v>
      </c>
      <c r="D252" s="215" t="s">
        <v>2561</v>
      </c>
      <c r="E252" s="214" t="s">
        <v>2562</v>
      </c>
      <c r="F252" s="213" t="s">
        <v>2738</v>
      </c>
      <c r="G252" s="213" t="s">
        <v>2735</v>
      </c>
      <c r="H252" s="212"/>
      <c r="I252" s="212"/>
      <c r="J252" s="212"/>
      <c r="K252" s="212"/>
      <c r="L252" s="212"/>
      <c r="M252" s="212"/>
      <c r="N252" s="212"/>
      <c r="O252" s="212"/>
      <c r="P252" s="212"/>
      <c r="Q252" s="212"/>
      <c r="R252" s="212"/>
      <c r="S252" s="212"/>
      <c r="T252" s="212"/>
      <c r="U252" s="212"/>
      <c r="V252" s="212"/>
      <c r="W252" s="212"/>
      <c r="X252" s="212"/>
      <c r="Y252" s="212"/>
    </row>
    <row r="253" ht="48.75" customHeight="1">
      <c r="A253" s="209" t="s">
        <v>3081</v>
      </c>
      <c r="B253" s="210" t="s">
        <v>1297</v>
      </c>
      <c r="C253" s="210" t="s">
        <v>1298</v>
      </c>
      <c r="D253" s="211" t="s">
        <v>2568</v>
      </c>
      <c r="E253" s="210" t="s">
        <v>2569</v>
      </c>
      <c r="F253" s="209" t="s">
        <v>2738</v>
      </c>
      <c r="G253" s="209" t="s">
        <v>2735</v>
      </c>
      <c r="H253" s="212"/>
      <c r="I253" s="212"/>
      <c r="J253" s="212"/>
      <c r="K253" s="212"/>
      <c r="L253" s="212"/>
      <c r="M253" s="212"/>
      <c r="N253" s="212"/>
      <c r="O253" s="212"/>
      <c r="P253" s="212"/>
      <c r="Q253" s="212"/>
      <c r="R253" s="212"/>
      <c r="S253" s="212"/>
      <c r="T253" s="212"/>
      <c r="U253" s="212"/>
      <c r="V253" s="212"/>
      <c r="W253" s="212"/>
      <c r="X253" s="212"/>
      <c r="Y253" s="212"/>
    </row>
    <row r="254" ht="48.75" customHeight="1">
      <c r="A254" s="213" t="s">
        <v>3082</v>
      </c>
      <c r="B254" s="214" t="s">
        <v>1299</v>
      </c>
      <c r="C254" s="214" t="s">
        <v>1300</v>
      </c>
      <c r="D254" s="215" t="s">
        <v>2574</v>
      </c>
      <c r="E254" s="214" t="s">
        <v>2575</v>
      </c>
      <c r="F254" s="213" t="s">
        <v>2738</v>
      </c>
      <c r="G254" s="213" t="s">
        <v>2735</v>
      </c>
      <c r="H254" s="212"/>
      <c r="I254" s="212"/>
      <c r="J254" s="212"/>
      <c r="K254" s="212"/>
      <c r="L254" s="212"/>
      <c r="M254" s="212"/>
      <c r="N254" s="212"/>
      <c r="O254" s="212"/>
      <c r="P254" s="212"/>
      <c r="Q254" s="212"/>
      <c r="R254" s="212"/>
      <c r="S254" s="212"/>
      <c r="T254" s="212"/>
      <c r="U254" s="212"/>
      <c r="V254" s="212"/>
      <c r="W254" s="212"/>
      <c r="X254" s="212"/>
      <c r="Y254" s="212"/>
    </row>
    <row r="255" ht="48.75" customHeight="1">
      <c r="A255" s="209" t="s">
        <v>3083</v>
      </c>
      <c r="B255" s="210" t="s">
        <v>1302</v>
      </c>
      <c r="C255" s="210" t="s">
        <v>1303</v>
      </c>
      <c r="D255" s="211" t="s">
        <v>2579</v>
      </c>
      <c r="E255" s="210" t="s">
        <v>2580</v>
      </c>
      <c r="F255" s="209" t="s">
        <v>2734</v>
      </c>
      <c r="G255" s="209" t="s">
        <v>2735</v>
      </c>
      <c r="H255" s="212"/>
      <c r="I255" s="212"/>
      <c r="J255" s="212"/>
      <c r="K255" s="212"/>
      <c r="L255" s="212"/>
      <c r="M255" s="212"/>
      <c r="N255" s="212"/>
      <c r="O255" s="212"/>
      <c r="P255" s="212"/>
      <c r="Q255" s="212"/>
      <c r="R255" s="212"/>
      <c r="S255" s="212"/>
      <c r="T255" s="212"/>
      <c r="U255" s="212"/>
      <c r="V255" s="212"/>
      <c r="W255" s="212"/>
      <c r="X255" s="212"/>
      <c r="Y255" s="212"/>
    </row>
    <row r="256" ht="48.75" customHeight="1">
      <c r="A256" s="213" t="s">
        <v>3084</v>
      </c>
      <c r="B256" s="214" t="s">
        <v>1304</v>
      </c>
      <c r="C256" s="214" t="s">
        <v>1305</v>
      </c>
      <c r="D256" s="215" t="s">
        <v>2583</v>
      </c>
      <c r="E256" s="214" t="s">
        <v>2584</v>
      </c>
      <c r="F256" s="213" t="s">
        <v>2734</v>
      </c>
      <c r="G256" s="213" t="s">
        <v>2735</v>
      </c>
      <c r="H256" s="212"/>
      <c r="I256" s="212"/>
      <c r="J256" s="212"/>
      <c r="K256" s="212"/>
      <c r="L256" s="212"/>
      <c r="M256" s="212"/>
      <c r="N256" s="212"/>
      <c r="O256" s="212"/>
      <c r="P256" s="212"/>
      <c r="Q256" s="212"/>
      <c r="R256" s="212"/>
      <c r="S256" s="212"/>
      <c r="T256" s="212"/>
      <c r="U256" s="212"/>
      <c r="V256" s="212"/>
      <c r="W256" s="212"/>
      <c r="X256" s="212"/>
      <c r="Y256" s="212"/>
    </row>
    <row r="257" ht="48.75" customHeight="1">
      <c r="A257" s="209" t="s">
        <v>3085</v>
      </c>
      <c r="B257" s="210" t="s">
        <v>1307</v>
      </c>
      <c r="C257" s="210" t="s">
        <v>1308</v>
      </c>
      <c r="D257" s="211" t="s">
        <v>2587</v>
      </c>
      <c r="E257" s="210" t="s">
        <v>2588</v>
      </c>
      <c r="F257" s="209" t="s">
        <v>2734</v>
      </c>
      <c r="G257" s="209" t="s">
        <v>2735</v>
      </c>
      <c r="H257" s="212"/>
      <c r="I257" s="212"/>
      <c r="J257" s="212"/>
      <c r="K257" s="212"/>
      <c r="L257" s="212"/>
      <c r="M257" s="212"/>
      <c r="N257" s="212"/>
      <c r="O257" s="212"/>
      <c r="P257" s="212"/>
      <c r="Q257" s="212"/>
      <c r="R257" s="212"/>
      <c r="S257" s="212"/>
      <c r="T257" s="212"/>
      <c r="U257" s="212"/>
      <c r="V257" s="212"/>
      <c r="W257" s="212"/>
      <c r="X257" s="212"/>
      <c r="Y257" s="212"/>
    </row>
    <row r="258" ht="48.75" customHeight="1">
      <c r="A258" s="213" t="s">
        <v>3086</v>
      </c>
      <c r="B258" s="214" t="s">
        <v>1309</v>
      </c>
      <c r="C258" s="214" t="s">
        <v>1310</v>
      </c>
      <c r="D258" s="215" t="s">
        <v>2591</v>
      </c>
      <c r="E258" s="214" t="s">
        <v>2592</v>
      </c>
      <c r="F258" s="213" t="s">
        <v>2738</v>
      </c>
      <c r="G258" s="213" t="s">
        <v>2735</v>
      </c>
      <c r="H258" s="212"/>
      <c r="I258" s="212"/>
      <c r="J258" s="212"/>
      <c r="K258" s="212"/>
      <c r="L258" s="212"/>
      <c r="M258" s="212"/>
      <c r="N258" s="212"/>
      <c r="O258" s="212"/>
      <c r="P258" s="212"/>
      <c r="Q258" s="212"/>
      <c r="R258" s="212"/>
      <c r="S258" s="212"/>
      <c r="T258" s="212"/>
      <c r="U258" s="212"/>
      <c r="V258" s="212"/>
      <c r="W258" s="212"/>
      <c r="X258" s="212"/>
      <c r="Y258" s="212"/>
    </row>
    <row r="259" ht="48.75" customHeight="1">
      <c r="A259" s="209" t="s">
        <v>3087</v>
      </c>
      <c r="B259" s="210" t="s">
        <v>1311</v>
      </c>
      <c r="C259" s="210" t="s">
        <v>1312</v>
      </c>
      <c r="D259" s="211" t="s">
        <v>2595</v>
      </c>
      <c r="E259" s="210" t="s">
        <v>2596</v>
      </c>
      <c r="F259" s="209" t="s">
        <v>2734</v>
      </c>
      <c r="G259" s="209" t="s">
        <v>2735</v>
      </c>
      <c r="H259" s="212"/>
      <c r="I259" s="212"/>
      <c r="J259" s="212"/>
      <c r="K259" s="212"/>
      <c r="L259" s="212"/>
      <c r="M259" s="212"/>
      <c r="N259" s="212"/>
      <c r="O259" s="212"/>
      <c r="P259" s="212"/>
      <c r="Q259" s="212"/>
      <c r="R259" s="212"/>
      <c r="S259" s="212"/>
      <c r="T259" s="212"/>
      <c r="U259" s="212"/>
      <c r="V259" s="212"/>
      <c r="W259" s="212"/>
      <c r="X259" s="212"/>
      <c r="Y259" s="212"/>
    </row>
    <row r="260" ht="48.75" customHeight="1">
      <c r="A260" s="213" t="s">
        <v>3088</v>
      </c>
      <c r="B260" s="214" t="s">
        <v>1314</v>
      </c>
      <c r="C260" s="214" t="s">
        <v>1315</v>
      </c>
      <c r="D260" s="215" t="s">
        <v>2599</v>
      </c>
      <c r="E260" s="214" t="s">
        <v>2600</v>
      </c>
      <c r="F260" s="213" t="s">
        <v>2734</v>
      </c>
      <c r="G260" s="213" t="s">
        <v>2735</v>
      </c>
      <c r="H260" s="212"/>
      <c r="I260" s="212"/>
      <c r="J260" s="212"/>
      <c r="K260" s="212"/>
      <c r="L260" s="212"/>
      <c r="M260" s="212"/>
      <c r="N260" s="212"/>
      <c r="O260" s="212"/>
      <c r="P260" s="212"/>
      <c r="Q260" s="212"/>
      <c r="R260" s="212"/>
      <c r="S260" s="212"/>
      <c r="T260" s="212"/>
      <c r="U260" s="212"/>
      <c r="V260" s="212"/>
      <c r="W260" s="212"/>
      <c r="X260" s="212"/>
      <c r="Y260" s="212"/>
    </row>
    <row r="261" ht="48.75" customHeight="1">
      <c r="A261" s="209" t="s">
        <v>3089</v>
      </c>
      <c r="B261" s="210" t="s">
        <v>1316</v>
      </c>
      <c r="C261" s="210" t="s">
        <v>1317</v>
      </c>
      <c r="D261" s="211" t="s">
        <v>2603</v>
      </c>
      <c r="E261" s="210" t="s">
        <v>2604</v>
      </c>
      <c r="F261" s="209" t="s">
        <v>2738</v>
      </c>
      <c r="G261" s="209" t="s">
        <v>2735</v>
      </c>
      <c r="H261" s="212"/>
      <c r="I261" s="212"/>
      <c r="J261" s="212"/>
      <c r="K261" s="212"/>
      <c r="L261" s="212"/>
      <c r="M261" s="212"/>
      <c r="N261" s="212"/>
      <c r="O261" s="212"/>
      <c r="P261" s="212"/>
      <c r="Q261" s="212"/>
      <c r="R261" s="212"/>
      <c r="S261" s="212"/>
      <c r="T261" s="212"/>
      <c r="U261" s="212"/>
      <c r="V261" s="212"/>
      <c r="W261" s="212"/>
      <c r="X261" s="212"/>
      <c r="Y261" s="212"/>
    </row>
    <row r="262" ht="48.75" customHeight="1">
      <c r="A262" s="213" t="s">
        <v>3090</v>
      </c>
      <c r="B262" s="214" t="s">
        <v>1319</v>
      </c>
      <c r="C262" s="214" t="s">
        <v>1320</v>
      </c>
      <c r="D262" s="215" t="s">
        <v>2608</v>
      </c>
      <c r="E262" s="214" t="s">
        <v>3091</v>
      </c>
      <c r="F262" s="213" t="s">
        <v>2734</v>
      </c>
      <c r="G262" s="213" t="s">
        <v>2735</v>
      </c>
      <c r="H262" s="212"/>
      <c r="I262" s="212"/>
      <c r="J262" s="212"/>
      <c r="K262" s="212"/>
      <c r="L262" s="212"/>
      <c r="M262" s="212"/>
      <c r="N262" s="212"/>
      <c r="O262" s="212"/>
      <c r="P262" s="212"/>
      <c r="Q262" s="212"/>
      <c r="R262" s="212"/>
      <c r="S262" s="212"/>
      <c r="T262" s="212"/>
      <c r="U262" s="212"/>
      <c r="V262" s="212"/>
      <c r="W262" s="212"/>
      <c r="X262" s="212"/>
      <c r="Y262" s="212"/>
    </row>
    <row r="263" ht="48.75" customHeight="1">
      <c r="A263" s="209" t="s">
        <v>3092</v>
      </c>
      <c r="B263" s="210" t="s">
        <v>1321</v>
      </c>
      <c r="C263" s="210" t="s">
        <v>1322</v>
      </c>
      <c r="D263" s="211" t="s">
        <v>2612</v>
      </c>
      <c r="E263" s="210" t="s">
        <v>2613</v>
      </c>
      <c r="F263" s="209" t="s">
        <v>2734</v>
      </c>
      <c r="G263" s="209" t="s">
        <v>2735</v>
      </c>
      <c r="H263" s="212"/>
      <c r="I263" s="212"/>
      <c r="J263" s="212"/>
      <c r="K263" s="212"/>
      <c r="L263" s="212"/>
      <c r="M263" s="212"/>
      <c r="N263" s="212"/>
      <c r="O263" s="212"/>
      <c r="P263" s="212"/>
      <c r="Q263" s="212"/>
      <c r="R263" s="212"/>
      <c r="S263" s="212"/>
      <c r="T263" s="212"/>
      <c r="U263" s="212"/>
      <c r="V263" s="212"/>
      <c r="W263" s="212"/>
      <c r="X263" s="212"/>
      <c r="Y263" s="212"/>
    </row>
    <row r="264" ht="48.75" customHeight="1">
      <c r="A264" s="213" t="s">
        <v>3093</v>
      </c>
      <c r="B264" s="214" t="s">
        <v>1323</v>
      </c>
      <c r="C264" s="214" t="s">
        <v>1324</v>
      </c>
      <c r="D264" s="215" t="s">
        <v>2616</v>
      </c>
      <c r="E264" s="214" t="s">
        <v>2617</v>
      </c>
      <c r="F264" s="213" t="s">
        <v>2740</v>
      </c>
      <c r="G264" s="213" t="s">
        <v>2735</v>
      </c>
      <c r="H264" s="212"/>
      <c r="I264" s="212"/>
      <c r="J264" s="212"/>
      <c r="K264" s="212"/>
      <c r="L264" s="212"/>
      <c r="M264" s="212"/>
      <c r="N264" s="212"/>
      <c r="O264" s="212"/>
      <c r="P264" s="212"/>
      <c r="Q264" s="212"/>
      <c r="R264" s="212"/>
      <c r="S264" s="212"/>
      <c r="T264" s="212"/>
      <c r="U264" s="212"/>
      <c r="V264" s="212"/>
      <c r="W264" s="212"/>
      <c r="X264" s="212"/>
      <c r="Y264" s="212"/>
    </row>
    <row r="265" ht="48.75" customHeight="1">
      <c r="A265" s="209" t="s">
        <v>3094</v>
      </c>
      <c r="B265" s="210" t="s">
        <v>1326</v>
      </c>
      <c r="C265" s="210" t="s">
        <v>1327</v>
      </c>
      <c r="D265" s="211" t="s">
        <v>2620</v>
      </c>
      <c r="E265" s="210" t="s">
        <v>2621</v>
      </c>
      <c r="F265" s="209" t="s">
        <v>2734</v>
      </c>
      <c r="G265" s="209" t="s">
        <v>2735</v>
      </c>
      <c r="H265" s="212"/>
      <c r="I265" s="212"/>
      <c r="J265" s="212"/>
      <c r="K265" s="212"/>
      <c r="L265" s="212"/>
      <c r="M265" s="212"/>
      <c r="N265" s="212"/>
      <c r="O265" s="212"/>
      <c r="P265" s="212"/>
      <c r="Q265" s="212"/>
      <c r="R265" s="212"/>
      <c r="S265" s="212"/>
      <c r="T265" s="212"/>
      <c r="U265" s="212"/>
      <c r="V265" s="212"/>
      <c r="W265" s="212"/>
      <c r="X265" s="212"/>
      <c r="Y265" s="212"/>
    </row>
    <row r="266" ht="48.75" customHeight="1">
      <c r="A266" s="213" t="s">
        <v>3095</v>
      </c>
      <c r="B266" s="214" t="s">
        <v>1328</v>
      </c>
      <c r="C266" s="214" t="s">
        <v>3096</v>
      </c>
      <c r="D266" s="215" t="s">
        <v>2626</v>
      </c>
      <c r="E266" s="214" t="s">
        <v>2627</v>
      </c>
      <c r="F266" s="213" t="s">
        <v>2738</v>
      </c>
      <c r="G266" s="213" t="s">
        <v>2735</v>
      </c>
      <c r="H266" s="212"/>
      <c r="I266" s="212"/>
      <c r="J266" s="212"/>
      <c r="K266" s="212"/>
      <c r="L266" s="212"/>
      <c r="M266" s="212"/>
      <c r="N266" s="212"/>
      <c r="O266" s="212"/>
      <c r="P266" s="212"/>
      <c r="Q266" s="212"/>
      <c r="R266" s="212"/>
      <c r="S266" s="212"/>
      <c r="T266" s="212"/>
      <c r="U266" s="212"/>
      <c r="V266" s="212"/>
      <c r="W266" s="212"/>
      <c r="X266" s="212"/>
      <c r="Y266" s="212"/>
    </row>
    <row r="267" ht="48.75" customHeight="1">
      <c r="A267" s="209" t="s">
        <v>3097</v>
      </c>
      <c r="B267" s="210" t="s">
        <v>1330</v>
      </c>
      <c r="C267" s="210" t="s">
        <v>3098</v>
      </c>
      <c r="D267" s="211" t="s">
        <v>2630</v>
      </c>
      <c r="E267" s="210" t="s">
        <v>2631</v>
      </c>
      <c r="F267" s="209" t="s">
        <v>2738</v>
      </c>
      <c r="G267" s="209" t="s">
        <v>2735</v>
      </c>
      <c r="H267" s="212"/>
      <c r="I267" s="212"/>
      <c r="J267" s="212"/>
      <c r="K267" s="212"/>
      <c r="L267" s="212"/>
      <c r="M267" s="212"/>
      <c r="N267" s="212"/>
      <c r="O267" s="212"/>
      <c r="P267" s="212"/>
      <c r="Q267" s="212"/>
      <c r="R267" s="212"/>
      <c r="S267" s="212"/>
      <c r="T267" s="212"/>
      <c r="U267" s="212"/>
      <c r="V267" s="212"/>
      <c r="W267" s="212"/>
      <c r="X267" s="212"/>
      <c r="Y267" s="212"/>
    </row>
    <row r="268" ht="48.75" customHeight="1">
      <c r="A268" s="213" t="s">
        <v>3099</v>
      </c>
      <c r="B268" s="214" t="s">
        <v>1333</v>
      </c>
      <c r="C268" s="214" t="s">
        <v>1334</v>
      </c>
      <c r="D268" s="215" t="s">
        <v>2634</v>
      </c>
      <c r="E268" s="214" t="s">
        <v>2635</v>
      </c>
      <c r="F268" s="213" t="s">
        <v>2734</v>
      </c>
      <c r="G268" s="213" t="s">
        <v>2735</v>
      </c>
      <c r="H268" s="212"/>
      <c r="I268" s="212"/>
      <c r="J268" s="212"/>
      <c r="K268" s="212"/>
      <c r="L268" s="212"/>
      <c r="M268" s="212"/>
      <c r="N268" s="212"/>
      <c r="O268" s="212"/>
      <c r="P268" s="212"/>
      <c r="Q268" s="212"/>
      <c r="R268" s="212"/>
      <c r="S268" s="212"/>
      <c r="T268" s="212"/>
      <c r="U268" s="212"/>
      <c r="V268" s="212"/>
      <c r="W268" s="212"/>
      <c r="X268" s="212"/>
      <c r="Y268" s="212"/>
    </row>
    <row r="269" ht="48.75" customHeight="1">
      <c r="A269" s="209" t="s">
        <v>3100</v>
      </c>
      <c r="B269" s="210" t="s">
        <v>1335</v>
      </c>
      <c r="C269" s="210" t="s">
        <v>1336</v>
      </c>
      <c r="D269" s="211" t="s">
        <v>2638</v>
      </c>
      <c r="E269" s="210" t="s">
        <v>2639</v>
      </c>
      <c r="F269" s="209" t="s">
        <v>2740</v>
      </c>
      <c r="G269" s="209" t="s">
        <v>2735</v>
      </c>
      <c r="H269" s="212"/>
      <c r="I269" s="212"/>
      <c r="J269" s="212"/>
      <c r="K269" s="212"/>
      <c r="L269" s="212"/>
      <c r="M269" s="212"/>
      <c r="N269" s="212"/>
      <c r="O269" s="212"/>
      <c r="P269" s="212"/>
      <c r="Q269" s="212"/>
      <c r="R269" s="212"/>
      <c r="S269" s="212"/>
      <c r="T269" s="212"/>
      <c r="U269" s="212"/>
      <c r="V269" s="212"/>
      <c r="W269" s="212"/>
      <c r="X269" s="212"/>
      <c r="Y269" s="212"/>
    </row>
    <row r="270" ht="48.75" customHeight="1">
      <c r="A270" s="213" t="s">
        <v>3101</v>
      </c>
      <c r="B270" s="214" t="s">
        <v>1337</v>
      </c>
      <c r="C270" s="214" t="s">
        <v>1338</v>
      </c>
      <c r="D270" s="215" t="s">
        <v>2642</v>
      </c>
      <c r="E270" s="214" t="s">
        <v>2643</v>
      </c>
      <c r="F270" s="213" t="s">
        <v>2740</v>
      </c>
      <c r="G270" s="213" t="s">
        <v>2735</v>
      </c>
      <c r="H270" s="212"/>
      <c r="I270" s="212"/>
      <c r="J270" s="212"/>
      <c r="K270" s="212"/>
      <c r="L270" s="212"/>
      <c r="M270" s="212"/>
      <c r="N270" s="212"/>
      <c r="O270" s="212"/>
      <c r="P270" s="212"/>
      <c r="Q270" s="212"/>
      <c r="R270" s="212"/>
      <c r="S270" s="212"/>
      <c r="T270" s="212"/>
      <c r="U270" s="212"/>
      <c r="V270" s="212"/>
      <c r="W270" s="212"/>
      <c r="X270" s="212"/>
      <c r="Y270" s="212"/>
    </row>
    <row r="271" ht="48.75" customHeight="1">
      <c r="A271" s="209" t="s">
        <v>3102</v>
      </c>
      <c r="B271" s="210" t="s">
        <v>1340</v>
      </c>
      <c r="C271" s="210" t="s">
        <v>1341</v>
      </c>
      <c r="D271" s="211" t="s">
        <v>2646</v>
      </c>
      <c r="E271" s="210" t="s">
        <v>2647</v>
      </c>
      <c r="F271" s="209" t="s">
        <v>2738</v>
      </c>
      <c r="G271" s="209" t="s">
        <v>2735</v>
      </c>
      <c r="H271" s="212"/>
      <c r="I271" s="212"/>
      <c r="J271" s="212"/>
      <c r="K271" s="212"/>
      <c r="L271" s="212"/>
      <c r="M271" s="212"/>
      <c r="N271" s="212"/>
      <c r="O271" s="212"/>
      <c r="P271" s="212"/>
      <c r="Q271" s="212"/>
      <c r="R271" s="212"/>
      <c r="S271" s="212"/>
      <c r="T271" s="212"/>
      <c r="U271" s="212"/>
      <c r="V271" s="212"/>
      <c r="W271" s="212"/>
      <c r="X271" s="212"/>
      <c r="Y271" s="212"/>
    </row>
    <row r="272" ht="48.75" customHeight="1">
      <c r="A272" s="213" t="s">
        <v>3103</v>
      </c>
      <c r="B272" s="214" t="s">
        <v>1342</v>
      </c>
      <c r="C272" s="214" t="s">
        <v>1343</v>
      </c>
      <c r="D272" s="215" t="s">
        <v>2653</v>
      </c>
      <c r="E272" s="214" t="s">
        <v>3104</v>
      </c>
      <c r="F272" s="213" t="s">
        <v>2740</v>
      </c>
      <c r="G272" s="213" t="s">
        <v>2735</v>
      </c>
      <c r="H272" s="212"/>
      <c r="I272" s="212"/>
      <c r="J272" s="212"/>
      <c r="K272" s="212"/>
      <c r="L272" s="212"/>
      <c r="M272" s="212"/>
      <c r="N272" s="212"/>
      <c r="O272" s="212"/>
      <c r="P272" s="212"/>
      <c r="Q272" s="212"/>
      <c r="R272" s="212"/>
      <c r="S272" s="212"/>
      <c r="T272" s="212"/>
      <c r="U272" s="212"/>
      <c r="V272" s="212"/>
      <c r="W272" s="212"/>
      <c r="X272" s="212"/>
      <c r="Y272" s="212"/>
    </row>
    <row r="273" ht="48.75" customHeight="1">
      <c r="A273" s="209" t="s">
        <v>3105</v>
      </c>
      <c r="B273" s="210" t="s">
        <v>1345</v>
      </c>
      <c r="C273" s="210" t="s">
        <v>1346</v>
      </c>
      <c r="D273" s="215" t="s">
        <v>2659</v>
      </c>
      <c r="E273" s="210" t="s">
        <v>2660</v>
      </c>
      <c r="F273" s="209" t="s">
        <v>2734</v>
      </c>
      <c r="G273" s="209" t="s">
        <v>2735</v>
      </c>
      <c r="H273" s="212"/>
      <c r="I273" s="212"/>
      <c r="J273" s="212"/>
      <c r="K273" s="212"/>
      <c r="L273" s="212"/>
      <c r="M273" s="212"/>
      <c r="N273" s="212"/>
      <c r="O273" s="212"/>
      <c r="P273" s="212"/>
      <c r="Q273" s="212"/>
      <c r="R273" s="212"/>
      <c r="S273" s="212"/>
      <c r="T273" s="212"/>
      <c r="U273" s="212"/>
      <c r="V273" s="212"/>
      <c r="W273" s="212"/>
      <c r="X273" s="212"/>
      <c r="Y273" s="212"/>
    </row>
    <row r="274" ht="48.75" customHeight="1">
      <c r="A274" s="213" t="s">
        <v>3106</v>
      </c>
      <c r="B274" s="214" t="s">
        <v>1347</v>
      </c>
      <c r="C274" s="214" t="s">
        <v>1348</v>
      </c>
      <c r="D274" s="215" t="s">
        <v>2663</v>
      </c>
      <c r="E274" s="214" t="s">
        <v>2664</v>
      </c>
      <c r="F274" s="213" t="s">
        <v>2738</v>
      </c>
      <c r="G274" s="213" t="s">
        <v>2735</v>
      </c>
      <c r="H274" s="212"/>
      <c r="I274" s="212"/>
      <c r="J274" s="212"/>
      <c r="K274" s="212"/>
      <c r="L274" s="212"/>
      <c r="M274" s="212"/>
      <c r="N274" s="212"/>
      <c r="O274" s="212"/>
      <c r="P274" s="212"/>
      <c r="Q274" s="212"/>
      <c r="R274" s="212"/>
      <c r="S274" s="212"/>
      <c r="T274" s="212"/>
      <c r="U274" s="212"/>
      <c r="V274" s="212"/>
      <c r="W274" s="212"/>
      <c r="X274" s="212"/>
      <c r="Y274" s="212"/>
    </row>
    <row r="275" ht="48.75" customHeight="1">
      <c r="A275" s="209" t="s">
        <v>3107</v>
      </c>
      <c r="B275" s="210" t="s">
        <v>1350</v>
      </c>
      <c r="C275" s="210" t="s">
        <v>1351</v>
      </c>
      <c r="D275" s="211" t="s">
        <v>2667</v>
      </c>
      <c r="E275" s="210" t="s">
        <v>2668</v>
      </c>
      <c r="F275" s="209" t="s">
        <v>2734</v>
      </c>
      <c r="G275" s="209" t="s">
        <v>2735</v>
      </c>
      <c r="H275" s="212"/>
      <c r="I275" s="212"/>
      <c r="J275" s="212"/>
      <c r="K275" s="212"/>
      <c r="L275" s="212"/>
      <c r="M275" s="212"/>
      <c r="N275" s="212"/>
      <c r="O275" s="212"/>
      <c r="P275" s="212"/>
      <c r="Q275" s="212"/>
      <c r="R275" s="212"/>
      <c r="S275" s="212"/>
      <c r="T275" s="212"/>
      <c r="U275" s="212"/>
      <c r="V275" s="212"/>
      <c r="W275" s="212"/>
      <c r="X275" s="212"/>
      <c r="Y275" s="212"/>
    </row>
    <row r="276" ht="48.75" customHeight="1">
      <c r="A276" s="213" t="s">
        <v>3108</v>
      </c>
      <c r="B276" s="214" t="s">
        <v>1352</v>
      </c>
      <c r="C276" s="214" t="s">
        <v>1353</v>
      </c>
      <c r="D276" s="215" t="s">
        <v>2671</v>
      </c>
      <c r="E276" s="214" t="s">
        <v>2672</v>
      </c>
      <c r="F276" s="213" t="s">
        <v>2734</v>
      </c>
      <c r="G276" s="213" t="s">
        <v>2735</v>
      </c>
      <c r="H276" s="212"/>
      <c r="I276" s="212"/>
      <c r="J276" s="212"/>
      <c r="K276" s="212"/>
      <c r="L276" s="212"/>
      <c r="M276" s="212"/>
      <c r="N276" s="212"/>
      <c r="O276" s="212"/>
      <c r="P276" s="212"/>
      <c r="Q276" s="212"/>
      <c r="R276" s="212"/>
      <c r="S276" s="212"/>
      <c r="T276" s="212"/>
      <c r="U276" s="212"/>
      <c r="V276" s="212"/>
      <c r="W276" s="212"/>
      <c r="X276" s="212"/>
      <c r="Y276" s="212"/>
    </row>
    <row r="277" ht="48.75" customHeight="1">
      <c r="A277" s="209" t="s">
        <v>3109</v>
      </c>
      <c r="B277" s="210" t="s">
        <v>1354</v>
      </c>
      <c r="C277" s="210" t="s">
        <v>1355</v>
      </c>
      <c r="D277" s="211" t="s">
        <v>2675</v>
      </c>
      <c r="E277" s="210" t="s">
        <v>2676</v>
      </c>
      <c r="F277" s="209" t="s">
        <v>2734</v>
      </c>
      <c r="G277" s="209" t="s">
        <v>2735</v>
      </c>
      <c r="H277" s="212"/>
      <c r="I277" s="212"/>
      <c r="J277" s="212"/>
      <c r="K277" s="212"/>
      <c r="L277" s="212"/>
      <c r="M277" s="212"/>
      <c r="N277" s="212"/>
      <c r="O277" s="212"/>
      <c r="P277" s="212"/>
      <c r="Q277" s="212"/>
      <c r="R277" s="212"/>
      <c r="S277" s="212"/>
      <c r="T277" s="212"/>
      <c r="U277" s="212"/>
      <c r="V277" s="212"/>
      <c r="W277" s="212"/>
      <c r="X277" s="212"/>
      <c r="Y277" s="212"/>
    </row>
    <row r="278" ht="48.75" customHeight="1">
      <c r="A278" s="213" t="s">
        <v>3110</v>
      </c>
      <c r="B278" s="214" t="s">
        <v>1357</v>
      </c>
      <c r="C278" s="214" t="s">
        <v>3111</v>
      </c>
      <c r="D278" s="215" t="s">
        <v>2679</v>
      </c>
      <c r="E278" s="214" t="s">
        <v>3112</v>
      </c>
      <c r="F278" s="213" t="s">
        <v>2738</v>
      </c>
      <c r="G278" s="213" t="s">
        <v>2735</v>
      </c>
      <c r="H278" s="212"/>
      <c r="I278" s="212"/>
      <c r="J278" s="212"/>
      <c r="K278" s="212"/>
      <c r="L278" s="212"/>
      <c r="M278" s="212"/>
      <c r="N278" s="212"/>
      <c r="O278" s="212"/>
      <c r="P278" s="212"/>
      <c r="Q278" s="212"/>
      <c r="R278" s="212"/>
      <c r="S278" s="212"/>
      <c r="T278" s="212"/>
      <c r="U278" s="212"/>
      <c r="V278" s="212"/>
      <c r="W278" s="212"/>
      <c r="X278" s="212"/>
      <c r="Y278" s="212"/>
    </row>
    <row r="279" ht="48.75" customHeight="1">
      <c r="A279" s="209" t="s">
        <v>3113</v>
      </c>
      <c r="B279" s="210" t="s">
        <v>1359</v>
      </c>
      <c r="C279" s="210" t="s">
        <v>1360</v>
      </c>
      <c r="D279" s="211" t="s">
        <v>2683</v>
      </c>
      <c r="E279" s="210" t="s">
        <v>2684</v>
      </c>
      <c r="F279" s="209" t="s">
        <v>2738</v>
      </c>
      <c r="G279" s="209" t="s">
        <v>2735</v>
      </c>
      <c r="H279" s="212"/>
      <c r="I279" s="212"/>
      <c r="J279" s="212"/>
      <c r="K279" s="212"/>
      <c r="L279" s="212"/>
      <c r="M279" s="212"/>
      <c r="N279" s="212"/>
      <c r="O279" s="212"/>
      <c r="P279" s="212"/>
      <c r="Q279" s="212"/>
      <c r="R279" s="212"/>
      <c r="S279" s="212"/>
      <c r="T279" s="212"/>
      <c r="U279" s="212"/>
      <c r="V279" s="212"/>
      <c r="W279" s="212"/>
      <c r="X279" s="212"/>
      <c r="Y279" s="212"/>
    </row>
    <row r="280" ht="48.75" customHeight="1">
      <c r="A280" s="213" t="s">
        <v>3114</v>
      </c>
      <c r="B280" s="214" t="s">
        <v>1362</v>
      </c>
      <c r="C280" s="214" t="s">
        <v>1363</v>
      </c>
      <c r="D280" s="215" t="s">
        <v>2687</v>
      </c>
      <c r="E280" s="214" t="s">
        <v>2688</v>
      </c>
      <c r="F280" s="213" t="s">
        <v>2734</v>
      </c>
      <c r="G280" s="213" t="s">
        <v>2735</v>
      </c>
      <c r="H280" s="212"/>
      <c r="I280" s="212"/>
      <c r="J280" s="212"/>
      <c r="K280" s="212"/>
      <c r="L280" s="212"/>
      <c r="M280" s="212"/>
      <c r="N280" s="212"/>
      <c r="O280" s="212"/>
      <c r="P280" s="212"/>
      <c r="Q280" s="212"/>
      <c r="R280" s="212"/>
      <c r="S280" s="212"/>
      <c r="T280" s="212"/>
      <c r="U280" s="212"/>
      <c r="V280" s="212"/>
      <c r="W280" s="212"/>
      <c r="X280" s="212"/>
      <c r="Y280" s="212"/>
    </row>
    <row r="281" ht="48.75" customHeight="1">
      <c r="A281" s="209" t="s">
        <v>3115</v>
      </c>
      <c r="B281" s="210" t="s">
        <v>1364</v>
      </c>
      <c r="C281" s="210" t="s">
        <v>1365</v>
      </c>
      <c r="D281" s="211" t="s">
        <v>2691</v>
      </c>
      <c r="E281" s="210" t="s">
        <v>2692</v>
      </c>
      <c r="F281" s="209" t="s">
        <v>2734</v>
      </c>
      <c r="G281" s="209" t="s">
        <v>2735</v>
      </c>
      <c r="H281" s="212"/>
      <c r="I281" s="212"/>
      <c r="J281" s="212"/>
      <c r="K281" s="212"/>
      <c r="L281" s="212"/>
      <c r="M281" s="212"/>
      <c r="N281" s="212"/>
      <c r="O281" s="212"/>
      <c r="P281" s="212"/>
      <c r="Q281" s="212"/>
      <c r="R281" s="212"/>
      <c r="S281" s="212"/>
      <c r="T281" s="212"/>
      <c r="U281" s="212"/>
      <c r="V281" s="212"/>
      <c r="W281" s="212"/>
      <c r="X281" s="212"/>
      <c r="Y281" s="212"/>
    </row>
    <row r="282" ht="48.75" customHeight="1">
      <c r="A282" s="213" t="s">
        <v>3116</v>
      </c>
      <c r="B282" s="214" t="s">
        <v>1367</v>
      </c>
      <c r="C282" s="214" t="s">
        <v>3117</v>
      </c>
      <c r="D282" s="215" t="s">
        <v>2695</v>
      </c>
      <c r="E282" s="214" t="s">
        <v>2696</v>
      </c>
      <c r="F282" s="213" t="s">
        <v>2738</v>
      </c>
      <c r="G282" s="213" t="s">
        <v>2735</v>
      </c>
      <c r="H282" s="212"/>
      <c r="I282" s="212"/>
      <c r="J282" s="212"/>
      <c r="K282" s="212"/>
      <c r="L282" s="212"/>
      <c r="M282" s="212"/>
      <c r="N282" s="212"/>
      <c r="O282" s="212"/>
      <c r="P282" s="212"/>
      <c r="Q282" s="212"/>
      <c r="R282" s="212"/>
      <c r="S282" s="212"/>
      <c r="T282" s="212"/>
      <c r="U282" s="212"/>
      <c r="V282" s="212"/>
      <c r="W282" s="212"/>
      <c r="X282" s="212"/>
      <c r="Y282" s="212"/>
    </row>
    <row r="283" ht="48.75" customHeight="1">
      <c r="A283" s="209" t="s">
        <v>3118</v>
      </c>
      <c r="B283" s="210" t="s">
        <v>1369</v>
      </c>
      <c r="C283" s="210" t="s">
        <v>3119</v>
      </c>
      <c r="D283" s="211" t="s">
        <v>2700</v>
      </c>
      <c r="E283" s="210" t="s">
        <v>2498</v>
      </c>
      <c r="F283" s="209" t="s">
        <v>2738</v>
      </c>
      <c r="G283" s="209" t="s">
        <v>2735</v>
      </c>
      <c r="H283" s="212"/>
      <c r="I283" s="212"/>
      <c r="J283" s="212"/>
      <c r="K283" s="212"/>
      <c r="L283" s="212"/>
      <c r="M283" s="212"/>
      <c r="N283" s="212"/>
      <c r="O283" s="212"/>
      <c r="P283" s="212"/>
      <c r="Q283" s="212"/>
      <c r="R283" s="212"/>
      <c r="S283" s="212"/>
      <c r="T283" s="212"/>
      <c r="U283" s="212"/>
      <c r="V283" s="212"/>
      <c r="W283" s="212"/>
      <c r="X283" s="212"/>
      <c r="Y283" s="212"/>
    </row>
    <row r="284" ht="48.75" customHeight="1">
      <c r="A284" s="213" t="s">
        <v>3120</v>
      </c>
      <c r="B284" s="214" t="s">
        <v>1372</v>
      </c>
      <c r="C284" s="214" t="s">
        <v>1373</v>
      </c>
      <c r="D284" s="215" t="s">
        <v>2705</v>
      </c>
      <c r="E284" s="214" t="s">
        <v>2706</v>
      </c>
      <c r="F284" s="213" t="s">
        <v>2734</v>
      </c>
      <c r="G284" s="213" t="s">
        <v>2735</v>
      </c>
      <c r="H284" s="212"/>
      <c r="I284" s="212"/>
      <c r="J284" s="212"/>
      <c r="K284" s="212"/>
      <c r="L284" s="212"/>
      <c r="M284" s="212"/>
      <c r="N284" s="212"/>
      <c r="O284" s="212"/>
      <c r="P284" s="212"/>
      <c r="Q284" s="212"/>
      <c r="R284" s="212"/>
      <c r="S284" s="212"/>
      <c r="T284" s="212"/>
      <c r="U284" s="212"/>
      <c r="V284" s="212"/>
      <c r="W284" s="212"/>
      <c r="X284" s="212"/>
      <c r="Y284" s="212"/>
    </row>
    <row r="285" ht="48.75" customHeight="1">
      <c r="A285" s="209" t="s">
        <v>3121</v>
      </c>
      <c r="B285" s="210" t="s">
        <v>1374</v>
      </c>
      <c r="C285" s="210" t="s">
        <v>1375</v>
      </c>
      <c r="D285" s="211" t="s">
        <v>2707</v>
      </c>
      <c r="E285" s="210" t="s">
        <v>2709</v>
      </c>
      <c r="F285" s="209" t="s">
        <v>2738</v>
      </c>
      <c r="G285" s="209" t="s">
        <v>2735</v>
      </c>
      <c r="H285" s="212"/>
      <c r="I285" s="212"/>
      <c r="J285" s="212"/>
      <c r="K285" s="212"/>
      <c r="L285" s="212"/>
      <c r="M285" s="212"/>
      <c r="N285" s="212"/>
      <c r="O285" s="212"/>
      <c r="P285" s="212"/>
      <c r="Q285" s="212"/>
      <c r="R285" s="212"/>
      <c r="S285" s="212"/>
      <c r="T285" s="212"/>
      <c r="U285" s="212"/>
      <c r="V285" s="212"/>
      <c r="W285" s="212"/>
      <c r="X285" s="212"/>
      <c r="Y285" s="212"/>
    </row>
    <row r="286" ht="48.75" customHeight="1">
      <c r="A286" s="213" t="s">
        <v>3122</v>
      </c>
      <c r="B286" s="214" t="s">
        <v>1376</v>
      </c>
      <c r="C286" s="214" t="s">
        <v>1377</v>
      </c>
      <c r="D286" s="215" t="s">
        <v>2712</v>
      </c>
      <c r="E286" s="214" t="s">
        <v>2713</v>
      </c>
      <c r="F286" s="213" t="s">
        <v>2734</v>
      </c>
      <c r="G286" s="213" t="s">
        <v>2735</v>
      </c>
      <c r="H286" s="212"/>
      <c r="I286" s="212"/>
      <c r="J286" s="212"/>
      <c r="K286" s="212"/>
      <c r="L286" s="212"/>
      <c r="M286" s="212"/>
      <c r="N286" s="212"/>
      <c r="O286" s="212"/>
      <c r="P286" s="212"/>
      <c r="Q286" s="212"/>
      <c r="R286" s="212"/>
      <c r="S286" s="212"/>
      <c r="T286" s="212"/>
      <c r="U286" s="212"/>
      <c r="V286" s="212"/>
      <c r="W286" s="212"/>
      <c r="X286" s="212"/>
      <c r="Y286" s="212"/>
    </row>
    <row r="287" ht="48.75" customHeight="1">
      <c r="A287" s="209" t="s">
        <v>3123</v>
      </c>
      <c r="B287" s="210" t="s">
        <v>1379</v>
      </c>
      <c r="C287" s="210" t="s">
        <v>1380</v>
      </c>
      <c r="D287" s="211" t="s">
        <v>2716</v>
      </c>
      <c r="E287" s="210" t="s">
        <v>2717</v>
      </c>
      <c r="F287" s="209" t="s">
        <v>2738</v>
      </c>
      <c r="G287" s="209" t="s">
        <v>2735</v>
      </c>
      <c r="H287" s="212"/>
      <c r="I287" s="212"/>
      <c r="J287" s="212"/>
      <c r="K287" s="212"/>
      <c r="L287" s="212"/>
      <c r="M287" s="212"/>
      <c r="N287" s="212"/>
      <c r="O287" s="212"/>
      <c r="P287" s="212"/>
      <c r="Q287" s="212"/>
      <c r="R287" s="212"/>
      <c r="S287" s="212"/>
      <c r="T287" s="212"/>
      <c r="U287" s="212"/>
      <c r="V287" s="212"/>
      <c r="W287" s="212"/>
      <c r="X287" s="212"/>
      <c r="Y287" s="212"/>
    </row>
    <row r="288" ht="48.75" customHeight="1">
      <c r="A288" s="213" t="s">
        <v>3124</v>
      </c>
      <c r="B288" s="214" t="s">
        <v>1381</v>
      </c>
      <c r="C288" s="214" t="s">
        <v>1382</v>
      </c>
      <c r="D288" s="215" t="s">
        <v>2722</v>
      </c>
      <c r="E288" s="214" t="s">
        <v>2723</v>
      </c>
      <c r="F288" s="213" t="s">
        <v>2734</v>
      </c>
      <c r="G288" s="213" t="s">
        <v>2735</v>
      </c>
      <c r="H288" s="212"/>
      <c r="I288" s="212"/>
      <c r="J288" s="212"/>
      <c r="K288" s="212"/>
      <c r="L288" s="212"/>
      <c r="M288" s="212"/>
      <c r="N288" s="212"/>
      <c r="O288" s="212"/>
      <c r="P288" s="212"/>
      <c r="Q288" s="212"/>
      <c r="R288" s="212"/>
      <c r="S288" s="212"/>
      <c r="T288" s="212"/>
      <c r="U288" s="212"/>
      <c r="V288" s="212"/>
      <c r="W288" s="212"/>
      <c r="X288" s="212"/>
      <c r="Y288" s="212"/>
    </row>
    <row r="289">
      <c r="A289" s="206"/>
      <c r="B289" s="206"/>
      <c r="C289" s="206"/>
      <c r="D289" s="206"/>
      <c r="E289" s="206"/>
      <c r="F289" s="206"/>
      <c r="G289" s="206"/>
      <c r="H289" s="206"/>
      <c r="I289" s="206"/>
      <c r="J289" s="206"/>
      <c r="K289" s="206"/>
      <c r="L289" s="206"/>
      <c r="M289" s="206"/>
      <c r="N289" s="206"/>
      <c r="O289" s="206"/>
      <c r="P289" s="206"/>
      <c r="Q289" s="206"/>
      <c r="R289" s="206"/>
      <c r="S289" s="206"/>
      <c r="T289" s="206"/>
      <c r="U289" s="206"/>
      <c r="V289" s="206"/>
      <c r="W289" s="206"/>
      <c r="X289" s="206"/>
      <c r="Y289" s="206"/>
    </row>
    <row r="290">
      <c r="A290" s="206"/>
      <c r="B290" s="206"/>
      <c r="C290" s="206"/>
      <c r="D290" s="206"/>
      <c r="E290" s="206"/>
      <c r="F290" s="206"/>
      <c r="G290" s="206"/>
      <c r="H290" s="206"/>
      <c r="I290" s="206"/>
      <c r="J290" s="206"/>
      <c r="K290" s="206"/>
      <c r="L290" s="206"/>
      <c r="M290" s="206"/>
      <c r="N290" s="206"/>
      <c r="O290" s="206"/>
      <c r="P290" s="206"/>
      <c r="Q290" s="206"/>
      <c r="R290" s="206"/>
      <c r="S290" s="206"/>
      <c r="T290" s="206"/>
      <c r="U290" s="206"/>
      <c r="V290" s="206"/>
      <c r="W290" s="206"/>
      <c r="X290" s="206"/>
      <c r="Y290" s="206"/>
    </row>
    <row r="291">
      <c r="A291" s="206"/>
      <c r="B291" s="206"/>
      <c r="C291" s="206"/>
      <c r="D291" s="206"/>
      <c r="E291" s="206"/>
      <c r="F291" s="206"/>
      <c r="G291" s="206"/>
      <c r="H291" s="206"/>
      <c r="I291" s="206"/>
      <c r="J291" s="206"/>
      <c r="K291" s="206"/>
      <c r="L291" s="206"/>
      <c r="M291" s="206"/>
      <c r="N291" s="206"/>
      <c r="O291" s="206"/>
      <c r="P291" s="206"/>
      <c r="Q291" s="206"/>
      <c r="R291" s="206"/>
      <c r="S291" s="206"/>
      <c r="T291" s="206"/>
      <c r="U291" s="206"/>
      <c r="V291" s="206"/>
      <c r="W291" s="206"/>
      <c r="X291" s="206"/>
      <c r="Y291" s="206"/>
    </row>
    <row r="292">
      <c r="A292" s="206"/>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row>
    <row r="293">
      <c r="A293" s="206"/>
      <c r="B293" s="206"/>
      <c r="C293" s="206"/>
      <c r="D293" s="206"/>
      <c r="E293" s="206"/>
      <c r="F293" s="206"/>
      <c r="G293" s="206"/>
      <c r="H293" s="206"/>
      <c r="I293" s="206"/>
      <c r="J293" s="206"/>
      <c r="K293" s="206"/>
      <c r="L293" s="206"/>
      <c r="M293" s="206"/>
      <c r="N293" s="206"/>
      <c r="O293" s="206"/>
      <c r="P293" s="206"/>
      <c r="Q293" s="206"/>
      <c r="R293" s="206"/>
      <c r="S293" s="206"/>
      <c r="T293" s="206"/>
      <c r="U293" s="206"/>
      <c r="V293" s="206"/>
      <c r="W293" s="206"/>
      <c r="X293" s="206"/>
      <c r="Y293" s="206"/>
    </row>
    <row r="294">
      <c r="A294" s="206"/>
      <c r="B294" s="206"/>
      <c r="C294" s="206"/>
      <c r="D294" s="206"/>
      <c r="E294" s="206"/>
      <c r="F294" s="206"/>
      <c r="G294" s="206"/>
      <c r="H294" s="206"/>
      <c r="I294" s="206"/>
      <c r="J294" s="206"/>
      <c r="K294" s="206"/>
      <c r="L294" s="206"/>
      <c r="M294" s="206"/>
      <c r="N294" s="206"/>
      <c r="O294" s="206"/>
      <c r="P294" s="206"/>
      <c r="Q294" s="206"/>
      <c r="R294" s="206"/>
      <c r="S294" s="206"/>
      <c r="T294" s="206"/>
      <c r="U294" s="206"/>
      <c r="V294" s="206"/>
      <c r="W294" s="206"/>
      <c r="X294" s="206"/>
      <c r="Y294" s="206"/>
    </row>
    <row r="295">
      <c r="A295" s="206"/>
      <c r="B295" s="206"/>
      <c r="C295" s="206"/>
      <c r="D295" s="206"/>
      <c r="E295" s="206"/>
      <c r="F295" s="206"/>
      <c r="G295" s="206"/>
      <c r="H295" s="206"/>
      <c r="I295" s="206"/>
      <c r="J295" s="206"/>
      <c r="K295" s="206"/>
      <c r="L295" s="206"/>
      <c r="M295" s="206"/>
      <c r="N295" s="206"/>
      <c r="O295" s="206"/>
      <c r="P295" s="206"/>
      <c r="Q295" s="206"/>
      <c r="R295" s="206"/>
      <c r="S295" s="206"/>
      <c r="T295" s="206"/>
      <c r="U295" s="206"/>
      <c r="V295" s="206"/>
      <c r="W295" s="206"/>
      <c r="X295" s="206"/>
      <c r="Y295" s="206"/>
    </row>
    <row r="296">
      <c r="A296" s="206"/>
      <c r="B296" s="206"/>
      <c r="C296" s="206"/>
      <c r="D296" s="206"/>
      <c r="E296" s="206"/>
      <c r="F296" s="206"/>
      <c r="G296" s="206"/>
      <c r="H296" s="206"/>
      <c r="I296" s="206"/>
      <c r="J296" s="206"/>
      <c r="K296" s="206"/>
      <c r="L296" s="206"/>
      <c r="M296" s="206"/>
      <c r="N296" s="206"/>
      <c r="O296" s="206"/>
      <c r="P296" s="206"/>
      <c r="Q296" s="206"/>
      <c r="R296" s="206"/>
      <c r="S296" s="206"/>
      <c r="T296" s="206"/>
      <c r="U296" s="206"/>
      <c r="V296" s="206"/>
      <c r="W296" s="206"/>
      <c r="X296" s="206"/>
      <c r="Y296" s="206"/>
    </row>
    <row r="297">
      <c r="A297" s="206"/>
      <c r="B297" s="206"/>
      <c r="C297" s="206"/>
      <c r="D297" s="206"/>
      <c r="E297" s="206"/>
      <c r="F297" s="206"/>
      <c r="G297" s="206"/>
      <c r="H297" s="206"/>
      <c r="I297" s="206"/>
      <c r="J297" s="206"/>
      <c r="K297" s="206"/>
      <c r="L297" s="206"/>
      <c r="M297" s="206"/>
      <c r="N297" s="206"/>
      <c r="O297" s="206"/>
      <c r="P297" s="206"/>
      <c r="Q297" s="206"/>
      <c r="R297" s="206"/>
      <c r="S297" s="206"/>
      <c r="T297" s="206"/>
      <c r="U297" s="206"/>
      <c r="V297" s="206"/>
      <c r="W297" s="206"/>
      <c r="X297" s="206"/>
      <c r="Y297" s="206"/>
    </row>
    <row r="298">
      <c r="A298" s="206"/>
      <c r="B298" s="206"/>
      <c r="C298" s="206"/>
      <c r="D298" s="206"/>
      <c r="E298" s="206"/>
      <c r="F298" s="206"/>
      <c r="G298" s="206"/>
      <c r="H298" s="206"/>
      <c r="I298" s="206"/>
      <c r="J298" s="206"/>
      <c r="K298" s="206"/>
      <c r="L298" s="206"/>
      <c r="M298" s="206"/>
      <c r="N298" s="206"/>
      <c r="O298" s="206"/>
      <c r="P298" s="206"/>
      <c r="Q298" s="206"/>
      <c r="R298" s="206"/>
      <c r="S298" s="206"/>
      <c r="T298" s="206"/>
      <c r="U298" s="206"/>
      <c r="V298" s="206"/>
      <c r="W298" s="206"/>
      <c r="X298" s="206"/>
      <c r="Y298" s="206"/>
    </row>
    <row r="299">
      <c r="A299" s="206"/>
      <c r="B299" s="206"/>
      <c r="C299" s="206"/>
      <c r="D299" s="206"/>
      <c r="E299" s="206"/>
      <c r="F299" s="206"/>
      <c r="G299" s="206"/>
      <c r="H299" s="206"/>
      <c r="I299" s="206"/>
      <c r="J299" s="206"/>
      <c r="K299" s="206"/>
      <c r="L299" s="206"/>
      <c r="M299" s="206"/>
      <c r="N299" s="206"/>
      <c r="O299" s="206"/>
      <c r="P299" s="206"/>
      <c r="Q299" s="206"/>
      <c r="R299" s="206"/>
      <c r="S299" s="206"/>
      <c r="T299" s="206"/>
      <c r="U299" s="206"/>
      <c r="V299" s="206"/>
      <c r="W299" s="206"/>
      <c r="X299" s="206"/>
      <c r="Y299" s="206"/>
    </row>
    <row r="300">
      <c r="A300" s="206"/>
      <c r="B300" s="206"/>
      <c r="C300" s="206"/>
      <c r="D300" s="206"/>
      <c r="E300" s="206"/>
      <c r="F300" s="206"/>
      <c r="G300" s="206"/>
      <c r="H300" s="206"/>
      <c r="I300" s="206"/>
      <c r="J300" s="206"/>
      <c r="K300" s="206"/>
      <c r="L300" s="206"/>
      <c r="M300" s="206"/>
      <c r="N300" s="206"/>
      <c r="O300" s="206"/>
      <c r="P300" s="206"/>
      <c r="Q300" s="206"/>
      <c r="R300" s="206"/>
      <c r="S300" s="206"/>
      <c r="T300" s="206"/>
      <c r="U300" s="206"/>
      <c r="V300" s="206"/>
      <c r="W300" s="206"/>
      <c r="X300" s="206"/>
      <c r="Y300" s="206"/>
    </row>
    <row r="301">
      <c r="A301" s="206"/>
      <c r="B301" s="206"/>
      <c r="C301" s="206"/>
      <c r="D301" s="206"/>
      <c r="E301" s="206"/>
      <c r="F301" s="206"/>
      <c r="G301" s="206"/>
      <c r="H301" s="206"/>
      <c r="I301" s="206"/>
      <c r="J301" s="206"/>
      <c r="K301" s="206"/>
      <c r="L301" s="206"/>
      <c r="M301" s="206"/>
      <c r="N301" s="206"/>
      <c r="O301" s="206"/>
      <c r="P301" s="206"/>
      <c r="Q301" s="206"/>
      <c r="R301" s="206"/>
      <c r="S301" s="206"/>
      <c r="T301" s="206"/>
      <c r="U301" s="206"/>
      <c r="V301" s="206"/>
      <c r="W301" s="206"/>
      <c r="X301" s="206"/>
      <c r="Y301" s="206"/>
    </row>
    <row r="302">
      <c r="A302" s="206"/>
      <c r="B302" s="206"/>
      <c r="C302" s="206"/>
      <c r="D302" s="206"/>
      <c r="E302" s="206"/>
      <c r="F302" s="206"/>
      <c r="G302" s="206"/>
      <c r="H302" s="206"/>
      <c r="I302" s="206"/>
      <c r="J302" s="206"/>
      <c r="K302" s="206"/>
      <c r="L302" s="206"/>
      <c r="M302" s="206"/>
      <c r="N302" s="206"/>
      <c r="O302" s="206"/>
      <c r="P302" s="206"/>
      <c r="Q302" s="206"/>
      <c r="R302" s="206"/>
      <c r="S302" s="206"/>
      <c r="T302" s="206"/>
      <c r="U302" s="206"/>
      <c r="V302" s="206"/>
      <c r="W302" s="206"/>
      <c r="X302" s="206"/>
      <c r="Y302" s="206"/>
    </row>
    <row r="303">
      <c r="A303" s="206"/>
      <c r="B303" s="206"/>
      <c r="C303" s="206"/>
      <c r="D303" s="206"/>
      <c r="E303" s="206"/>
      <c r="F303" s="206"/>
      <c r="G303" s="206"/>
      <c r="H303" s="206"/>
      <c r="I303" s="206"/>
      <c r="J303" s="206"/>
      <c r="K303" s="206"/>
      <c r="L303" s="206"/>
      <c r="M303" s="206"/>
      <c r="N303" s="206"/>
      <c r="O303" s="206"/>
      <c r="P303" s="206"/>
      <c r="Q303" s="206"/>
      <c r="R303" s="206"/>
      <c r="S303" s="206"/>
      <c r="T303" s="206"/>
      <c r="U303" s="206"/>
      <c r="V303" s="206"/>
      <c r="W303" s="206"/>
      <c r="X303" s="206"/>
      <c r="Y303" s="206"/>
    </row>
    <row r="304">
      <c r="A304" s="206"/>
      <c r="B304" s="206"/>
      <c r="C304" s="206"/>
      <c r="D304" s="206"/>
      <c r="E304" s="206"/>
      <c r="F304" s="206"/>
      <c r="G304" s="206"/>
      <c r="H304" s="206"/>
      <c r="I304" s="206"/>
      <c r="J304" s="206"/>
      <c r="K304" s="206"/>
      <c r="L304" s="206"/>
      <c r="M304" s="206"/>
      <c r="N304" s="206"/>
      <c r="O304" s="206"/>
      <c r="P304" s="206"/>
      <c r="Q304" s="206"/>
      <c r="R304" s="206"/>
      <c r="S304" s="206"/>
      <c r="T304" s="206"/>
      <c r="U304" s="206"/>
      <c r="V304" s="206"/>
      <c r="W304" s="206"/>
      <c r="X304" s="206"/>
      <c r="Y304" s="206"/>
    </row>
    <row r="305">
      <c r="A305" s="206"/>
      <c r="B305" s="206"/>
      <c r="C305" s="206"/>
      <c r="D305" s="206"/>
      <c r="E305" s="206"/>
      <c r="F305" s="206"/>
      <c r="G305" s="206"/>
      <c r="H305" s="206"/>
      <c r="I305" s="206"/>
      <c r="J305" s="206"/>
      <c r="K305" s="206"/>
      <c r="L305" s="206"/>
      <c r="M305" s="206"/>
      <c r="N305" s="206"/>
      <c r="O305" s="206"/>
      <c r="P305" s="206"/>
      <c r="Q305" s="206"/>
      <c r="R305" s="206"/>
      <c r="S305" s="206"/>
      <c r="T305" s="206"/>
      <c r="U305" s="206"/>
      <c r="V305" s="206"/>
      <c r="W305" s="206"/>
      <c r="X305" s="206"/>
      <c r="Y305" s="206"/>
    </row>
    <row r="306">
      <c r="A306" s="206"/>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row>
    <row r="307">
      <c r="A307" s="206"/>
      <c r="B307" s="206"/>
      <c r="C307" s="206"/>
      <c r="D307" s="206"/>
      <c r="E307" s="206"/>
      <c r="F307" s="206"/>
      <c r="G307" s="206"/>
      <c r="H307" s="206"/>
      <c r="I307" s="206"/>
      <c r="J307" s="206"/>
      <c r="K307" s="206"/>
      <c r="L307" s="206"/>
      <c r="M307" s="206"/>
      <c r="N307" s="206"/>
      <c r="O307" s="206"/>
      <c r="P307" s="206"/>
      <c r="Q307" s="206"/>
      <c r="R307" s="206"/>
      <c r="S307" s="206"/>
      <c r="T307" s="206"/>
      <c r="U307" s="206"/>
      <c r="V307" s="206"/>
      <c r="W307" s="206"/>
      <c r="X307" s="206"/>
      <c r="Y307" s="206"/>
    </row>
    <row r="308">
      <c r="A308" s="206"/>
      <c r="B308" s="206"/>
      <c r="C308" s="206"/>
      <c r="D308" s="206"/>
      <c r="E308" s="206"/>
      <c r="F308" s="206"/>
      <c r="G308" s="206"/>
      <c r="H308" s="206"/>
      <c r="I308" s="206"/>
      <c r="J308" s="206"/>
      <c r="K308" s="206"/>
      <c r="L308" s="206"/>
      <c r="M308" s="206"/>
      <c r="N308" s="206"/>
      <c r="O308" s="206"/>
      <c r="P308" s="206"/>
      <c r="Q308" s="206"/>
      <c r="R308" s="206"/>
      <c r="S308" s="206"/>
      <c r="T308" s="206"/>
      <c r="U308" s="206"/>
      <c r="V308" s="206"/>
      <c r="W308" s="206"/>
      <c r="X308" s="206"/>
      <c r="Y308" s="206"/>
    </row>
    <row r="309">
      <c r="A309" s="206"/>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row>
    <row r="310">
      <c r="A310" s="206"/>
      <c r="B310" s="206"/>
      <c r="C310" s="206"/>
      <c r="D310" s="206"/>
      <c r="E310" s="206"/>
      <c r="F310" s="206"/>
      <c r="G310" s="206"/>
      <c r="H310" s="206"/>
      <c r="I310" s="206"/>
      <c r="J310" s="206"/>
      <c r="K310" s="206"/>
      <c r="L310" s="206"/>
      <c r="M310" s="206"/>
      <c r="N310" s="206"/>
      <c r="O310" s="206"/>
      <c r="P310" s="206"/>
      <c r="Q310" s="206"/>
      <c r="R310" s="206"/>
      <c r="S310" s="206"/>
      <c r="T310" s="206"/>
      <c r="U310" s="206"/>
      <c r="V310" s="206"/>
      <c r="W310" s="206"/>
      <c r="X310" s="206"/>
      <c r="Y310" s="206"/>
    </row>
    <row r="311">
      <c r="A311" s="206"/>
      <c r="B311" s="206"/>
      <c r="C311" s="206"/>
      <c r="D311" s="206"/>
      <c r="E311" s="206"/>
      <c r="F311" s="206"/>
      <c r="G311" s="206"/>
      <c r="H311" s="206"/>
      <c r="I311" s="206"/>
      <c r="J311" s="206"/>
      <c r="K311" s="206"/>
      <c r="L311" s="206"/>
      <c r="M311" s="206"/>
      <c r="N311" s="206"/>
      <c r="O311" s="206"/>
      <c r="P311" s="206"/>
      <c r="Q311" s="206"/>
      <c r="R311" s="206"/>
      <c r="S311" s="206"/>
      <c r="T311" s="206"/>
      <c r="U311" s="206"/>
      <c r="V311" s="206"/>
      <c r="W311" s="206"/>
      <c r="X311" s="206"/>
      <c r="Y311" s="206"/>
    </row>
    <row r="312">
      <c r="A312" s="206"/>
      <c r="B312" s="206"/>
      <c r="C312" s="206"/>
      <c r="D312" s="206"/>
      <c r="E312" s="206"/>
      <c r="F312" s="206"/>
      <c r="G312" s="206"/>
      <c r="H312" s="206"/>
      <c r="I312" s="206"/>
      <c r="J312" s="206"/>
      <c r="K312" s="206"/>
      <c r="L312" s="206"/>
      <c r="M312" s="206"/>
      <c r="N312" s="206"/>
      <c r="O312" s="206"/>
      <c r="P312" s="206"/>
      <c r="Q312" s="206"/>
      <c r="R312" s="206"/>
      <c r="S312" s="206"/>
      <c r="T312" s="206"/>
      <c r="U312" s="206"/>
      <c r="V312" s="206"/>
      <c r="W312" s="206"/>
      <c r="X312" s="206"/>
      <c r="Y312" s="206"/>
    </row>
    <row r="313">
      <c r="A313" s="206"/>
      <c r="B313" s="206"/>
      <c r="C313" s="206"/>
      <c r="D313" s="206"/>
      <c r="E313" s="206"/>
      <c r="F313" s="206"/>
      <c r="G313" s="206"/>
      <c r="H313" s="206"/>
      <c r="I313" s="206"/>
      <c r="J313" s="206"/>
      <c r="K313" s="206"/>
      <c r="L313" s="206"/>
      <c r="M313" s="206"/>
      <c r="N313" s="206"/>
      <c r="O313" s="206"/>
      <c r="P313" s="206"/>
      <c r="Q313" s="206"/>
      <c r="R313" s="206"/>
      <c r="S313" s="206"/>
      <c r="T313" s="206"/>
      <c r="U313" s="206"/>
      <c r="V313" s="206"/>
      <c r="W313" s="206"/>
      <c r="X313" s="206"/>
      <c r="Y313" s="206"/>
    </row>
    <row r="314">
      <c r="A314" s="206"/>
      <c r="B314" s="206"/>
      <c r="C314" s="206"/>
      <c r="D314" s="206"/>
      <c r="E314" s="206"/>
      <c r="F314" s="206"/>
      <c r="G314" s="206"/>
      <c r="H314" s="206"/>
      <c r="I314" s="206"/>
      <c r="J314" s="206"/>
      <c r="K314" s="206"/>
      <c r="L314" s="206"/>
      <c r="M314" s="206"/>
      <c r="N314" s="206"/>
      <c r="O314" s="206"/>
      <c r="P314" s="206"/>
      <c r="Q314" s="206"/>
      <c r="R314" s="206"/>
      <c r="S314" s="206"/>
      <c r="T314" s="206"/>
      <c r="U314" s="206"/>
      <c r="V314" s="206"/>
      <c r="W314" s="206"/>
      <c r="X314" s="206"/>
      <c r="Y314" s="206"/>
    </row>
    <row r="315">
      <c r="A315" s="206"/>
      <c r="B315" s="206"/>
      <c r="C315" s="206"/>
      <c r="D315" s="206"/>
      <c r="E315" s="206"/>
      <c r="F315" s="206"/>
      <c r="G315" s="206"/>
      <c r="H315" s="206"/>
      <c r="I315" s="206"/>
      <c r="J315" s="206"/>
      <c r="K315" s="206"/>
      <c r="L315" s="206"/>
      <c r="M315" s="206"/>
      <c r="N315" s="206"/>
      <c r="O315" s="206"/>
      <c r="P315" s="206"/>
      <c r="Q315" s="206"/>
      <c r="R315" s="206"/>
      <c r="S315" s="206"/>
      <c r="T315" s="206"/>
      <c r="U315" s="206"/>
      <c r="V315" s="206"/>
      <c r="W315" s="206"/>
      <c r="X315" s="206"/>
      <c r="Y315" s="206"/>
    </row>
    <row r="316">
      <c r="A316" s="206"/>
      <c r="B316" s="206"/>
      <c r="C316" s="206"/>
      <c r="D316" s="206"/>
      <c r="E316" s="206"/>
      <c r="F316" s="206"/>
      <c r="G316" s="206"/>
      <c r="H316" s="206"/>
      <c r="I316" s="206"/>
      <c r="J316" s="206"/>
      <c r="K316" s="206"/>
      <c r="L316" s="206"/>
      <c r="M316" s="206"/>
      <c r="N316" s="206"/>
      <c r="O316" s="206"/>
      <c r="P316" s="206"/>
      <c r="Q316" s="206"/>
      <c r="R316" s="206"/>
      <c r="S316" s="206"/>
      <c r="T316" s="206"/>
      <c r="U316" s="206"/>
      <c r="V316" s="206"/>
      <c r="W316" s="206"/>
      <c r="X316" s="206"/>
      <c r="Y316" s="206"/>
    </row>
    <row r="317">
      <c r="A317" s="206"/>
      <c r="B317" s="206"/>
      <c r="C317" s="206"/>
      <c r="D317" s="206"/>
      <c r="E317" s="206"/>
      <c r="F317" s="206"/>
      <c r="G317" s="206"/>
      <c r="H317" s="206"/>
      <c r="I317" s="206"/>
      <c r="J317" s="206"/>
      <c r="K317" s="206"/>
      <c r="L317" s="206"/>
      <c r="M317" s="206"/>
      <c r="N317" s="206"/>
      <c r="O317" s="206"/>
      <c r="P317" s="206"/>
      <c r="Q317" s="206"/>
      <c r="R317" s="206"/>
      <c r="S317" s="206"/>
      <c r="T317" s="206"/>
      <c r="U317" s="206"/>
      <c r="V317" s="206"/>
      <c r="W317" s="206"/>
      <c r="X317" s="206"/>
      <c r="Y317" s="206"/>
    </row>
    <row r="318">
      <c r="A318" s="206"/>
      <c r="B318" s="206"/>
      <c r="C318" s="206"/>
      <c r="D318" s="206"/>
      <c r="E318" s="206"/>
      <c r="F318" s="206"/>
      <c r="G318" s="206"/>
      <c r="H318" s="206"/>
      <c r="I318" s="206"/>
      <c r="J318" s="206"/>
      <c r="K318" s="206"/>
      <c r="L318" s="206"/>
      <c r="M318" s="206"/>
      <c r="N318" s="206"/>
      <c r="O318" s="206"/>
      <c r="P318" s="206"/>
      <c r="Q318" s="206"/>
      <c r="R318" s="206"/>
      <c r="S318" s="206"/>
      <c r="T318" s="206"/>
      <c r="U318" s="206"/>
      <c r="V318" s="206"/>
      <c r="W318" s="206"/>
      <c r="X318" s="206"/>
      <c r="Y318" s="206"/>
    </row>
    <row r="319">
      <c r="A319" s="206"/>
      <c r="B319" s="206"/>
      <c r="C319" s="206"/>
      <c r="D319" s="206"/>
      <c r="E319" s="206"/>
      <c r="F319" s="206"/>
      <c r="G319" s="206"/>
      <c r="H319" s="206"/>
      <c r="I319" s="206"/>
      <c r="J319" s="206"/>
      <c r="K319" s="206"/>
      <c r="L319" s="206"/>
      <c r="M319" s="206"/>
      <c r="N319" s="206"/>
      <c r="O319" s="206"/>
      <c r="P319" s="206"/>
      <c r="Q319" s="206"/>
      <c r="R319" s="206"/>
      <c r="S319" s="206"/>
      <c r="T319" s="206"/>
      <c r="U319" s="206"/>
      <c r="V319" s="206"/>
      <c r="W319" s="206"/>
      <c r="X319" s="206"/>
      <c r="Y319" s="206"/>
    </row>
    <row r="320">
      <c r="A320" s="206"/>
      <c r="B320" s="206"/>
      <c r="C320" s="206"/>
      <c r="D320" s="206"/>
      <c r="E320" s="206"/>
      <c r="F320" s="206"/>
      <c r="G320" s="206"/>
      <c r="H320" s="206"/>
      <c r="I320" s="206"/>
      <c r="J320" s="206"/>
      <c r="K320" s="206"/>
      <c r="L320" s="206"/>
      <c r="M320" s="206"/>
      <c r="N320" s="206"/>
      <c r="O320" s="206"/>
      <c r="P320" s="206"/>
      <c r="Q320" s="206"/>
      <c r="R320" s="206"/>
      <c r="S320" s="206"/>
      <c r="T320" s="206"/>
      <c r="U320" s="206"/>
      <c r="V320" s="206"/>
      <c r="W320" s="206"/>
      <c r="X320" s="206"/>
      <c r="Y320" s="206"/>
    </row>
    <row r="321">
      <c r="A321" s="206"/>
      <c r="B321" s="206"/>
      <c r="C321" s="206"/>
      <c r="D321" s="206"/>
      <c r="E321" s="206"/>
      <c r="F321" s="206"/>
      <c r="G321" s="206"/>
      <c r="H321" s="206"/>
      <c r="I321" s="206"/>
      <c r="J321" s="206"/>
      <c r="K321" s="206"/>
      <c r="L321" s="206"/>
      <c r="M321" s="206"/>
      <c r="N321" s="206"/>
      <c r="O321" s="206"/>
      <c r="P321" s="206"/>
      <c r="Q321" s="206"/>
      <c r="R321" s="206"/>
      <c r="S321" s="206"/>
      <c r="T321" s="206"/>
      <c r="U321" s="206"/>
      <c r="V321" s="206"/>
      <c r="W321" s="206"/>
      <c r="X321" s="206"/>
      <c r="Y321" s="206"/>
    </row>
    <row r="322">
      <c r="A322" s="206"/>
      <c r="B322" s="206"/>
      <c r="C322" s="206"/>
      <c r="D322" s="206"/>
      <c r="E322" s="206"/>
      <c r="F322" s="206"/>
      <c r="G322" s="206"/>
      <c r="H322" s="206"/>
      <c r="I322" s="206"/>
      <c r="J322" s="206"/>
      <c r="K322" s="206"/>
      <c r="L322" s="206"/>
      <c r="M322" s="206"/>
      <c r="N322" s="206"/>
      <c r="O322" s="206"/>
      <c r="P322" s="206"/>
      <c r="Q322" s="206"/>
      <c r="R322" s="206"/>
      <c r="S322" s="206"/>
      <c r="T322" s="206"/>
      <c r="U322" s="206"/>
      <c r="V322" s="206"/>
      <c r="W322" s="206"/>
      <c r="X322" s="206"/>
      <c r="Y322" s="206"/>
    </row>
    <row r="323">
      <c r="A323" s="206"/>
      <c r="B323" s="206"/>
      <c r="C323" s="206"/>
      <c r="D323" s="206"/>
      <c r="E323" s="206"/>
      <c r="F323" s="206"/>
      <c r="G323" s="206"/>
      <c r="H323" s="206"/>
      <c r="I323" s="206"/>
      <c r="J323" s="206"/>
      <c r="K323" s="206"/>
      <c r="L323" s="206"/>
      <c r="M323" s="206"/>
      <c r="N323" s="206"/>
      <c r="O323" s="206"/>
      <c r="P323" s="206"/>
      <c r="Q323" s="206"/>
      <c r="R323" s="206"/>
      <c r="S323" s="206"/>
      <c r="T323" s="206"/>
      <c r="U323" s="206"/>
      <c r="V323" s="206"/>
      <c r="W323" s="206"/>
      <c r="X323" s="206"/>
      <c r="Y323" s="206"/>
    </row>
    <row r="324">
      <c r="A324" s="206"/>
      <c r="B324" s="206"/>
      <c r="C324" s="206"/>
      <c r="D324" s="206"/>
      <c r="E324" s="206"/>
      <c r="F324" s="206"/>
      <c r="G324" s="206"/>
      <c r="H324" s="206"/>
      <c r="I324" s="206"/>
      <c r="J324" s="206"/>
      <c r="K324" s="206"/>
      <c r="L324" s="206"/>
      <c r="M324" s="206"/>
      <c r="N324" s="206"/>
      <c r="O324" s="206"/>
      <c r="P324" s="206"/>
      <c r="Q324" s="206"/>
      <c r="R324" s="206"/>
      <c r="S324" s="206"/>
      <c r="T324" s="206"/>
      <c r="U324" s="206"/>
      <c r="V324" s="206"/>
      <c r="W324" s="206"/>
      <c r="X324" s="206"/>
      <c r="Y324" s="206"/>
    </row>
    <row r="325">
      <c r="A325" s="206"/>
      <c r="B325" s="206"/>
      <c r="C325" s="206"/>
      <c r="D325" s="206"/>
      <c r="E325" s="206"/>
      <c r="F325" s="206"/>
      <c r="G325" s="206"/>
      <c r="H325" s="206"/>
      <c r="I325" s="206"/>
      <c r="J325" s="206"/>
      <c r="K325" s="206"/>
      <c r="L325" s="206"/>
      <c r="M325" s="206"/>
      <c r="N325" s="206"/>
      <c r="O325" s="206"/>
      <c r="P325" s="206"/>
      <c r="Q325" s="206"/>
      <c r="R325" s="206"/>
      <c r="S325" s="206"/>
      <c r="T325" s="206"/>
      <c r="U325" s="206"/>
      <c r="V325" s="206"/>
      <c r="W325" s="206"/>
      <c r="X325" s="206"/>
      <c r="Y325" s="206"/>
    </row>
    <row r="326">
      <c r="A326" s="206"/>
      <c r="B326" s="206"/>
      <c r="C326" s="206"/>
      <c r="D326" s="206"/>
      <c r="E326" s="206"/>
      <c r="F326" s="206"/>
      <c r="G326" s="206"/>
      <c r="H326" s="206"/>
      <c r="I326" s="206"/>
      <c r="J326" s="206"/>
      <c r="K326" s="206"/>
      <c r="L326" s="206"/>
      <c r="M326" s="206"/>
      <c r="N326" s="206"/>
      <c r="O326" s="206"/>
      <c r="P326" s="206"/>
      <c r="Q326" s="206"/>
      <c r="R326" s="206"/>
      <c r="S326" s="206"/>
      <c r="T326" s="206"/>
      <c r="U326" s="206"/>
      <c r="V326" s="206"/>
      <c r="W326" s="206"/>
      <c r="X326" s="206"/>
      <c r="Y326" s="206"/>
    </row>
    <row r="327">
      <c r="A327" s="206"/>
      <c r="B327" s="206"/>
      <c r="C327" s="206"/>
      <c r="D327" s="206"/>
      <c r="E327" s="206"/>
      <c r="F327" s="206"/>
      <c r="G327" s="206"/>
      <c r="H327" s="206"/>
      <c r="I327" s="206"/>
      <c r="J327" s="206"/>
      <c r="K327" s="206"/>
      <c r="L327" s="206"/>
      <c r="M327" s="206"/>
      <c r="N327" s="206"/>
      <c r="O327" s="206"/>
      <c r="P327" s="206"/>
      <c r="Q327" s="206"/>
      <c r="R327" s="206"/>
      <c r="S327" s="206"/>
      <c r="T327" s="206"/>
      <c r="U327" s="206"/>
      <c r="V327" s="206"/>
      <c r="W327" s="206"/>
      <c r="X327" s="206"/>
      <c r="Y327" s="206"/>
    </row>
    <row r="328">
      <c r="A328" s="206"/>
      <c r="B328" s="206"/>
      <c r="C328" s="206"/>
      <c r="D328" s="206"/>
      <c r="E328" s="206"/>
      <c r="F328" s="206"/>
      <c r="G328" s="206"/>
      <c r="H328" s="206"/>
      <c r="I328" s="206"/>
      <c r="J328" s="206"/>
      <c r="K328" s="206"/>
      <c r="L328" s="206"/>
      <c r="M328" s="206"/>
      <c r="N328" s="206"/>
      <c r="O328" s="206"/>
      <c r="P328" s="206"/>
      <c r="Q328" s="206"/>
      <c r="R328" s="206"/>
      <c r="S328" s="206"/>
      <c r="T328" s="206"/>
      <c r="U328" s="206"/>
      <c r="V328" s="206"/>
      <c r="W328" s="206"/>
      <c r="X328" s="206"/>
      <c r="Y328" s="206"/>
    </row>
    <row r="329">
      <c r="A329" s="206"/>
      <c r="B329" s="206"/>
      <c r="C329" s="206"/>
      <c r="D329" s="206"/>
      <c r="E329" s="206"/>
      <c r="F329" s="206"/>
      <c r="G329" s="206"/>
      <c r="H329" s="206"/>
      <c r="I329" s="206"/>
      <c r="J329" s="206"/>
      <c r="K329" s="206"/>
      <c r="L329" s="206"/>
      <c r="M329" s="206"/>
      <c r="N329" s="206"/>
      <c r="O329" s="206"/>
      <c r="P329" s="206"/>
      <c r="Q329" s="206"/>
      <c r="R329" s="206"/>
      <c r="S329" s="206"/>
      <c r="T329" s="206"/>
      <c r="U329" s="206"/>
      <c r="V329" s="206"/>
      <c r="W329" s="206"/>
      <c r="X329" s="206"/>
      <c r="Y329" s="206"/>
    </row>
    <row r="330">
      <c r="A330" s="206"/>
      <c r="B330" s="206"/>
      <c r="C330" s="206"/>
      <c r="D330" s="206"/>
      <c r="E330" s="206"/>
      <c r="F330" s="206"/>
      <c r="G330" s="206"/>
      <c r="H330" s="206"/>
      <c r="I330" s="206"/>
      <c r="J330" s="206"/>
      <c r="K330" s="206"/>
      <c r="L330" s="206"/>
      <c r="M330" s="206"/>
      <c r="N330" s="206"/>
      <c r="O330" s="206"/>
      <c r="P330" s="206"/>
      <c r="Q330" s="206"/>
      <c r="R330" s="206"/>
      <c r="S330" s="206"/>
      <c r="T330" s="206"/>
      <c r="U330" s="206"/>
      <c r="V330" s="206"/>
      <c r="W330" s="206"/>
      <c r="X330" s="206"/>
      <c r="Y330" s="206"/>
    </row>
    <row r="331">
      <c r="A331" s="206"/>
      <c r="B331" s="206"/>
      <c r="C331" s="206"/>
      <c r="D331" s="206"/>
      <c r="E331" s="206"/>
      <c r="F331" s="206"/>
      <c r="G331" s="206"/>
      <c r="H331" s="206"/>
      <c r="I331" s="206"/>
      <c r="J331" s="206"/>
      <c r="K331" s="206"/>
      <c r="L331" s="206"/>
      <c r="M331" s="206"/>
      <c r="N331" s="206"/>
      <c r="O331" s="206"/>
      <c r="P331" s="206"/>
      <c r="Q331" s="206"/>
      <c r="R331" s="206"/>
      <c r="S331" s="206"/>
      <c r="T331" s="206"/>
      <c r="U331" s="206"/>
      <c r="V331" s="206"/>
      <c r="W331" s="206"/>
      <c r="X331" s="206"/>
      <c r="Y331" s="206"/>
    </row>
    <row r="332">
      <c r="A332" s="206"/>
      <c r="B332" s="206"/>
      <c r="C332" s="206"/>
      <c r="D332" s="206"/>
      <c r="E332" s="206"/>
      <c r="F332" s="206"/>
      <c r="G332" s="206"/>
      <c r="H332" s="206"/>
      <c r="I332" s="206"/>
      <c r="J332" s="206"/>
      <c r="K332" s="206"/>
      <c r="L332" s="206"/>
      <c r="M332" s="206"/>
      <c r="N332" s="206"/>
      <c r="O332" s="206"/>
      <c r="P332" s="206"/>
      <c r="Q332" s="206"/>
      <c r="R332" s="206"/>
      <c r="S332" s="206"/>
      <c r="T332" s="206"/>
      <c r="U332" s="206"/>
      <c r="V332" s="206"/>
      <c r="W332" s="206"/>
      <c r="X332" s="206"/>
      <c r="Y332" s="206"/>
    </row>
    <row r="333">
      <c r="A333" s="206"/>
      <c r="B333" s="206"/>
      <c r="C333" s="206"/>
      <c r="D333" s="206"/>
      <c r="E333" s="206"/>
      <c r="F333" s="206"/>
      <c r="G333" s="206"/>
      <c r="H333" s="206"/>
      <c r="I333" s="206"/>
      <c r="J333" s="206"/>
      <c r="K333" s="206"/>
      <c r="L333" s="206"/>
      <c r="M333" s="206"/>
      <c r="N333" s="206"/>
      <c r="O333" s="206"/>
      <c r="P333" s="206"/>
      <c r="Q333" s="206"/>
      <c r="R333" s="206"/>
      <c r="S333" s="206"/>
      <c r="T333" s="206"/>
      <c r="U333" s="206"/>
      <c r="V333" s="206"/>
      <c r="W333" s="206"/>
      <c r="X333" s="206"/>
      <c r="Y333" s="206"/>
    </row>
    <row r="334">
      <c r="A334" s="206"/>
      <c r="B334" s="206"/>
      <c r="C334" s="206"/>
      <c r="D334" s="206"/>
      <c r="E334" s="206"/>
      <c r="F334" s="206"/>
      <c r="G334" s="206"/>
      <c r="H334" s="206"/>
      <c r="I334" s="206"/>
      <c r="J334" s="206"/>
      <c r="K334" s="206"/>
      <c r="L334" s="206"/>
      <c r="M334" s="206"/>
      <c r="N334" s="206"/>
      <c r="O334" s="206"/>
      <c r="P334" s="206"/>
      <c r="Q334" s="206"/>
      <c r="R334" s="206"/>
      <c r="S334" s="206"/>
      <c r="T334" s="206"/>
      <c r="U334" s="206"/>
      <c r="V334" s="206"/>
      <c r="W334" s="206"/>
      <c r="X334" s="206"/>
      <c r="Y334" s="206"/>
    </row>
    <row r="335">
      <c r="A335" s="206"/>
      <c r="B335" s="206"/>
      <c r="C335" s="206"/>
      <c r="D335" s="206"/>
      <c r="E335" s="206"/>
      <c r="F335" s="206"/>
      <c r="G335" s="206"/>
      <c r="H335" s="206"/>
      <c r="I335" s="206"/>
      <c r="J335" s="206"/>
      <c r="K335" s="206"/>
      <c r="L335" s="206"/>
      <c r="M335" s="206"/>
      <c r="N335" s="206"/>
      <c r="O335" s="206"/>
      <c r="P335" s="206"/>
      <c r="Q335" s="206"/>
      <c r="R335" s="206"/>
      <c r="S335" s="206"/>
      <c r="T335" s="206"/>
      <c r="U335" s="206"/>
      <c r="V335" s="206"/>
      <c r="W335" s="206"/>
      <c r="X335" s="206"/>
      <c r="Y335" s="206"/>
    </row>
    <row r="336">
      <c r="A336" s="206"/>
      <c r="B336" s="206"/>
      <c r="C336" s="206"/>
      <c r="D336" s="206"/>
      <c r="E336" s="206"/>
      <c r="F336" s="206"/>
      <c r="G336" s="206"/>
      <c r="H336" s="206"/>
      <c r="I336" s="206"/>
      <c r="J336" s="206"/>
      <c r="K336" s="206"/>
      <c r="L336" s="206"/>
      <c r="M336" s="206"/>
      <c r="N336" s="206"/>
      <c r="O336" s="206"/>
      <c r="P336" s="206"/>
      <c r="Q336" s="206"/>
      <c r="R336" s="206"/>
      <c r="S336" s="206"/>
      <c r="T336" s="206"/>
      <c r="U336" s="206"/>
      <c r="V336" s="206"/>
      <c r="W336" s="206"/>
      <c r="X336" s="206"/>
      <c r="Y336" s="206"/>
    </row>
    <row r="337">
      <c r="A337" s="206"/>
      <c r="B337" s="206"/>
      <c r="C337" s="206"/>
      <c r="D337" s="206"/>
      <c r="E337" s="206"/>
      <c r="F337" s="206"/>
      <c r="G337" s="206"/>
      <c r="H337" s="206"/>
      <c r="I337" s="206"/>
      <c r="J337" s="206"/>
      <c r="K337" s="206"/>
      <c r="L337" s="206"/>
      <c r="M337" s="206"/>
      <c r="N337" s="206"/>
      <c r="O337" s="206"/>
      <c r="P337" s="206"/>
      <c r="Q337" s="206"/>
      <c r="R337" s="206"/>
      <c r="S337" s="206"/>
      <c r="T337" s="206"/>
      <c r="U337" s="206"/>
      <c r="V337" s="206"/>
      <c r="W337" s="206"/>
      <c r="X337" s="206"/>
      <c r="Y337" s="206"/>
    </row>
    <row r="338">
      <c r="A338" s="206"/>
      <c r="B338" s="206"/>
      <c r="C338" s="206"/>
      <c r="D338" s="206"/>
      <c r="E338" s="206"/>
      <c r="F338" s="206"/>
      <c r="G338" s="206"/>
      <c r="H338" s="206"/>
      <c r="I338" s="206"/>
      <c r="J338" s="206"/>
      <c r="K338" s="206"/>
      <c r="L338" s="206"/>
      <c r="M338" s="206"/>
      <c r="N338" s="206"/>
      <c r="O338" s="206"/>
      <c r="P338" s="206"/>
      <c r="Q338" s="206"/>
      <c r="R338" s="206"/>
      <c r="S338" s="206"/>
      <c r="T338" s="206"/>
      <c r="U338" s="206"/>
      <c r="V338" s="206"/>
      <c r="W338" s="206"/>
      <c r="X338" s="206"/>
      <c r="Y338" s="206"/>
    </row>
    <row r="339">
      <c r="A339" s="206"/>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row>
    <row r="340">
      <c r="A340" s="206"/>
      <c r="B340" s="206"/>
      <c r="C340" s="206"/>
      <c r="D340" s="206"/>
      <c r="E340" s="206"/>
      <c r="F340" s="206"/>
      <c r="G340" s="206"/>
      <c r="H340" s="206"/>
      <c r="I340" s="206"/>
      <c r="J340" s="206"/>
      <c r="K340" s="206"/>
      <c r="L340" s="206"/>
      <c r="M340" s="206"/>
      <c r="N340" s="206"/>
      <c r="O340" s="206"/>
      <c r="P340" s="206"/>
      <c r="Q340" s="206"/>
      <c r="R340" s="206"/>
      <c r="S340" s="206"/>
      <c r="T340" s="206"/>
      <c r="U340" s="206"/>
      <c r="V340" s="206"/>
      <c r="W340" s="206"/>
      <c r="X340" s="206"/>
      <c r="Y340" s="206"/>
    </row>
    <row r="341">
      <c r="A341" s="206"/>
      <c r="B341" s="206"/>
      <c r="C341" s="206"/>
      <c r="D341" s="206"/>
      <c r="E341" s="206"/>
      <c r="F341" s="206"/>
      <c r="G341" s="206"/>
      <c r="H341" s="206"/>
      <c r="I341" s="206"/>
      <c r="J341" s="206"/>
      <c r="K341" s="206"/>
      <c r="L341" s="206"/>
      <c r="M341" s="206"/>
      <c r="N341" s="206"/>
      <c r="O341" s="206"/>
      <c r="P341" s="206"/>
      <c r="Q341" s="206"/>
      <c r="R341" s="206"/>
      <c r="S341" s="206"/>
      <c r="T341" s="206"/>
      <c r="U341" s="206"/>
      <c r="V341" s="206"/>
      <c r="W341" s="206"/>
      <c r="X341" s="206"/>
      <c r="Y341" s="206"/>
    </row>
    <row r="342">
      <c r="A342" s="206"/>
      <c r="B342" s="206"/>
      <c r="C342" s="206"/>
      <c r="D342" s="206"/>
      <c r="E342" s="206"/>
      <c r="F342" s="206"/>
      <c r="G342" s="206"/>
      <c r="H342" s="206"/>
      <c r="I342" s="206"/>
      <c r="J342" s="206"/>
      <c r="K342" s="206"/>
      <c r="L342" s="206"/>
      <c r="M342" s="206"/>
      <c r="N342" s="206"/>
      <c r="O342" s="206"/>
      <c r="P342" s="206"/>
      <c r="Q342" s="206"/>
      <c r="R342" s="206"/>
      <c r="S342" s="206"/>
      <c r="T342" s="206"/>
      <c r="U342" s="206"/>
      <c r="V342" s="206"/>
      <c r="W342" s="206"/>
      <c r="X342" s="206"/>
      <c r="Y342" s="206"/>
    </row>
    <row r="343">
      <c r="A343" s="206"/>
      <c r="B343" s="206"/>
      <c r="C343" s="206"/>
      <c r="D343" s="206"/>
      <c r="E343" s="206"/>
      <c r="F343" s="206"/>
      <c r="G343" s="206"/>
      <c r="H343" s="206"/>
      <c r="I343" s="206"/>
      <c r="J343" s="206"/>
      <c r="K343" s="206"/>
      <c r="L343" s="206"/>
      <c r="M343" s="206"/>
      <c r="N343" s="206"/>
      <c r="O343" s="206"/>
      <c r="P343" s="206"/>
      <c r="Q343" s="206"/>
      <c r="R343" s="206"/>
      <c r="S343" s="206"/>
      <c r="T343" s="206"/>
      <c r="U343" s="206"/>
      <c r="V343" s="206"/>
      <c r="W343" s="206"/>
      <c r="X343" s="206"/>
      <c r="Y343" s="206"/>
    </row>
    <row r="344">
      <c r="A344" s="206"/>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row>
    <row r="345">
      <c r="A345" s="206"/>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row>
    <row r="346">
      <c r="A346" s="206"/>
      <c r="B346" s="206"/>
      <c r="C346" s="206"/>
      <c r="D346" s="206"/>
      <c r="E346" s="206"/>
      <c r="F346" s="206"/>
      <c r="G346" s="206"/>
      <c r="H346" s="206"/>
      <c r="I346" s="206"/>
      <c r="J346" s="206"/>
      <c r="K346" s="206"/>
      <c r="L346" s="206"/>
      <c r="M346" s="206"/>
      <c r="N346" s="206"/>
      <c r="O346" s="206"/>
      <c r="P346" s="206"/>
      <c r="Q346" s="206"/>
      <c r="R346" s="206"/>
      <c r="S346" s="206"/>
      <c r="T346" s="206"/>
      <c r="U346" s="206"/>
      <c r="V346" s="206"/>
      <c r="W346" s="206"/>
      <c r="X346" s="206"/>
      <c r="Y346" s="206"/>
    </row>
    <row r="347">
      <c r="A347" s="206"/>
      <c r="B347" s="206"/>
      <c r="C347" s="206"/>
      <c r="D347" s="206"/>
      <c r="E347" s="206"/>
      <c r="F347" s="206"/>
      <c r="G347" s="206"/>
      <c r="H347" s="206"/>
      <c r="I347" s="206"/>
      <c r="J347" s="206"/>
      <c r="K347" s="206"/>
      <c r="L347" s="206"/>
      <c r="M347" s="206"/>
      <c r="N347" s="206"/>
      <c r="O347" s="206"/>
      <c r="P347" s="206"/>
      <c r="Q347" s="206"/>
      <c r="R347" s="206"/>
      <c r="S347" s="206"/>
      <c r="T347" s="206"/>
      <c r="U347" s="206"/>
      <c r="V347" s="206"/>
      <c r="W347" s="206"/>
      <c r="X347" s="206"/>
      <c r="Y347" s="206"/>
    </row>
    <row r="348">
      <c r="A348" s="206"/>
      <c r="B348" s="206"/>
      <c r="C348" s="206"/>
      <c r="D348" s="206"/>
      <c r="E348" s="206"/>
      <c r="F348" s="206"/>
      <c r="G348" s="206"/>
      <c r="H348" s="206"/>
      <c r="I348" s="206"/>
      <c r="J348" s="206"/>
      <c r="K348" s="206"/>
      <c r="L348" s="206"/>
      <c r="M348" s="206"/>
      <c r="N348" s="206"/>
      <c r="O348" s="206"/>
      <c r="P348" s="206"/>
      <c r="Q348" s="206"/>
      <c r="R348" s="206"/>
      <c r="S348" s="206"/>
      <c r="T348" s="206"/>
      <c r="U348" s="206"/>
      <c r="V348" s="206"/>
      <c r="W348" s="206"/>
      <c r="X348" s="206"/>
      <c r="Y348" s="206"/>
    </row>
    <row r="349">
      <c r="A349" s="206"/>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row>
    <row r="350">
      <c r="A350" s="206"/>
      <c r="B350" s="206"/>
      <c r="C350" s="206"/>
      <c r="D350" s="206"/>
      <c r="E350" s="206"/>
      <c r="F350" s="206"/>
      <c r="G350" s="206"/>
      <c r="H350" s="206"/>
      <c r="I350" s="206"/>
      <c r="J350" s="206"/>
      <c r="K350" s="206"/>
      <c r="L350" s="206"/>
      <c r="M350" s="206"/>
      <c r="N350" s="206"/>
      <c r="O350" s="206"/>
      <c r="P350" s="206"/>
      <c r="Q350" s="206"/>
      <c r="R350" s="206"/>
      <c r="S350" s="206"/>
      <c r="T350" s="206"/>
      <c r="U350" s="206"/>
      <c r="V350" s="206"/>
      <c r="W350" s="206"/>
      <c r="X350" s="206"/>
      <c r="Y350" s="206"/>
    </row>
    <row r="351">
      <c r="A351" s="206"/>
      <c r="B351" s="206"/>
      <c r="C351" s="206"/>
      <c r="D351" s="206"/>
      <c r="E351" s="206"/>
      <c r="F351" s="206"/>
      <c r="G351" s="206"/>
      <c r="H351" s="206"/>
      <c r="I351" s="206"/>
      <c r="J351" s="206"/>
      <c r="K351" s="206"/>
      <c r="L351" s="206"/>
      <c r="M351" s="206"/>
      <c r="N351" s="206"/>
      <c r="O351" s="206"/>
      <c r="P351" s="206"/>
      <c r="Q351" s="206"/>
      <c r="R351" s="206"/>
      <c r="S351" s="206"/>
      <c r="T351" s="206"/>
      <c r="U351" s="206"/>
      <c r="V351" s="206"/>
      <c r="W351" s="206"/>
      <c r="X351" s="206"/>
      <c r="Y351" s="206"/>
    </row>
    <row r="352">
      <c r="A352" s="206"/>
      <c r="B352" s="206"/>
      <c r="C352" s="206"/>
      <c r="D352" s="206"/>
      <c r="E352" s="206"/>
      <c r="F352" s="206"/>
      <c r="G352" s="206"/>
      <c r="H352" s="206"/>
      <c r="I352" s="206"/>
      <c r="J352" s="206"/>
      <c r="K352" s="206"/>
      <c r="L352" s="206"/>
      <c r="M352" s="206"/>
      <c r="N352" s="206"/>
      <c r="O352" s="206"/>
      <c r="P352" s="206"/>
      <c r="Q352" s="206"/>
      <c r="R352" s="206"/>
      <c r="S352" s="206"/>
      <c r="T352" s="206"/>
      <c r="U352" s="206"/>
      <c r="V352" s="206"/>
      <c r="W352" s="206"/>
      <c r="X352" s="206"/>
      <c r="Y352" s="206"/>
    </row>
    <row r="353">
      <c r="A353" s="206"/>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row>
    <row r="354">
      <c r="A354" s="206"/>
      <c r="B354" s="206"/>
      <c r="C354" s="206"/>
      <c r="D354" s="206"/>
      <c r="E354" s="206"/>
      <c r="F354" s="206"/>
      <c r="G354" s="206"/>
      <c r="H354" s="206"/>
      <c r="I354" s="206"/>
      <c r="J354" s="206"/>
      <c r="K354" s="206"/>
      <c r="L354" s="206"/>
      <c r="M354" s="206"/>
      <c r="N354" s="206"/>
      <c r="O354" s="206"/>
      <c r="P354" s="206"/>
      <c r="Q354" s="206"/>
      <c r="R354" s="206"/>
      <c r="S354" s="206"/>
      <c r="T354" s="206"/>
      <c r="U354" s="206"/>
      <c r="V354" s="206"/>
      <c r="W354" s="206"/>
      <c r="X354" s="206"/>
      <c r="Y354" s="206"/>
    </row>
    <row r="355">
      <c r="A355" s="206"/>
      <c r="B355" s="206"/>
      <c r="C355" s="206"/>
      <c r="D355" s="206"/>
      <c r="E355" s="206"/>
      <c r="F355" s="206"/>
      <c r="G355" s="206"/>
      <c r="H355" s="206"/>
      <c r="I355" s="206"/>
      <c r="J355" s="206"/>
      <c r="K355" s="206"/>
      <c r="L355" s="206"/>
      <c r="M355" s="206"/>
      <c r="N355" s="206"/>
      <c r="O355" s="206"/>
      <c r="P355" s="206"/>
      <c r="Q355" s="206"/>
      <c r="R355" s="206"/>
      <c r="S355" s="206"/>
      <c r="T355" s="206"/>
      <c r="U355" s="206"/>
      <c r="V355" s="206"/>
      <c r="W355" s="206"/>
      <c r="X355" s="206"/>
      <c r="Y355" s="206"/>
    </row>
    <row r="356">
      <c r="A356" s="206"/>
      <c r="B356" s="206"/>
      <c r="C356" s="206"/>
      <c r="D356" s="206"/>
      <c r="E356" s="206"/>
      <c r="F356" s="206"/>
      <c r="G356" s="206"/>
      <c r="H356" s="206"/>
      <c r="I356" s="206"/>
      <c r="J356" s="206"/>
      <c r="K356" s="206"/>
      <c r="L356" s="206"/>
      <c r="M356" s="206"/>
      <c r="N356" s="206"/>
      <c r="O356" s="206"/>
      <c r="P356" s="206"/>
      <c r="Q356" s="206"/>
      <c r="R356" s="206"/>
      <c r="S356" s="206"/>
      <c r="T356" s="206"/>
      <c r="U356" s="206"/>
      <c r="V356" s="206"/>
      <c r="W356" s="206"/>
      <c r="X356" s="206"/>
      <c r="Y356" s="206"/>
    </row>
    <row r="357">
      <c r="A357" s="206"/>
      <c r="B357" s="206"/>
      <c r="C357" s="206"/>
      <c r="D357" s="206"/>
      <c r="E357" s="206"/>
      <c r="F357" s="206"/>
      <c r="G357" s="206"/>
      <c r="H357" s="206"/>
      <c r="I357" s="206"/>
      <c r="J357" s="206"/>
      <c r="K357" s="206"/>
      <c r="L357" s="206"/>
      <c r="M357" s="206"/>
      <c r="N357" s="206"/>
      <c r="O357" s="206"/>
      <c r="P357" s="206"/>
      <c r="Q357" s="206"/>
      <c r="R357" s="206"/>
      <c r="S357" s="206"/>
      <c r="T357" s="206"/>
      <c r="U357" s="206"/>
      <c r="V357" s="206"/>
      <c r="W357" s="206"/>
      <c r="X357" s="206"/>
      <c r="Y357" s="206"/>
    </row>
    <row r="358">
      <c r="A358" s="206"/>
      <c r="B358" s="206"/>
      <c r="C358" s="206"/>
      <c r="D358" s="206"/>
      <c r="E358" s="206"/>
      <c r="F358" s="206"/>
      <c r="G358" s="206"/>
      <c r="H358" s="206"/>
      <c r="I358" s="206"/>
      <c r="J358" s="206"/>
      <c r="K358" s="206"/>
      <c r="L358" s="206"/>
      <c r="M358" s="206"/>
      <c r="N358" s="206"/>
      <c r="O358" s="206"/>
      <c r="P358" s="206"/>
      <c r="Q358" s="206"/>
      <c r="R358" s="206"/>
      <c r="S358" s="206"/>
      <c r="T358" s="206"/>
      <c r="U358" s="206"/>
      <c r="V358" s="206"/>
      <c r="W358" s="206"/>
      <c r="X358" s="206"/>
      <c r="Y358" s="206"/>
    </row>
    <row r="359">
      <c r="A359" s="206"/>
      <c r="B359" s="206"/>
      <c r="C359" s="206"/>
      <c r="D359" s="206"/>
      <c r="E359" s="206"/>
      <c r="F359" s="206"/>
      <c r="G359" s="206"/>
      <c r="H359" s="206"/>
      <c r="I359" s="206"/>
      <c r="J359" s="206"/>
      <c r="K359" s="206"/>
      <c r="L359" s="206"/>
      <c r="M359" s="206"/>
      <c r="N359" s="206"/>
      <c r="O359" s="206"/>
      <c r="P359" s="206"/>
      <c r="Q359" s="206"/>
      <c r="R359" s="206"/>
      <c r="S359" s="206"/>
      <c r="T359" s="206"/>
      <c r="U359" s="206"/>
      <c r="V359" s="206"/>
      <c r="W359" s="206"/>
      <c r="X359" s="206"/>
      <c r="Y359" s="206"/>
    </row>
    <row r="360">
      <c r="A360" s="206"/>
      <c r="B360" s="206"/>
      <c r="C360" s="206"/>
      <c r="D360" s="206"/>
      <c r="E360" s="206"/>
      <c r="F360" s="206"/>
      <c r="G360" s="206"/>
      <c r="H360" s="206"/>
      <c r="I360" s="206"/>
      <c r="J360" s="206"/>
      <c r="K360" s="206"/>
      <c r="L360" s="206"/>
      <c r="M360" s="206"/>
      <c r="N360" s="206"/>
      <c r="O360" s="206"/>
      <c r="P360" s="206"/>
      <c r="Q360" s="206"/>
      <c r="R360" s="206"/>
      <c r="S360" s="206"/>
      <c r="T360" s="206"/>
      <c r="U360" s="206"/>
      <c r="V360" s="206"/>
      <c r="W360" s="206"/>
      <c r="X360" s="206"/>
      <c r="Y360" s="206"/>
    </row>
    <row r="361">
      <c r="A361" s="206"/>
      <c r="B361" s="206"/>
      <c r="C361" s="206"/>
      <c r="D361" s="206"/>
      <c r="E361" s="206"/>
      <c r="F361" s="206"/>
      <c r="G361" s="206"/>
      <c r="H361" s="206"/>
      <c r="I361" s="206"/>
      <c r="J361" s="206"/>
      <c r="K361" s="206"/>
      <c r="L361" s="206"/>
      <c r="M361" s="206"/>
      <c r="N361" s="206"/>
      <c r="O361" s="206"/>
      <c r="P361" s="206"/>
      <c r="Q361" s="206"/>
      <c r="R361" s="206"/>
      <c r="S361" s="206"/>
      <c r="T361" s="206"/>
      <c r="U361" s="206"/>
      <c r="V361" s="206"/>
      <c r="W361" s="206"/>
      <c r="X361" s="206"/>
      <c r="Y361" s="206"/>
    </row>
    <row r="362">
      <c r="A362" s="206"/>
      <c r="B362" s="206"/>
      <c r="C362" s="206"/>
      <c r="D362" s="206"/>
      <c r="E362" s="206"/>
      <c r="F362" s="206"/>
      <c r="G362" s="206"/>
      <c r="H362" s="206"/>
      <c r="I362" s="206"/>
      <c r="J362" s="206"/>
      <c r="K362" s="206"/>
      <c r="L362" s="206"/>
      <c r="M362" s="206"/>
      <c r="N362" s="206"/>
      <c r="O362" s="206"/>
      <c r="P362" s="206"/>
      <c r="Q362" s="206"/>
      <c r="R362" s="206"/>
      <c r="S362" s="206"/>
      <c r="T362" s="206"/>
      <c r="U362" s="206"/>
      <c r="V362" s="206"/>
      <c r="W362" s="206"/>
      <c r="X362" s="206"/>
      <c r="Y362" s="206"/>
    </row>
    <row r="363">
      <c r="A363" s="206"/>
      <c r="B363" s="206"/>
      <c r="C363" s="206"/>
      <c r="D363" s="206"/>
      <c r="E363" s="206"/>
      <c r="F363" s="206"/>
      <c r="G363" s="206"/>
      <c r="H363" s="206"/>
      <c r="I363" s="206"/>
      <c r="J363" s="206"/>
      <c r="K363" s="206"/>
      <c r="L363" s="206"/>
      <c r="M363" s="206"/>
      <c r="N363" s="206"/>
      <c r="O363" s="206"/>
      <c r="P363" s="206"/>
      <c r="Q363" s="206"/>
      <c r="R363" s="206"/>
      <c r="S363" s="206"/>
      <c r="T363" s="206"/>
      <c r="U363" s="206"/>
      <c r="V363" s="206"/>
      <c r="W363" s="206"/>
      <c r="X363" s="206"/>
      <c r="Y363" s="206"/>
    </row>
    <row r="364">
      <c r="A364" s="206"/>
      <c r="B364" s="206"/>
      <c r="C364" s="206"/>
      <c r="D364" s="206"/>
      <c r="E364" s="206"/>
      <c r="F364" s="206"/>
      <c r="G364" s="206"/>
      <c r="H364" s="206"/>
      <c r="I364" s="206"/>
      <c r="J364" s="206"/>
      <c r="K364" s="206"/>
      <c r="L364" s="206"/>
      <c r="M364" s="206"/>
      <c r="N364" s="206"/>
      <c r="O364" s="206"/>
      <c r="P364" s="206"/>
      <c r="Q364" s="206"/>
      <c r="R364" s="206"/>
      <c r="S364" s="206"/>
      <c r="T364" s="206"/>
      <c r="U364" s="206"/>
      <c r="V364" s="206"/>
      <c r="W364" s="206"/>
      <c r="X364" s="206"/>
      <c r="Y364" s="206"/>
    </row>
    <row r="365">
      <c r="A365" s="206"/>
      <c r="B365" s="206"/>
      <c r="C365" s="206"/>
      <c r="D365" s="206"/>
      <c r="E365" s="206"/>
      <c r="F365" s="206"/>
      <c r="G365" s="206"/>
      <c r="H365" s="206"/>
      <c r="I365" s="206"/>
      <c r="J365" s="206"/>
      <c r="K365" s="206"/>
      <c r="L365" s="206"/>
      <c r="M365" s="206"/>
      <c r="N365" s="206"/>
      <c r="O365" s="206"/>
      <c r="P365" s="206"/>
      <c r="Q365" s="206"/>
      <c r="R365" s="206"/>
      <c r="S365" s="206"/>
      <c r="T365" s="206"/>
      <c r="U365" s="206"/>
      <c r="V365" s="206"/>
      <c r="W365" s="206"/>
      <c r="X365" s="206"/>
      <c r="Y365" s="206"/>
    </row>
    <row r="366">
      <c r="A366" s="206"/>
      <c r="B366" s="206"/>
      <c r="C366" s="206"/>
      <c r="D366" s="206"/>
      <c r="E366" s="206"/>
      <c r="F366" s="206"/>
      <c r="G366" s="206"/>
      <c r="H366" s="206"/>
      <c r="I366" s="206"/>
      <c r="J366" s="206"/>
      <c r="K366" s="206"/>
      <c r="L366" s="206"/>
      <c r="M366" s="206"/>
      <c r="N366" s="206"/>
      <c r="O366" s="206"/>
      <c r="P366" s="206"/>
      <c r="Q366" s="206"/>
      <c r="R366" s="206"/>
      <c r="S366" s="206"/>
      <c r="T366" s="206"/>
      <c r="U366" s="206"/>
      <c r="V366" s="206"/>
      <c r="W366" s="206"/>
      <c r="X366" s="206"/>
      <c r="Y366" s="206"/>
    </row>
    <row r="367">
      <c r="A367" s="206"/>
      <c r="B367" s="206"/>
      <c r="C367" s="206"/>
      <c r="D367" s="206"/>
      <c r="E367" s="206"/>
      <c r="F367" s="206"/>
      <c r="G367" s="206"/>
      <c r="H367" s="206"/>
      <c r="I367" s="206"/>
      <c r="J367" s="206"/>
      <c r="K367" s="206"/>
      <c r="L367" s="206"/>
      <c r="M367" s="206"/>
      <c r="N367" s="206"/>
      <c r="O367" s="206"/>
      <c r="P367" s="206"/>
      <c r="Q367" s="206"/>
      <c r="R367" s="206"/>
      <c r="S367" s="206"/>
      <c r="T367" s="206"/>
      <c r="U367" s="206"/>
      <c r="V367" s="206"/>
      <c r="W367" s="206"/>
      <c r="X367" s="206"/>
      <c r="Y367" s="206"/>
    </row>
    <row r="368">
      <c r="A368" s="206"/>
      <c r="B368" s="206"/>
      <c r="C368" s="206"/>
      <c r="D368" s="206"/>
      <c r="E368" s="206"/>
      <c r="F368" s="206"/>
      <c r="G368" s="206"/>
      <c r="H368" s="206"/>
      <c r="I368" s="206"/>
      <c r="J368" s="206"/>
      <c r="K368" s="206"/>
      <c r="L368" s="206"/>
      <c r="M368" s="206"/>
      <c r="N368" s="206"/>
      <c r="O368" s="206"/>
      <c r="P368" s="206"/>
      <c r="Q368" s="206"/>
      <c r="R368" s="206"/>
      <c r="S368" s="206"/>
      <c r="T368" s="206"/>
      <c r="U368" s="206"/>
      <c r="V368" s="206"/>
      <c r="W368" s="206"/>
      <c r="X368" s="206"/>
      <c r="Y368" s="206"/>
    </row>
    <row r="369">
      <c r="A369" s="206"/>
      <c r="B369" s="206"/>
      <c r="C369" s="206"/>
      <c r="D369" s="206"/>
      <c r="E369" s="206"/>
      <c r="F369" s="206"/>
      <c r="G369" s="206"/>
      <c r="H369" s="206"/>
      <c r="I369" s="206"/>
      <c r="J369" s="206"/>
      <c r="K369" s="206"/>
      <c r="L369" s="206"/>
      <c r="M369" s="206"/>
      <c r="N369" s="206"/>
      <c r="O369" s="206"/>
      <c r="P369" s="206"/>
      <c r="Q369" s="206"/>
      <c r="R369" s="206"/>
      <c r="S369" s="206"/>
      <c r="T369" s="206"/>
      <c r="U369" s="206"/>
      <c r="V369" s="206"/>
      <c r="W369" s="206"/>
      <c r="X369" s="206"/>
      <c r="Y369" s="206"/>
    </row>
    <row r="370">
      <c r="A370" s="206"/>
      <c r="B370" s="206"/>
      <c r="C370" s="206"/>
      <c r="D370" s="206"/>
      <c r="E370" s="206"/>
      <c r="F370" s="206"/>
      <c r="G370" s="206"/>
      <c r="H370" s="206"/>
      <c r="I370" s="206"/>
      <c r="J370" s="206"/>
      <c r="K370" s="206"/>
      <c r="L370" s="206"/>
      <c r="M370" s="206"/>
      <c r="N370" s="206"/>
      <c r="O370" s="206"/>
      <c r="P370" s="206"/>
      <c r="Q370" s="206"/>
      <c r="R370" s="206"/>
      <c r="S370" s="206"/>
      <c r="T370" s="206"/>
      <c r="U370" s="206"/>
      <c r="V370" s="206"/>
      <c r="W370" s="206"/>
      <c r="X370" s="206"/>
      <c r="Y370" s="206"/>
    </row>
    <row r="371">
      <c r="A371" s="206"/>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row>
    <row r="372">
      <c r="A372" s="206"/>
      <c r="B372" s="206"/>
      <c r="C372" s="206"/>
      <c r="D372" s="206"/>
      <c r="E372" s="206"/>
      <c r="F372" s="206"/>
      <c r="G372" s="206"/>
      <c r="H372" s="206"/>
      <c r="I372" s="206"/>
      <c r="J372" s="206"/>
      <c r="K372" s="206"/>
      <c r="L372" s="206"/>
      <c r="M372" s="206"/>
      <c r="N372" s="206"/>
      <c r="O372" s="206"/>
      <c r="P372" s="206"/>
      <c r="Q372" s="206"/>
      <c r="R372" s="206"/>
      <c r="S372" s="206"/>
      <c r="T372" s="206"/>
      <c r="U372" s="206"/>
      <c r="V372" s="206"/>
      <c r="W372" s="206"/>
      <c r="X372" s="206"/>
      <c r="Y372" s="206"/>
    </row>
    <row r="373">
      <c r="A373" s="206"/>
      <c r="B373" s="206"/>
      <c r="C373" s="206"/>
      <c r="D373" s="206"/>
      <c r="E373" s="206"/>
      <c r="F373" s="206"/>
      <c r="G373" s="206"/>
      <c r="H373" s="206"/>
      <c r="I373" s="206"/>
      <c r="J373" s="206"/>
      <c r="K373" s="206"/>
      <c r="L373" s="206"/>
      <c r="M373" s="206"/>
      <c r="N373" s="206"/>
      <c r="O373" s="206"/>
      <c r="P373" s="206"/>
      <c r="Q373" s="206"/>
      <c r="R373" s="206"/>
      <c r="S373" s="206"/>
      <c r="T373" s="206"/>
      <c r="U373" s="206"/>
      <c r="V373" s="206"/>
      <c r="W373" s="206"/>
      <c r="X373" s="206"/>
      <c r="Y373" s="206"/>
    </row>
    <row r="374">
      <c r="A374" s="206"/>
      <c r="B374" s="206"/>
      <c r="C374" s="206"/>
      <c r="D374" s="206"/>
      <c r="E374" s="206"/>
      <c r="F374" s="206"/>
      <c r="G374" s="206"/>
      <c r="H374" s="206"/>
      <c r="I374" s="206"/>
      <c r="J374" s="206"/>
      <c r="K374" s="206"/>
      <c r="L374" s="206"/>
      <c r="M374" s="206"/>
      <c r="N374" s="206"/>
      <c r="O374" s="206"/>
      <c r="P374" s="206"/>
      <c r="Q374" s="206"/>
      <c r="R374" s="206"/>
      <c r="S374" s="206"/>
      <c r="T374" s="206"/>
      <c r="U374" s="206"/>
      <c r="V374" s="206"/>
      <c r="W374" s="206"/>
      <c r="X374" s="206"/>
      <c r="Y374" s="206"/>
    </row>
    <row r="375">
      <c r="A375" s="206"/>
      <c r="B375" s="206"/>
      <c r="C375" s="206"/>
      <c r="D375" s="206"/>
      <c r="E375" s="206"/>
      <c r="F375" s="206"/>
      <c r="G375" s="206"/>
      <c r="H375" s="206"/>
      <c r="I375" s="206"/>
      <c r="J375" s="206"/>
      <c r="K375" s="206"/>
      <c r="L375" s="206"/>
      <c r="M375" s="206"/>
      <c r="N375" s="206"/>
      <c r="O375" s="206"/>
      <c r="P375" s="206"/>
      <c r="Q375" s="206"/>
      <c r="R375" s="206"/>
      <c r="S375" s="206"/>
      <c r="T375" s="206"/>
      <c r="U375" s="206"/>
      <c r="V375" s="206"/>
      <c r="W375" s="206"/>
      <c r="X375" s="206"/>
      <c r="Y375" s="206"/>
    </row>
    <row r="376">
      <c r="A376" s="206"/>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row>
    <row r="377">
      <c r="A377" s="206"/>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row>
    <row r="378">
      <c r="A378" s="206"/>
      <c r="B378" s="206"/>
      <c r="C378" s="206"/>
      <c r="D378" s="206"/>
      <c r="E378" s="206"/>
      <c r="F378" s="206"/>
      <c r="G378" s="206"/>
      <c r="H378" s="206"/>
      <c r="I378" s="206"/>
      <c r="J378" s="206"/>
      <c r="K378" s="206"/>
      <c r="L378" s="206"/>
      <c r="M378" s="206"/>
      <c r="N378" s="206"/>
      <c r="O378" s="206"/>
      <c r="P378" s="206"/>
      <c r="Q378" s="206"/>
      <c r="R378" s="206"/>
      <c r="S378" s="206"/>
      <c r="T378" s="206"/>
      <c r="U378" s="206"/>
      <c r="V378" s="206"/>
      <c r="W378" s="206"/>
      <c r="X378" s="206"/>
      <c r="Y378" s="206"/>
    </row>
    <row r="379">
      <c r="A379" s="206"/>
      <c r="B379" s="206"/>
      <c r="C379" s="206"/>
      <c r="D379" s="206"/>
      <c r="E379" s="206"/>
      <c r="F379" s="206"/>
      <c r="G379" s="206"/>
      <c r="H379" s="206"/>
      <c r="I379" s="206"/>
      <c r="J379" s="206"/>
      <c r="K379" s="206"/>
      <c r="L379" s="206"/>
      <c r="M379" s="206"/>
      <c r="N379" s="206"/>
      <c r="O379" s="206"/>
      <c r="P379" s="206"/>
      <c r="Q379" s="206"/>
      <c r="R379" s="206"/>
      <c r="S379" s="206"/>
      <c r="T379" s="206"/>
      <c r="U379" s="206"/>
      <c r="V379" s="206"/>
      <c r="W379" s="206"/>
      <c r="X379" s="206"/>
      <c r="Y379" s="206"/>
    </row>
    <row r="380">
      <c r="A380" s="206"/>
      <c r="B380" s="206"/>
      <c r="C380" s="206"/>
      <c r="D380" s="206"/>
      <c r="E380" s="206"/>
      <c r="F380" s="206"/>
      <c r="G380" s="206"/>
      <c r="H380" s="206"/>
      <c r="I380" s="206"/>
      <c r="J380" s="206"/>
      <c r="K380" s="206"/>
      <c r="L380" s="206"/>
      <c r="M380" s="206"/>
      <c r="N380" s="206"/>
      <c r="O380" s="206"/>
      <c r="P380" s="206"/>
      <c r="Q380" s="206"/>
      <c r="R380" s="206"/>
      <c r="S380" s="206"/>
      <c r="T380" s="206"/>
      <c r="U380" s="206"/>
      <c r="V380" s="206"/>
      <c r="W380" s="206"/>
      <c r="X380" s="206"/>
      <c r="Y380" s="206"/>
    </row>
    <row r="381">
      <c r="A381" s="206"/>
      <c r="B381" s="206"/>
      <c r="C381" s="206"/>
      <c r="D381" s="206"/>
      <c r="E381" s="206"/>
      <c r="F381" s="206"/>
      <c r="G381" s="206"/>
      <c r="H381" s="206"/>
      <c r="I381" s="206"/>
      <c r="J381" s="206"/>
      <c r="K381" s="206"/>
      <c r="L381" s="206"/>
      <c r="M381" s="206"/>
      <c r="N381" s="206"/>
      <c r="O381" s="206"/>
      <c r="P381" s="206"/>
      <c r="Q381" s="206"/>
      <c r="R381" s="206"/>
      <c r="S381" s="206"/>
      <c r="T381" s="206"/>
      <c r="U381" s="206"/>
      <c r="V381" s="206"/>
      <c r="W381" s="206"/>
      <c r="X381" s="206"/>
      <c r="Y381" s="206"/>
    </row>
    <row r="382">
      <c r="A382" s="206"/>
      <c r="B382" s="206"/>
      <c r="C382" s="206"/>
      <c r="D382" s="206"/>
      <c r="E382" s="206"/>
      <c r="F382" s="206"/>
      <c r="G382" s="206"/>
      <c r="H382" s="206"/>
      <c r="I382" s="206"/>
      <c r="J382" s="206"/>
      <c r="K382" s="206"/>
      <c r="L382" s="206"/>
      <c r="M382" s="206"/>
      <c r="N382" s="206"/>
      <c r="O382" s="206"/>
      <c r="P382" s="206"/>
      <c r="Q382" s="206"/>
      <c r="R382" s="206"/>
      <c r="S382" s="206"/>
      <c r="T382" s="206"/>
      <c r="U382" s="206"/>
      <c r="V382" s="206"/>
      <c r="W382" s="206"/>
      <c r="X382" s="206"/>
      <c r="Y382" s="206"/>
    </row>
    <row r="383">
      <c r="A383" s="206"/>
      <c r="B383" s="206"/>
      <c r="C383" s="206"/>
      <c r="D383" s="206"/>
      <c r="E383" s="206"/>
      <c r="F383" s="206"/>
      <c r="G383" s="206"/>
      <c r="H383" s="206"/>
      <c r="I383" s="206"/>
      <c r="J383" s="206"/>
      <c r="K383" s="206"/>
      <c r="L383" s="206"/>
      <c r="M383" s="206"/>
      <c r="N383" s="206"/>
      <c r="O383" s="206"/>
      <c r="P383" s="206"/>
      <c r="Q383" s="206"/>
      <c r="R383" s="206"/>
      <c r="S383" s="206"/>
      <c r="T383" s="206"/>
      <c r="U383" s="206"/>
      <c r="V383" s="206"/>
      <c r="W383" s="206"/>
      <c r="X383" s="206"/>
      <c r="Y383" s="206"/>
    </row>
    <row r="384">
      <c r="A384" s="206"/>
      <c r="B384" s="206"/>
      <c r="C384" s="206"/>
      <c r="D384" s="206"/>
      <c r="E384" s="206"/>
      <c r="F384" s="206"/>
      <c r="G384" s="206"/>
      <c r="H384" s="206"/>
      <c r="I384" s="206"/>
      <c r="J384" s="206"/>
      <c r="K384" s="206"/>
      <c r="L384" s="206"/>
      <c r="M384" s="206"/>
      <c r="N384" s="206"/>
      <c r="O384" s="206"/>
      <c r="P384" s="206"/>
      <c r="Q384" s="206"/>
      <c r="R384" s="206"/>
      <c r="S384" s="206"/>
      <c r="T384" s="206"/>
      <c r="U384" s="206"/>
      <c r="V384" s="206"/>
      <c r="W384" s="206"/>
      <c r="X384" s="206"/>
      <c r="Y384" s="206"/>
    </row>
    <row r="385">
      <c r="A385" s="206"/>
      <c r="B385" s="206"/>
      <c r="C385" s="206"/>
      <c r="D385" s="206"/>
      <c r="E385" s="206"/>
      <c r="F385" s="206"/>
      <c r="G385" s="206"/>
      <c r="H385" s="206"/>
      <c r="I385" s="206"/>
      <c r="J385" s="206"/>
      <c r="K385" s="206"/>
      <c r="L385" s="206"/>
      <c r="M385" s="206"/>
      <c r="N385" s="206"/>
      <c r="O385" s="206"/>
      <c r="P385" s="206"/>
      <c r="Q385" s="206"/>
      <c r="R385" s="206"/>
      <c r="S385" s="206"/>
      <c r="T385" s="206"/>
      <c r="U385" s="206"/>
      <c r="V385" s="206"/>
      <c r="W385" s="206"/>
      <c r="X385" s="206"/>
      <c r="Y385" s="206"/>
    </row>
    <row r="386">
      <c r="A386" s="206"/>
      <c r="B386" s="206"/>
      <c r="C386" s="206"/>
      <c r="D386" s="206"/>
      <c r="E386" s="206"/>
      <c r="F386" s="206"/>
      <c r="G386" s="206"/>
      <c r="H386" s="206"/>
      <c r="I386" s="206"/>
      <c r="J386" s="206"/>
      <c r="K386" s="206"/>
      <c r="L386" s="206"/>
      <c r="M386" s="206"/>
      <c r="N386" s="206"/>
      <c r="O386" s="206"/>
      <c r="P386" s="206"/>
      <c r="Q386" s="206"/>
      <c r="R386" s="206"/>
      <c r="S386" s="206"/>
      <c r="T386" s="206"/>
      <c r="U386" s="206"/>
      <c r="V386" s="206"/>
      <c r="W386" s="206"/>
      <c r="X386" s="206"/>
      <c r="Y386" s="206"/>
    </row>
    <row r="387">
      <c r="A387" s="206"/>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row>
    <row r="388">
      <c r="A388" s="206"/>
      <c r="B388" s="206"/>
      <c r="C388" s="206"/>
      <c r="D388" s="206"/>
      <c r="E388" s="206"/>
      <c r="F388" s="206"/>
      <c r="G388" s="206"/>
      <c r="H388" s="206"/>
      <c r="I388" s="206"/>
      <c r="J388" s="206"/>
      <c r="K388" s="206"/>
      <c r="L388" s="206"/>
      <c r="M388" s="206"/>
      <c r="N388" s="206"/>
      <c r="O388" s="206"/>
      <c r="P388" s="206"/>
      <c r="Q388" s="206"/>
      <c r="R388" s="206"/>
      <c r="S388" s="206"/>
      <c r="T388" s="206"/>
      <c r="U388" s="206"/>
      <c r="V388" s="206"/>
      <c r="W388" s="206"/>
      <c r="X388" s="206"/>
      <c r="Y388" s="206"/>
    </row>
    <row r="389">
      <c r="A389" s="206"/>
      <c r="B389" s="206"/>
      <c r="C389" s="206"/>
      <c r="D389" s="206"/>
      <c r="E389" s="206"/>
      <c r="F389" s="206"/>
      <c r="G389" s="206"/>
      <c r="H389" s="206"/>
      <c r="I389" s="206"/>
      <c r="J389" s="206"/>
      <c r="K389" s="206"/>
      <c r="L389" s="206"/>
      <c r="M389" s="206"/>
      <c r="N389" s="206"/>
      <c r="O389" s="206"/>
      <c r="P389" s="206"/>
      <c r="Q389" s="206"/>
      <c r="R389" s="206"/>
      <c r="S389" s="206"/>
      <c r="T389" s="206"/>
      <c r="U389" s="206"/>
      <c r="V389" s="206"/>
      <c r="W389" s="206"/>
      <c r="X389" s="206"/>
      <c r="Y389" s="206"/>
    </row>
    <row r="390">
      <c r="A390" s="206"/>
      <c r="B390" s="206"/>
      <c r="C390" s="206"/>
      <c r="D390" s="206"/>
      <c r="E390" s="206"/>
      <c r="F390" s="206"/>
      <c r="G390" s="206"/>
      <c r="H390" s="206"/>
      <c r="I390" s="206"/>
      <c r="J390" s="206"/>
      <c r="K390" s="206"/>
      <c r="L390" s="206"/>
      <c r="M390" s="206"/>
      <c r="N390" s="206"/>
      <c r="O390" s="206"/>
      <c r="P390" s="206"/>
      <c r="Q390" s="206"/>
      <c r="R390" s="206"/>
      <c r="S390" s="206"/>
      <c r="T390" s="206"/>
      <c r="U390" s="206"/>
      <c r="V390" s="206"/>
      <c r="W390" s="206"/>
      <c r="X390" s="206"/>
      <c r="Y390" s="206"/>
    </row>
    <row r="391">
      <c r="A391" s="206"/>
      <c r="B391" s="206"/>
      <c r="C391" s="206"/>
      <c r="D391" s="206"/>
      <c r="E391" s="206"/>
      <c r="F391" s="206"/>
      <c r="G391" s="206"/>
      <c r="H391" s="206"/>
      <c r="I391" s="206"/>
      <c r="J391" s="206"/>
      <c r="K391" s="206"/>
      <c r="L391" s="206"/>
      <c r="M391" s="206"/>
      <c r="N391" s="206"/>
      <c r="O391" s="206"/>
      <c r="P391" s="206"/>
      <c r="Q391" s="206"/>
      <c r="R391" s="206"/>
      <c r="S391" s="206"/>
      <c r="T391" s="206"/>
      <c r="U391" s="206"/>
      <c r="V391" s="206"/>
      <c r="W391" s="206"/>
      <c r="X391" s="206"/>
      <c r="Y391" s="206"/>
    </row>
    <row r="392">
      <c r="A392" s="206"/>
      <c r="B392" s="206"/>
      <c r="C392" s="206"/>
      <c r="D392" s="206"/>
      <c r="E392" s="206"/>
      <c r="F392" s="206"/>
      <c r="G392" s="206"/>
      <c r="H392" s="206"/>
      <c r="I392" s="206"/>
      <c r="J392" s="206"/>
      <c r="K392" s="206"/>
      <c r="L392" s="206"/>
      <c r="M392" s="206"/>
      <c r="N392" s="206"/>
      <c r="O392" s="206"/>
      <c r="P392" s="206"/>
      <c r="Q392" s="206"/>
      <c r="R392" s="206"/>
      <c r="S392" s="206"/>
      <c r="T392" s="206"/>
      <c r="U392" s="206"/>
      <c r="V392" s="206"/>
      <c r="W392" s="206"/>
      <c r="X392" s="206"/>
      <c r="Y392" s="206"/>
    </row>
    <row r="393">
      <c r="A393" s="206"/>
      <c r="B393" s="206"/>
      <c r="C393" s="206"/>
      <c r="D393" s="206"/>
      <c r="E393" s="206"/>
      <c r="F393" s="206"/>
      <c r="G393" s="206"/>
      <c r="H393" s="206"/>
      <c r="I393" s="206"/>
      <c r="J393" s="206"/>
      <c r="K393" s="206"/>
      <c r="L393" s="206"/>
      <c r="M393" s="206"/>
      <c r="N393" s="206"/>
      <c r="O393" s="206"/>
      <c r="P393" s="206"/>
      <c r="Q393" s="206"/>
      <c r="R393" s="206"/>
      <c r="S393" s="206"/>
      <c r="T393" s="206"/>
      <c r="U393" s="206"/>
      <c r="V393" s="206"/>
      <c r="W393" s="206"/>
      <c r="X393" s="206"/>
      <c r="Y393" s="206"/>
    </row>
    <row r="394">
      <c r="A394" s="206"/>
      <c r="B394" s="206"/>
      <c r="C394" s="206"/>
      <c r="D394" s="206"/>
      <c r="E394" s="206"/>
      <c r="F394" s="206"/>
      <c r="G394" s="206"/>
      <c r="H394" s="206"/>
      <c r="I394" s="206"/>
      <c r="J394" s="206"/>
      <c r="K394" s="206"/>
      <c r="L394" s="206"/>
      <c r="M394" s="206"/>
      <c r="N394" s="206"/>
      <c r="O394" s="206"/>
      <c r="P394" s="206"/>
      <c r="Q394" s="206"/>
      <c r="R394" s="206"/>
      <c r="S394" s="206"/>
      <c r="T394" s="206"/>
      <c r="U394" s="206"/>
      <c r="V394" s="206"/>
      <c r="W394" s="206"/>
      <c r="X394" s="206"/>
      <c r="Y394" s="206"/>
    </row>
    <row r="395">
      <c r="A395" s="206"/>
      <c r="B395" s="206"/>
      <c r="C395" s="206"/>
      <c r="D395" s="206"/>
      <c r="E395" s="206"/>
      <c r="F395" s="206"/>
      <c r="G395" s="206"/>
      <c r="H395" s="206"/>
      <c r="I395" s="206"/>
      <c r="J395" s="206"/>
      <c r="K395" s="206"/>
      <c r="L395" s="206"/>
      <c r="M395" s="206"/>
      <c r="N395" s="206"/>
      <c r="O395" s="206"/>
      <c r="P395" s="206"/>
      <c r="Q395" s="206"/>
      <c r="R395" s="206"/>
      <c r="S395" s="206"/>
      <c r="T395" s="206"/>
      <c r="U395" s="206"/>
      <c r="V395" s="206"/>
      <c r="W395" s="206"/>
      <c r="X395" s="206"/>
      <c r="Y395" s="206"/>
    </row>
    <row r="396">
      <c r="A396" s="206"/>
      <c r="B396" s="206"/>
      <c r="C396" s="206"/>
      <c r="D396" s="206"/>
      <c r="E396" s="206"/>
      <c r="F396" s="206"/>
      <c r="G396" s="206"/>
      <c r="H396" s="206"/>
      <c r="I396" s="206"/>
      <c r="J396" s="206"/>
      <c r="K396" s="206"/>
      <c r="L396" s="206"/>
      <c r="M396" s="206"/>
      <c r="N396" s="206"/>
      <c r="O396" s="206"/>
      <c r="P396" s="206"/>
      <c r="Q396" s="206"/>
      <c r="R396" s="206"/>
      <c r="S396" s="206"/>
      <c r="T396" s="206"/>
      <c r="U396" s="206"/>
      <c r="V396" s="206"/>
      <c r="W396" s="206"/>
      <c r="X396" s="206"/>
      <c r="Y396" s="206"/>
    </row>
    <row r="397">
      <c r="A397" s="206"/>
      <c r="B397" s="206"/>
      <c r="C397" s="206"/>
      <c r="D397" s="206"/>
      <c r="E397" s="206"/>
      <c r="F397" s="206"/>
      <c r="G397" s="206"/>
      <c r="H397" s="206"/>
      <c r="I397" s="206"/>
      <c r="J397" s="206"/>
      <c r="K397" s="206"/>
      <c r="L397" s="206"/>
      <c r="M397" s="206"/>
      <c r="N397" s="206"/>
      <c r="O397" s="206"/>
      <c r="P397" s="206"/>
      <c r="Q397" s="206"/>
      <c r="R397" s="206"/>
      <c r="S397" s="206"/>
      <c r="T397" s="206"/>
      <c r="U397" s="206"/>
      <c r="V397" s="206"/>
      <c r="W397" s="206"/>
      <c r="X397" s="206"/>
      <c r="Y397" s="206"/>
    </row>
    <row r="398">
      <c r="A398" s="206"/>
      <c r="B398" s="206"/>
      <c r="C398" s="206"/>
      <c r="D398" s="206"/>
      <c r="E398" s="206"/>
      <c r="F398" s="206"/>
      <c r="G398" s="206"/>
      <c r="H398" s="206"/>
      <c r="I398" s="206"/>
      <c r="J398" s="206"/>
      <c r="K398" s="206"/>
      <c r="L398" s="206"/>
      <c r="M398" s="206"/>
      <c r="N398" s="206"/>
      <c r="O398" s="206"/>
      <c r="P398" s="206"/>
      <c r="Q398" s="206"/>
      <c r="R398" s="206"/>
      <c r="S398" s="206"/>
      <c r="T398" s="206"/>
      <c r="U398" s="206"/>
      <c r="V398" s="206"/>
      <c r="W398" s="206"/>
      <c r="X398" s="206"/>
      <c r="Y398" s="206"/>
    </row>
    <row r="399">
      <c r="A399" s="206"/>
      <c r="B399" s="206"/>
      <c r="C399" s="206"/>
      <c r="D399" s="206"/>
      <c r="E399" s="206"/>
      <c r="F399" s="206"/>
      <c r="G399" s="206"/>
      <c r="H399" s="206"/>
      <c r="I399" s="206"/>
      <c r="J399" s="206"/>
      <c r="K399" s="206"/>
      <c r="L399" s="206"/>
      <c r="M399" s="206"/>
      <c r="N399" s="206"/>
      <c r="O399" s="206"/>
      <c r="P399" s="206"/>
      <c r="Q399" s="206"/>
      <c r="R399" s="206"/>
      <c r="S399" s="206"/>
      <c r="T399" s="206"/>
      <c r="U399" s="206"/>
      <c r="V399" s="206"/>
      <c r="W399" s="206"/>
      <c r="X399" s="206"/>
      <c r="Y399" s="206"/>
    </row>
    <row r="400">
      <c r="A400" s="206"/>
      <c r="B400" s="206"/>
      <c r="C400" s="206"/>
      <c r="D400" s="206"/>
      <c r="E400" s="206"/>
      <c r="F400" s="206"/>
      <c r="G400" s="206"/>
      <c r="H400" s="206"/>
      <c r="I400" s="206"/>
      <c r="J400" s="206"/>
      <c r="K400" s="206"/>
      <c r="L400" s="206"/>
      <c r="M400" s="206"/>
      <c r="N400" s="206"/>
      <c r="O400" s="206"/>
      <c r="P400" s="206"/>
      <c r="Q400" s="206"/>
      <c r="R400" s="206"/>
      <c r="S400" s="206"/>
      <c r="T400" s="206"/>
      <c r="U400" s="206"/>
      <c r="V400" s="206"/>
      <c r="W400" s="206"/>
      <c r="X400" s="206"/>
      <c r="Y400" s="206"/>
    </row>
    <row r="401">
      <c r="A401" s="206"/>
      <c r="B401" s="206"/>
      <c r="C401" s="206"/>
      <c r="D401" s="206"/>
      <c r="E401" s="206"/>
      <c r="F401" s="206"/>
      <c r="G401" s="206"/>
      <c r="H401" s="206"/>
      <c r="I401" s="206"/>
      <c r="J401" s="206"/>
      <c r="K401" s="206"/>
      <c r="L401" s="206"/>
      <c r="M401" s="206"/>
      <c r="N401" s="206"/>
      <c r="O401" s="206"/>
      <c r="P401" s="206"/>
      <c r="Q401" s="206"/>
      <c r="R401" s="206"/>
      <c r="S401" s="206"/>
      <c r="T401" s="206"/>
      <c r="U401" s="206"/>
      <c r="V401" s="206"/>
      <c r="W401" s="206"/>
      <c r="X401" s="206"/>
      <c r="Y401" s="206"/>
    </row>
    <row r="402">
      <c r="A402" s="206"/>
      <c r="B402" s="206"/>
      <c r="C402" s="206"/>
      <c r="D402" s="206"/>
      <c r="E402" s="206"/>
      <c r="F402" s="206"/>
      <c r="G402" s="206"/>
      <c r="H402" s="206"/>
      <c r="I402" s="206"/>
      <c r="J402" s="206"/>
      <c r="K402" s="206"/>
      <c r="L402" s="206"/>
      <c r="M402" s="206"/>
      <c r="N402" s="206"/>
      <c r="O402" s="206"/>
      <c r="P402" s="206"/>
      <c r="Q402" s="206"/>
      <c r="R402" s="206"/>
      <c r="S402" s="206"/>
      <c r="T402" s="206"/>
      <c r="U402" s="206"/>
      <c r="V402" s="206"/>
      <c r="W402" s="206"/>
      <c r="X402" s="206"/>
      <c r="Y402" s="206"/>
    </row>
    <row r="403">
      <c r="A403" s="206"/>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row>
    <row r="404">
      <c r="A404" s="206"/>
      <c r="B404" s="206"/>
      <c r="C404" s="206"/>
      <c r="D404" s="206"/>
      <c r="E404" s="206"/>
      <c r="F404" s="206"/>
      <c r="G404" s="206"/>
      <c r="H404" s="206"/>
      <c r="I404" s="206"/>
      <c r="J404" s="206"/>
      <c r="K404" s="206"/>
      <c r="L404" s="206"/>
      <c r="M404" s="206"/>
      <c r="N404" s="206"/>
      <c r="O404" s="206"/>
      <c r="P404" s="206"/>
      <c r="Q404" s="206"/>
      <c r="R404" s="206"/>
      <c r="S404" s="206"/>
      <c r="T404" s="206"/>
      <c r="U404" s="206"/>
      <c r="V404" s="206"/>
      <c r="W404" s="206"/>
      <c r="X404" s="206"/>
      <c r="Y404" s="206"/>
    </row>
    <row r="405">
      <c r="A405" s="206"/>
      <c r="B405" s="206"/>
      <c r="C405" s="206"/>
      <c r="D405" s="206"/>
      <c r="E405" s="206"/>
      <c r="F405" s="206"/>
      <c r="G405" s="206"/>
      <c r="H405" s="206"/>
      <c r="I405" s="206"/>
      <c r="J405" s="206"/>
      <c r="K405" s="206"/>
      <c r="L405" s="206"/>
      <c r="M405" s="206"/>
      <c r="N405" s="206"/>
      <c r="O405" s="206"/>
      <c r="P405" s="206"/>
      <c r="Q405" s="206"/>
      <c r="R405" s="206"/>
      <c r="S405" s="206"/>
      <c r="T405" s="206"/>
      <c r="U405" s="206"/>
      <c r="V405" s="206"/>
      <c r="W405" s="206"/>
      <c r="X405" s="206"/>
      <c r="Y405" s="206"/>
    </row>
    <row r="406">
      <c r="A406" s="206"/>
      <c r="B406" s="206"/>
      <c r="C406" s="206"/>
      <c r="D406" s="206"/>
      <c r="E406" s="206"/>
      <c r="F406" s="206"/>
      <c r="G406" s="206"/>
      <c r="H406" s="206"/>
      <c r="I406" s="206"/>
      <c r="J406" s="206"/>
      <c r="K406" s="206"/>
      <c r="L406" s="206"/>
      <c r="M406" s="206"/>
      <c r="N406" s="206"/>
      <c r="O406" s="206"/>
      <c r="P406" s="206"/>
      <c r="Q406" s="206"/>
      <c r="R406" s="206"/>
      <c r="S406" s="206"/>
      <c r="T406" s="206"/>
      <c r="U406" s="206"/>
      <c r="V406" s="206"/>
      <c r="W406" s="206"/>
      <c r="X406" s="206"/>
      <c r="Y406" s="206"/>
    </row>
    <row r="407">
      <c r="A407" s="206"/>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row>
    <row r="408">
      <c r="A408" s="206"/>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row>
    <row r="409">
      <c r="A409" s="206"/>
      <c r="B409" s="206"/>
      <c r="C409" s="206"/>
      <c r="D409" s="206"/>
      <c r="E409" s="206"/>
      <c r="F409" s="206"/>
      <c r="G409" s="206"/>
      <c r="H409" s="206"/>
      <c r="I409" s="206"/>
      <c r="J409" s="206"/>
      <c r="K409" s="206"/>
      <c r="L409" s="206"/>
      <c r="M409" s="206"/>
      <c r="N409" s="206"/>
      <c r="O409" s="206"/>
      <c r="P409" s="206"/>
      <c r="Q409" s="206"/>
      <c r="R409" s="206"/>
      <c r="S409" s="206"/>
      <c r="T409" s="206"/>
      <c r="U409" s="206"/>
      <c r="V409" s="206"/>
      <c r="W409" s="206"/>
      <c r="X409" s="206"/>
      <c r="Y409" s="206"/>
    </row>
    <row r="410">
      <c r="A410" s="206"/>
      <c r="B410" s="206"/>
      <c r="C410" s="206"/>
      <c r="D410" s="206"/>
      <c r="E410" s="206"/>
      <c r="F410" s="206"/>
      <c r="G410" s="206"/>
      <c r="H410" s="206"/>
      <c r="I410" s="206"/>
      <c r="J410" s="206"/>
      <c r="K410" s="206"/>
      <c r="L410" s="206"/>
      <c r="M410" s="206"/>
      <c r="N410" s="206"/>
      <c r="O410" s="206"/>
      <c r="P410" s="206"/>
      <c r="Q410" s="206"/>
      <c r="R410" s="206"/>
      <c r="S410" s="206"/>
      <c r="T410" s="206"/>
      <c r="U410" s="206"/>
      <c r="V410" s="206"/>
      <c r="W410" s="206"/>
      <c r="X410" s="206"/>
      <c r="Y410" s="206"/>
    </row>
    <row r="411">
      <c r="A411" s="206"/>
      <c r="B411" s="206"/>
      <c r="C411" s="206"/>
      <c r="D411" s="206"/>
      <c r="E411" s="206"/>
      <c r="F411" s="206"/>
      <c r="G411" s="206"/>
      <c r="H411" s="206"/>
      <c r="I411" s="206"/>
      <c r="J411" s="206"/>
      <c r="K411" s="206"/>
      <c r="L411" s="206"/>
      <c r="M411" s="206"/>
      <c r="N411" s="206"/>
      <c r="O411" s="206"/>
      <c r="P411" s="206"/>
      <c r="Q411" s="206"/>
      <c r="R411" s="206"/>
      <c r="S411" s="206"/>
      <c r="T411" s="206"/>
      <c r="U411" s="206"/>
      <c r="V411" s="206"/>
      <c r="W411" s="206"/>
      <c r="X411" s="206"/>
      <c r="Y411" s="206"/>
    </row>
    <row r="412">
      <c r="A412" s="206"/>
      <c r="B412" s="206"/>
      <c r="C412" s="206"/>
      <c r="D412" s="206"/>
      <c r="E412" s="206"/>
      <c r="F412" s="206"/>
      <c r="G412" s="206"/>
      <c r="H412" s="206"/>
      <c r="I412" s="206"/>
      <c r="J412" s="206"/>
      <c r="K412" s="206"/>
      <c r="L412" s="206"/>
      <c r="M412" s="206"/>
      <c r="N412" s="206"/>
      <c r="O412" s="206"/>
      <c r="P412" s="206"/>
      <c r="Q412" s="206"/>
      <c r="R412" s="206"/>
      <c r="S412" s="206"/>
      <c r="T412" s="206"/>
      <c r="U412" s="206"/>
      <c r="V412" s="206"/>
      <c r="W412" s="206"/>
      <c r="X412" s="206"/>
      <c r="Y412" s="206"/>
    </row>
    <row r="413">
      <c r="A413" s="206"/>
      <c r="B413" s="206"/>
      <c r="C413" s="206"/>
      <c r="D413" s="206"/>
      <c r="E413" s="206"/>
      <c r="F413" s="206"/>
      <c r="G413" s="206"/>
      <c r="H413" s="206"/>
      <c r="I413" s="206"/>
      <c r="J413" s="206"/>
      <c r="K413" s="206"/>
      <c r="L413" s="206"/>
      <c r="M413" s="206"/>
      <c r="N413" s="206"/>
      <c r="O413" s="206"/>
      <c r="P413" s="206"/>
      <c r="Q413" s="206"/>
      <c r="R413" s="206"/>
      <c r="S413" s="206"/>
      <c r="T413" s="206"/>
      <c r="U413" s="206"/>
      <c r="V413" s="206"/>
      <c r="W413" s="206"/>
      <c r="X413" s="206"/>
      <c r="Y413" s="206"/>
    </row>
    <row r="414">
      <c r="A414" s="206"/>
      <c r="B414" s="206"/>
      <c r="C414" s="206"/>
      <c r="D414" s="206"/>
      <c r="E414" s="206"/>
      <c r="F414" s="206"/>
      <c r="G414" s="206"/>
      <c r="H414" s="206"/>
      <c r="I414" s="206"/>
      <c r="J414" s="206"/>
      <c r="K414" s="206"/>
      <c r="L414" s="206"/>
      <c r="M414" s="206"/>
      <c r="N414" s="206"/>
      <c r="O414" s="206"/>
      <c r="P414" s="206"/>
      <c r="Q414" s="206"/>
      <c r="R414" s="206"/>
      <c r="S414" s="206"/>
      <c r="T414" s="206"/>
      <c r="U414" s="206"/>
      <c r="V414" s="206"/>
      <c r="W414" s="206"/>
      <c r="X414" s="206"/>
      <c r="Y414" s="206"/>
    </row>
    <row r="415">
      <c r="A415" s="206"/>
      <c r="B415" s="206"/>
      <c r="C415" s="206"/>
      <c r="D415" s="206"/>
      <c r="E415" s="206"/>
      <c r="F415" s="206"/>
      <c r="G415" s="206"/>
      <c r="H415" s="206"/>
      <c r="I415" s="206"/>
      <c r="J415" s="206"/>
      <c r="K415" s="206"/>
      <c r="L415" s="206"/>
      <c r="M415" s="206"/>
      <c r="N415" s="206"/>
      <c r="O415" s="206"/>
      <c r="P415" s="206"/>
      <c r="Q415" s="206"/>
      <c r="R415" s="206"/>
      <c r="S415" s="206"/>
      <c r="T415" s="206"/>
      <c r="U415" s="206"/>
      <c r="V415" s="206"/>
      <c r="W415" s="206"/>
      <c r="X415" s="206"/>
      <c r="Y415" s="206"/>
    </row>
    <row r="416">
      <c r="A416" s="206"/>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row>
    <row r="417">
      <c r="A417" s="206"/>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row>
    <row r="418">
      <c r="A418" s="206"/>
      <c r="B418" s="206"/>
      <c r="C418" s="206"/>
      <c r="D418" s="206"/>
      <c r="E418" s="206"/>
      <c r="F418" s="206"/>
      <c r="G418" s="206"/>
      <c r="H418" s="206"/>
      <c r="I418" s="206"/>
      <c r="J418" s="206"/>
      <c r="K418" s="206"/>
      <c r="L418" s="206"/>
      <c r="M418" s="206"/>
      <c r="N418" s="206"/>
      <c r="O418" s="206"/>
      <c r="P418" s="206"/>
      <c r="Q418" s="206"/>
      <c r="R418" s="206"/>
      <c r="S418" s="206"/>
      <c r="T418" s="206"/>
      <c r="U418" s="206"/>
      <c r="V418" s="206"/>
      <c r="W418" s="206"/>
      <c r="X418" s="206"/>
      <c r="Y418" s="206"/>
    </row>
    <row r="419">
      <c r="A419" s="206"/>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row>
    <row r="420">
      <c r="A420" s="206"/>
      <c r="B420" s="206"/>
      <c r="C420" s="206"/>
      <c r="D420" s="206"/>
      <c r="E420" s="206"/>
      <c r="F420" s="206"/>
      <c r="G420" s="206"/>
      <c r="H420" s="206"/>
      <c r="I420" s="206"/>
      <c r="J420" s="206"/>
      <c r="K420" s="206"/>
      <c r="L420" s="206"/>
      <c r="M420" s="206"/>
      <c r="N420" s="206"/>
      <c r="O420" s="206"/>
      <c r="P420" s="206"/>
      <c r="Q420" s="206"/>
      <c r="R420" s="206"/>
      <c r="S420" s="206"/>
      <c r="T420" s="206"/>
      <c r="U420" s="206"/>
      <c r="V420" s="206"/>
      <c r="W420" s="206"/>
      <c r="X420" s="206"/>
      <c r="Y420" s="206"/>
    </row>
    <row r="421">
      <c r="A421" s="206"/>
      <c r="B421" s="206"/>
      <c r="C421" s="206"/>
      <c r="D421" s="206"/>
      <c r="E421" s="206"/>
      <c r="F421" s="206"/>
      <c r="G421" s="206"/>
      <c r="H421" s="206"/>
      <c r="I421" s="206"/>
      <c r="J421" s="206"/>
      <c r="K421" s="206"/>
      <c r="L421" s="206"/>
      <c r="M421" s="206"/>
      <c r="N421" s="206"/>
      <c r="O421" s="206"/>
      <c r="P421" s="206"/>
      <c r="Q421" s="206"/>
      <c r="R421" s="206"/>
      <c r="S421" s="206"/>
      <c r="T421" s="206"/>
      <c r="U421" s="206"/>
      <c r="V421" s="206"/>
      <c r="W421" s="206"/>
      <c r="X421" s="206"/>
      <c r="Y421" s="206"/>
    </row>
    <row r="422">
      <c r="A422" s="206"/>
      <c r="B422" s="206"/>
      <c r="C422" s="206"/>
      <c r="D422" s="206"/>
      <c r="E422" s="206"/>
      <c r="F422" s="206"/>
      <c r="G422" s="206"/>
      <c r="H422" s="206"/>
      <c r="I422" s="206"/>
      <c r="J422" s="206"/>
      <c r="K422" s="206"/>
      <c r="L422" s="206"/>
      <c r="M422" s="206"/>
      <c r="N422" s="206"/>
      <c r="O422" s="206"/>
      <c r="P422" s="206"/>
      <c r="Q422" s="206"/>
      <c r="R422" s="206"/>
      <c r="S422" s="206"/>
      <c r="T422" s="206"/>
      <c r="U422" s="206"/>
      <c r="V422" s="206"/>
      <c r="W422" s="206"/>
      <c r="X422" s="206"/>
      <c r="Y422" s="206"/>
    </row>
    <row r="423">
      <c r="A423" s="206"/>
      <c r="B423" s="206"/>
      <c r="C423" s="206"/>
      <c r="D423" s="206"/>
      <c r="E423" s="206"/>
      <c r="F423" s="206"/>
      <c r="G423" s="206"/>
      <c r="H423" s="206"/>
      <c r="I423" s="206"/>
      <c r="J423" s="206"/>
      <c r="K423" s="206"/>
      <c r="L423" s="206"/>
      <c r="M423" s="206"/>
      <c r="N423" s="206"/>
      <c r="O423" s="206"/>
      <c r="P423" s="206"/>
      <c r="Q423" s="206"/>
      <c r="R423" s="206"/>
      <c r="S423" s="206"/>
      <c r="T423" s="206"/>
      <c r="U423" s="206"/>
      <c r="V423" s="206"/>
      <c r="W423" s="206"/>
      <c r="X423" s="206"/>
      <c r="Y423" s="206"/>
    </row>
    <row r="424">
      <c r="A424" s="206"/>
      <c r="B424" s="206"/>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row>
    <row r="425">
      <c r="A425" s="206"/>
      <c r="B425" s="206"/>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row>
    <row r="426">
      <c r="A426" s="206"/>
      <c r="B426" s="206"/>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row>
    <row r="427">
      <c r="A427" s="206"/>
      <c r="B427" s="206"/>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row>
    <row r="428">
      <c r="A428" s="206"/>
      <c r="B428" s="206"/>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row>
    <row r="429">
      <c r="A429" s="206"/>
      <c r="B429" s="206"/>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row>
    <row r="430">
      <c r="A430" s="206"/>
      <c r="B430" s="206"/>
      <c r="C430" s="206"/>
      <c r="D430" s="206"/>
      <c r="E430" s="206"/>
      <c r="F430" s="206"/>
      <c r="G430" s="206"/>
      <c r="H430" s="206"/>
      <c r="I430" s="206"/>
      <c r="J430" s="206"/>
      <c r="K430" s="206"/>
      <c r="L430" s="206"/>
      <c r="M430" s="206"/>
      <c r="N430" s="206"/>
      <c r="O430" s="206"/>
      <c r="P430" s="206"/>
      <c r="Q430" s="206"/>
      <c r="R430" s="206"/>
      <c r="S430" s="206"/>
      <c r="T430" s="206"/>
      <c r="U430" s="206"/>
      <c r="V430" s="206"/>
      <c r="W430" s="206"/>
      <c r="X430" s="206"/>
      <c r="Y430" s="206"/>
    </row>
    <row r="431">
      <c r="A431" s="206"/>
      <c r="B431" s="206"/>
      <c r="C431" s="206"/>
      <c r="D431" s="206"/>
      <c r="E431" s="206"/>
      <c r="F431" s="206"/>
      <c r="G431" s="206"/>
      <c r="H431" s="206"/>
      <c r="I431" s="206"/>
      <c r="J431" s="206"/>
      <c r="K431" s="206"/>
      <c r="L431" s="206"/>
      <c r="M431" s="206"/>
      <c r="N431" s="206"/>
      <c r="O431" s="206"/>
      <c r="P431" s="206"/>
      <c r="Q431" s="206"/>
      <c r="R431" s="206"/>
      <c r="S431" s="206"/>
      <c r="T431" s="206"/>
      <c r="U431" s="206"/>
      <c r="V431" s="206"/>
      <c r="W431" s="206"/>
      <c r="X431" s="206"/>
      <c r="Y431" s="206"/>
    </row>
    <row r="432">
      <c r="A432" s="206"/>
      <c r="B432" s="206"/>
      <c r="C432" s="206"/>
      <c r="D432" s="206"/>
      <c r="E432" s="206"/>
      <c r="F432" s="206"/>
      <c r="G432" s="206"/>
      <c r="H432" s="206"/>
      <c r="I432" s="206"/>
      <c r="J432" s="206"/>
      <c r="K432" s="206"/>
      <c r="L432" s="206"/>
      <c r="M432" s="206"/>
      <c r="N432" s="206"/>
      <c r="O432" s="206"/>
      <c r="P432" s="206"/>
      <c r="Q432" s="206"/>
      <c r="R432" s="206"/>
      <c r="S432" s="206"/>
      <c r="T432" s="206"/>
      <c r="U432" s="206"/>
      <c r="V432" s="206"/>
      <c r="W432" s="206"/>
      <c r="X432" s="206"/>
      <c r="Y432" s="206"/>
    </row>
    <row r="433">
      <c r="A433" s="206"/>
      <c r="B433" s="206"/>
      <c r="C433" s="206"/>
      <c r="D433" s="206"/>
      <c r="E433" s="206"/>
      <c r="F433" s="206"/>
      <c r="G433" s="206"/>
      <c r="H433" s="206"/>
      <c r="I433" s="206"/>
      <c r="J433" s="206"/>
      <c r="K433" s="206"/>
      <c r="L433" s="206"/>
      <c r="M433" s="206"/>
      <c r="N433" s="206"/>
      <c r="O433" s="206"/>
      <c r="P433" s="206"/>
      <c r="Q433" s="206"/>
      <c r="R433" s="206"/>
      <c r="S433" s="206"/>
      <c r="T433" s="206"/>
      <c r="U433" s="206"/>
      <c r="V433" s="206"/>
      <c r="W433" s="206"/>
      <c r="X433" s="206"/>
      <c r="Y433" s="206"/>
    </row>
    <row r="434">
      <c r="A434" s="206"/>
      <c r="B434" s="206"/>
      <c r="C434" s="206"/>
      <c r="D434" s="206"/>
      <c r="E434" s="206"/>
      <c r="F434" s="206"/>
      <c r="G434" s="206"/>
      <c r="H434" s="206"/>
      <c r="I434" s="206"/>
      <c r="J434" s="206"/>
      <c r="K434" s="206"/>
      <c r="L434" s="206"/>
      <c r="M434" s="206"/>
      <c r="N434" s="206"/>
      <c r="O434" s="206"/>
      <c r="P434" s="206"/>
      <c r="Q434" s="206"/>
      <c r="R434" s="206"/>
      <c r="S434" s="206"/>
      <c r="T434" s="206"/>
      <c r="U434" s="206"/>
      <c r="V434" s="206"/>
      <c r="W434" s="206"/>
      <c r="X434" s="206"/>
      <c r="Y434" s="206"/>
    </row>
    <row r="435">
      <c r="A435" s="206"/>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row>
    <row r="436">
      <c r="A436" s="206"/>
      <c r="B436" s="206"/>
      <c r="C436" s="206"/>
      <c r="D436" s="206"/>
      <c r="E436" s="206"/>
      <c r="F436" s="206"/>
      <c r="G436" s="206"/>
      <c r="H436" s="206"/>
      <c r="I436" s="206"/>
      <c r="J436" s="206"/>
      <c r="K436" s="206"/>
      <c r="L436" s="206"/>
      <c r="M436" s="206"/>
      <c r="N436" s="206"/>
      <c r="O436" s="206"/>
      <c r="P436" s="206"/>
      <c r="Q436" s="206"/>
      <c r="R436" s="206"/>
      <c r="S436" s="206"/>
      <c r="T436" s="206"/>
      <c r="U436" s="206"/>
      <c r="V436" s="206"/>
      <c r="W436" s="206"/>
      <c r="X436" s="206"/>
      <c r="Y436" s="206"/>
    </row>
    <row r="437">
      <c r="A437" s="206"/>
      <c r="B437" s="206"/>
      <c r="C437" s="206"/>
      <c r="D437" s="206"/>
      <c r="E437" s="206"/>
      <c r="F437" s="206"/>
      <c r="G437" s="206"/>
      <c r="H437" s="206"/>
      <c r="I437" s="206"/>
      <c r="J437" s="206"/>
      <c r="K437" s="206"/>
      <c r="L437" s="206"/>
      <c r="M437" s="206"/>
      <c r="N437" s="206"/>
      <c r="O437" s="206"/>
      <c r="P437" s="206"/>
      <c r="Q437" s="206"/>
      <c r="R437" s="206"/>
      <c r="S437" s="206"/>
      <c r="T437" s="206"/>
      <c r="U437" s="206"/>
      <c r="V437" s="206"/>
      <c r="W437" s="206"/>
      <c r="X437" s="206"/>
      <c r="Y437" s="206"/>
    </row>
    <row r="438">
      <c r="A438" s="206"/>
      <c r="B438" s="206"/>
      <c r="C438" s="206"/>
      <c r="D438" s="206"/>
      <c r="E438" s="206"/>
      <c r="F438" s="206"/>
      <c r="G438" s="206"/>
      <c r="H438" s="206"/>
      <c r="I438" s="206"/>
      <c r="J438" s="206"/>
      <c r="K438" s="206"/>
      <c r="L438" s="206"/>
      <c r="M438" s="206"/>
      <c r="N438" s="206"/>
      <c r="O438" s="206"/>
      <c r="P438" s="206"/>
      <c r="Q438" s="206"/>
      <c r="R438" s="206"/>
      <c r="S438" s="206"/>
      <c r="T438" s="206"/>
      <c r="U438" s="206"/>
      <c r="V438" s="206"/>
      <c r="W438" s="206"/>
      <c r="X438" s="206"/>
      <c r="Y438" s="206"/>
    </row>
    <row r="439">
      <c r="A439" s="206"/>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row>
    <row r="440">
      <c r="A440" s="206"/>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row>
    <row r="441">
      <c r="A441" s="206"/>
      <c r="B441" s="206"/>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row>
    <row r="442">
      <c r="A442" s="206"/>
      <c r="B442" s="206"/>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row>
    <row r="443">
      <c r="A443" s="206"/>
      <c r="B443" s="206"/>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row>
    <row r="444">
      <c r="A444" s="206"/>
      <c r="B444" s="206"/>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row>
    <row r="445">
      <c r="A445" s="206"/>
      <c r="B445" s="206"/>
      <c r="C445" s="206"/>
      <c r="D445" s="206"/>
      <c r="E445" s="206"/>
      <c r="F445" s="206"/>
      <c r="G445" s="206"/>
      <c r="H445" s="206"/>
      <c r="I445" s="206"/>
      <c r="J445" s="206"/>
      <c r="K445" s="206"/>
      <c r="L445" s="206"/>
      <c r="M445" s="206"/>
      <c r="N445" s="206"/>
      <c r="O445" s="206"/>
      <c r="P445" s="206"/>
      <c r="Q445" s="206"/>
      <c r="R445" s="206"/>
      <c r="S445" s="206"/>
      <c r="T445" s="206"/>
      <c r="U445" s="206"/>
      <c r="V445" s="206"/>
      <c r="W445" s="206"/>
      <c r="X445" s="206"/>
      <c r="Y445" s="206"/>
    </row>
    <row r="446">
      <c r="A446" s="206"/>
      <c r="B446" s="206"/>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row>
    <row r="447">
      <c r="A447" s="206"/>
      <c r="B447" s="206"/>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row>
    <row r="448">
      <c r="A448" s="206"/>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row>
    <row r="449">
      <c r="A449" s="206"/>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row>
    <row r="450">
      <c r="A450" s="206"/>
      <c r="B450" s="206"/>
      <c r="C450" s="206"/>
      <c r="D450" s="206"/>
      <c r="E450" s="206"/>
      <c r="F450" s="206"/>
      <c r="G450" s="206"/>
      <c r="H450" s="206"/>
      <c r="I450" s="206"/>
      <c r="J450" s="206"/>
      <c r="K450" s="206"/>
      <c r="L450" s="206"/>
      <c r="M450" s="206"/>
      <c r="N450" s="206"/>
      <c r="O450" s="206"/>
      <c r="P450" s="206"/>
      <c r="Q450" s="206"/>
      <c r="R450" s="206"/>
      <c r="S450" s="206"/>
      <c r="T450" s="206"/>
      <c r="U450" s="206"/>
      <c r="V450" s="206"/>
      <c r="W450" s="206"/>
      <c r="X450" s="206"/>
      <c r="Y450" s="206"/>
    </row>
    <row r="451">
      <c r="A451" s="206"/>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row>
    <row r="452">
      <c r="A452" s="206"/>
      <c r="B452" s="206"/>
      <c r="C452" s="206"/>
      <c r="D452" s="206"/>
      <c r="E452" s="206"/>
      <c r="F452" s="206"/>
      <c r="G452" s="206"/>
      <c r="H452" s="206"/>
      <c r="I452" s="206"/>
      <c r="J452" s="206"/>
      <c r="K452" s="206"/>
      <c r="L452" s="206"/>
      <c r="M452" s="206"/>
      <c r="N452" s="206"/>
      <c r="O452" s="206"/>
      <c r="P452" s="206"/>
      <c r="Q452" s="206"/>
      <c r="R452" s="206"/>
      <c r="S452" s="206"/>
      <c r="T452" s="206"/>
      <c r="U452" s="206"/>
      <c r="V452" s="206"/>
      <c r="W452" s="206"/>
      <c r="X452" s="206"/>
      <c r="Y452" s="206"/>
    </row>
    <row r="453">
      <c r="A453" s="206"/>
      <c r="B453" s="206"/>
      <c r="C453" s="206"/>
      <c r="D453" s="206"/>
      <c r="E453" s="206"/>
      <c r="F453" s="206"/>
      <c r="G453" s="206"/>
      <c r="H453" s="206"/>
      <c r="I453" s="206"/>
      <c r="J453" s="206"/>
      <c r="K453" s="206"/>
      <c r="L453" s="206"/>
      <c r="M453" s="206"/>
      <c r="N453" s="206"/>
      <c r="O453" s="206"/>
      <c r="P453" s="206"/>
      <c r="Q453" s="206"/>
      <c r="R453" s="206"/>
      <c r="S453" s="206"/>
      <c r="T453" s="206"/>
      <c r="U453" s="206"/>
      <c r="V453" s="206"/>
      <c r="W453" s="206"/>
      <c r="X453" s="206"/>
      <c r="Y453" s="206"/>
    </row>
    <row r="454">
      <c r="A454" s="206"/>
      <c r="B454" s="206"/>
      <c r="C454" s="206"/>
      <c r="D454" s="206"/>
      <c r="E454" s="206"/>
      <c r="F454" s="206"/>
      <c r="G454" s="206"/>
      <c r="H454" s="206"/>
      <c r="I454" s="206"/>
      <c r="J454" s="206"/>
      <c r="K454" s="206"/>
      <c r="L454" s="206"/>
      <c r="M454" s="206"/>
      <c r="N454" s="206"/>
      <c r="O454" s="206"/>
      <c r="P454" s="206"/>
      <c r="Q454" s="206"/>
      <c r="R454" s="206"/>
      <c r="S454" s="206"/>
      <c r="T454" s="206"/>
      <c r="U454" s="206"/>
      <c r="V454" s="206"/>
      <c r="W454" s="206"/>
      <c r="X454" s="206"/>
      <c r="Y454" s="206"/>
    </row>
    <row r="455">
      <c r="A455" s="206"/>
      <c r="B455" s="206"/>
      <c r="C455" s="206"/>
      <c r="D455" s="206"/>
      <c r="E455" s="206"/>
      <c r="F455" s="206"/>
      <c r="G455" s="206"/>
      <c r="H455" s="206"/>
      <c r="I455" s="206"/>
      <c r="J455" s="206"/>
      <c r="K455" s="206"/>
      <c r="L455" s="206"/>
      <c r="M455" s="206"/>
      <c r="N455" s="206"/>
      <c r="O455" s="206"/>
      <c r="P455" s="206"/>
      <c r="Q455" s="206"/>
      <c r="R455" s="206"/>
      <c r="S455" s="206"/>
      <c r="T455" s="206"/>
      <c r="U455" s="206"/>
      <c r="V455" s="206"/>
      <c r="W455" s="206"/>
      <c r="X455" s="206"/>
      <c r="Y455" s="206"/>
    </row>
    <row r="456">
      <c r="A456" s="206"/>
      <c r="B456" s="206"/>
      <c r="C456" s="206"/>
      <c r="D456" s="206"/>
      <c r="E456" s="206"/>
      <c r="F456" s="206"/>
      <c r="G456" s="206"/>
      <c r="H456" s="206"/>
      <c r="I456" s="206"/>
      <c r="J456" s="206"/>
      <c r="K456" s="206"/>
      <c r="L456" s="206"/>
      <c r="M456" s="206"/>
      <c r="N456" s="206"/>
      <c r="O456" s="206"/>
      <c r="P456" s="206"/>
      <c r="Q456" s="206"/>
      <c r="R456" s="206"/>
      <c r="S456" s="206"/>
      <c r="T456" s="206"/>
      <c r="U456" s="206"/>
      <c r="V456" s="206"/>
      <c r="W456" s="206"/>
      <c r="X456" s="206"/>
      <c r="Y456" s="206"/>
    </row>
    <row r="457">
      <c r="A457" s="206"/>
      <c r="B457" s="206"/>
      <c r="C457" s="206"/>
      <c r="D457" s="206"/>
      <c r="E457" s="206"/>
      <c r="F457" s="206"/>
      <c r="G457" s="206"/>
      <c r="H457" s="206"/>
      <c r="I457" s="206"/>
      <c r="J457" s="206"/>
      <c r="K457" s="206"/>
      <c r="L457" s="206"/>
      <c r="M457" s="206"/>
      <c r="N457" s="206"/>
      <c r="O457" s="206"/>
      <c r="P457" s="206"/>
      <c r="Q457" s="206"/>
      <c r="R457" s="206"/>
      <c r="S457" s="206"/>
      <c r="T457" s="206"/>
      <c r="U457" s="206"/>
      <c r="V457" s="206"/>
      <c r="W457" s="206"/>
      <c r="X457" s="206"/>
      <c r="Y457" s="206"/>
    </row>
    <row r="458">
      <c r="A458" s="206"/>
      <c r="B458" s="206"/>
      <c r="C458" s="206"/>
      <c r="D458" s="206"/>
      <c r="E458" s="206"/>
      <c r="F458" s="206"/>
      <c r="G458" s="206"/>
      <c r="H458" s="206"/>
      <c r="I458" s="206"/>
      <c r="J458" s="206"/>
      <c r="K458" s="206"/>
      <c r="L458" s="206"/>
      <c r="M458" s="206"/>
      <c r="N458" s="206"/>
      <c r="O458" s="206"/>
      <c r="P458" s="206"/>
      <c r="Q458" s="206"/>
      <c r="R458" s="206"/>
      <c r="S458" s="206"/>
      <c r="T458" s="206"/>
      <c r="U458" s="206"/>
      <c r="V458" s="206"/>
      <c r="W458" s="206"/>
      <c r="X458" s="206"/>
      <c r="Y458" s="206"/>
    </row>
    <row r="459">
      <c r="A459" s="206"/>
      <c r="B459" s="206"/>
      <c r="C459" s="206"/>
      <c r="D459" s="206"/>
      <c r="E459" s="206"/>
      <c r="F459" s="206"/>
      <c r="G459" s="206"/>
      <c r="H459" s="206"/>
      <c r="I459" s="206"/>
      <c r="J459" s="206"/>
      <c r="K459" s="206"/>
      <c r="L459" s="206"/>
      <c r="M459" s="206"/>
      <c r="N459" s="206"/>
      <c r="O459" s="206"/>
      <c r="P459" s="206"/>
      <c r="Q459" s="206"/>
      <c r="R459" s="206"/>
      <c r="S459" s="206"/>
      <c r="T459" s="206"/>
      <c r="U459" s="206"/>
      <c r="V459" s="206"/>
      <c r="W459" s="206"/>
      <c r="X459" s="206"/>
      <c r="Y459" s="206"/>
    </row>
    <row r="460">
      <c r="A460" s="206"/>
      <c r="B460" s="206"/>
      <c r="C460" s="206"/>
      <c r="D460" s="206"/>
      <c r="E460" s="206"/>
      <c r="F460" s="206"/>
      <c r="G460" s="206"/>
      <c r="H460" s="206"/>
      <c r="I460" s="206"/>
      <c r="J460" s="206"/>
      <c r="K460" s="206"/>
      <c r="L460" s="206"/>
      <c r="M460" s="206"/>
      <c r="N460" s="206"/>
      <c r="O460" s="206"/>
      <c r="P460" s="206"/>
      <c r="Q460" s="206"/>
      <c r="R460" s="206"/>
      <c r="S460" s="206"/>
      <c r="T460" s="206"/>
      <c r="U460" s="206"/>
      <c r="V460" s="206"/>
      <c r="W460" s="206"/>
      <c r="X460" s="206"/>
      <c r="Y460" s="206"/>
    </row>
    <row r="461">
      <c r="A461" s="206"/>
      <c r="B461" s="206"/>
      <c r="C461" s="206"/>
      <c r="D461" s="206"/>
      <c r="E461" s="206"/>
      <c r="F461" s="206"/>
      <c r="G461" s="206"/>
      <c r="H461" s="206"/>
      <c r="I461" s="206"/>
      <c r="J461" s="206"/>
      <c r="K461" s="206"/>
      <c r="L461" s="206"/>
      <c r="M461" s="206"/>
      <c r="N461" s="206"/>
      <c r="O461" s="206"/>
      <c r="P461" s="206"/>
      <c r="Q461" s="206"/>
      <c r="R461" s="206"/>
      <c r="S461" s="206"/>
      <c r="T461" s="206"/>
      <c r="U461" s="206"/>
      <c r="V461" s="206"/>
      <c r="W461" s="206"/>
      <c r="X461" s="206"/>
      <c r="Y461" s="206"/>
    </row>
    <row r="462">
      <c r="A462" s="206"/>
      <c r="B462" s="206"/>
      <c r="C462" s="206"/>
      <c r="D462" s="206"/>
      <c r="E462" s="206"/>
      <c r="F462" s="206"/>
      <c r="G462" s="206"/>
      <c r="H462" s="206"/>
      <c r="I462" s="206"/>
      <c r="J462" s="206"/>
      <c r="K462" s="206"/>
      <c r="L462" s="206"/>
      <c r="M462" s="206"/>
      <c r="N462" s="206"/>
      <c r="O462" s="206"/>
      <c r="P462" s="206"/>
      <c r="Q462" s="206"/>
      <c r="R462" s="206"/>
      <c r="S462" s="206"/>
      <c r="T462" s="206"/>
      <c r="U462" s="206"/>
      <c r="V462" s="206"/>
      <c r="W462" s="206"/>
      <c r="X462" s="206"/>
      <c r="Y462" s="206"/>
    </row>
    <row r="463">
      <c r="A463" s="206"/>
      <c r="B463" s="206"/>
      <c r="C463" s="206"/>
      <c r="D463" s="206"/>
      <c r="E463" s="206"/>
      <c r="F463" s="206"/>
      <c r="G463" s="206"/>
      <c r="H463" s="206"/>
      <c r="I463" s="206"/>
      <c r="J463" s="206"/>
      <c r="K463" s="206"/>
      <c r="L463" s="206"/>
      <c r="M463" s="206"/>
      <c r="N463" s="206"/>
      <c r="O463" s="206"/>
      <c r="P463" s="206"/>
      <c r="Q463" s="206"/>
      <c r="R463" s="206"/>
      <c r="S463" s="206"/>
      <c r="T463" s="206"/>
      <c r="U463" s="206"/>
      <c r="V463" s="206"/>
      <c r="W463" s="206"/>
      <c r="X463" s="206"/>
      <c r="Y463" s="206"/>
    </row>
    <row r="464">
      <c r="A464" s="206"/>
      <c r="B464" s="206"/>
      <c r="C464" s="206"/>
      <c r="D464" s="206"/>
      <c r="E464" s="206"/>
      <c r="F464" s="206"/>
      <c r="G464" s="206"/>
      <c r="H464" s="206"/>
      <c r="I464" s="206"/>
      <c r="J464" s="206"/>
      <c r="K464" s="206"/>
      <c r="L464" s="206"/>
      <c r="M464" s="206"/>
      <c r="N464" s="206"/>
      <c r="O464" s="206"/>
      <c r="P464" s="206"/>
      <c r="Q464" s="206"/>
      <c r="R464" s="206"/>
      <c r="S464" s="206"/>
      <c r="T464" s="206"/>
      <c r="U464" s="206"/>
      <c r="V464" s="206"/>
      <c r="W464" s="206"/>
      <c r="X464" s="206"/>
      <c r="Y464" s="206"/>
    </row>
    <row r="465">
      <c r="A465" s="206"/>
      <c r="B465" s="206"/>
      <c r="C465" s="206"/>
      <c r="D465" s="206"/>
      <c r="E465" s="206"/>
      <c r="F465" s="206"/>
      <c r="G465" s="206"/>
      <c r="H465" s="206"/>
      <c r="I465" s="206"/>
      <c r="J465" s="206"/>
      <c r="K465" s="206"/>
      <c r="L465" s="206"/>
      <c r="M465" s="206"/>
      <c r="N465" s="206"/>
      <c r="O465" s="206"/>
      <c r="P465" s="206"/>
      <c r="Q465" s="206"/>
      <c r="R465" s="206"/>
      <c r="S465" s="206"/>
      <c r="T465" s="206"/>
      <c r="U465" s="206"/>
      <c r="V465" s="206"/>
      <c r="W465" s="206"/>
      <c r="X465" s="206"/>
      <c r="Y465" s="206"/>
    </row>
    <row r="466">
      <c r="A466" s="206"/>
      <c r="B466" s="206"/>
      <c r="C466" s="206"/>
      <c r="D466" s="206"/>
      <c r="E466" s="206"/>
      <c r="F466" s="206"/>
      <c r="G466" s="206"/>
      <c r="H466" s="206"/>
      <c r="I466" s="206"/>
      <c r="J466" s="206"/>
      <c r="K466" s="206"/>
      <c r="L466" s="206"/>
      <c r="M466" s="206"/>
      <c r="N466" s="206"/>
      <c r="O466" s="206"/>
      <c r="P466" s="206"/>
      <c r="Q466" s="206"/>
      <c r="R466" s="206"/>
      <c r="S466" s="206"/>
      <c r="T466" s="206"/>
      <c r="U466" s="206"/>
      <c r="V466" s="206"/>
      <c r="W466" s="206"/>
      <c r="X466" s="206"/>
      <c r="Y466" s="206"/>
    </row>
    <row r="467">
      <c r="A467" s="206"/>
      <c r="B467" s="206"/>
      <c r="C467" s="206"/>
      <c r="D467" s="206"/>
      <c r="E467" s="206"/>
      <c r="F467" s="206"/>
      <c r="G467" s="206"/>
      <c r="H467" s="206"/>
      <c r="I467" s="206"/>
      <c r="J467" s="206"/>
      <c r="K467" s="206"/>
      <c r="L467" s="206"/>
      <c r="M467" s="206"/>
      <c r="N467" s="206"/>
      <c r="O467" s="206"/>
      <c r="P467" s="206"/>
      <c r="Q467" s="206"/>
      <c r="R467" s="206"/>
      <c r="S467" s="206"/>
      <c r="T467" s="206"/>
      <c r="U467" s="206"/>
      <c r="V467" s="206"/>
      <c r="W467" s="206"/>
      <c r="X467" s="206"/>
      <c r="Y467" s="206"/>
    </row>
    <row r="468">
      <c r="A468" s="206"/>
      <c r="B468" s="206"/>
      <c r="C468" s="206"/>
      <c r="D468" s="206"/>
      <c r="E468" s="206"/>
      <c r="F468" s="206"/>
      <c r="G468" s="206"/>
      <c r="H468" s="206"/>
      <c r="I468" s="206"/>
      <c r="J468" s="206"/>
      <c r="K468" s="206"/>
      <c r="L468" s="206"/>
      <c r="M468" s="206"/>
      <c r="N468" s="206"/>
      <c r="O468" s="206"/>
      <c r="P468" s="206"/>
      <c r="Q468" s="206"/>
      <c r="R468" s="206"/>
      <c r="S468" s="206"/>
      <c r="T468" s="206"/>
      <c r="U468" s="206"/>
      <c r="V468" s="206"/>
      <c r="W468" s="206"/>
      <c r="X468" s="206"/>
      <c r="Y468" s="206"/>
    </row>
    <row r="469">
      <c r="A469" s="206"/>
      <c r="B469" s="206"/>
      <c r="C469" s="206"/>
      <c r="D469" s="206"/>
      <c r="E469" s="206"/>
      <c r="F469" s="206"/>
      <c r="G469" s="206"/>
      <c r="H469" s="206"/>
      <c r="I469" s="206"/>
      <c r="J469" s="206"/>
      <c r="K469" s="206"/>
      <c r="L469" s="206"/>
      <c r="M469" s="206"/>
      <c r="N469" s="206"/>
      <c r="O469" s="206"/>
      <c r="P469" s="206"/>
      <c r="Q469" s="206"/>
      <c r="R469" s="206"/>
      <c r="S469" s="206"/>
      <c r="T469" s="206"/>
      <c r="U469" s="206"/>
      <c r="V469" s="206"/>
      <c r="W469" s="206"/>
      <c r="X469" s="206"/>
      <c r="Y469" s="206"/>
    </row>
    <row r="470">
      <c r="A470" s="206"/>
      <c r="B470" s="206"/>
      <c r="C470" s="206"/>
      <c r="D470" s="206"/>
      <c r="E470" s="206"/>
      <c r="F470" s="206"/>
      <c r="G470" s="206"/>
      <c r="H470" s="206"/>
      <c r="I470" s="206"/>
      <c r="J470" s="206"/>
      <c r="K470" s="206"/>
      <c r="L470" s="206"/>
      <c r="M470" s="206"/>
      <c r="N470" s="206"/>
      <c r="O470" s="206"/>
      <c r="P470" s="206"/>
      <c r="Q470" s="206"/>
      <c r="R470" s="206"/>
      <c r="S470" s="206"/>
      <c r="T470" s="206"/>
      <c r="U470" s="206"/>
      <c r="V470" s="206"/>
      <c r="W470" s="206"/>
      <c r="X470" s="206"/>
      <c r="Y470" s="206"/>
    </row>
    <row r="471">
      <c r="A471" s="206"/>
      <c r="B471" s="206"/>
      <c r="C471" s="206"/>
      <c r="D471" s="206"/>
      <c r="E471" s="206"/>
      <c r="F471" s="206"/>
      <c r="G471" s="206"/>
      <c r="H471" s="206"/>
      <c r="I471" s="206"/>
      <c r="J471" s="206"/>
      <c r="K471" s="206"/>
      <c r="L471" s="206"/>
      <c r="M471" s="206"/>
      <c r="N471" s="206"/>
      <c r="O471" s="206"/>
      <c r="P471" s="206"/>
      <c r="Q471" s="206"/>
      <c r="R471" s="206"/>
      <c r="S471" s="206"/>
      <c r="T471" s="206"/>
      <c r="U471" s="206"/>
      <c r="V471" s="206"/>
      <c r="W471" s="206"/>
      <c r="X471" s="206"/>
      <c r="Y471" s="206"/>
    </row>
    <row r="472">
      <c r="A472" s="206"/>
      <c r="B472" s="206"/>
      <c r="C472" s="206"/>
      <c r="D472" s="206"/>
      <c r="E472" s="206"/>
      <c r="F472" s="206"/>
      <c r="G472" s="206"/>
      <c r="H472" s="206"/>
      <c r="I472" s="206"/>
      <c r="J472" s="206"/>
      <c r="K472" s="206"/>
      <c r="L472" s="206"/>
      <c r="M472" s="206"/>
      <c r="N472" s="206"/>
      <c r="O472" s="206"/>
      <c r="P472" s="206"/>
      <c r="Q472" s="206"/>
      <c r="R472" s="206"/>
      <c r="S472" s="206"/>
      <c r="T472" s="206"/>
      <c r="U472" s="206"/>
      <c r="V472" s="206"/>
      <c r="W472" s="206"/>
      <c r="X472" s="206"/>
      <c r="Y472" s="206"/>
    </row>
    <row r="473">
      <c r="A473" s="206"/>
      <c r="B473" s="206"/>
      <c r="C473" s="206"/>
      <c r="D473" s="206"/>
      <c r="E473" s="206"/>
      <c r="F473" s="206"/>
      <c r="G473" s="206"/>
      <c r="H473" s="206"/>
      <c r="I473" s="206"/>
      <c r="J473" s="206"/>
      <c r="K473" s="206"/>
      <c r="L473" s="206"/>
      <c r="M473" s="206"/>
      <c r="N473" s="206"/>
      <c r="O473" s="206"/>
      <c r="P473" s="206"/>
      <c r="Q473" s="206"/>
      <c r="R473" s="206"/>
      <c r="S473" s="206"/>
      <c r="T473" s="206"/>
      <c r="U473" s="206"/>
      <c r="V473" s="206"/>
      <c r="W473" s="206"/>
      <c r="X473" s="206"/>
      <c r="Y473" s="206"/>
    </row>
    <row r="474">
      <c r="A474" s="206"/>
      <c r="B474" s="206"/>
      <c r="C474" s="206"/>
      <c r="D474" s="206"/>
      <c r="E474" s="206"/>
      <c r="F474" s="206"/>
      <c r="G474" s="206"/>
      <c r="H474" s="206"/>
      <c r="I474" s="206"/>
      <c r="J474" s="206"/>
      <c r="K474" s="206"/>
      <c r="L474" s="206"/>
      <c r="M474" s="206"/>
      <c r="N474" s="206"/>
      <c r="O474" s="206"/>
      <c r="P474" s="206"/>
      <c r="Q474" s="206"/>
      <c r="R474" s="206"/>
      <c r="S474" s="206"/>
      <c r="T474" s="206"/>
      <c r="U474" s="206"/>
      <c r="V474" s="206"/>
      <c r="W474" s="206"/>
      <c r="X474" s="206"/>
      <c r="Y474" s="206"/>
    </row>
    <row r="475">
      <c r="A475" s="206"/>
      <c r="B475" s="206"/>
      <c r="C475" s="206"/>
      <c r="D475" s="206"/>
      <c r="E475" s="206"/>
      <c r="F475" s="206"/>
      <c r="G475" s="206"/>
      <c r="H475" s="206"/>
      <c r="I475" s="206"/>
      <c r="J475" s="206"/>
      <c r="K475" s="206"/>
      <c r="L475" s="206"/>
      <c r="M475" s="206"/>
      <c r="N475" s="206"/>
      <c r="O475" s="206"/>
      <c r="P475" s="206"/>
      <c r="Q475" s="206"/>
      <c r="R475" s="206"/>
      <c r="S475" s="206"/>
      <c r="T475" s="206"/>
      <c r="U475" s="206"/>
      <c r="V475" s="206"/>
      <c r="W475" s="206"/>
      <c r="X475" s="206"/>
      <c r="Y475" s="206"/>
    </row>
    <row r="476">
      <c r="A476" s="206"/>
      <c r="B476" s="206"/>
      <c r="C476" s="206"/>
      <c r="D476" s="206"/>
      <c r="E476" s="206"/>
      <c r="F476" s="206"/>
      <c r="G476" s="206"/>
      <c r="H476" s="206"/>
      <c r="I476" s="206"/>
      <c r="J476" s="206"/>
      <c r="K476" s="206"/>
      <c r="L476" s="206"/>
      <c r="M476" s="206"/>
      <c r="N476" s="206"/>
      <c r="O476" s="206"/>
      <c r="P476" s="206"/>
      <c r="Q476" s="206"/>
      <c r="R476" s="206"/>
      <c r="S476" s="206"/>
      <c r="T476" s="206"/>
      <c r="U476" s="206"/>
      <c r="V476" s="206"/>
      <c r="W476" s="206"/>
      <c r="X476" s="206"/>
      <c r="Y476" s="206"/>
    </row>
    <row r="477">
      <c r="A477" s="206"/>
      <c r="B477" s="206"/>
      <c r="C477" s="206"/>
      <c r="D477" s="206"/>
      <c r="E477" s="206"/>
      <c r="F477" s="206"/>
      <c r="G477" s="206"/>
      <c r="H477" s="206"/>
      <c r="I477" s="206"/>
      <c r="J477" s="206"/>
      <c r="K477" s="206"/>
      <c r="L477" s="206"/>
      <c r="M477" s="206"/>
      <c r="N477" s="206"/>
      <c r="O477" s="206"/>
      <c r="P477" s="206"/>
      <c r="Q477" s="206"/>
      <c r="R477" s="206"/>
      <c r="S477" s="206"/>
      <c r="T477" s="206"/>
      <c r="U477" s="206"/>
      <c r="V477" s="206"/>
      <c r="W477" s="206"/>
      <c r="X477" s="206"/>
      <c r="Y477" s="206"/>
    </row>
    <row r="478">
      <c r="A478" s="206"/>
      <c r="B478" s="206"/>
      <c r="C478" s="206"/>
      <c r="D478" s="206"/>
      <c r="E478" s="206"/>
      <c r="F478" s="206"/>
      <c r="G478" s="206"/>
      <c r="H478" s="206"/>
      <c r="I478" s="206"/>
      <c r="J478" s="206"/>
      <c r="K478" s="206"/>
      <c r="L478" s="206"/>
      <c r="M478" s="206"/>
      <c r="N478" s="206"/>
      <c r="O478" s="206"/>
      <c r="P478" s="206"/>
      <c r="Q478" s="206"/>
      <c r="R478" s="206"/>
      <c r="S478" s="206"/>
      <c r="T478" s="206"/>
      <c r="U478" s="206"/>
      <c r="V478" s="206"/>
      <c r="W478" s="206"/>
      <c r="X478" s="206"/>
      <c r="Y478" s="206"/>
    </row>
    <row r="479">
      <c r="A479" s="206"/>
      <c r="B479" s="206"/>
      <c r="C479" s="206"/>
      <c r="D479" s="206"/>
      <c r="E479" s="206"/>
      <c r="F479" s="206"/>
      <c r="G479" s="206"/>
      <c r="H479" s="206"/>
      <c r="I479" s="206"/>
      <c r="J479" s="206"/>
      <c r="K479" s="206"/>
      <c r="L479" s="206"/>
      <c r="M479" s="206"/>
      <c r="N479" s="206"/>
      <c r="O479" s="206"/>
      <c r="P479" s="206"/>
      <c r="Q479" s="206"/>
      <c r="R479" s="206"/>
      <c r="S479" s="206"/>
      <c r="T479" s="206"/>
      <c r="U479" s="206"/>
      <c r="V479" s="206"/>
      <c r="W479" s="206"/>
      <c r="X479" s="206"/>
      <c r="Y479" s="206"/>
    </row>
    <row r="480">
      <c r="A480" s="206"/>
      <c r="B480" s="206"/>
      <c r="C480" s="206"/>
      <c r="D480" s="206"/>
      <c r="E480" s="206"/>
      <c r="F480" s="206"/>
      <c r="G480" s="206"/>
      <c r="H480" s="206"/>
      <c r="I480" s="206"/>
      <c r="J480" s="206"/>
      <c r="K480" s="206"/>
      <c r="L480" s="206"/>
      <c r="M480" s="206"/>
      <c r="N480" s="206"/>
      <c r="O480" s="206"/>
      <c r="P480" s="206"/>
      <c r="Q480" s="206"/>
      <c r="R480" s="206"/>
      <c r="S480" s="206"/>
      <c r="T480" s="206"/>
      <c r="U480" s="206"/>
      <c r="V480" s="206"/>
      <c r="W480" s="206"/>
      <c r="X480" s="206"/>
      <c r="Y480" s="206"/>
    </row>
    <row r="481">
      <c r="A481" s="206"/>
      <c r="B481" s="206"/>
      <c r="C481" s="206"/>
      <c r="D481" s="206"/>
      <c r="E481" s="206"/>
      <c r="F481" s="206"/>
      <c r="G481" s="206"/>
      <c r="H481" s="206"/>
      <c r="I481" s="206"/>
      <c r="J481" s="206"/>
      <c r="K481" s="206"/>
      <c r="L481" s="206"/>
      <c r="M481" s="206"/>
      <c r="N481" s="206"/>
      <c r="O481" s="206"/>
      <c r="P481" s="206"/>
      <c r="Q481" s="206"/>
      <c r="R481" s="206"/>
      <c r="S481" s="206"/>
      <c r="T481" s="206"/>
      <c r="U481" s="206"/>
      <c r="V481" s="206"/>
      <c r="W481" s="206"/>
      <c r="X481" s="206"/>
      <c r="Y481" s="206"/>
    </row>
    <row r="482">
      <c r="A482" s="206"/>
      <c r="B482" s="206"/>
      <c r="C482" s="206"/>
      <c r="D482" s="206"/>
      <c r="E482" s="206"/>
      <c r="F482" s="206"/>
      <c r="G482" s="206"/>
      <c r="H482" s="206"/>
      <c r="I482" s="206"/>
      <c r="J482" s="206"/>
      <c r="K482" s="206"/>
      <c r="L482" s="206"/>
      <c r="M482" s="206"/>
      <c r="N482" s="206"/>
      <c r="O482" s="206"/>
      <c r="P482" s="206"/>
      <c r="Q482" s="206"/>
      <c r="R482" s="206"/>
      <c r="S482" s="206"/>
      <c r="T482" s="206"/>
      <c r="U482" s="206"/>
      <c r="V482" s="206"/>
      <c r="W482" s="206"/>
      <c r="X482" s="206"/>
      <c r="Y482" s="206"/>
    </row>
    <row r="483">
      <c r="A483" s="206"/>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row>
    <row r="484">
      <c r="A484" s="206"/>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row>
    <row r="485">
      <c r="A485" s="206"/>
      <c r="B485" s="206"/>
      <c r="C485" s="206"/>
      <c r="D485" s="206"/>
      <c r="E485" s="206"/>
      <c r="F485" s="206"/>
      <c r="G485" s="206"/>
      <c r="H485" s="206"/>
      <c r="I485" s="206"/>
      <c r="J485" s="206"/>
      <c r="K485" s="206"/>
      <c r="L485" s="206"/>
      <c r="M485" s="206"/>
      <c r="N485" s="206"/>
      <c r="O485" s="206"/>
      <c r="P485" s="206"/>
      <c r="Q485" s="206"/>
      <c r="R485" s="206"/>
      <c r="S485" s="206"/>
      <c r="T485" s="206"/>
      <c r="U485" s="206"/>
      <c r="V485" s="206"/>
      <c r="W485" s="206"/>
      <c r="X485" s="206"/>
      <c r="Y485" s="206"/>
    </row>
    <row r="486">
      <c r="A486" s="206"/>
      <c r="B486" s="206"/>
      <c r="C486" s="206"/>
      <c r="D486" s="206"/>
      <c r="E486" s="206"/>
      <c r="F486" s="206"/>
      <c r="G486" s="206"/>
      <c r="H486" s="206"/>
      <c r="I486" s="206"/>
      <c r="J486" s="206"/>
      <c r="K486" s="206"/>
      <c r="L486" s="206"/>
      <c r="M486" s="206"/>
      <c r="N486" s="206"/>
      <c r="O486" s="206"/>
      <c r="P486" s="206"/>
      <c r="Q486" s="206"/>
      <c r="R486" s="206"/>
      <c r="S486" s="206"/>
      <c r="T486" s="206"/>
      <c r="U486" s="206"/>
      <c r="V486" s="206"/>
      <c r="W486" s="206"/>
      <c r="X486" s="206"/>
      <c r="Y486" s="206"/>
    </row>
    <row r="487">
      <c r="A487" s="206"/>
      <c r="B487" s="206"/>
      <c r="C487" s="206"/>
      <c r="D487" s="206"/>
      <c r="E487" s="206"/>
      <c r="F487" s="206"/>
      <c r="G487" s="206"/>
      <c r="H487" s="206"/>
      <c r="I487" s="206"/>
      <c r="J487" s="206"/>
      <c r="K487" s="206"/>
      <c r="L487" s="206"/>
      <c r="M487" s="206"/>
      <c r="N487" s="206"/>
      <c r="O487" s="206"/>
      <c r="P487" s="206"/>
      <c r="Q487" s="206"/>
      <c r="R487" s="206"/>
      <c r="S487" s="206"/>
      <c r="T487" s="206"/>
      <c r="U487" s="206"/>
      <c r="V487" s="206"/>
      <c r="W487" s="206"/>
      <c r="X487" s="206"/>
      <c r="Y487" s="206"/>
    </row>
    <row r="488">
      <c r="A488" s="206"/>
      <c r="B488" s="206"/>
      <c r="C488" s="206"/>
      <c r="D488" s="206"/>
      <c r="E488" s="206"/>
      <c r="F488" s="206"/>
      <c r="G488" s="206"/>
      <c r="H488" s="206"/>
      <c r="I488" s="206"/>
      <c r="J488" s="206"/>
      <c r="K488" s="206"/>
      <c r="L488" s="206"/>
      <c r="M488" s="206"/>
      <c r="N488" s="206"/>
      <c r="O488" s="206"/>
      <c r="P488" s="206"/>
      <c r="Q488" s="206"/>
      <c r="R488" s="206"/>
      <c r="S488" s="206"/>
      <c r="T488" s="206"/>
      <c r="U488" s="206"/>
      <c r="V488" s="206"/>
      <c r="W488" s="206"/>
      <c r="X488" s="206"/>
      <c r="Y488" s="206"/>
    </row>
    <row r="489">
      <c r="A489" s="206"/>
      <c r="B489" s="206"/>
      <c r="C489" s="206"/>
      <c r="D489" s="206"/>
      <c r="E489" s="206"/>
      <c r="F489" s="206"/>
      <c r="G489" s="206"/>
      <c r="H489" s="206"/>
      <c r="I489" s="206"/>
      <c r="J489" s="206"/>
      <c r="K489" s="206"/>
      <c r="L489" s="206"/>
      <c r="M489" s="206"/>
      <c r="N489" s="206"/>
      <c r="O489" s="206"/>
      <c r="P489" s="206"/>
      <c r="Q489" s="206"/>
      <c r="R489" s="206"/>
      <c r="S489" s="206"/>
      <c r="T489" s="206"/>
      <c r="U489" s="206"/>
      <c r="V489" s="206"/>
      <c r="W489" s="206"/>
      <c r="X489" s="206"/>
      <c r="Y489" s="206"/>
    </row>
    <row r="490">
      <c r="A490" s="206"/>
      <c r="B490" s="206"/>
      <c r="C490" s="206"/>
      <c r="D490" s="206"/>
      <c r="E490" s="206"/>
      <c r="F490" s="206"/>
      <c r="G490" s="206"/>
      <c r="H490" s="206"/>
      <c r="I490" s="206"/>
      <c r="J490" s="206"/>
      <c r="K490" s="206"/>
      <c r="L490" s="206"/>
      <c r="M490" s="206"/>
      <c r="N490" s="206"/>
      <c r="O490" s="206"/>
      <c r="P490" s="206"/>
      <c r="Q490" s="206"/>
      <c r="R490" s="206"/>
      <c r="S490" s="206"/>
      <c r="T490" s="206"/>
      <c r="U490" s="206"/>
      <c r="V490" s="206"/>
      <c r="W490" s="206"/>
      <c r="X490" s="206"/>
      <c r="Y490" s="206"/>
    </row>
    <row r="491">
      <c r="A491" s="206"/>
      <c r="B491" s="206"/>
      <c r="C491" s="206"/>
      <c r="D491" s="206"/>
      <c r="E491" s="206"/>
      <c r="F491" s="206"/>
      <c r="G491" s="206"/>
      <c r="H491" s="206"/>
      <c r="I491" s="206"/>
      <c r="J491" s="206"/>
      <c r="K491" s="206"/>
      <c r="L491" s="206"/>
      <c r="M491" s="206"/>
      <c r="N491" s="206"/>
      <c r="O491" s="206"/>
      <c r="P491" s="206"/>
      <c r="Q491" s="206"/>
      <c r="R491" s="206"/>
      <c r="S491" s="206"/>
      <c r="T491" s="206"/>
      <c r="U491" s="206"/>
      <c r="V491" s="206"/>
      <c r="W491" s="206"/>
      <c r="X491" s="206"/>
      <c r="Y491" s="206"/>
    </row>
    <row r="492">
      <c r="A492" s="206"/>
      <c r="B492" s="206"/>
      <c r="C492" s="206"/>
      <c r="D492" s="206"/>
      <c r="E492" s="206"/>
      <c r="F492" s="206"/>
      <c r="G492" s="206"/>
      <c r="H492" s="206"/>
      <c r="I492" s="206"/>
      <c r="J492" s="206"/>
      <c r="K492" s="206"/>
      <c r="L492" s="206"/>
      <c r="M492" s="206"/>
      <c r="N492" s="206"/>
      <c r="O492" s="206"/>
      <c r="P492" s="206"/>
      <c r="Q492" s="206"/>
      <c r="R492" s="206"/>
      <c r="S492" s="206"/>
      <c r="T492" s="206"/>
      <c r="U492" s="206"/>
      <c r="V492" s="206"/>
      <c r="W492" s="206"/>
      <c r="X492" s="206"/>
      <c r="Y492" s="206"/>
    </row>
    <row r="493">
      <c r="A493" s="206"/>
      <c r="B493" s="206"/>
      <c r="C493" s="206"/>
      <c r="D493" s="206"/>
      <c r="E493" s="206"/>
      <c r="F493" s="206"/>
      <c r="G493" s="206"/>
      <c r="H493" s="206"/>
      <c r="I493" s="206"/>
      <c r="J493" s="206"/>
      <c r="K493" s="206"/>
      <c r="L493" s="206"/>
      <c r="M493" s="206"/>
      <c r="N493" s="206"/>
      <c r="O493" s="206"/>
      <c r="P493" s="206"/>
      <c r="Q493" s="206"/>
      <c r="R493" s="206"/>
      <c r="S493" s="206"/>
      <c r="T493" s="206"/>
      <c r="U493" s="206"/>
      <c r="V493" s="206"/>
      <c r="W493" s="206"/>
      <c r="X493" s="206"/>
      <c r="Y493" s="206"/>
    </row>
    <row r="494">
      <c r="A494" s="206"/>
      <c r="B494" s="206"/>
      <c r="C494" s="206"/>
      <c r="D494" s="206"/>
      <c r="E494" s="206"/>
      <c r="F494" s="206"/>
      <c r="G494" s="206"/>
      <c r="H494" s="206"/>
      <c r="I494" s="206"/>
      <c r="J494" s="206"/>
      <c r="K494" s="206"/>
      <c r="L494" s="206"/>
      <c r="M494" s="206"/>
      <c r="N494" s="206"/>
      <c r="O494" s="206"/>
      <c r="P494" s="206"/>
      <c r="Q494" s="206"/>
      <c r="R494" s="206"/>
      <c r="S494" s="206"/>
      <c r="T494" s="206"/>
      <c r="U494" s="206"/>
      <c r="V494" s="206"/>
      <c r="W494" s="206"/>
      <c r="X494" s="206"/>
      <c r="Y494" s="206"/>
    </row>
    <row r="495">
      <c r="A495" s="206"/>
      <c r="B495" s="206"/>
      <c r="C495" s="206"/>
      <c r="D495" s="206"/>
      <c r="E495" s="206"/>
      <c r="F495" s="206"/>
      <c r="G495" s="206"/>
      <c r="H495" s="206"/>
      <c r="I495" s="206"/>
      <c r="J495" s="206"/>
      <c r="K495" s="206"/>
      <c r="L495" s="206"/>
      <c r="M495" s="206"/>
      <c r="N495" s="206"/>
      <c r="O495" s="206"/>
      <c r="P495" s="206"/>
      <c r="Q495" s="206"/>
      <c r="R495" s="206"/>
      <c r="S495" s="206"/>
      <c r="T495" s="206"/>
      <c r="U495" s="206"/>
      <c r="V495" s="206"/>
      <c r="W495" s="206"/>
      <c r="X495" s="206"/>
      <c r="Y495" s="206"/>
    </row>
    <row r="496">
      <c r="A496" s="206"/>
      <c r="B496" s="206"/>
      <c r="C496" s="206"/>
      <c r="D496" s="206"/>
      <c r="E496" s="206"/>
      <c r="F496" s="206"/>
      <c r="G496" s="206"/>
      <c r="H496" s="206"/>
      <c r="I496" s="206"/>
      <c r="J496" s="206"/>
      <c r="K496" s="206"/>
      <c r="L496" s="206"/>
      <c r="M496" s="206"/>
      <c r="N496" s="206"/>
      <c r="O496" s="206"/>
      <c r="P496" s="206"/>
      <c r="Q496" s="206"/>
      <c r="R496" s="206"/>
      <c r="S496" s="206"/>
      <c r="T496" s="206"/>
      <c r="U496" s="206"/>
      <c r="V496" s="206"/>
      <c r="W496" s="206"/>
      <c r="X496" s="206"/>
      <c r="Y496" s="206"/>
    </row>
    <row r="497">
      <c r="A497" s="206"/>
      <c r="B497" s="206"/>
      <c r="C497" s="206"/>
      <c r="D497" s="206"/>
      <c r="E497" s="206"/>
      <c r="F497" s="206"/>
      <c r="G497" s="206"/>
      <c r="H497" s="206"/>
      <c r="I497" s="206"/>
      <c r="J497" s="206"/>
      <c r="K497" s="206"/>
      <c r="L497" s="206"/>
      <c r="M497" s="206"/>
      <c r="N497" s="206"/>
      <c r="O497" s="206"/>
      <c r="P497" s="206"/>
      <c r="Q497" s="206"/>
      <c r="R497" s="206"/>
      <c r="S497" s="206"/>
      <c r="T497" s="206"/>
      <c r="U497" s="206"/>
      <c r="V497" s="206"/>
      <c r="W497" s="206"/>
      <c r="X497" s="206"/>
      <c r="Y497" s="206"/>
    </row>
    <row r="498">
      <c r="A498" s="206"/>
      <c r="B498" s="206"/>
      <c r="C498" s="206"/>
      <c r="D498" s="206"/>
      <c r="E498" s="206"/>
      <c r="F498" s="206"/>
      <c r="G498" s="206"/>
      <c r="H498" s="206"/>
      <c r="I498" s="206"/>
      <c r="J498" s="206"/>
      <c r="K498" s="206"/>
      <c r="L498" s="206"/>
      <c r="M498" s="206"/>
      <c r="N498" s="206"/>
      <c r="O498" s="206"/>
      <c r="P498" s="206"/>
      <c r="Q498" s="206"/>
      <c r="R498" s="206"/>
      <c r="S498" s="206"/>
      <c r="T498" s="206"/>
      <c r="U498" s="206"/>
      <c r="V498" s="206"/>
      <c r="W498" s="206"/>
      <c r="X498" s="206"/>
      <c r="Y498" s="206"/>
    </row>
    <row r="499">
      <c r="A499" s="206"/>
      <c r="B499" s="206"/>
      <c r="C499" s="206"/>
      <c r="D499" s="206"/>
      <c r="E499" s="206"/>
      <c r="F499" s="206"/>
      <c r="G499" s="206"/>
      <c r="H499" s="206"/>
      <c r="I499" s="206"/>
      <c r="J499" s="206"/>
      <c r="K499" s="206"/>
      <c r="L499" s="206"/>
      <c r="M499" s="206"/>
      <c r="N499" s="206"/>
      <c r="O499" s="206"/>
      <c r="P499" s="206"/>
      <c r="Q499" s="206"/>
      <c r="R499" s="206"/>
      <c r="S499" s="206"/>
      <c r="T499" s="206"/>
      <c r="U499" s="206"/>
      <c r="V499" s="206"/>
      <c r="W499" s="206"/>
      <c r="X499" s="206"/>
      <c r="Y499" s="206"/>
    </row>
    <row r="500">
      <c r="A500" s="206"/>
      <c r="B500" s="206"/>
      <c r="C500" s="206"/>
      <c r="D500" s="206"/>
      <c r="E500" s="206"/>
      <c r="F500" s="206"/>
      <c r="G500" s="206"/>
      <c r="H500" s="206"/>
      <c r="I500" s="206"/>
      <c r="J500" s="206"/>
      <c r="K500" s="206"/>
      <c r="L500" s="206"/>
      <c r="M500" s="206"/>
      <c r="N500" s="206"/>
      <c r="O500" s="206"/>
      <c r="P500" s="206"/>
      <c r="Q500" s="206"/>
      <c r="R500" s="206"/>
      <c r="S500" s="206"/>
      <c r="T500" s="206"/>
      <c r="U500" s="206"/>
      <c r="V500" s="206"/>
      <c r="W500" s="206"/>
      <c r="X500" s="206"/>
      <c r="Y500" s="206"/>
    </row>
    <row r="501">
      <c r="A501" s="206"/>
      <c r="B501" s="206"/>
      <c r="C501" s="206"/>
      <c r="D501" s="206"/>
      <c r="E501" s="206"/>
      <c r="F501" s="206"/>
      <c r="G501" s="206"/>
      <c r="H501" s="206"/>
      <c r="I501" s="206"/>
      <c r="J501" s="206"/>
      <c r="K501" s="206"/>
      <c r="L501" s="206"/>
      <c r="M501" s="206"/>
      <c r="N501" s="206"/>
      <c r="O501" s="206"/>
      <c r="P501" s="206"/>
      <c r="Q501" s="206"/>
      <c r="R501" s="206"/>
      <c r="S501" s="206"/>
      <c r="T501" s="206"/>
      <c r="U501" s="206"/>
      <c r="V501" s="206"/>
      <c r="W501" s="206"/>
      <c r="X501" s="206"/>
      <c r="Y501" s="206"/>
    </row>
    <row r="502">
      <c r="A502" s="206"/>
      <c r="B502" s="206"/>
      <c r="C502" s="206"/>
      <c r="D502" s="206"/>
      <c r="E502" s="206"/>
      <c r="F502" s="206"/>
      <c r="G502" s="206"/>
      <c r="H502" s="206"/>
      <c r="I502" s="206"/>
      <c r="J502" s="206"/>
      <c r="K502" s="206"/>
      <c r="L502" s="206"/>
      <c r="M502" s="206"/>
      <c r="N502" s="206"/>
      <c r="O502" s="206"/>
      <c r="P502" s="206"/>
      <c r="Q502" s="206"/>
      <c r="R502" s="206"/>
      <c r="S502" s="206"/>
      <c r="T502" s="206"/>
      <c r="U502" s="206"/>
      <c r="V502" s="206"/>
      <c r="W502" s="206"/>
      <c r="X502" s="206"/>
      <c r="Y502" s="206"/>
    </row>
    <row r="503">
      <c r="A503" s="206"/>
      <c r="B503" s="206"/>
      <c r="C503" s="206"/>
      <c r="D503" s="206"/>
      <c r="E503" s="206"/>
      <c r="F503" s="206"/>
      <c r="G503" s="206"/>
      <c r="H503" s="206"/>
      <c r="I503" s="206"/>
      <c r="J503" s="206"/>
      <c r="K503" s="206"/>
      <c r="L503" s="206"/>
      <c r="M503" s="206"/>
      <c r="N503" s="206"/>
      <c r="O503" s="206"/>
      <c r="P503" s="206"/>
      <c r="Q503" s="206"/>
      <c r="R503" s="206"/>
      <c r="S503" s="206"/>
      <c r="T503" s="206"/>
      <c r="U503" s="206"/>
      <c r="V503" s="206"/>
      <c r="W503" s="206"/>
      <c r="X503" s="206"/>
      <c r="Y503" s="206"/>
    </row>
    <row r="504">
      <c r="A504" s="206"/>
      <c r="B504" s="206"/>
      <c r="C504" s="206"/>
      <c r="D504" s="206"/>
      <c r="E504" s="206"/>
      <c r="F504" s="206"/>
      <c r="G504" s="206"/>
      <c r="H504" s="206"/>
      <c r="I504" s="206"/>
      <c r="J504" s="206"/>
      <c r="K504" s="206"/>
      <c r="L504" s="206"/>
      <c r="M504" s="206"/>
      <c r="N504" s="206"/>
      <c r="O504" s="206"/>
      <c r="P504" s="206"/>
      <c r="Q504" s="206"/>
      <c r="R504" s="206"/>
      <c r="S504" s="206"/>
      <c r="T504" s="206"/>
      <c r="U504" s="206"/>
      <c r="V504" s="206"/>
      <c r="W504" s="206"/>
      <c r="X504" s="206"/>
      <c r="Y504" s="206"/>
    </row>
    <row r="505">
      <c r="A505" s="206"/>
      <c r="B505" s="206"/>
      <c r="C505" s="206"/>
      <c r="D505" s="206"/>
      <c r="E505" s="206"/>
      <c r="F505" s="206"/>
      <c r="G505" s="206"/>
      <c r="H505" s="206"/>
      <c r="I505" s="206"/>
      <c r="J505" s="206"/>
      <c r="K505" s="206"/>
      <c r="L505" s="206"/>
      <c r="M505" s="206"/>
      <c r="N505" s="206"/>
      <c r="O505" s="206"/>
      <c r="P505" s="206"/>
      <c r="Q505" s="206"/>
      <c r="R505" s="206"/>
      <c r="S505" s="206"/>
      <c r="T505" s="206"/>
      <c r="U505" s="206"/>
      <c r="V505" s="206"/>
      <c r="W505" s="206"/>
      <c r="X505" s="206"/>
      <c r="Y505" s="206"/>
    </row>
    <row r="506">
      <c r="A506" s="206"/>
      <c r="B506" s="206"/>
      <c r="C506" s="206"/>
      <c r="D506" s="206"/>
      <c r="E506" s="206"/>
      <c r="F506" s="206"/>
      <c r="G506" s="206"/>
      <c r="H506" s="206"/>
      <c r="I506" s="206"/>
      <c r="J506" s="206"/>
      <c r="K506" s="206"/>
      <c r="L506" s="206"/>
      <c r="M506" s="206"/>
      <c r="N506" s="206"/>
      <c r="O506" s="206"/>
      <c r="P506" s="206"/>
      <c r="Q506" s="206"/>
      <c r="R506" s="206"/>
      <c r="S506" s="206"/>
      <c r="T506" s="206"/>
      <c r="U506" s="206"/>
      <c r="V506" s="206"/>
      <c r="W506" s="206"/>
      <c r="X506" s="206"/>
      <c r="Y506" s="206"/>
    </row>
    <row r="507">
      <c r="A507" s="206"/>
      <c r="B507" s="206"/>
      <c r="C507" s="206"/>
      <c r="D507" s="206"/>
      <c r="E507" s="206"/>
      <c r="F507" s="206"/>
      <c r="G507" s="206"/>
      <c r="H507" s="206"/>
      <c r="I507" s="206"/>
      <c r="J507" s="206"/>
      <c r="K507" s="206"/>
      <c r="L507" s="206"/>
      <c r="M507" s="206"/>
      <c r="N507" s="206"/>
      <c r="O507" s="206"/>
      <c r="P507" s="206"/>
      <c r="Q507" s="206"/>
      <c r="R507" s="206"/>
      <c r="S507" s="206"/>
      <c r="T507" s="206"/>
      <c r="U507" s="206"/>
      <c r="V507" s="206"/>
      <c r="W507" s="206"/>
      <c r="X507" s="206"/>
      <c r="Y507" s="206"/>
    </row>
    <row r="508">
      <c r="A508" s="206"/>
      <c r="B508" s="206"/>
      <c r="C508" s="206"/>
      <c r="D508" s="206"/>
      <c r="E508" s="206"/>
      <c r="F508" s="206"/>
      <c r="G508" s="206"/>
      <c r="H508" s="206"/>
      <c r="I508" s="206"/>
      <c r="J508" s="206"/>
      <c r="K508" s="206"/>
      <c r="L508" s="206"/>
      <c r="M508" s="206"/>
      <c r="N508" s="206"/>
      <c r="O508" s="206"/>
      <c r="P508" s="206"/>
      <c r="Q508" s="206"/>
      <c r="R508" s="206"/>
      <c r="S508" s="206"/>
      <c r="T508" s="206"/>
      <c r="U508" s="206"/>
      <c r="V508" s="206"/>
      <c r="W508" s="206"/>
      <c r="X508" s="206"/>
      <c r="Y508" s="206"/>
    </row>
    <row r="509">
      <c r="A509" s="206"/>
      <c r="B509" s="206"/>
      <c r="C509" s="206"/>
      <c r="D509" s="206"/>
      <c r="E509" s="206"/>
      <c r="F509" s="206"/>
      <c r="G509" s="206"/>
      <c r="H509" s="206"/>
      <c r="I509" s="206"/>
      <c r="J509" s="206"/>
      <c r="K509" s="206"/>
      <c r="L509" s="206"/>
      <c r="M509" s="206"/>
      <c r="N509" s="206"/>
      <c r="O509" s="206"/>
      <c r="P509" s="206"/>
      <c r="Q509" s="206"/>
      <c r="R509" s="206"/>
      <c r="S509" s="206"/>
      <c r="T509" s="206"/>
      <c r="U509" s="206"/>
      <c r="V509" s="206"/>
      <c r="W509" s="206"/>
      <c r="X509" s="206"/>
      <c r="Y509" s="206"/>
    </row>
    <row r="510">
      <c r="A510" s="206"/>
      <c r="B510" s="206"/>
      <c r="C510" s="206"/>
      <c r="D510" s="206"/>
      <c r="E510" s="206"/>
      <c r="F510" s="206"/>
      <c r="G510" s="206"/>
      <c r="H510" s="206"/>
      <c r="I510" s="206"/>
      <c r="J510" s="206"/>
      <c r="K510" s="206"/>
      <c r="L510" s="206"/>
      <c r="M510" s="206"/>
      <c r="N510" s="206"/>
      <c r="O510" s="206"/>
      <c r="P510" s="206"/>
      <c r="Q510" s="206"/>
      <c r="R510" s="206"/>
      <c r="S510" s="206"/>
      <c r="T510" s="206"/>
      <c r="U510" s="206"/>
      <c r="V510" s="206"/>
      <c r="W510" s="206"/>
      <c r="X510" s="206"/>
      <c r="Y510" s="206"/>
    </row>
    <row r="511">
      <c r="A511" s="206"/>
      <c r="B511" s="206"/>
      <c r="C511" s="206"/>
      <c r="D511" s="206"/>
      <c r="E511" s="206"/>
      <c r="F511" s="206"/>
      <c r="G511" s="206"/>
      <c r="H511" s="206"/>
      <c r="I511" s="206"/>
      <c r="J511" s="206"/>
      <c r="K511" s="206"/>
      <c r="L511" s="206"/>
      <c r="M511" s="206"/>
      <c r="N511" s="206"/>
      <c r="O511" s="206"/>
      <c r="P511" s="206"/>
      <c r="Q511" s="206"/>
      <c r="R511" s="206"/>
      <c r="S511" s="206"/>
      <c r="T511" s="206"/>
      <c r="U511" s="206"/>
      <c r="V511" s="206"/>
      <c r="W511" s="206"/>
      <c r="X511" s="206"/>
      <c r="Y511" s="206"/>
    </row>
    <row r="512">
      <c r="A512" s="206"/>
      <c r="B512" s="206"/>
      <c r="C512" s="206"/>
      <c r="D512" s="206"/>
      <c r="E512" s="206"/>
      <c r="F512" s="206"/>
      <c r="G512" s="206"/>
      <c r="H512" s="206"/>
      <c r="I512" s="206"/>
      <c r="J512" s="206"/>
      <c r="K512" s="206"/>
      <c r="L512" s="206"/>
      <c r="M512" s="206"/>
      <c r="N512" s="206"/>
      <c r="O512" s="206"/>
      <c r="P512" s="206"/>
      <c r="Q512" s="206"/>
      <c r="R512" s="206"/>
      <c r="S512" s="206"/>
      <c r="T512" s="206"/>
      <c r="U512" s="206"/>
      <c r="V512" s="206"/>
      <c r="W512" s="206"/>
      <c r="X512" s="206"/>
      <c r="Y512" s="206"/>
    </row>
    <row r="513">
      <c r="A513" s="206"/>
      <c r="B513" s="206"/>
      <c r="C513" s="206"/>
      <c r="D513" s="206"/>
      <c r="E513" s="206"/>
      <c r="F513" s="206"/>
      <c r="G513" s="206"/>
      <c r="H513" s="206"/>
      <c r="I513" s="206"/>
      <c r="J513" s="206"/>
      <c r="K513" s="206"/>
      <c r="L513" s="206"/>
      <c r="M513" s="206"/>
      <c r="N513" s="206"/>
      <c r="O513" s="206"/>
      <c r="P513" s="206"/>
      <c r="Q513" s="206"/>
      <c r="R513" s="206"/>
      <c r="S513" s="206"/>
      <c r="T513" s="206"/>
      <c r="U513" s="206"/>
      <c r="V513" s="206"/>
      <c r="W513" s="206"/>
      <c r="X513" s="206"/>
      <c r="Y513" s="206"/>
    </row>
    <row r="514">
      <c r="A514" s="206"/>
      <c r="B514" s="206"/>
      <c r="C514" s="206"/>
      <c r="D514" s="206"/>
      <c r="E514" s="206"/>
      <c r="F514" s="206"/>
      <c r="G514" s="206"/>
      <c r="H514" s="206"/>
      <c r="I514" s="206"/>
      <c r="J514" s="206"/>
      <c r="K514" s="206"/>
      <c r="L514" s="206"/>
      <c r="M514" s="206"/>
      <c r="N514" s="206"/>
      <c r="O514" s="206"/>
      <c r="P514" s="206"/>
      <c r="Q514" s="206"/>
      <c r="R514" s="206"/>
      <c r="S514" s="206"/>
      <c r="T514" s="206"/>
      <c r="U514" s="206"/>
      <c r="V514" s="206"/>
      <c r="W514" s="206"/>
      <c r="X514" s="206"/>
      <c r="Y514" s="206"/>
    </row>
    <row r="515">
      <c r="A515" s="206"/>
      <c r="B515" s="206"/>
      <c r="C515" s="206"/>
      <c r="D515" s="206"/>
      <c r="E515" s="206"/>
      <c r="F515" s="206"/>
      <c r="G515" s="206"/>
      <c r="H515" s="206"/>
      <c r="I515" s="206"/>
      <c r="J515" s="206"/>
      <c r="K515" s="206"/>
      <c r="L515" s="206"/>
      <c r="M515" s="206"/>
      <c r="N515" s="206"/>
      <c r="O515" s="206"/>
      <c r="P515" s="206"/>
      <c r="Q515" s="206"/>
      <c r="R515" s="206"/>
      <c r="S515" s="206"/>
      <c r="T515" s="206"/>
      <c r="U515" s="206"/>
      <c r="V515" s="206"/>
      <c r="W515" s="206"/>
      <c r="X515" s="206"/>
      <c r="Y515" s="206"/>
    </row>
    <row r="516">
      <c r="A516" s="206"/>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row>
    <row r="517">
      <c r="A517" s="206"/>
      <c r="B517" s="206"/>
      <c r="C517" s="206"/>
      <c r="D517" s="206"/>
      <c r="E517" s="206"/>
      <c r="F517" s="206"/>
      <c r="G517" s="206"/>
      <c r="H517" s="206"/>
      <c r="I517" s="206"/>
      <c r="J517" s="206"/>
      <c r="K517" s="206"/>
      <c r="L517" s="206"/>
      <c r="M517" s="206"/>
      <c r="N517" s="206"/>
      <c r="O517" s="206"/>
      <c r="P517" s="206"/>
      <c r="Q517" s="206"/>
      <c r="R517" s="206"/>
      <c r="S517" s="206"/>
      <c r="T517" s="206"/>
      <c r="U517" s="206"/>
      <c r="V517" s="206"/>
      <c r="W517" s="206"/>
      <c r="X517" s="206"/>
      <c r="Y517" s="206"/>
    </row>
    <row r="518">
      <c r="A518" s="206"/>
      <c r="B518" s="206"/>
      <c r="C518" s="206"/>
      <c r="D518" s="206"/>
      <c r="E518" s="206"/>
      <c r="F518" s="206"/>
      <c r="G518" s="206"/>
      <c r="H518" s="206"/>
      <c r="I518" s="206"/>
      <c r="J518" s="206"/>
      <c r="K518" s="206"/>
      <c r="L518" s="206"/>
      <c r="M518" s="206"/>
      <c r="N518" s="206"/>
      <c r="O518" s="206"/>
      <c r="P518" s="206"/>
      <c r="Q518" s="206"/>
      <c r="R518" s="206"/>
      <c r="S518" s="206"/>
      <c r="T518" s="206"/>
      <c r="U518" s="206"/>
      <c r="V518" s="206"/>
      <c r="W518" s="206"/>
      <c r="X518" s="206"/>
      <c r="Y518" s="206"/>
    </row>
    <row r="519">
      <c r="A519" s="206"/>
      <c r="B519" s="206"/>
      <c r="C519" s="206"/>
      <c r="D519" s="206"/>
      <c r="E519" s="206"/>
      <c r="F519" s="206"/>
      <c r="G519" s="206"/>
      <c r="H519" s="206"/>
      <c r="I519" s="206"/>
      <c r="J519" s="206"/>
      <c r="K519" s="206"/>
      <c r="L519" s="206"/>
      <c r="M519" s="206"/>
      <c r="N519" s="206"/>
      <c r="O519" s="206"/>
      <c r="P519" s="206"/>
      <c r="Q519" s="206"/>
      <c r="R519" s="206"/>
      <c r="S519" s="206"/>
      <c r="T519" s="206"/>
      <c r="U519" s="206"/>
      <c r="V519" s="206"/>
      <c r="W519" s="206"/>
      <c r="X519" s="206"/>
      <c r="Y519" s="206"/>
    </row>
    <row r="520">
      <c r="A520" s="206"/>
      <c r="B520" s="206"/>
      <c r="C520" s="206"/>
      <c r="D520" s="206"/>
      <c r="E520" s="206"/>
      <c r="F520" s="206"/>
      <c r="G520" s="206"/>
      <c r="H520" s="206"/>
      <c r="I520" s="206"/>
      <c r="J520" s="206"/>
      <c r="K520" s="206"/>
      <c r="L520" s="206"/>
      <c r="M520" s="206"/>
      <c r="N520" s="206"/>
      <c r="O520" s="206"/>
      <c r="P520" s="206"/>
      <c r="Q520" s="206"/>
      <c r="R520" s="206"/>
      <c r="S520" s="206"/>
      <c r="T520" s="206"/>
      <c r="U520" s="206"/>
      <c r="V520" s="206"/>
      <c r="W520" s="206"/>
      <c r="X520" s="206"/>
      <c r="Y520" s="206"/>
    </row>
    <row r="521">
      <c r="A521" s="206"/>
      <c r="B521" s="206"/>
      <c r="C521" s="206"/>
      <c r="D521" s="206"/>
      <c r="E521" s="206"/>
      <c r="F521" s="206"/>
      <c r="G521" s="206"/>
      <c r="H521" s="206"/>
      <c r="I521" s="206"/>
      <c r="J521" s="206"/>
      <c r="K521" s="206"/>
      <c r="L521" s="206"/>
      <c r="M521" s="206"/>
      <c r="N521" s="206"/>
      <c r="O521" s="206"/>
      <c r="P521" s="206"/>
      <c r="Q521" s="206"/>
      <c r="R521" s="206"/>
      <c r="S521" s="206"/>
      <c r="T521" s="206"/>
      <c r="U521" s="206"/>
      <c r="V521" s="206"/>
      <c r="W521" s="206"/>
      <c r="X521" s="206"/>
      <c r="Y521" s="206"/>
    </row>
    <row r="522">
      <c r="A522" s="206"/>
      <c r="B522" s="206"/>
      <c r="C522" s="206"/>
      <c r="D522" s="206"/>
      <c r="E522" s="206"/>
      <c r="F522" s="206"/>
      <c r="G522" s="206"/>
      <c r="H522" s="206"/>
      <c r="I522" s="206"/>
      <c r="J522" s="206"/>
      <c r="K522" s="206"/>
      <c r="L522" s="206"/>
      <c r="M522" s="206"/>
      <c r="N522" s="206"/>
      <c r="O522" s="206"/>
      <c r="P522" s="206"/>
      <c r="Q522" s="206"/>
      <c r="R522" s="206"/>
      <c r="S522" s="206"/>
      <c r="T522" s="206"/>
      <c r="U522" s="206"/>
      <c r="V522" s="206"/>
      <c r="W522" s="206"/>
      <c r="X522" s="206"/>
      <c r="Y522" s="206"/>
    </row>
    <row r="523">
      <c r="A523" s="206"/>
      <c r="B523" s="206"/>
      <c r="C523" s="206"/>
      <c r="D523" s="206"/>
      <c r="E523" s="206"/>
      <c r="F523" s="206"/>
      <c r="G523" s="206"/>
      <c r="H523" s="206"/>
      <c r="I523" s="206"/>
      <c r="J523" s="206"/>
      <c r="K523" s="206"/>
      <c r="L523" s="206"/>
      <c r="M523" s="206"/>
      <c r="N523" s="206"/>
      <c r="O523" s="206"/>
      <c r="P523" s="206"/>
      <c r="Q523" s="206"/>
      <c r="R523" s="206"/>
      <c r="S523" s="206"/>
      <c r="T523" s="206"/>
      <c r="U523" s="206"/>
      <c r="V523" s="206"/>
      <c r="W523" s="206"/>
      <c r="X523" s="206"/>
      <c r="Y523" s="206"/>
    </row>
    <row r="524">
      <c r="A524" s="206"/>
      <c r="B524" s="206"/>
      <c r="C524" s="206"/>
      <c r="D524" s="206"/>
      <c r="E524" s="206"/>
      <c r="F524" s="206"/>
      <c r="G524" s="206"/>
      <c r="H524" s="206"/>
      <c r="I524" s="206"/>
      <c r="J524" s="206"/>
      <c r="K524" s="206"/>
      <c r="L524" s="206"/>
      <c r="M524" s="206"/>
      <c r="N524" s="206"/>
      <c r="O524" s="206"/>
      <c r="P524" s="206"/>
      <c r="Q524" s="206"/>
      <c r="R524" s="206"/>
      <c r="S524" s="206"/>
      <c r="T524" s="206"/>
      <c r="U524" s="206"/>
      <c r="V524" s="206"/>
      <c r="W524" s="206"/>
      <c r="X524" s="206"/>
      <c r="Y524" s="206"/>
    </row>
    <row r="525">
      <c r="A525" s="206"/>
      <c r="B525" s="206"/>
      <c r="C525" s="206"/>
      <c r="D525" s="206"/>
      <c r="E525" s="206"/>
      <c r="F525" s="206"/>
      <c r="G525" s="206"/>
      <c r="H525" s="206"/>
      <c r="I525" s="206"/>
      <c r="J525" s="206"/>
      <c r="K525" s="206"/>
      <c r="L525" s="206"/>
      <c r="M525" s="206"/>
      <c r="N525" s="206"/>
      <c r="O525" s="206"/>
      <c r="P525" s="206"/>
      <c r="Q525" s="206"/>
      <c r="R525" s="206"/>
      <c r="S525" s="206"/>
      <c r="T525" s="206"/>
      <c r="U525" s="206"/>
      <c r="V525" s="206"/>
      <c r="W525" s="206"/>
      <c r="X525" s="206"/>
      <c r="Y525" s="206"/>
    </row>
    <row r="526">
      <c r="A526" s="206"/>
      <c r="B526" s="206"/>
      <c r="C526" s="206"/>
      <c r="D526" s="206"/>
      <c r="E526" s="206"/>
      <c r="F526" s="206"/>
      <c r="G526" s="206"/>
      <c r="H526" s="206"/>
      <c r="I526" s="206"/>
      <c r="J526" s="206"/>
      <c r="K526" s="206"/>
      <c r="L526" s="206"/>
      <c r="M526" s="206"/>
      <c r="N526" s="206"/>
      <c r="O526" s="206"/>
      <c r="P526" s="206"/>
      <c r="Q526" s="206"/>
      <c r="R526" s="206"/>
      <c r="S526" s="206"/>
      <c r="T526" s="206"/>
      <c r="U526" s="206"/>
      <c r="V526" s="206"/>
      <c r="W526" s="206"/>
      <c r="X526" s="206"/>
      <c r="Y526" s="206"/>
    </row>
    <row r="527">
      <c r="A527" s="206"/>
      <c r="B527" s="206"/>
      <c r="C527" s="206"/>
      <c r="D527" s="206"/>
      <c r="E527" s="206"/>
      <c r="F527" s="206"/>
      <c r="G527" s="206"/>
      <c r="H527" s="206"/>
      <c r="I527" s="206"/>
      <c r="J527" s="206"/>
      <c r="K527" s="206"/>
      <c r="L527" s="206"/>
      <c r="M527" s="206"/>
      <c r="N527" s="206"/>
      <c r="O527" s="206"/>
      <c r="P527" s="206"/>
      <c r="Q527" s="206"/>
      <c r="R527" s="206"/>
      <c r="S527" s="206"/>
      <c r="T527" s="206"/>
      <c r="U527" s="206"/>
      <c r="V527" s="206"/>
      <c r="W527" s="206"/>
      <c r="X527" s="206"/>
      <c r="Y527" s="206"/>
    </row>
    <row r="528">
      <c r="A528" s="206"/>
      <c r="B528" s="206"/>
      <c r="C528" s="206"/>
      <c r="D528" s="206"/>
      <c r="E528" s="206"/>
      <c r="F528" s="206"/>
      <c r="G528" s="206"/>
      <c r="H528" s="206"/>
      <c r="I528" s="206"/>
      <c r="J528" s="206"/>
      <c r="K528" s="206"/>
      <c r="L528" s="206"/>
      <c r="M528" s="206"/>
      <c r="N528" s="206"/>
      <c r="O528" s="206"/>
      <c r="P528" s="206"/>
      <c r="Q528" s="206"/>
      <c r="R528" s="206"/>
      <c r="S528" s="206"/>
      <c r="T528" s="206"/>
      <c r="U528" s="206"/>
      <c r="V528" s="206"/>
      <c r="W528" s="206"/>
      <c r="X528" s="206"/>
      <c r="Y528" s="206"/>
    </row>
    <row r="529">
      <c r="A529" s="206"/>
      <c r="B529" s="206"/>
      <c r="C529" s="206"/>
      <c r="D529" s="206"/>
      <c r="E529" s="206"/>
      <c r="F529" s="206"/>
      <c r="G529" s="206"/>
      <c r="H529" s="206"/>
      <c r="I529" s="206"/>
      <c r="J529" s="206"/>
      <c r="K529" s="206"/>
      <c r="L529" s="206"/>
      <c r="M529" s="206"/>
      <c r="N529" s="206"/>
      <c r="O529" s="206"/>
      <c r="P529" s="206"/>
      <c r="Q529" s="206"/>
      <c r="R529" s="206"/>
      <c r="S529" s="206"/>
      <c r="T529" s="206"/>
      <c r="U529" s="206"/>
      <c r="V529" s="206"/>
      <c r="W529" s="206"/>
      <c r="X529" s="206"/>
      <c r="Y529" s="206"/>
    </row>
    <row r="530">
      <c r="A530" s="206"/>
      <c r="B530" s="206"/>
      <c r="C530" s="206"/>
      <c r="D530" s="206"/>
      <c r="E530" s="206"/>
      <c r="F530" s="206"/>
      <c r="G530" s="206"/>
      <c r="H530" s="206"/>
      <c r="I530" s="206"/>
      <c r="J530" s="206"/>
      <c r="K530" s="206"/>
      <c r="L530" s="206"/>
      <c r="M530" s="206"/>
      <c r="N530" s="206"/>
      <c r="O530" s="206"/>
      <c r="P530" s="206"/>
      <c r="Q530" s="206"/>
      <c r="R530" s="206"/>
      <c r="S530" s="206"/>
      <c r="T530" s="206"/>
      <c r="U530" s="206"/>
      <c r="V530" s="206"/>
      <c r="W530" s="206"/>
      <c r="X530" s="206"/>
      <c r="Y530" s="206"/>
    </row>
    <row r="531">
      <c r="A531" s="206"/>
      <c r="B531" s="206"/>
      <c r="C531" s="206"/>
      <c r="D531" s="206"/>
      <c r="E531" s="206"/>
      <c r="F531" s="206"/>
      <c r="G531" s="206"/>
      <c r="H531" s="206"/>
      <c r="I531" s="206"/>
      <c r="J531" s="206"/>
      <c r="K531" s="206"/>
      <c r="L531" s="206"/>
      <c r="M531" s="206"/>
      <c r="N531" s="206"/>
      <c r="O531" s="206"/>
      <c r="P531" s="206"/>
      <c r="Q531" s="206"/>
      <c r="R531" s="206"/>
      <c r="S531" s="206"/>
      <c r="T531" s="206"/>
      <c r="U531" s="206"/>
      <c r="V531" s="206"/>
      <c r="W531" s="206"/>
      <c r="X531" s="206"/>
      <c r="Y531" s="206"/>
    </row>
    <row r="532">
      <c r="A532" s="206"/>
      <c r="B532" s="206"/>
      <c r="C532" s="206"/>
      <c r="D532" s="206"/>
      <c r="E532" s="206"/>
      <c r="F532" s="206"/>
      <c r="G532" s="206"/>
      <c r="H532" s="206"/>
      <c r="I532" s="206"/>
      <c r="J532" s="206"/>
      <c r="K532" s="206"/>
      <c r="L532" s="206"/>
      <c r="M532" s="206"/>
      <c r="N532" s="206"/>
      <c r="O532" s="206"/>
      <c r="P532" s="206"/>
      <c r="Q532" s="206"/>
      <c r="R532" s="206"/>
      <c r="S532" s="206"/>
      <c r="T532" s="206"/>
      <c r="U532" s="206"/>
      <c r="V532" s="206"/>
      <c r="W532" s="206"/>
      <c r="X532" s="206"/>
      <c r="Y532" s="206"/>
    </row>
    <row r="533">
      <c r="A533" s="206"/>
      <c r="B533" s="206"/>
      <c r="C533" s="206"/>
      <c r="D533" s="206"/>
      <c r="E533" s="206"/>
      <c r="F533" s="206"/>
      <c r="G533" s="206"/>
      <c r="H533" s="206"/>
      <c r="I533" s="206"/>
      <c r="J533" s="206"/>
      <c r="K533" s="206"/>
      <c r="L533" s="206"/>
      <c r="M533" s="206"/>
      <c r="N533" s="206"/>
      <c r="O533" s="206"/>
      <c r="P533" s="206"/>
      <c r="Q533" s="206"/>
      <c r="R533" s="206"/>
      <c r="S533" s="206"/>
      <c r="T533" s="206"/>
      <c r="U533" s="206"/>
      <c r="V533" s="206"/>
      <c r="W533" s="206"/>
      <c r="X533" s="206"/>
      <c r="Y533" s="206"/>
    </row>
    <row r="534">
      <c r="A534" s="206"/>
      <c r="B534" s="206"/>
      <c r="C534" s="206"/>
      <c r="D534" s="206"/>
      <c r="E534" s="206"/>
      <c r="F534" s="206"/>
      <c r="G534" s="206"/>
      <c r="H534" s="206"/>
      <c r="I534" s="206"/>
      <c r="J534" s="206"/>
      <c r="K534" s="206"/>
      <c r="L534" s="206"/>
      <c r="M534" s="206"/>
      <c r="N534" s="206"/>
      <c r="O534" s="206"/>
      <c r="P534" s="206"/>
      <c r="Q534" s="206"/>
      <c r="R534" s="206"/>
      <c r="S534" s="206"/>
      <c r="T534" s="206"/>
      <c r="U534" s="206"/>
      <c r="V534" s="206"/>
      <c r="W534" s="206"/>
      <c r="X534" s="206"/>
      <c r="Y534" s="206"/>
    </row>
    <row r="535">
      <c r="A535" s="206"/>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row>
    <row r="536">
      <c r="A536" s="206"/>
      <c r="B536" s="206"/>
      <c r="C536" s="206"/>
      <c r="D536" s="206"/>
      <c r="E536" s="206"/>
      <c r="F536" s="206"/>
      <c r="G536" s="206"/>
      <c r="H536" s="206"/>
      <c r="I536" s="206"/>
      <c r="J536" s="206"/>
      <c r="K536" s="206"/>
      <c r="L536" s="206"/>
      <c r="M536" s="206"/>
      <c r="N536" s="206"/>
      <c r="O536" s="206"/>
      <c r="P536" s="206"/>
      <c r="Q536" s="206"/>
      <c r="R536" s="206"/>
      <c r="S536" s="206"/>
      <c r="T536" s="206"/>
      <c r="U536" s="206"/>
      <c r="V536" s="206"/>
      <c r="W536" s="206"/>
      <c r="X536" s="206"/>
      <c r="Y536" s="206"/>
    </row>
    <row r="537">
      <c r="A537" s="206"/>
      <c r="B537" s="206"/>
      <c r="C537" s="206"/>
      <c r="D537" s="206"/>
      <c r="E537" s="206"/>
      <c r="F537" s="206"/>
      <c r="G537" s="206"/>
      <c r="H537" s="206"/>
      <c r="I537" s="206"/>
      <c r="J537" s="206"/>
      <c r="K537" s="206"/>
      <c r="L537" s="206"/>
      <c r="M537" s="206"/>
      <c r="N537" s="206"/>
      <c r="O537" s="206"/>
      <c r="P537" s="206"/>
      <c r="Q537" s="206"/>
      <c r="R537" s="206"/>
      <c r="S537" s="206"/>
      <c r="T537" s="206"/>
      <c r="U537" s="206"/>
      <c r="V537" s="206"/>
      <c r="W537" s="206"/>
      <c r="X537" s="206"/>
      <c r="Y537" s="206"/>
    </row>
    <row r="538">
      <c r="A538" s="206"/>
      <c r="B538" s="206"/>
      <c r="C538" s="206"/>
      <c r="D538" s="206"/>
      <c r="E538" s="206"/>
      <c r="F538" s="206"/>
      <c r="G538" s="206"/>
      <c r="H538" s="206"/>
      <c r="I538" s="206"/>
      <c r="J538" s="206"/>
      <c r="K538" s="206"/>
      <c r="L538" s="206"/>
      <c r="M538" s="206"/>
      <c r="N538" s="206"/>
      <c r="O538" s="206"/>
      <c r="P538" s="206"/>
      <c r="Q538" s="206"/>
      <c r="R538" s="206"/>
      <c r="S538" s="206"/>
      <c r="T538" s="206"/>
      <c r="U538" s="206"/>
      <c r="V538" s="206"/>
      <c r="W538" s="206"/>
      <c r="X538" s="206"/>
      <c r="Y538" s="206"/>
    </row>
    <row r="539">
      <c r="A539" s="206"/>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row>
    <row r="540">
      <c r="A540" s="206"/>
      <c r="B540" s="206"/>
      <c r="C540" s="206"/>
      <c r="D540" s="206"/>
      <c r="E540" s="206"/>
      <c r="F540" s="206"/>
      <c r="G540" s="206"/>
      <c r="H540" s="206"/>
      <c r="I540" s="206"/>
      <c r="J540" s="206"/>
      <c r="K540" s="206"/>
      <c r="L540" s="206"/>
      <c r="M540" s="206"/>
      <c r="N540" s="206"/>
      <c r="O540" s="206"/>
      <c r="P540" s="206"/>
      <c r="Q540" s="206"/>
      <c r="R540" s="206"/>
      <c r="S540" s="206"/>
      <c r="T540" s="206"/>
      <c r="U540" s="206"/>
      <c r="V540" s="206"/>
      <c r="W540" s="206"/>
      <c r="X540" s="206"/>
      <c r="Y540" s="206"/>
    </row>
    <row r="541">
      <c r="A541" s="206"/>
      <c r="B541" s="206"/>
      <c r="C541" s="206"/>
      <c r="D541" s="206"/>
      <c r="E541" s="206"/>
      <c r="F541" s="206"/>
      <c r="G541" s="206"/>
      <c r="H541" s="206"/>
      <c r="I541" s="206"/>
      <c r="J541" s="206"/>
      <c r="K541" s="206"/>
      <c r="L541" s="206"/>
      <c r="M541" s="206"/>
      <c r="N541" s="206"/>
      <c r="O541" s="206"/>
      <c r="P541" s="206"/>
      <c r="Q541" s="206"/>
      <c r="R541" s="206"/>
      <c r="S541" s="206"/>
      <c r="T541" s="206"/>
      <c r="U541" s="206"/>
      <c r="V541" s="206"/>
      <c r="W541" s="206"/>
      <c r="X541" s="206"/>
      <c r="Y541" s="206"/>
    </row>
    <row r="542">
      <c r="A542" s="206"/>
      <c r="B542" s="206"/>
      <c r="C542" s="206"/>
      <c r="D542" s="206"/>
      <c r="E542" s="206"/>
      <c r="F542" s="206"/>
      <c r="G542" s="206"/>
      <c r="H542" s="206"/>
      <c r="I542" s="206"/>
      <c r="J542" s="206"/>
      <c r="K542" s="206"/>
      <c r="L542" s="206"/>
      <c r="M542" s="206"/>
      <c r="N542" s="206"/>
      <c r="O542" s="206"/>
      <c r="P542" s="206"/>
      <c r="Q542" s="206"/>
      <c r="R542" s="206"/>
      <c r="S542" s="206"/>
      <c r="T542" s="206"/>
      <c r="U542" s="206"/>
      <c r="V542" s="206"/>
      <c r="W542" s="206"/>
      <c r="X542" s="206"/>
      <c r="Y542" s="206"/>
    </row>
    <row r="543">
      <c r="A543" s="206"/>
      <c r="B543" s="206"/>
      <c r="C543" s="206"/>
      <c r="D543" s="206"/>
      <c r="E543" s="206"/>
      <c r="F543" s="206"/>
      <c r="G543" s="206"/>
      <c r="H543" s="206"/>
      <c r="I543" s="206"/>
      <c r="J543" s="206"/>
      <c r="K543" s="206"/>
      <c r="L543" s="206"/>
      <c r="M543" s="206"/>
      <c r="N543" s="206"/>
      <c r="O543" s="206"/>
      <c r="P543" s="206"/>
      <c r="Q543" s="206"/>
      <c r="R543" s="206"/>
      <c r="S543" s="206"/>
      <c r="T543" s="206"/>
      <c r="U543" s="206"/>
      <c r="V543" s="206"/>
      <c r="W543" s="206"/>
      <c r="X543" s="206"/>
      <c r="Y543" s="206"/>
    </row>
    <row r="544">
      <c r="A544" s="206"/>
      <c r="B544" s="206"/>
      <c r="C544" s="206"/>
      <c r="D544" s="206"/>
      <c r="E544" s="206"/>
      <c r="F544" s="206"/>
      <c r="G544" s="206"/>
      <c r="H544" s="206"/>
      <c r="I544" s="206"/>
      <c r="J544" s="206"/>
      <c r="K544" s="206"/>
      <c r="L544" s="206"/>
      <c r="M544" s="206"/>
      <c r="N544" s="206"/>
      <c r="O544" s="206"/>
      <c r="P544" s="206"/>
      <c r="Q544" s="206"/>
      <c r="R544" s="206"/>
      <c r="S544" s="206"/>
      <c r="T544" s="206"/>
      <c r="U544" s="206"/>
      <c r="V544" s="206"/>
      <c r="W544" s="206"/>
      <c r="X544" s="206"/>
      <c r="Y544" s="206"/>
    </row>
    <row r="545">
      <c r="A545" s="206"/>
      <c r="B545" s="206"/>
      <c r="C545" s="206"/>
      <c r="D545" s="206"/>
      <c r="E545" s="206"/>
      <c r="F545" s="206"/>
      <c r="G545" s="206"/>
      <c r="H545" s="206"/>
      <c r="I545" s="206"/>
      <c r="J545" s="206"/>
      <c r="K545" s="206"/>
      <c r="L545" s="206"/>
      <c r="M545" s="206"/>
      <c r="N545" s="206"/>
      <c r="O545" s="206"/>
      <c r="P545" s="206"/>
      <c r="Q545" s="206"/>
      <c r="R545" s="206"/>
      <c r="S545" s="206"/>
      <c r="T545" s="206"/>
      <c r="U545" s="206"/>
      <c r="V545" s="206"/>
      <c r="W545" s="206"/>
      <c r="X545" s="206"/>
      <c r="Y545" s="206"/>
    </row>
    <row r="546">
      <c r="A546" s="206"/>
      <c r="B546" s="206"/>
      <c r="C546" s="206"/>
      <c r="D546" s="206"/>
      <c r="E546" s="206"/>
      <c r="F546" s="206"/>
      <c r="G546" s="206"/>
      <c r="H546" s="206"/>
      <c r="I546" s="206"/>
      <c r="J546" s="206"/>
      <c r="K546" s="206"/>
      <c r="L546" s="206"/>
      <c r="M546" s="206"/>
      <c r="N546" s="206"/>
      <c r="O546" s="206"/>
      <c r="P546" s="206"/>
      <c r="Q546" s="206"/>
      <c r="R546" s="206"/>
      <c r="S546" s="206"/>
      <c r="T546" s="206"/>
      <c r="U546" s="206"/>
      <c r="V546" s="206"/>
      <c r="W546" s="206"/>
      <c r="X546" s="206"/>
      <c r="Y546" s="206"/>
    </row>
    <row r="547">
      <c r="A547" s="206"/>
      <c r="B547" s="206"/>
      <c r="C547" s="206"/>
      <c r="D547" s="206"/>
      <c r="E547" s="206"/>
      <c r="F547" s="206"/>
      <c r="G547" s="206"/>
      <c r="H547" s="206"/>
      <c r="I547" s="206"/>
      <c r="J547" s="206"/>
      <c r="K547" s="206"/>
      <c r="L547" s="206"/>
      <c r="M547" s="206"/>
      <c r="N547" s="206"/>
      <c r="O547" s="206"/>
      <c r="P547" s="206"/>
      <c r="Q547" s="206"/>
      <c r="R547" s="206"/>
      <c r="S547" s="206"/>
      <c r="T547" s="206"/>
      <c r="U547" s="206"/>
      <c r="V547" s="206"/>
      <c r="W547" s="206"/>
      <c r="X547" s="206"/>
      <c r="Y547" s="206"/>
    </row>
    <row r="548">
      <c r="A548" s="206"/>
      <c r="B548" s="206"/>
      <c r="C548" s="206"/>
      <c r="D548" s="206"/>
      <c r="E548" s="206"/>
      <c r="F548" s="206"/>
      <c r="G548" s="206"/>
      <c r="H548" s="206"/>
      <c r="I548" s="206"/>
      <c r="J548" s="206"/>
      <c r="K548" s="206"/>
      <c r="L548" s="206"/>
      <c r="M548" s="206"/>
      <c r="N548" s="206"/>
      <c r="O548" s="206"/>
      <c r="P548" s="206"/>
      <c r="Q548" s="206"/>
      <c r="R548" s="206"/>
      <c r="S548" s="206"/>
      <c r="T548" s="206"/>
      <c r="U548" s="206"/>
      <c r="V548" s="206"/>
      <c r="W548" s="206"/>
      <c r="X548" s="206"/>
      <c r="Y548" s="206"/>
    </row>
    <row r="549">
      <c r="A549" s="206"/>
      <c r="B549" s="206"/>
      <c r="C549" s="206"/>
      <c r="D549" s="206"/>
      <c r="E549" s="206"/>
      <c r="F549" s="206"/>
      <c r="G549" s="206"/>
      <c r="H549" s="206"/>
      <c r="I549" s="206"/>
      <c r="J549" s="206"/>
      <c r="K549" s="206"/>
      <c r="L549" s="206"/>
      <c r="M549" s="206"/>
      <c r="N549" s="206"/>
      <c r="O549" s="206"/>
      <c r="P549" s="206"/>
      <c r="Q549" s="206"/>
      <c r="R549" s="206"/>
      <c r="S549" s="206"/>
      <c r="T549" s="206"/>
      <c r="U549" s="206"/>
      <c r="V549" s="206"/>
      <c r="W549" s="206"/>
      <c r="X549" s="206"/>
      <c r="Y549" s="206"/>
    </row>
    <row r="550">
      <c r="A550" s="206"/>
      <c r="B550" s="206"/>
      <c r="C550" s="206"/>
      <c r="D550" s="206"/>
      <c r="E550" s="206"/>
      <c r="F550" s="206"/>
      <c r="G550" s="206"/>
      <c r="H550" s="206"/>
      <c r="I550" s="206"/>
      <c r="J550" s="206"/>
      <c r="K550" s="206"/>
      <c r="L550" s="206"/>
      <c r="M550" s="206"/>
      <c r="N550" s="206"/>
      <c r="O550" s="206"/>
      <c r="P550" s="206"/>
      <c r="Q550" s="206"/>
      <c r="R550" s="206"/>
      <c r="S550" s="206"/>
      <c r="T550" s="206"/>
      <c r="U550" s="206"/>
      <c r="V550" s="206"/>
      <c r="W550" s="206"/>
      <c r="X550" s="206"/>
      <c r="Y550" s="206"/>
    </row>
    <row r="551">
      <c r="A551" s="206"/>
      <c r="B551" s="206"/>
      <c r="C551" s="206"/>
      <c r="D551" s="206"/>
      <c r="E551" s="206"/>
      <c r="F551" s="206"/>
      <c r="G551" s="206"/>
      <c r="H551" s="206"/>
      <c r="I551" s="206"/>
      <c r="J551" s="206"/>
      <c r="K551" s="206"/>
      <c r="L551" s="206"/>
      <c r="M551" s="206"/>
      <c r="N551" s="206"/>
      <c r="O551" s="206"/>
      <c r="P551" s="206"/>
      <c r="Q551" s="206"/>
      <c r="R551" s="206"/>
      <c r="S551" s="206"/>
      <c r="T551" s="206"/>
      <c r="U551" s="206"/>
      <c r="V551" s="206"/>
      <c r="W551" s="206"/>
      <c r="X551" s="206"/>
      <c r="Y551" s="206"/>
    </row>
    <row r="552">
      <c r="A552" s="206"/>
      <c r="B552" s="206"/>
      <c r="C552" s="206"/>
      <c r="D552" s="206"/>
      <c r="E552" s="206"/>
      <c r="F552" s="206"/>
      <c r="G552" s="206"/>
      <c r="H552" s="206"/>
      <c r="I552" s="206"/>
      <c r="J552" s="206"/>
      <c r="K552" s="206"/>
      <c r="L552" s="206"/>
      <c r="M552" s="206"/>
      <c r="N552" s="206"/>
      <c r="O552" s="206"/>
      <c r="P552" s="206"/>
      <c r="Q552" s="206"/>
      <c r="R552" s="206"/>
      <c r="S552" s="206"/>
      <c r="T552" s="206"/>
      <c r="U552" s="206"/>
      <c r="V552" s="206"/>
      <c r="W552" s="206"/>
      <c r="X552" s="206"/>
      <c r="Y552" s="206"/>
    </row>
    <row r="553">
      <c r="A553" s="206"/>
      <c r="B553" s="206"/>
      <c r="C553" s="206"/>
      <c r="D553" s="206"/>
      <c r="E553" s="206"/>
      <c r="F553" s="206"/>
      <c r="G553" s="206"/>
      <c r="H553" s="206"/>
      <c r="I553" s="206"/>
      <c r="J553" s="206"/>
      <c r="K553" s="206"/>
      <c r="L553" s="206"/>
      <c r="M553" s="206"/>
      <c r="N553" s="206"/>
      <c r="O553" s="206"/>
      <c r="P553" s="206"/>
      <c r="Q553" s="206"/>
      <c r="R553" s="206"/>
      <c r="S553" s="206"/>
      <c r="T553" s="206"/>
      <c r="U553" s="206"/>
      <c r="V553" s="206"/>
      <c r="W553" s="206"/>
      <c r="X553" s="206"/>
      <c r="Y553" s="206"/>
    </row>
    <row r="554">
      <c r="A554" s="206"/>
      <c r="B554" s="206"/>
      <c r="C554" s="206"/>
      <c r="D554" s="206"/>
      <c r="E554" s="206"/>
      <c r="F554" s="206"/>
      <c r="G554" s="206"/>
      <c r="H554" s="206"/>
      <c r="I554" s="206"/>
      <c r="J554" s="206"/>
      <c r="K554" s="206"/>
      <c r="L554" s="206"/>
      <c r="M554" s="206"/>
      <c r="N554" s="206"/>
      <c r="O554" s="206"/>
      <c r="P554" s="206"/>
      <c r="Q554" s="206"/>
      <c r="R554" s="206"/>
      <c r="S554" s="206"/>
      <c r="T554" s="206"/>
      <c r="U554" s="206"/>
      <c r="V554" s="206"/>
      <c r="W554" s="206"/>
      <c r="X554" s="206"/>
      <c r="Y554" s="206"/>
    </row>
    <row r="555">
      <c r="A555" s="206"/>
      <c r="B555" s="206"/>
      <c r="C555" s="206"/>
      <c r="D555" s="206"/>
      <c r="E555" s="206"/>
      <c r="F555" s="206"/>
      <c r="G555" s="206"/>
      <c r="H555" s="206"/>
      <c r="I555" s="206"/>
      <c r="J555" s="206"/>
      <c r="K555" s="206"/>
      <c r="L555" s="206"/>
      <c r="M555" s="206"/>
      <c r="N555" s="206"/>
      <c r="O555" s="206"/>
      <c r="P555" s="206"/>
      <c r="Q555" s="206"/>
      <c r="R555" s="206"/>
      <c r="S555" s="206"/>
      <c r="T555" s="206"/>
      <c r="U555" s="206"/>
      <c r="V555" s="206"/>
      <c r="W555" s="206"/>
      <c r="X555" s="206"/>
      <c r="Y555" s="206"/>
    </row>
    <row r="556">
      <c r="A556" s="206"/>
      <c r="B556" s="206"/>
      <c r="C556" s="206"/>
      <c r="D556" s="206"/>
      <c r="E556" s="206"/>
      <c r="F556" s="206"/>
      <c r="G556" s="206"/>
      <c r="H556" s="206"/>
      <c r="I556" s="206"/>
      <c r="J556" s="206"/>
      <c r="K556" s="206"/>
      <c r="L556" s="206"/>
      <c r="M556" s="206"/>
      <c r="N556" s="206"/>
      <c r="O556" s="206"/>
      <c r="P556" s="206"/>
      <c r="Q556" s="206"/>
      <c r="R556" s="206"/>
      <c r="S556" s="206"/>
      <c r="T556" s="206"/>
      <c r="U556" s="206"/>
      <c r="V556" s="206"/>
      <c r="W556" s="206"/>
      <c r="X556" s="206"/>
      <c r="Y556" s="206"/>
    </row>
    <row r="557">
      <c r="A557" s="206"/>
      <c r="B557" s="206"/>
      <c r="C557" s="206"/>
      <c r="D557" s="206"/>
      <c r="E557" s="206"/>
      <c r="F557" s="206"/>
      <c r="G557" s="206"/>
      <c r="H557" s="206"/>
      <c r="I557" s="206"/>
      <c r="J557" s="206"/>
      <c r="K557" s="206"/>
      <c r="L557" s="206"/>
      <c r="M557" s="206"/>
      <c r="N557" s="206"/>
      <c r="O557" s="206"/>
      <c r="P557" s="206"/>
      <c r="Q557" s="206"/>
      <c r="R557" s="206"/>
      <c r="S557" s="206"/>
      <c r="T557" s="206"/>
      <c r="U557" s="206"/>
      <c r="V557" s="206"/>
      <c r="W557" s="206"/>
      <c r="X557" s="206"/>
      <c r="Y557" s="206"/>
    </row>
    <row r="558">
      <c r="A558" s="206"/>
      <c r="B558" s="206"/>
      <c r="C558" s="206"/>
      <c r="D558" s="206"/>
      <c r="E558" s="206"/>
      <c r="F558" s="206"/>
      <c r="G558" s="206"/>
      <c r="H558" s="206"/>
      <c r="I558" s="206"/>
      <c r="J558" s="206"/>
      <c r="K558" s="206"/>
      <c r="L558" s="206"/>
      <c r="M558" s="206"/>
      <c r="N558" s="206"/>
      <c r="O558" s="206"/>
      <c r="P558" s="206"/>
      <c r="Q558" s="206"/>
      <c r="R558" s="206"/>
      <c r="S558" s="206"/>
      <c r="T558" s="206"/>
      <c r="U558" s="206"/>
      <c r="V558" s="206"/>
      <c r="W558" s="206"/>
      <c r="X558" s="206"/>
      <c r="Y558" s="206"/>
    </row>
    <row r="559">
      <c r="A559" s="206"/>
      <c r="B559" s="206"/>
      <c r="C559" s="206"/>
      <c r="D559" s="206"/>
      <c r="E559" s="206"/>
      <c r="F559" s="206"/>
      <c r="G559" s="206"/>
      <c r="H559" s="206"/>
      <c r="I559" s="206"/>
      <c r="J559" s="206"/>
      <c r="K559" s="206"/>
      <c r="L559" s="206"/>
      <c r="M559" s="206"/>
      <c r="N559" s="206"/>
      <c r="O559" s="206"/>
      <c r="P559" s="206"/>
      <c r="Q559" s="206"/>
      <c r="R559" s="206"/>
      <c r="S559" s="206"/>
      <c r="T559" s="206"/>
      <c r="U559" s="206"/>
      <c r="V559" s="206"/>
      <c r="W559" s="206"/>
      <c r="X559" s="206"/>
      <c r="Y559" s="206"/>
    </row>
    <row r="560">
      <c r="A560" s="206"/>
      <c r="B560" s="206"/>
      <c r="C560" s="206"/>
      <c r="D560" s="206"/>
      <c r="E560" s="206"/>
      <c r="F560" s="206"/>
      <c r="G560" s="206"/>
      <c r="H560" s="206"/>
      <c r="I560" s="206"/>
      <c r="J560" s="206"/>
      <c r="K560" s="206"/>
      <c r="L560" s="206"/>
      <c r="M560" s="206"/>
      <c r="N560" s="206"/>
      <c r="O560" s="206"/>
      <c r="P560" s="206"/>
      <c r="Q560" s="206"/>
      <c r="R560" s="206"/>
      <c r="S560" s="206"/>
      <c r="T560" s="206"/>
      <c r="U560" s="206"/>
      <c r="V560" s="206"/>
      <c r="W560" s="206"/>
      <c r="X560" s="206"/>
      <c r="Y560" s="206"/>
    </row>
    <row r="561">
      <c r="A561" s="206"/>
      <c r="B561" s="206"/>
      <c r="C561" s="206"/>
      <c r="D561" s="206"/>
      <c r="E561" s="206"/>
      <c r="F561" s="206"/>
      <c r="G561" s="206"/>
      <c r="H561" s="206"/>
      <c r="I561" s="206"/>
      <c r="J561" s="206"/>
      <c r="K561" s="206"/>
      <c r="L561" s="206"/>
      <c r="M561" s="206"/>
      <c r="N561" s="206"/>
      <c r="O561" s="206"/>
      <c r="P561" s="206"/>
      <c r="Q561" s="206"/>
      <c r="R561" s="206"/>
      <c r="S561" s="206"/>
      <c r="T561" s="206"/>
      <c r="U561" s="206"/>
      <c r="V561" s="206"/>
      <c r="W561" s="206"/>
      <c r="X561" s="206"/>
      <c r="Y561" s="206"/>
    </row>
    <row r="562">
      <c r="A562" s="206"/>
      <c r="B562" s="206"/>
      <c r="C562" s="206"/>
      <c r="D562" s="206"/>
      <c r="E562" s="206"/>
      <c r="F562" s="206"/>
      <c r="G562" s="206"/>
      <c r="H562" s="206"/>
      <c r="I562" s="206"/>
      <c r="J562" s="206"/>
      <c r="K562" s="206"/>
      <c r="L562" s="206"/>
      <c r="M562" s="206"/>
      <c r="N562" s="206"/>
      <c r="O562" s="206"/>
      <c r="P562" s="206"/>
      <c r="Q562" s="206"/>
      <c r="R562" s="206"/>
      <c r="S562" s="206"/>
      <c r="T562" s="206"/>
      <c r="U562" s="206"/>
      <c r="V562" s="206"/>
      <c r="W562" s="206"/>
      <c r="X562" s="206"/>
      <c r="Y562" s="206"/>
    </row>
    <row r="563">
      <c r="A563" s="206"/>
      <c r="B563" s="206"/>
      <c r="C563" s="206"/>
      <c r="D563" s="206"/>
      <c r="E563" s="206"/>
      <c r="F563" s="206"/>
      <c r="G563" s="206"/>
      <c r="H563" s="206"/>
      <c r="I563" s="206"/>
      <c r="J563" s="206"/>
      <c r="K563" s="206"/>
      <c r="L563" s="206"/>
      <c r="M563" s="206"/>
      <c r="N563" s="206"/>
      <c r="O563" s="206"/>
      <c r="P563" s="206"/>
      <c r="Q563" s="206"/>
      <c r="R563" s="206"/>
      <c r="S563" s="206"/>
      <c r="T563" s="206"/>
      <c r="U563" s="206"/>
      <c r="V563" s="206"/>
      <c r="W563" s="206"/>
      <c r="X563" s="206"/>
      <c r="Y563" s="206"/>
    </row>
    <row r="564">
      <c r="A564" s="206"/>
      <c r="B564" s="206"/>
      <c r="C564" s="206"/>
      <c r="D564" s="206"/>
      <c r="E564" s="206"/>
      <c r="F564" s="206"/>
      <c r="G564" s="206"/>
      <c r="H564" s="206"/>
      <c r="I564" s="206"/>
      <c r="J564" s="206"/>
      <c r="K564" s="206"/>
      <c r="L564" s="206"/>
      <c r="M564" s="206"/>
      <c r="N564" s="206"/>
      <c r="O564" s="206"/>
      <c r="P564" s="206"/>
      <c r="Q564" s="206"/>
      <c r="R564" s="206"/>
      <c r="S564" s="206"/>
      <c r="T564" s="206"/>
      <c r="U564" s="206"/>
      <c r="V564" s="206"/>
      <c r="W564" s="206"/>
      <c r="X564" s="206"/>
      <c r="Y564" s="206"/>
    </row>
    <row r="565">
      <c r="A565" s="206"/>
      <c r="B565" s="206"/>
      <c r="C565" s="206"/>
      <c r="D565" s="206"/>
      <c r="E565" s="206"/>
      <c r="F565" s="206"/>
      <c r="G565" s="206"/>
      <c r="H565" s="206"/>
      <c r="I565" s="206"/>
      <c r="J565" s="206"/>
      <c r="K565" s="206"/>
      <c r="L565" s="206"/>
      <c r="M565" s="206"/>
      <c r="N565" s="206"/>
      <c r="O565" s="206"/>
      <c r="P565" s="206"/>
      <c r="Q565" s="206"/>
      <c r="R565" s="206"/>
      <c r="S565" s="206"/>
      <c r="T565" s="206"/>
      <c r="U565" s="206"/>
      <c r="V565" s="206"/>
      <c r="W565" s="206"/>
      <c r="X565" s="206"/>
      <c r="Y565" s="206"/>
    </row>
    <row r="566">
      <c r="A566" s="206"/>
      <c r="B566" s="206"/>
      <c r="C566" s="206"/>
      <c r="D566" s="206"/>
      <c r="E566" s="206"/>
      <c r="F566" s="206"/>
      <c r="G566" s="206"/>
      <c r="H566" s="206"/>
      <c r="I566" s="206"/>
      <c r="J566" s="206"/>
      <c r="K566" s="206"/>
      <c r="L566" s="206"/>
      <c r="M566" s="206"/>
      <c r="N566" s="206"/>
      <c r="O566" s="206"/>
      <c r="P566" s="206"/>
      <c r="Q566" s="206"/>
      <c r="R566" s="206"/>
      <c r="S566" s="206"/>
      <c r="T566" s="206"/>
      <c r="U566" s="206"/>
      <c r="V566" s="206"/>
      <c r="W566" s="206"/>
      <c r="X566" s="206"/>
      <c r="Y566" s="206"/>
    </row>
    <row r="567">
      <c r="A567" s="206"/>
      <c r="B567" s="206"/>
      <c r="C567" s="206"/>
      <c r="D567" s="206"/>
      <c r="E567" s="206"/>
      <c r="F567" s="206"/>
      <c r="G567" s="206"/>
      <c r="H567" s="206"/>
      <c r="I567" s="206"/>
      <c r="J567" s="206"/>
      <c r="K567" s="206"/>
      <c r="L567" s="206"/>
      <c r="M567" s="206"/>
      <c r="N567" s="206"/>
      <c r="O567" s="206"/>
      <c r="P567" s="206"/>
      <c r="Q567" s="206"/>
      <c r="R567" s="206"/>
      <c r="S567" s="206"/>
      <c r="T567" s="206"/>
      <c r="U567" s="206"/>
      <c r="V567" s="206"/>
      <c r="W567" s="206"/>
      <c r="X567" s="206"/>
      <c r="Y567" s="206"/>
    </row>
    <row r="568">
      <c r="A568" s="206"/>
      <c r="B568" s="206"/>
      <c r="C568" s="206"/>
      <c r="D568" s="206"/>
      <c r="E568" s="206"/>
      <c r="F568" s="206"/>
      <c r="G568" s="206"/>
      <c r="H568" s="206"/>
      <c r="I568" s="206"/>
      <c r="J568" s="206"/>
      <c r="K568" s="206"/>
      <c r="L568" s="206"/>
      <c r="M568" s="206"/>
      <c r="N568" s="206"/>
      <c r="O568" s="206"/>
      <c r="P568" s="206"/>
      <c r="Q568" s="206"/>
      <c r="R568" s="206"/>
      <c r="S568" s="206"/>
      <c r="T568" s="206"/>
      <c r="U568" s="206"/>
      <c r="V568" s="206"/>
      <c r="W568" s="206"/>
      <c r="X568" s="206"/>
      <c r="Y568" s="206"/>
    </row>
    <row r="569">
      <c r="A569" s="206"/>
      <c r="B569" s="206"/>
      <c r="C569" s="206"/>
      <c r="D569" s="206"/>
      <c r="E569" s="206"/>
      <c r="F569" s="206"/>
      <c r="G569" s="206"/>
      <c r="H569" s="206"/>
      <c r="I569" s="206"/>
      <c r="J569" s="206"/>
      <c r="K569" s="206"/>
      <c r="L569" s="206"/>
      <c r="M569" s="206"/>
      <c r="N569" s="206"/>
      <c r="O569" s="206"/>
      <c r="P569" s="206"/>
      <c r="Q569" s="206"/>
      <c r="R569" s="206"/>
      <c r="S569" s="206"/>
      <c r="T569" s="206"/>
      <c r="U569" s="206"/>
      <c r="V569" s="206"/>
      <c r="W569" s="206"/>
      <c r="X569" s="206"/>
      <c r="Y569" s="206"/>
    </row>
    <row r="570">
      <c r="A570" s="206"/>
      <c r="B570" s="206"/>
      <c r="C570" s="206"/>
      <c r="D570" s="206"/>
      <c r="E570" s="206"/>
      <c r="F570" s="206"/>
      <c r="G570" s="206"/>
      <c r="H570" s="206"/>
      <c r="I570" s="206"/>
      <c r="J570" s="206"/>
      <c r="K570" s="206"/>
      <c r="L570" s="206"/>
      <c r="M570" s="206"/>
      <c r="N570" s="206"/>
      <c r="O570" s="206"/>
      <c r="P570" s="206"/>
      <c r="Q570" s="206"/>
      <c r="R570" s="206"/>
      <c r="S570" s="206"/>
      <c r="T570" s="206"/>
      <c r="U570" s="206"/>
      <c r="V570" s="206"/>
      <c r="W570" s="206"/>
      <c r="X570" s="206"/>
      <c r="Y570" s="206"/>
    </row>
    <row r="571">
      <c r="A571" s="206"/>
      <c r="B571" s="206"/>
      <c r="C571" s="206"/>
      <c r="D571" s="206"/>
      <c r="E571" s="206"/>
      <c r="F571" s="206"/>
      <c r="G571" s="206"/>
      <c r="H571" s="206"/>
      <c r="I571" s="206"/>
      <c r="J571" s="206"/>
      <c r="K571" s="206"/>
      <c r="L571" s="206"/>
      <c r="M571" s="206"/>
      <c r="N571" s="206"/>
      <c r="O571" s="206"/>
      <c r="P571" s="206"/>
      <c r="Q571" s="206"/>
      <c r="R571" s="206"/>
      <c r="S571" s="206"/>
      <c r="T571" s="206"/>
      <c r="U571" s="206"/>
      <c r="V571" s="206"/>
      <c r="W571" s="206"/>
      <c r="X571" s="206"/>
      <c r="Y571" s="206"/>
    </row>
    <row r="572">
      <c r="A572" s="206"/>
      <c r="B572" s="206"/>
      <c r="C572" s="206"/>
      <c r="D572" s="206"/>
      <c r="E572" s="206"/>
      <c r="F572" s="206"/>
      <c r="G572" s="206"/>
      <c r="H572" s="206"/>
      <c r="I572" s="206"/>
      <c r="J572" s="206"/>
      <c r="K572" s="206"/>
      <c r="L572" s="206"/>
      <c r="M572" s="206"/>
      <c r="N572" s="206"/>
      <c r="O572" s="206"/>
      <c r="P572" s="206"/>
      <c r="Q572" s="206"/>
      <c r="R572" s="206"/>
      <c r="S572" s="206"/>
      <c r="T572" s="206"/>
      <c r="U572" s="206"/>
      <c r="V572" s="206"/>
      <c r="W572" s="206"/>
      <c r="X572" s="206"/>
      <c r="Y572" s="206"/>
    </row>
    <row r="573">
      <c r="A573" s="206"/>
      <c r="B573" s="206"/>
      <c r="C573" s="206"/>
      <c r="D573" s="206"/>
      <c r="E573" s="206"/>
      <c r="F573" s="206"/>
      <c r="G573" s="206"/>
      <c r="H573" s="206"/>
      <c r="I573" s="206"/>
      <c r="J573" s="206"/>
      <c r="K573" s="206"/>
      <c r="L573" s="206"/>
      <c r="M573" s="206"/>
      <c r="N573" s="206"/>
      <c r="O573" s="206"/>
      <c r="P573" s="206"/>
      <c r="Q573" s="206"/>
      <c r="R573" s="206"/>
      <c r="S573" s="206"/>
      <c r="T573" s="206"/>
      <c r="U573" s="206"/>
      <c r="V573" s="206"/>
      <c r="W573" s="206"/>
      <c r="X573" s="206"/>
      <c r="Y573" s="206"/>
    </row>
    <row r="574">
      <c r="A574" s="206"/>
      <c r="B574" s="206"/>
      <c r="C574" s="206"/>
      <c r="D574" s="206"/>
      <c r="E574" s="206"/>
      <c r="F574" s="206"/>
      <c r="G574" s="206"/>
      <c r="H574" s="206"/>
      <c r="I574" s="206"/>
      <c r="J574" s="206"/>
      <c r="K574" s="206"/>
      <c r="L574" s="206"/>
      <c r="M574" s="206"/>
      <c r="N574" s="206"/>
      <c r="O574" s="206"/>
      <c r="P574" s="206"/>
      <c r="Q574" s="206"/>
      <c r="R574" s="206"/>
      <c r="S574" s="206"/>
      <c r="T574" s="206"/>
      <c r="U574" s="206"/>
      <c r="V574" s="206"/>
      <c r="W574" s="206"/>
      <c r="X574" s="206"/>
      <c r="Y574" s="206"/>
    </row>
    <row r="575">
      <c r="A575" s="206"/>
      <c r="B575" s="206"/>
      <c r="C575" s="206"/>
      <c r="D575" s="206"/>
      <c r="E575" s="206"/>
      <c r="F575" s="206"/>
      <c r="G575" s="206"/>
      <c r="H575" s="206"/>
      <c r="I575" s="206"/>
      <c r="J575" s="206"/>
      <c r="K575" s="206"/>
      <c r="L575" s="206"/>
      <c r="M575" s="206"/>
      <c r="N575" s="206"/>
      <c r="O575" s="206"/>
      <c r="P575" s="206"/>
      <c r="Q575" s="206"/>
      <c r="R575" s="206"/>
      <c r="S575" s="206"/>
      <c r="T575" s="206"/>
      <c r="U575" s="206"/>
      <c r="V575" s="206"/>
      <c r="W575" s="206"/>
      <c r="X575" s="206"/>
      <c r="Y575" s="206"/>
    </row>
    <row r="576">
      <c r="A576" s="206"/>
      <c r="B576" s="206"/>
      <c r="C576" s="206"/>
      <c r="D576" s="206"/>
      <c r="E576" s="206"/>
      <c r="F576" s="206"/>
      <c r="G576" s="206"/>
      <c r="H576" s="206"/>
      <c r="I576" s="206"/>
      <c r="J576" s="206"/>
      <c r="K576" s="206"/>
      <c r="L576" s="206"/>
      <c r="M576" s="206"/>
      <c r="N576" s="206"/>
      <c r="O576" s="206"/>
      <c r="P576" s="206"/>
      <c r="Q576" s="206"/>
      <c r="R576" s="206"/>
      <c r="S576" s="206"/>
      <c r="T576" s="206"/>
      <c r="U576" s="206"/>
      <c r="V576" s="206"/>
      <c r="W576" s="206"/>
      <c r="X576" s="206"/>
      <c r="Y576" s="206"/>
    </row>
    <row r="577">
      <c r="A577" s="206"/>
      <c r="B577" s="206"/>
      <c r="C577" s="206"/>
      <c r="D577" s="206"/>
      <c r="E577" s="206"/>
      <c r="F577" s="206"/>
      <c r="G577" s="206"/>
      <c r="H577" s="206"/>
      <c r="I577" s="206"/>
      <c r="J577" s="206"/>
      <c r="K577" s="206"/>
      <c r="L577" s="206"/>
      <c r="M577" s="206"/>
      <c r="N577" s="206"/>
      <c r="O577" s="206"/>
      <c r="P577" s="206"/>
      <c r="Q577" s="206"/>
      <c r="R577" s="206"/>
      <c r="S577" s="206"/>
      <c r="T577" s="206"/>
      <c r="U577" s="206"/>
      <c r="V577" s="206"/>
      <c r="W577" s="206"/>
      <c r="X577" s="206"/>
      <c r="Y577" s="206"/>
    </row>
    <row r="578">
      <c r="A578" s="206"/>
      <c r="B578" s="206"/>
      <c r="C578" s="206"/>
      <c r="D578" s="206"/>
      <c r="E578" s="206"/>
      <c r="F578" s="206"/>
      <c r="G578" s="206"/>
      <c r="H578" s="206"/>
      <c r="I578" s="206"/>
      <c r="J578" s="206"/>
      <c r="K578" s="206"/>
      <c r="L578" s="206"/>
      <c r="M578" s="206"/>
      <c r="N578" s="206"/>
      <c r="O578" s="206"/>
      <c r="P578" s="206"/>
      <c r="Q578" s="206"/>
      <c r="R578" s="206"/>
      <c r="S578" s="206"/>
      <c r="T578" s="206"/>
      <c r="U578" s="206"/>
      <c r="V578" s="206"/>
      <c r="W578" s="206"/>
      <c r="X578" s="206"/>
      <c r="Y578" s="206"/>
    </row>
    <row r="579">
      <c r="A579" s="206"/>
      <c r="B579" s="206"/>
      <c r="C579" s="206"/>
      <c r="D579" s="206"/>
      <c r="E579" s="206"/>
      <c r="F579" s="206"/>
      <c r="G579" s="206"/>
      <c r="H579" s="206"/>
      <c r="I579" s="206"/>
      <c r="J579" s="206"/>
      <c r="K579" s="206"/>
      <c r="L579" s="206"/>
      <c r="M579" s="206"/>
      <c r="N579" s="206"/>
      <c r="O579" s="206"/>
      <c r="P579" s="206"/>
      <c r="Q579" s="206"/>
      <c r="R579" s="206"/>
      <c r="S579" s="206"/>
      <c r="T579" s="206"/>
      <c r="U579" s="206"/>
      <c r="V579" s="206"/>
      <c r="W579" s="206"/>
      <c r="X579" s="206"/>
      <c r="Y579" s="206"/>
    </row>
    <row r="580">
      <c r="A580" s="206"/>
      <c r="B580" s="206"/>
      <c r="C580" s="206"/>
      <c r="D580" s="206"/>
      <c r="E580" s="206"/>
      <c r="F580" s="206"/>
      <c r="G580" s="206"/>
      <c r="H580" s="206"/>
      <c r="I580" s="206"/>
      <c r="J580" s="206"/>
      <c r="K580" s="206"/>
      <c r="L580" s="206"/>
      <c r="M580" s="206"/>
      <c r="N580" s="206"/>
      <c r="O580" s="206"/>
      <c r="P580" s="206"/>
      <c r="Q580" s="206"/>
      <c r="R580" s="206"/>
      <c r="S580" s="206"/>
      <c r="T580" s="206"/>
      <c r="U580" s="206"/>
      <c r="V580" s="206"/>
      <c r="W580" s="206"/>
      <c r="X580" s="206"/>
      <c r="Y580" s="206"/>
    </row>
    <row r="581">
      <c r="A581" s="206"/>
      <c r="B581" s="206"/>
      <c r="C581" s="206"/>
      <c r="D581" s="206"/>
      <c r="E581" s="206"/>
      <c r="F581" s="206"/>
      <c r="G581" s="206"/>
      <c r="H581" s="206"/>
      <c r="I581" s="206"/>
      <c r="J581" s="206"/>
      <c r="K581" s="206"/>
      <c r="L581" s="206"/>
      <c r="M581" s="206"/>
      <c r="N581" s="206"/>
      <c r="O581" s="206"/>
      <c r="P581" s="206"/>
      <c r="Q581" s="206"/>
      <c r="R581" s="206"/>
      <c r="S581" s="206"/>
      <c r="T581" s="206"/>
      <c r="U581" s="206"/>
      <c r="V581" s="206"/>
      <c r="W581" s="206"/>
      <c r="X581" s="206"/>
      <c r="Y581" s="206"/>
    </row>
    <row r="582">
      <c r="A582" s="206"/>
      <c r="B582" s="206"/>
      <c r="C582" s="206"/>
      <c r="D582" s="206"/>
      <c r="E582" s="206"/>
      <c r="F582" s="206"/>
      <c r="G582" s="206"/>
      <c r="H582" s="206"/>
      <c r="I582" s="206"/>
      <c r="J582" s="206"/>
      <c r="K582" s="206"/>
      <c r="L582" s="206"/>
      <c r="M582" s="206"/>
      <c r="N582" s="206"/>
      <c r="O582" s="206"/>
      <c r="P582" s="206"/>
      <c r="Q582" s="206"/>
      <c r="R582" s="206"/>
      <c r="S582" s="206"/>
      <c r="T582" s="206"/>
      <c r="U582" s="206"/>
      <c r="V582" s="206"/>
      <c r="W582" s="206"/>
      <c r="X582" s="206"/>
      <c r="Y582" s="206"/>
    </row>
    <row r="583">
      <c r="A583" s="206"/>
      <c r="B583" s="206"/>
      <c r="C583" s="206"/>
      <c r="D583" s="206"/>
      <c r="E583" s="206"/>
      <c r="F583" s="206"/>
      <c r="G583" s="206"/>
      <c r="H583" s="206"/>
      <c r="I583" s="206"/>
      <c r="J583" s="206"/>
      <c r="K583" s="206"/>
      <c r="L583" s="206"/>
      <c r="M583" s="206"/>
      <c r="N583" s="206"/>
      <c r="O583" s="206"/>
      <c r="P583" s="206"/>
      <c r="Q583" s="206"/>
      <c r="R583" s="206"/>
      <c r="S583" s="206"/>
      <c r="T583" s="206"/>
      <c r="U583" s="206"/>
      <c r="V583" s="206"/>
      <c r="W583" s="206"/>
      <c r="X583" s="206"/>
      <c r="Y583" s="206"/>
    </row>
    <row r="584">
      <c r="A584" s="206"/>
      <c r="B584" s="206"/>
      <c r="C584" s="206"/>
      <c r="D584" s="206"/>
      <c r="E584" s="206"/>
      <c r="F584" s="206"/>
      <c r="G584" s="206"/>
      <c r="H584" s="206"/>
      <c r="I584" s="206"/>
      <c r="J584" s="206"/>
      <c r="K584" s="206"/>
      <c r="L584" s="206"/>
      <c r="M584" s="206"/>
      <c r="N584" s="206"/>
      <c r="O584" s="206"/>
      <c r="P584" s="206"/>
      <c r="Q584" s="206"/>
      <c r="R584" s="206"/>
      <c r="S584" s="206"/>
      <c r="T584" s="206"/>
      <c r="U584" s="206"/>
      <c r="V584" s="206"/>
      <c r="W584" s="206"/>
      <c r="X584" s="206"/>
      <c r="Y584" s="206"/>
    </row>
    <row r="585">
      <c r="A585" s="206"/>
      <c r="B585" s="206"/>
      <c r="C585" s="206"/>
      <c r="D585" s="206"/>
      <c r="E585" s="206"/>
      <c r="F585" s="206"/>
      <c r="G585" s="206"/>
      <c r="H585" s="206"/>
      <c r="I585" s="206"/>
      <c r="J585" s="206"/>
      <c r="K585" s="206"/>
      <c r="L585" s="206"/>
      <c r="M585" s="206"/>
      <c r="N585" s="206"/>
      <c r="O585" s="206"/>
      <c r="P585" s="206"/>
      <c r="Q585" s="206"/>
      <c r="R585" s="206"/>
      <c r="S585" s="206"/>
      <c r="T585" s="206"/>
      <c r="U585" s="206"/>
      <c r="V585" s="206"/>
      <c r="W585" s="206"/>
      <c r="X585" s="206"/>
      <c r="Y585" s="206"/>
    </row>
    <row r="586">
      <c r="A586" s="206"/>
      <c r="B586" s="206"/>
      <c r="C586" s="206"/>
      <c r="D586" s="206"/>
      <c r="E586" s="206"/>
      <c r="F586" s="206"/>
      <c r="G586" s="206"/>
      <c r="H586" s="206"/>
      <c r="I586" s="206"/>
      <c r="J586" s="206"/>
      <c r="K586" s="206"/>
      <c r="L586" s="206"/>
      <c r="M586" s="206"/>
      <c r="N586" s="206"/>
      <c r="O586" s="206"/>
      <c r="P586" s="206"/>
      <c r="Q586" s="206"/>
      <c r="R586" s="206"/>
      <c r="S586" s="206"/>
      <c r="T586" s="206"/>
      <c r="U586" s="206"/>
      <c r="V586" s="206"/>
      <c r="W586" s="206"/>
      <c r="X586" s="206"/>
      <c r="Y586" s="206"/>
    </row>
    <row r="587">
      <c r="A587" s="206"/>
      <c r="B587" s="206"/>
      <c r="C587" s="206"/>
      <c r="D587" s="206"/>
      <c r="E587" s="206"/>
      <c r="F587" s="206"/>
      <c r="G587" s="206"/>
      <c r="H587" s="206"/>
      <c r="I587" s="206"/>
      <c r="J587" s="206"/>
      <c r="K587" s="206"/>
      <c r="L587" s="206"/>
      <c r="M587" s="206"/>
      <c r="N587" s="206"/>
      <c r="O587" s="206"/>
      <c r="P587" s="206"/>
      <c r="Q587" s="206"/>
      <c r="R587" s="206"/>
      <c r="S587" s="206"/>
      <c r="T587" s="206"/>
      <c r="U587" s="206"/>
      <c r="V587" s="206"/>
      <c r="W587" s="206"/>
      <c r="X587" s="206"/>
      <c r="Y587" s="206"/>
    </row>
    <row r="588">
      <c r="A588" s="206"/>
      <c r="B588" s="206"/>
      <c r="C588" s="206"/>
      <c r="D588" s="206"/>
      <c r="E588" s="206"/>
      <c r="F588" s="206"/>
      <c r="G588" s="206"/>
      <c r="H588" s="206"/>
      <c r="I588" s="206"/>
      <c r="J588" s="206"/>
      <c r="K588" s="206"/>
      <c r="L588" s="206"/>
      <c r="M588" s="206"/>
      <c r="N588" s="206"/>
      <c r="O588" s="206"/>
      <c r="P588" s="206"/>
      <c r="Q588" s="206"/>
      <c r="R588" s="206"/>
      <c r="S588" s="206"/>
      <c r="T588" s="206"/>
      <c r="U588" s="206"/>
      <c r="V588" s="206"/>
      <c r="W588" s="206"/>
      <c r="X588" s="206"/>
      <c r="Y588" s="206"/>
    </row>
    <row r="589">
      <c r="A589" s="206"/>
      <c r="B589" s="206"/>
      <c r="C589" s="206"/>
      <c r="D589" s="206"/>
      <c r="E589" s="206"/>
      <c r="F589" s="206"/>
      <c r="G589" s="206"/>
      <c r="H589" s="206"/>
      <c r="I589" s="206"/>
      <c r="J589" s="206"/>
      <c r="K589" s="206"/>
      <c r="L589" s="206"/>
      <c r="M589" s="206"/>
      <c r="N589" s="206"/>
      <c r="O589" s="206"/>
      <c r="P589" s="206"/>
      <c r="Q589" s="206"/>
      <c r="R589" s="206"/>
      <c r="S589" s="206"/>
      <c r="T589" s="206"/>
      <c r="U589" s="206"/>
      <c r="V589" s="206"/>
      <c r="W589" s="206"/>
      <c r="X589" s="206"/>
      <c r="Y589" s="206"/>
    </row>
    <row r="590">
      <c r="A590" s="206"/>
      <c r="B590" s="206"/>
      <c r="C590" s="206"/>
      <c r="D590" s="206"/>
      <c r="E590" s="206"/>
      <c r="F590" s="206"/>
      <c r="G590" s="206"/>
      <c r="H590" s="206"/>
      <c r="I590" s="206"/>
      <c r="J590" s="206"/>
      <c r="K590" s="206"/>
      <c r="L590" s="206"/>
      <c r="M590" s="206"/>
      <c r="N590" s="206"/>
      <c r="O590" s="206"/>
      <c r="P590" s="206"/>
      <c r="Q590" s="206"/>
      <c r="R590" s="206"/>
      <c r="S590" s="206"/>
      <c r="T590" s="206"/>
      <c r="U590" s="206"/>
      <c r="V590" s="206"/>
      <c r="W590" s="206"/>
      <c r="X590" s="206"/>
      <c r="Y590" s="206"/>
    </row>
    <row r="591">
      <c r="A591" s="206"/>
      <c r="B591" s="206"/>
      <c r="C591" s="206"/>
      <c r="D591" s="206"/>
      <c r="E591" s="206"/>
      <c r="F591" s="206"/>
      <c r="G591" s="206"/>
      <c r="H591" s="206"/>
      <c r="I591" s="206"/>
      <c r="J591" s="206"/>
      <c r="K591" s="206"/>
      <c r="L591" s="206"/>
      <c r="M591" s="206"/>
      <c r="N591" s="206"/>
      <c r="O591" s="206"/>
      <c r="P591" s="206"/>
      <c r="Q591" s="206"/>
      <c r="R591" s="206"/>
      <c r="S591" s="206"/>
      <c r="T591" s="206"/>
      <c r="U591" s="206"/>
      <c r="V591" s="206"/>
      <c r="W591" s="206"/>
      <c r="X591" s="206"/>
      <c r="Y591" s="206"/>
    </row>
    <row r="592">
      <c r="A592" s="206"/>
      <c r="B592" s="206"/>
      <c r="C592" s="206"/>
      <c r="D592" s="206"/>
      <c r="E592" s="206"/>
      <c r="F592" s="206"/>
      <c r="G592" s="206"/>
      <c r="H592" s="206"/>
      <c r="I592" s="206"/>
      <c r="J592" s="206"/>
      <c r="K592" s="206"/>
      <c r="L592" s="206"/>
      <c r="M592" s="206"/>
      <c r="N592" s="206"/>
      <c r="O592" s="206"/>
      <c r="P592" s="206"/>
      <c r="Q592" s="206"/>
      <c r="R592" s="206"/>
      <c r="S592" s="206"/>
      <c r="T592" s="206"/>
      <c r="U592" s="206"/>
      <c r="V592" s="206"/>
      <c r="W592" s="206"/>
      <c r="X592" s="206"/>
      <c r="Y592" s="206"/>
    </row>
    <row r="593">
      <c r="A593" s="206"/>
      <c r="B593" s="206"/>
      <c r="C593" s="206"/>
      <c r="D593" s="206"/>
      <c r="E593" s="206"/>
      <c r="F593" s="206"/>
      <c r="G593" s="206"/>
      <c r="H593" s="206"/>
      <c r="I593" s="206"/>
      <c r="J593" s="206"/>
      <c r="K593" s="206"/>
      <c r="L593" s="206"/>
      <c r="M593" s="206"/>
      <c r="N593" s="206"/>
      <c r="O593" s="206"/>
      <c r="P593" s="206"/>
      <c r="Q593" s="206"/>
      <c r="R593" s="206"/>
      <c r="S593" s="206"/>
      <c r="T593" s="206"/>
      <c r="U593" s="206"/>
      <c r="V593" s="206"/>
      <c r="W593" s="206"/>
      <c r="X593" s="206"/>
      <c r="Y593" s="206"/>
    </row>
    <row r="594">
      <c r="A594" s="206"/>
      <c r="B594" s="206"/>
      <c r="C594" s="206"/>
      <c r="D594" s="206"/>
      <c r="E594" s="206"/>
      <c r="F594" s="206"/>
      <c r="G594" s="206"/>
      <c r="H594" s="206"/>
      <c r="I594" s="206"/>
      <c r="J594" s="206"/>
      <c r="K594" s="206"/>
      <c r="L594" s="206"/>
      <c r="M594" s="206"/>
      <c r="N594" s="206"/>
      <c r="O594" s="206"/>
      <c r="P594" s="206"/>
      <c r="Q594" s="206"/>
      <c r="R594" s="206"/>
      <c r="S594" s="206"/>
      <c r="T594" s="206"/>
      <c r="U594" s="206"/>
      <c r="V594" s="206"/>
      <c r="W594" s="206"/>
      <c r="X594" s="206"/>
      <c r="Y594" s="206"/>
    </row>
    <row r="595">
      <c r="A595" s="206"/>
      <c r="B595" s="206"/>
      <c r="C595" s="206"/>
      <c r="D595" s="206"/>
      <c r="E595" s="206"/>
      <c r="F595" s="206"/>
      <c r="G595" s="206"/>
      <c r="H595" s="206"/>
      <c r="I595" s="206"/>
      <c r="J595" s="206"/>
      <c r="K595" s="206"/>
      <c r="L595" s="206"/>
      <c r="M595" s="206"/>
      <c r="N595" s="206"/>
      <c r="O595" s="206"/>
      <c r="P595" s="206"/>
      <c r="Q595" s="206"/>
      <c r="R595" s="206"/>
      <c r="S595" s="206"/>
      <c r="T595" s="206"/>
      <c r="U595" s="206"/>
      <c r="V595" s="206"/>
      <c r="W595" s="206"/>
      <c r="X595" s="206"/>
      <c r="Y595" s="206"/>
    </row>
    <row r="596">
      <c r="A596" s="206"/>
      <c r="B596" s="206"/>
      <c r="C596" s="206"/>
      <c r="D596" s="206"/>
      <c r="E596" s="206"/>
      <c r="F596" s="206"/>
      <c r="G596" s="206"/>
      <c r="H596" s="206"/>
      <c r="I596" s="206"/>
      <c r="J596" s="206"/>
      <c r="K596" s="206"/>
      <c r="L596" s="206"/>
      <c r="M596" s="206"/>
      <c r="N596" s="206"/>
      <c r="O596" s="206"/>
      <c r="P596" s="206"/>
      <c r="Q596" s="206"/>
      <c r="R596" s="206"/>
      <c r="S596" s="206"/>
      <c r="T596" s="206"/>
      <c r="U596" s="206"/>
      <c r="V596" s="206"/>
      <c r="W596" s="206"/>
      <c r="X596" s="206"/>
      <c r="Y596" s="206"/>
    </row>
    <row r="597">
      <c r="A597" s="206"/>
      <c r="B597" s="206"/>
      <c r="C597" s="206"/>
      <c r="D597" s="206"/>
      <c r="E597" s="206"/>
      <c r="F597" s="206"/>
      <c r="G597" s="206"/>
      <c r="H597" s="206"/>
      <c r="I597" s="206"/>
      <c r="J597" s="206"/>
      <c r="K597" s="206"/>
      <c r="L597" s="206"/>
      <c r="M597" s="206"/>
      <c r="N597" s="206"/>
      <c r="O597" s="206"/>
      <c r="P597" s="206"/>
      <c r="Q597" s="206"/>
      <c r="R597" s="206"/>
      <c r="S597" s="206"/>
      <c r="T597" s="206"/>
      <c r="U597" s="206"/>
      <c r="V597" s="206"/>
      <c r="W597" s="206"/>
      <c r="X597" s="206"/>
      <c r="Y597" s="206"/>
    </row>
    <row r="598">
      <c r="A598" s="206"/>
      <c r="B598" s="206"/>
      <c r="C598" s="206"/>
      <c r="D598" s="206"/>
      <c r="E598" s="206"/>
      <c r="F598" s="206"/>
      <c r="G598" s="206"/>
      <c r="H598" s="206"/>
      <c r="I598" s="206"/>
      <c r="J598" s="206"/>
      <c r="K598" s="206"/>
      <c r="L598" s="206"/>
      <c r="M598" s="206"/>
      <c r="N598" s="206"/>
      <c r="O598" s="206"/>
      <c r="P598" s="206"/>
      <c r="Q598" s="206"/>
      <c r="R598" s="206"/>
      <c r="S598" s="206"/>
      <c r="T598" s="206"/>
      <c r="U598" s="206"/>
      <c r="V598" s="206"/>
      <c r="W598" s="206"/>
      <c r="X598" s="206"/>
      <c r="Y598" s="206"/>
    </row>
    <row r="599">
      <c r="A599" s="206"/>
      <c r="B599" s="206"/>
      <c r="C599" s="206"/>
      <c r="D599" s="206"/>
      <c r="E599" s="206"/>
      <c r="F599" s="206"/>
      <c r="G599" s="206"/>
      <c r="H599" s="206"/>
      <c r="I599" s="206"/>
      <c r="J599" s="206"/>
      <c r="K599" s="206"/>
      <c r="L599" s="206"/>
      <c r="M599" s="206"/>
      <c r="N599" s="206"/>
      <c r="O599" s="206"/>
      <c r="P599" s="206"/>
      <c r="Q599" s="206"/>
      <c r="R599" s="206"/>
      <c r="S599" s="206"/>
      <c r="T599" s="206"/>
      <c r="U599" s="206"/>
      <c r="V599" s="206"/>
      <c r="W599" s="206"/>
      <c r="X599" s="206"/>
      <c r="Y599" s="206"/>
    </row>
    <row r="600">
      <c r="A600" s="206"/>
      <c r="B600" s="206"/>
      <c r="C600" s="206"/>
      <c r="D600" s="206"/>
      <c r="E600" s="206"/>
      <c r="F600" s="206"/>
      <c r="G600" s="206"/>
      <c r="H600" s="206"/>
      <c r="I600" s="206"/>
      <c r="J600" s="206"/>
      <c r="K600" s="206"/>
      <c r="L600" s="206"/>
      <c r="M600" s="206"/>
      <c r="N600" s="206"/>
      <c r="O600" s="206"/>
      <c r="P600" s="206"/>
      <c r="Q600" s="206"/>
      <c r="R600" s="206"/>
      <c r="S600" s="206"/>
      <c r="T600" s="206"/>
      <c r="U600" s="206"/>
      <c r="V600" s="206"/>
      <c r="W600" s="206"/>
      <c r="X600" s="206"/>
      <c r="Y600" s="206"/>
    </row>
    <row r="601">
      <c r="A601" s="206"/>
      <c r="B601" s="206"/>
      <c r="C601" s="206"/>
      <c r="D601" s="206"/>
      <c r="E601" s="206"/>
      <c r="F601" s="206"/>
      <c r="G601" s="206"/>
      <c r="H601" s="206"/>
      <c r="I601" s="206"/>
      <c r="J601" s="206"/>
      <c r="K601" s="206"/>
      <c r="L601" s="206"/>
      <c r="M601" s="206"/>
      <c r="N601" s="206"/>
      <c r="O601" s="206"/>
      <c r="P601" s="206"/>
      <c r="Q601" s="206"/>
      <c r="R601" s="206"/>
      <c r="S601" s="206"/>
      <c r="T601" s="206"/>
      <c r="U601" s="206"/>
      <c r="V601" s="206"/>
      <c r="W601" s="206"/>
      <c r="X601" s="206"/>
      <c r="Y601" s="206"/>
    </row>
    <row r="602">
      <c r="A602" s="206"/>
      <c r="B602" s="206"/>
      <c r="C602" s="206"/>
      <c r="D602" s="206"/>
      <c r="E602" s="206"/>
      <c r="F602" s="206"/>
      <c r="G602" s="206"/>
      <c r="H602" s="206"/>
      <c r="I602" s="206"/>
      <c r="J602" s="206"/>
      <c r="K602" s="206"/>
      <c r="L602" s="206"/>
      <c r="M602" s="206"/>
      <c r="N602" s="206"/>
      <c r="O602" s="206"/>
      <c r="P602" s="206"/>
      <c r="Q602" s="206"/>
      <c r="R602" s="206"/>
      <c r="S602" s="206"/>
      <c r="T602" s="206"/>
      <c r="U602" s="206"/>
      <c r="V602" s="206"/>
      <c r="W602" s="206"/>
      <c r="X602" s="206"/>
      <c r="Y602" s="206"/>
    </row>
    <row r="603">
      <c r="A603" s="206"/>
      <c r="B603" s="206"/>
      <c r="C603" s="206"/>
      <c r="D603" s="206"/>
      <c r="E603" s="206"/>
      <c r="F603" s="206"/>
      <c r="G603" s="206"/>
      <c r="H603" s="206"/>
      <c r="I603" s="206"/>
      <c r="J603" s="206"/>
      <c r="K603" s="206"/>
      <c r="L603" s="206"/>
      <c r="M603" s="206"/>
      <c r="N603" s="206"/>
      <c r="O603" s="206"/>
      <c r="P603" s="206"/>
      <c r="Q603" s="206"/>
      <c r="R603" s="206"/>
      <c r="S603" s="206"/>
      <c r="T603" s="206"/>
      <c r="U603" s="206"/>
      <c r="V603" s="206"/>
      <c r="W603" s="206"/>
      <c r="X603" s="206"/>
      <c r="Y603" s="206"/>
    </row>
    <row r="604">
      <c r="A604" s="206"/>
      <c r="B604" s="206"/>
      <c r="C604" s="206"/>
      <c r="D604" s="206"/>
      <c r="E604" s="206"/>
      <c r="F604" s="206"/>
      <c r="G604" s="206"/>
      <c r="H604" s="206"/>
      <c r="I604" s="206"/>
      <c r="J604" s="206"/>
      <c r="K604" s="206"/>
      <c r="L604" s="206"/>
      <c r="M604" s="206"/>
      <c r="N604" s="206"/>
      <c r="O604" s="206"/>
      <c r="P604" s="206"/>
      <c r="Q604" s="206"/>
      <c r="R604" s="206"/>
      <c r="S604" s="206"/>
      <c r="T604" s="206"/>
      <c r="U604" s="206"/>
      <c r="V604" s="206"/>
      <c r="W604" s="206"/>
      <c r="X604" s="206"/>
      <c r="Y604" s="206"/>
    </row>
    <row r="605">
      <c r="A605" s="206"/>
      <c r="B605" s="206"/>
      <c r="C605" s="206"/>
      <c r="D605" s="206"/>
      <c r="E605" s="206"/>
      <c r="F605" s="206"/>
      <c r="G605" s="206"/>
      <c r="H605" s="206"/>
      <c r="I605" s="206"/>
      <c r="J605" s="206"/>
      <c r="K605" s="206"/>
      <c r="L605" s="206"/>
      <c r="M605" s="206"/>
      <c r="N605" s="206"/>
      <c r="O605" s="206"/>
      <c r="P605" s="206"/>
      <c r="Q605" s="206"/>
      <c r="R605" s="206"/>
      <c r="S605" s="206"/>
      <c r="T605" s="206"/>
      <c r="U605" s="206"/>
      <c r="V605" s="206"/>
      <c r="W605" s="206"/>
      <c r="X605" s="206"/>
      <c r="Y605" s="206"/>
    </row>
    <row r="606">
      <c r="A606" s="206"/>
      <c r="B606" s="206"/>
      <c r="C606" s="206"/>
      <c r="D606" s="206"/>
      <c r="E606" s="206"/>
      <c r="F606" s="206"/>
      <c r="G606" s="206"/>
      <c r="H606" s="206"/>
      <c r="I606" s="206"/>
      <c r="J606" s="206"/>
      <c r="K606" s="206"/>
      <c r="L606" s="206"/>
      <c r="M606" s="206"/>
      <c r="N606" s="206"/>
      <c r="O606" s="206"/>
      <c r="P606" s="206"/>
      <c r="Q606" s="206"/>
      <c r="R606" s="206"/>
      <c r="S606" s="206"/>
      <c r="T606" s="206"/>
      <c r="U606" s="206"/>
      <c r="V606" s="206"/>
      <c r="W606" s="206"/>
      <c r="X606" s="206"/>
      <c r="Y606" s="206"/>
    </row>
    <row r="607">
      <c r="A607" s="206"/>
      <c r="B607" s="206"/>
      <c r="C607" s="206"/>
      <c r="D607" s="206"/>
      <c r="E607" s="206"/>
      <c r="F607" s="206"/>
      <c r="G607" s="206"/>
      <c r="H607" s="206"/>
      <c r="I607" s="206"/>
      <c r="J607" s="206"/>
      <c r="K607" s="206"/>
      <c r="L607" s="206"/>
      <c r="M607" s="206"/>
      <c r="N607" s="206"/>
      <c r="O607" s="206"/>
      <c r="P607" s="206"/>
      <c r="Q607" s="206"/>
      <c r="R607" s="206"/>
      <c r="S607" s="206"/>
      <c r="T607" s="206"/>
      <c r="U607" s="206"/>
      <c r="V607" s="206"/>
      <c r="W607" s="206"/>
      <c r="X607" s="206"/>
      <c r="Y607" s="206"/>
    </row>
    <row r="608">
      <c r="A608" s="206"/>
      <c r="B608" s="206"/>
      <c r="C608" s="206"/>
      <c r="D608" s="206"/>
      <c r="E608" s="206"/>
      <c r="F608" s="206"/>
      <c r="G608" s="206"/>
      <c r="H608" s="206"/>
      <c r="I608" s="206"/>
      <c r="J608" s="206"/>
      <c r="K608" s="206"/>
      <c r="L608" s="206"/>
      <c r="M608" s="206"/>
      <c r="N608" s="206"/>
      <c r="O608" s="206"/>
      <c r="P608" s="206"/>
      <c r="Q608" s="206"/>
      <c r="R608" s="206"/>
      <c r="S608" s="206"/>
      <c r="T608" s="206"/>
      <c r="U608" s="206"/>
      <c r="V608" s="206"/>
      <c r="W608" s="206"/>
      <c r="X608" s="206"/>
      <c r="Y608" s="206"/>
    </row>
    <row r="609">
      <c r="A609" s="206"/>
      <c r="B609" s="206"/>
      <c r="C609" s="206"/>
      <c r="D609" s="206"/>
      <c r="E609" s="206"/>
      <c r="F609" s="206"/>
      <c r="G609" s="206"/>
      <c r="H609" s="206"/>
      <c r="I609" s="206"/>
      <c r="J609" s="206"/>
      <c r="K609" s="206"/>
      <c r="L609" s="206"/>
      <c r="M609" s="206"/>
      <c r="N609" s="206"/>
      <c r="O609" s="206"/>
      <c r="P609" s="206"/>
      <c r="Q609" s="206"/>
      <c r="R609" s="206"/>
      <c r="S609" s="206"/>
      <c r="T609" s="206"/>
      <c r="U609" s="206"/>
      <c r="V609" s="206"/>
      <c r="W609" s="206"/>
      <c r="X609" s="206"/>
      <c r="Y609" s="206"/>
    </row>
    <row r="610">
      <c r="A610" s="206"/>
      <c r="B610" s="206"/>
      <c r="C610" s="206"/>
      <c r="D610" s="206"/>
      <c r="E610" s="206"/>
      <c r="F610" s="206"/>
      <c r="G610" s="206"/>
      <c r="H610" s="206"/>
      <c r="I610" s="206"/>
      <c r="J610" s="206"/>
      <c r="K610" s="206"/>
      <c r="L610" s="206"/>
      <c r="M610" s="206"/>
      <c r="N610" s="206"/>
      <c r="O610" s="206"/>
      <c r="P610" s="206"/>
      <c r="Q610" s="206"/>
      <c r="R610" s="206"/>
      <c r="S610" s="206"/>
      <c r="T610" s="206"/>
      <c r="U610" s="206"/>
      <c r="V610" s="206"/>
      <c r="W610" s="206"/>
      <c r="X610" s="206"/>
      <c r="Y610" s="206"/>
    </row>
    <row r="611">
      <c r="A611" s="206"/>
      <c r="B611" s="206"/>
      <c r="C611" s="206"/>
      <c r="D611" s="206"/>
      <c r="E611" s="206"/>
      <c r="F611" s="206"/>
      <c r="G611" s="206"/>
      <c r="H611" s="206"/>
      <c r="I611" s="206"/>
      <c r="J611" s="206"/>
      <c r="K611" s="206"/>
      <c r="L611" s="206"/>
      <c r="M611" s="206"/>
      <c r="N611" s="206"/>
      <c r="O611" s="206"/>
      <c r="P611" s="206"/>
      <c r="Q611" s="206"/>
      <c r="R611" s="206"/>
      <c r="S611" s="206"/>
      <c r="T611" s="206"/>
      <c r="U611" s="206"/>
      <c r="V611" s="206"/>
      <c r="W611" s="206"/>
      <c r="X611" s="206"/>
      <c r="Y611" s="206"/>
    </row>
    <row r="612">
      <c r="A612" s="206"/>
      <c r="B612" s="206"/>
      <c r="C612" s="206"/>
      <c r="D612" s="206"/>
      <c r="E612" s="206"/>
      <c r="F612" s="206"/>
      <c r="G612" s="206"/>
      <c r="H612" s="206"/>
      <c r="I612" s="206"/>
      <c r="J612" s="206"/>
      <c r="K612" s="206"/>
      <c r="L612" s="206"/>
      <c r="M612" s="206"/>
      <c r="N612" s="206"/>
      <c r="O612" s="206"/>
      <c r="P612" s="206"/>
      <c r="Q612" s="206"/>
      <c r="R612" s="206"/>
      <c r="S612" s="206"/>
      <c r="T612" s="206"/>
      <c r="U612" s="206"/>
      <c r="V612" s="206"/>
      <c r="W612" s="206"/>
      <c r="X612" s="206"/>
      <c r="Y612" s="206"/>
    </row>
    <row r="613">
      <c r="A613" s="206"/>
      <c r="B613" s="206"/>
      <c r="C613" s="206"/>
      <c r="D613" s="206"/>
      <c r="E613" s="206"/>
      <c r="F613" s="206"/>
      <c r="G613" s="206"/>
      <c r="H613" s="206"/>
      <c r="I613" s="206"/>
      <c r="J613" s="206"/>
      <c r="K613" s="206"/>
      <c r="L613" s="206"/>
      <c r="M613" s="206"/>
      <c r="N613" s="206"/>
      <c r="O613" s="206"/>
      <c r="P613" s="206"/>
      <c r="Q613" s="206"/>
      <c r="R613" s="206"/>
      <c r="S613" s="206"/>
      <c r="T613" s="206"/>
      <c r="U613" s="206"/>
      <c r="V613" s="206"/>
      <c r="W613" s="206"/>
      <c r="X613" s="206"/>
      <c r="Y613" s="206"/>
    </row>
    <row r="614">
      <c r="A614" s="206"/>
      <c r="B614" s="206"/>
      <c r="C614" s="206"/>
      <c r="D614" s="206"/>
      <c r="E614" s="206"/>
      <c r="F614" s="206"/>
      <c r="G614" s="206"/>
      <c r="H614" s="206"/>
      <c r="I614" s="206"/>
      <c r="J614" s="206"/>
      <c r="K614" s="206"/>
      <c r="L614" s="206"/>
      <c r="M614" s="206"/>
      <c r="N614" s="206"/>
      <c r="O614" s="206"/>
      <c r="P614" s="206"/>
      <c r="Q614" s="206"/>
      <c r="R614" s="206"/>
      <c r="S614" s="206"/>
      <c r="T614" s="206"/>
      <c r="U614" s="206"/>
      <c r="V614" s="206"/>
      <c r="W614" s="206"/>
      <c r="X614" s="206"/>
      <c r="Y614" s="206"/>
    </row>
    <row r="615">
      <c r="A615" s="206"/>
      <c r="B615" s="206"/>
      <c r="C615" s="206"/>
      <c r="D615" s="206"/>
      <c r="E615" s="206"/>
      <c r="F615" s="206"/>
      <c r="G615" s="206"/>
      <c r="H615" s="206"/>
      <c r="I615" s="206"/>
      <c r="J615" s="206"/>
      <c r="K615" s="206"/>
      <c r="L615" s="206"/>
      <c r="M615" s="206"/>
      <c r="N615" s="206"/>
      <c r="O615" s="206"/>
      <c r="P615" s="206"/>
      <c r="Q615" s="206"/>
      <c r="R615" s="206"/>
      <c r="S615" s="206"/>
      <c r="T615" s="206"/>
      <c r="U615" s="206"/>
      <c r="V615" s="206"/>
      <c r="W615" s="206"/>
      <c r="X615" s="206"/>
      <c r="Y615" s="206"/>
    </row>
    <row r="616">
      <c r="A616" s="206"/>
      <c r="B616" s="206"/>
      <c r="C616" s="206"/>
      <c r="D616" s="206"/>
      <c r="E616" s="206"/>
      <c r="F616" s="206"/>
      <c r="G616" s="206"/>
      <c r="H616" s="206"/>
      <c r="I616" s="206"/>
      <c r="J616" s="206"/>
      <c r="K616" s="206"/>
      <c r="L616" s="206"/>
      <c r="M616" s="206"/>
      <c r="N616" s="206"/>
      <c r="O616" s="206"/>
      <c r="P616" s="206"/>
      <c r="Q616" s="206"/>
      <c r="R616" s="206"/>
      <c r="S616" s="206"/>
      <c r="T616" s="206"/>
      <c r="U616" s="206"/>
      <c r="V616" s="206"/>
      <c r="W616" s="206"/>
      <c r="X616" s="206"/>
      <c r="Y616" s="206"/>
    </row>
    <row r="617">
      <c r="A617" s="206"/>
      <c r="B617" s="206"/>
      <c r="C617" s="206"/>
      <c r="D617" s="206"/>
      <c r="E617" s="206"/>
      <c r="F617" s="206"/>
      <c r="G617" s="206"/>
      <c r="H617" s="206"/>
      <c r="I617" s="206"/>
      <c r="J617" s="206"/>
      <c r="K617" s="206"/>
      <c r="L617" s="206"/>
      <c r="M617" s="206"/>
      <c r="N617" s="206"/>
      <c r="O617" s="206"/>
      <c r="P617" s="206"/>
      <c r="Q617" s="206"/>
      <c r="R617" s="206"/>
      <c r="S617" s="206"/>
      <c r="T617" s="206"/>
      <c r="U617" s="206"/>
      <c r="V617" s="206"/>
      <c r="W617" s="206"/>
      <c r="X617" s="206"/>
      <c r="Y617" s="206"/>
    </row>
    <row r="618">
      <c r="A618" s="206"/>
      <c r="B618" s="206"/>
      <c r="C618" s="206"/>
      <c r="D618" s="206"/>
      <c r="E618" s="206"/>
      <c r="F618" s="206"/>
      <c r="G618" s="206"/>
      <c r="H618" s="206"/>
      <c r="I618" s="206"/>
      <c r="J618" s="206"/>
      <c r="K618" s="206"/>
      <c r="L618" s="206"/>
      <c r="M618" s="206"/>
      <c r="N618" s="206"/>
      <c r="O618" s="206"/>
      <c r="P618" s="206"/>
      <c r="Q618" s="206"/>
      <c r="R618" s="206"/>
      <c r="S618" s="206"/>
      <c r="T618" s="206"/>
      <c r="U618" s="206"/>
      <c r="V618" s="206"/>
      <c r="W618" s="206"/>
      <c r="X618" s="206"/>
      <c r="Y618" s="206"/>
    </row>
    <row r="619">
      <c r="A619" s="206"/>
      <c r="B619" s="206"/>
      <c r="C619" s="206"/>
      <c r="D619" s="206"/>
      <c r="E619" s="206"/>
      <c r="F619" s="206"/>
      <c r="G619" s="206"/>
      <c r="H619" s="206"/>
      <c r="I619" s="206"/>
      <c r="J619" s="206"/>
      <c r="K619" s="206"/>
      <c r="L619" s="206"/>
      <c r="M619" s="206"/>
      <c r="N619" s="206"/>
      <c r="O619" s="206"/>
      <c r="P619" s="206"/>
      <c r="Q619" s="206"/>
      <c r="R619" s="206"/>
      <c r="S619" s="206"/>
      <c r="T619" s="206"/>
      <c r="U619" s="206"/>
      <c r="V619" s="206"/>
      <c r="W619" s="206"/>
      <c r="X619" s="206"/>
      <c r="Y619" s="206"/>
    </row>
    <row r="620">
      <c r="A620" s="206"/>
      <c r="B620" s="206"/>
      <c r="C620" s="206"/>
      <c r="D620" s="206"/>
      <c r="E620" s="206"/>
      <c r="F620" s="206"/>
      <c r="G620" s="206"/>
      <c r="H620" s="206"/>
      <c r="I620" s="206"/>
      <c r="J620" s="206"/>
      <c r="K620" s="206"/>
      <c r="L620" s="206"/>
      <c r="M620" s="206"/>
      <c r="N620" s="206"/>
      <c r="O620" s="206"/>
      <c r="P620" s="206"/>
      <c r="Q620" s="206"/>
      <c r="R620" s="206"/>
      <c r="S620" s="206"/>
      <c r="T620" s="206"/>
      <c r="U620" s="206"/>
      <c r="V620" s="206"/>
      <c r="W620" s="206"/>
      <c r="X620" s="206"/>
      <c r="Y620" s="206"/>
    </row>
    <row r="621">
      <c r="A621" s="206"/>
      <c r="B621" s="206"/>
      <c r="C621" s="206"/>
      <c r="D621" s="206"/>
      <c r="E621" s="206"/>
      <c r="F621" s="206"/>
      <c r="G621" s="206"/>
      <c r="H621" s="206"/>
      <c r="I621" s="206"/>
      <c r="J621" s="206"/>
      <c r="K621" s="206"/>
      <c r="L621" s="206"/>
      <c r="M621" s="206"/>
      <c r="N621" s="206"/>
      <c r="O621" s="206"/>
      <c r="P621" s="206"/>
      <c r="Q621" s="206"/>
      <c r="R621" s="206"/>
      <c r="S621" s="206"/>
      <c r="T621" s="206"/>
      <c r="U621" s="206"/>
      <c r="V621" s="206"/>
      <c r="W621" s="206"/>
      <c r="X621" s="206"/>
      <c r="Y621" s="206"/>
    </row>
    <row r="622">
      <c r="A622" s="206"/>
      <c r="B622" s="206"/>
      <c r="C622" s="206"/>
      <c r="D622" s="206"/>
      <c r="E622" s="206"/>
      <c r="F622" s="206"/>
      <c r="G622" s="206"/>
      <c r="H622" s="206"/>
      <c r="I622" s="206"/>
      <c r="J622" s="206"/>
      <c r="K622" s="206"/>
      <c r="L622" s="206"/>
      <c r="M622" s="206"/>
      <c r="N622" s="206"/>
      <c r="O622" s="206"/>
      <c r="P622" s="206"/>
      <c r="Q622" s="206"/>
      <c r="R622" s="206"/>
      <c r="S622" s="206"/>
      <c r="T622" s="206"/>
      <c r="U622" s="206"/>
      <c r="V622" s="206"/>
      <c r="W622" s="206"/>
      <c r="X622" s="206"/>
      <c r="Y622" s="206"/>
    </row>
    <row r="623">
      <c r="A623" s="206"/>
      <c r="B623" s="206"/>
      <c r="C623" s="206"/>
      <c r="D623" s="206"/>
      <c r="E623" s="206"/>
      <c r="F623" s="206"/>
      <c r="G623" s="206"/>
      <c r="H623" s="206"/>
      <c r="I623" s="206"/>
      <c r="J623" s="206"/>
      <c r="K623" s="206"/>
      <c r="L623" s="206"/>
      <c r="M623" s="206"/>
      <c r="N623" s="206"/>
      <c r="O623" s="206"/>
      <c r="P623" s="206"/>
      <c r="Q623" s="206"/>
      <c r="R623" s="206"/>
      <c r="S623" s="206"/>
      <c r="T623" s="206"/>
      <c r="U623" s="206"/>
      <c r="V623" s="206"/>
      <c r="W623" s="206"/>
      <c r="X623" s="206"/>
      <c r="Y623" s="206"/>
    </row>
    <row r="624">
      <c r="A624" s="206"/>
      <c r="B624" s="206"/>
      <c r="C624" s="206"/>
      <c r="D624" s="206"/>
      <c r="E624" s="206"/>
      <c r="F624" s="206"/>
      <c r="G624" s="206"/>
      <c r="H624" s="206"/>
      <c r="I624" s="206"/>
      <c r="J624" s="206"/>
      <c r="K624" s="206"/>
      <c r="L624" s="206"/>
      <c r="M624" s="206"/>
      <c r="N624" s="206"/>
      <c r="O624" s="206"/>
      <c r="P624" s="206"/>
      <c r="Q624" s="206"/>
      <c r="R624" s="206"/>
      <c r="S624" s="206"/>
      <c r="T624" s="206"/>
      <c r="U624" s="206"/>
      <c r="V624" s="206"/>
      <c r="W624" s="206"/>
      <c r="X624" s="206"/>
      <c r="Y624" s="206"/>
    </row>
    <row r="625">
      <c r="A625" s="206"/>
      <c r="B625" s="206"/>
      <c r="C625" s="206"/>
      <c r="D625" s="206"/>
      <c r="E625" s="206"/>
      <c r="F625" s="206"/>
      <c r="G625" s="206"/>
      <c r="H625" s="206"/>
      <c r="I625" s="206"/>
      <c r="J625" s="206"/>
      <c r="K625" s="206"/>
      <c r="L625" s="206"/>
      <c r="M625" s="206"/>
      <c r="N625" s="206"/>
      <c r="O625" s="206"/>
      <c r="P625" s="206"/>
      <c r="Q625" s="206"/>
      <c r="R625" s="206"/>
      <c r="S625" s="206"/>
      <c r="T625" s="206"/>
      <c r="U625" s="206"/>
      <c r="V625" s="206"/>
      <c r="W625" s="206"/>
      <c r="X625" s="206"/>
      <c r="Y625" s="206"/>
    </row>
    <row r="626">
      <c r="A626" s="206"/>
      <c r="B626" s="206"/>
      <c r="C626" s="206"/>
      <c r="D626" s="206"/>
      <c r="E626" s="206"/>
      <c r="F626" s="206"/>
      <c r="G626" s="206"/>
      <c r="H626" s="206"/>
      <c r="I626" s="206"/>
      <c r="J626" s="206"/>
      <c r="K626" s="206"/>
      <c r="L626" s="206"/>
      <c r="M626" s="206"/>
      <c r="N626" s="206"/>
      <c r="O626" s="206"/>
      <c r="P626" s="206"/>
      <c r="Q626" s="206"/>
      <c r="R626" s="206"/>
      <c r="S626" s="206"/>
      <c r="T626" s="206"/>
      <c r="U626" s="206"/>
      <c r="V626" s="206"/>
      <c r="W626" s="206"/>
      <c r="X626" s="206"/>
      <c r="Y626" s="206"/>
    </row>
    <row r="627">
      <c r="A627" s="206"/>
      <c r="B627" s="206"/>
      <c r="C627" s="206"/>
      <c r="D627" s="206"/>
      <c r="E627" s="206"/>
      <c r="F627" s="206"/>
      <c r="G627" s="206"/>
      <c r="H627" s="206"/>
      <c r="I627" s="206"/>
      <c r="J627" s="206"/>
      <c r="K627" s="206"/>
      <c r="L627" s="206"/>
      <c r="M627" s="206"/>
      <c r="N627" s="206"/>
      <c r="O627" s="206"/>
      <c r="P627" s="206"/>
      <c r="Q627" s="206"/>
      <c r="R627" s="206"/>
      <c r="S627" s="206"/>
      <c r="T627" s="206"/>
      <c r="U627" s="206"/>
      <c r="V627" s="206"/>
      <c r="W627" s="206"/>
      <c r="X627" s="206"/>
      <c r="Y627" s="206"/>
    </row>
    <row r="628">
      <c r="A628" s="206"/>
      <c r="B628" s="206"/>
      <c r="C628" s="206"/>
      <c r="D628" s="206"/>
      <c r="E628" s="206"/>
      <c r="F628" s="206"/>
      <c r="G628" s="206"/>
      <c r="H628" s="206"/>
      <c r="I628" s="206"/>
      <c r="J628" s="206"/>
      <c r="K628" s="206"/>
      <c r="L628" s="206"/>
      <c r="M628" s="206"/>
      <c r="N628" s="206"/>
      <c r="O628" s="206"/>
      <c r="P628" s="206"/>
      <c r="Q628" s="206"/>
      <c r="R628" s="206"/>
      <c r="S628" s="206"/>
      <c r="T628" s="206"/>
      <c r="U628" s="206"/>
      <c r="V628" s="206"/>
      <c r="W628" s="206"/>
      <c r="X628" s="206"/>
      <c r="Y628" s="206"/>
    </row>
    <row r="629">
      <c r="A629" s="206"/>
      <c r="B629" s="206"/>
      <c r="C629" s="206"/>
      <c r="D629" s="206"/>
      <c r="E629" s="206"/>
      <c r="F629" s="206"/>
      <c r="G629" s="206"/>
      <c r="H629" s="206"/>
      <c r="I629" s="206"/>
      <c r="J629" s="206"/>
      <c r="K629" s="206"/>
      <c r="L629" s="206"/>
      <c r="M629" s="206"/>
      <c r="N629" s="206"/>
      <c r="O629" s="206"/>
      <c r="P629" s="206"/>
      <c r="Q629" s="206"/>
      <c r="R629" s="206"/>
      <c r="S629" s="206"/>
      <c r="T629" s="206"/>
      <c r="U629" s="206"/>
      <c r="V629" s="206"/>
      <c r="W629" s="206"/>
      <c r="X629" s="206"/>
      <c r="Y629" s="206"/>
    </row>
    <row r="630">
      <c r="A630" s="206"/>
      <c r="B630" s="206"/>
      <c r="C630" s="206"/>
      <c r="D630" s="206"/>
      <c r="E630" s="206"/>
      <c r="F630" s="206"/>
      <c r="G630" s="206"/>
      <c r="H630" s="206"/>
      <c r="I630" s="206"/>
      <c r="J630" s="206"/>
      <c r="K630" s="206"/>
      <c r="L630" s="206"/>
      <c r="M630" s="206"/>
      <c r="N630" s="206"/>
      <c r="O630" s="206"/>
      <c r="P630" s="206"/>
      <c r="Q630" s="206"/>
      <c r="R630" s="206"/>
      <c r="S630" s="206"/>
      <c r="T630" s="206"/>
      <c r="U630" s="206"/>
      <c r="V630" s="206"/>
      <c r="W630" s="206"/>
      <c r="X630" s="206"/>
      <c r="Y630" s="206"/>
    </row>
    <row r="631">
      <c r="A631" s="206"/>
      <c r="B631" s="206"/>
      <c r="C631" s="206"/>
      <c r="D631" s="206"/>
      <c r="E631" s="206"/>
      <c r="F631" s="206"/>
      <c r="G631" s="206"/>
      <c r="H631" s="206"/>
      <c r="I631" s="206"/>
      <c r="J631" s="206"/>
      <c r="K631" s="206"/>
      <c r="L631" s="206"/>
      <c r="M631" s="206"/>
      <c r="N631" s="206"/>
      <c r="O631" s="206"/>
      <c r="P631" s="206"/>
      <c r="Q631" s="206"/>
      <c r="R631" s="206"/>
      <c r="S631" s="206"/>
      <c r="T631" s="206"/>
      <c r="U631" s="206"/>
      <c r="V631" s="206"/>
      <c r="W631" s="206"/>
      <c r="X631" s="206"/>
      <c r="Y631" s="206"/>
    </row>
    <row r="632">
      <c r="A632" s="206"/>
      <c r="B632" s="206"/>
      <c r="C632" s="206"/>
      <c r="D632" s="206"/>
      <c r="E632" s="206"/>
      <c r="F632" s="206"/>
      <c r="G632" s="206"/>
      <c r="H632" s="206"/>
      <c r="I632" s="206"/>
      <c r="J632" s="206"/>
      <c r="K632" s="206"/>
      <c r="L632" s="206"/>
      <c r="M632" s="206"/>
      <c r="N632" s="206"/>
      <c r="O632" s="206"/>
      <c r="P632" s="206"/>
      <c r="Q632" s="206"/>
      <c r="R632" s="206"/>
      <c r="S632" s="206"/>
      <c r="T632" s="206"/>
      <c r="U632" s="206"/>
      <c r="V632" s="206"/>
      <c r="W632" s="206"/>
      <c r="X632" s="206"/>
      <c r="Y632" s="206"/>
    </row>
    <row r="633">
      <c r="A633" s="206"/>
      <c r="B633" s="206"/>
      <c r="C633" s="206"/>
      <c r="D633" s="206"/>
      <c r="E633" s="206"/>
      <c r="F633" s="206"/>
      <c r="G633" s="206"/>
      <c r="H633" s="206"/>
      <c r="I633" s="206"/>
      <c r="J633" s="206"/>
      <c r="K633" s="206"/>
      <c r="L633" s="206"/>
      <c r="M633" s="206"/>
      <c r="N633" s="206"/>
      <c r="O633" s="206"/>
      <c r="P633" s="206"/>
      <c r="Q633" s="206"/>
      <c r="R633" s="206"/>
      <c r="S633" s="206"/>
      <c r="T633" s="206"/>
      <c r="U633" s="206"/>
      <c r="V633" s="206"/>
      <c r="W633" s="206"/>
      <c r="X633" s="206"/>
      <c r="Y633" s="206"/>
    </row>
    <row r="634">
      <c r="A634" s="206"/>
      <c r="B634" s="206"/>
      <c r="C634" s="206"/>
      <c r="D634" s="206"/>
      <c r="E634" s="206"/>
      <c r="F634" s="206"/>
      <c r="G634" s="206"/>
      <c r="H634" s="206"/>
      <c r="I634" s="206"/>
      <c r="J634" s="206"/>
      <c r="K634" s="206"/>
      <c r="L634" s="206"/>
      <c r="M634" s="206"/>
      <c r="N634" s="206"/>
      <c r="O634" s="206"/>
      <c r="P634" s="206"/>
      <c r="Q634" s="206"/>
      <c r="R634" s="206"/>
      <c r="S634" s="206"/>
      <c r="T634" s="206"/>
      <c r="U634" s="206"/>
      <c r="V634" s="206"/>
      <c r="W634" s="206"/>
      <c r="X634" s="206"/>
      <c r="Y634" s="206"/>
    </row>
    <row r="635">
      <c r="A635" s="206"/>
      <c r="B635" s="206"/>
      <c r="C635" s="206"/>
      <c r="D635" s="206"/>
      <c r="E635" s="206"/>
      <c r="F635" s="206"/>
      <c r="G635" s="206"/>
      <c r="H635" s="206"/>
      <c r="I635" s="206"/>
      <c r="J635" s="206"/>
      <c r="K635" s="206"/>
      <c r="L635" s="206"/>
      <c r="M635" s="206"/>
      <c r="N635" s="206"/>
      <c r="O635" s="206"/>
      <c r="P635" s="206"/>
      <c r="Q635" s="206"/>
      <c r="R635" s="206"/>
      <c r="S635" s="206"/>
      <c r="T635" s="206"/>
      <c r="U635" s="206"/>
      <c r="V635" s="206"/>
      <c r="W635" s="206"/>
      <c r="X635" s="206"/>
      <c r="Y635" s="206"/>
    </row>
    <row r="636">
      <c r="A636" s="206"/>
      <c r="B636" s="206"/>
      <c r="C636" s="206"/>
      <c r="D636" s="206"/>
      <c r="E636" s="206"/>
      <c r="F636" s="206"/>
      <c r="G636" s="206"/>
      <c r="H636" s="206"/>
      <c r="I636" s="206"/>
      <c r="J636" s="206"/>
      <c r="K636" s="206"/>
      <c r="L636" s="206"/>
      <c r="M636" s="206"/>
      <c r="N636" s="206"/>
      <c r="O636" s="206"/>
      <c r="P636" s="206"/>
      <c r="Q636" s="206"/>
      <c r="R636" s="206"/>
      <c r="S636" s="206"/>
      <c r="T636" s="206"/>
      <c r="U636" s="206"/>
      <c r="V636" s="206"/>
      <c r="W636" s="206"/>
      <c r="X636" s="206"/>
      <c r="Y636" s="206"/>
    </row>
    <row r="637">
      <c r="A637" s="206"/>
      <c r="B637" s="206"/>
      <c r="C637" s="206"/>
      <c r="D637" s="206"/>
      <c r="E637" s="206"/>
      <c r="F637" s="206"/>
      <c r="G637" s="206"/>
      <c r="H637" s="206"/>
      <c r="I637" s="206"/>
      <c r="J637" s="206"/>
      <c r="K637" s="206"/>
      <c r="L637" s="206"/>
      <c r="M637" s="206"/>
      <c r="N637" s="206"/>
      <c r="O637" s="206"/>
      <c r="P637" s="206"/>
      <c r="Q637" s="206"/>
      <c r="R637" s="206"/>
      <c r="S637" s="206"/>
      <c r="T637" s="206"/>
      <c r="U637" s="206"/>
      <c r="V637" s="206"/>
      <c r="W637" s="206"/>
      <c r="X637" s="206"/>
      <c r="Y637" s="206"/>
    </row>
    <row r="638">
      <c r="A638" s="206"/>
      <c r="B638" s="206"/>
      <c r="C638" s="206"/>
      <c r="D638" s="206"/>
      <c r="E638" s="206"/>
      <c r="F638" s="206"/>
      <c r="G638" s="206"/>
      <c r="H638" s="206"/>
      <c r="I638" s="206"/>
      <c r="J638" s="206"/>
      <c r="K638" s="206"/>
      <c r="L638" s="206"/>
      <c r="M638" s="206"/>
      <c r="N638" s="206"/>
      <c r="O638" s="206"/>
      <c r="P638" s="206"/>
      <c r="Q638" s="206"/>
      <c r="R638" s="206"/>
      <c r="S638" s="206"/>
      <c r="T638" s="206"/>
      <c r="U638" s="206"/>
      <c r="V638" s="206"/>
      <c r="W638" s="206"/>
      <c r="X638" s="206"/>
      <c r="Y638" s="206"/>
    </row>
    <row r="639">
      <c r="A639" s="206"/>
      <c r="B639" s="206"/>
      <c r="C639" s="206"/>
      <c r="D639" s="206"/>
      <c r="E639" s="206"/>
      <c r="F639" s="206"/>
      <c r="G639" s="206"/>
      <c r="H639" s="206"/>
      <c r="I639" s="206"/>
      <c r="J639" s="206"/>
      <c r="K639" s="206"/>
      <c r="L639" s="206"/>
      <c r="M639" s="206"/>
      <c r="N639" s="206"/>
      <c r="O639" s="206"/>
      <c r="P639" s="206"/>
      <c r="Q639" s="206"/>
      <c r="R639" s="206"/>
      <c r="S639" s="206"/>
      <c r="T639" s="206"/>
      <c r="U639" s="206"/>
      <c r="V639" s="206"/>
      <c r="W639" s="206"/>
      <c r="X639" s="206"/>
      <c r="Y639" s="206"/>
    </row>
    <row r="640">
      <c r="A640" s="206"/>
      <c r="B640" s="206"/>
      <c r="C640" s="206"/>
      <c r="D640" s="206"/>
      <c r="E640" s="206"/>
      <c r="F640" s="206"/>
      <c r="G640" s="206"/>
      <c r="H640" s="206"/>
      <c r="I640" s="206"/>
      <c r="J640" s="206"/>
      <c r="K640" s="206"/>
      <c r="L640" s="206"/>
      <c r="M640" s="206"/>
      <c r="N640" s="206"/>
      <c r="O640" s="206"/>
      <c r="P640" s="206"/>
      <c r="Q640" s="206"/>
      <c r="R640" s="206"/>
      <c r="S640" s="206"/>
      <c r="T640" s="206"/>
      <c r="U640" s="206"/>
      <c r="V640" s="206"/>
      <c r="W640" s="206"/>
      <c r="X640" s="206"/>
      <c r="Y640" s="206"/>
    </row>
    <row r="641">
      <c r="A641" s="206"/>
      <c r="B641" s="206"/>
      <c r="C641" s="206"/>
      <c r="D641" s="206"/>
      <c r="E641" s="206"/>
      <c r="F641" s="206"/>
      <c r="G641" s="206"/>
      <c r="H641" s="206"/>
      <c r="I641" s="206"/>
      <c r="J641" s="206"/>
      <c r="K641" s="206"/>
      <c r="L641" s="206"/>
      <c r="M641" s="206"/>
      <c r="N641" s="206"/>
      <c r="O641" s="206"/>
      <c r="P641" s="206"/>
      <c r="Q641" s="206"/>
      <c r="R641" s="206"/>
      <c r="S641" s="206"/>
      <c r="T641" s="206"/>
      <c r="U641" s="206"/>
      <c r="V641" s="206"/>
      <c r="W641" s="206"/>
      <c r="X641" s="206"/>
      <c r="Y641" s="206"/>
    </row>
    <row r="642">
      <c r="A642" s="206"/>
      <c r="B642" s="206"/>
      <c r="C642" s="206"/>
      <c r="D642" s="206"/>
      <c r="E642" s="206"/>
      <c r="F642" s="206"/>
      <c r="G642" s="206"/>
      <c r="H642" s="206"/>
      <c r="I642" s="206"/>
      <c r="J642" s="206"/>
      <c r="K642" s="206"/>
      <c r="L642" s="206"/>
      <c r="M642" s="206"/>
      <c r="N642" s="206"/>
      <c r="O642" s="206"/>
      <c r="P642" s="206"/>
      <c r="Q642" s="206"/>
      <c r="R642" s="206"/>
      <c r="S642" s="206"/>
      <c r="T642" s="206"/>
      <c r="U642" s="206"/>
      <c r="V642" s="206"/>
      <c r="W642" s="206"/>
      <c r="X642" s="206"/>
      <c r="Y642" s="206"/>
    </row>
    <row r="643">
      <c r="A643" s="206"/>
      <c r="B643" s="206"/>
      <c r="C643" s="206"/>
      <c r="D643" s="206"/>
      <c r="E643" s="206"/>
      <c r="F643" s="206"/>
      <c r="G643" s="206"/>
      <c r="H643" s="206"/>
      <c r="I643" s="206"/>
      <c r="J643" s="206"/>
      <c r="K643" s="206"/>
      <c r="L643" s="206"/>
      <c r="M643" s="206"/>
      <c r="N643" s="206"/>
      <c r="O643" s="206"/>
      <c r="P643" s="206"/>
      <c r="Q643" s="206"/>
      <c r="R643" s="206"/>
      <c r="S643" s="206"/>
      <c r="T643" s="206"/>
      <c r="U643" s="206"/>
      <c r="V643" s="206"/>
      <c r="W643" s="206"/>
      <c r="X643" s="206"/>
      <c r="Y643" s="206"/>
    </row>
    <row r="644">
      <c r="A644" s="206"/>
      <c r="B644" s="206"/>
      <c r="C644" s="206"/>
      <c r="D644" s="206"/>
      <c r="E644" s="206"/>
      <c r="F644" s="206"/>
      <c r="G644" s="206"/>
      <c r="H644" s="206"/>
      <c r="I644" s="206"/>
      <c r="J644" s="206"/>
      <c r="K644" s="206"/>
      <c r="L644" s="206"/>
      <c r="M644" s="206"/>
      <c r="N644" s="206"/>
      <c r="O644" s="206"/>
      <c r="P644" s="206"/>
      <c r="Q644" s="206"/>
      <c r="R644" s="206"/>
      <c r="S644" s="206"/>
      <c r="T644" s="206"/>
      <c r="U644" s="206"/>
      <c r="V644" s="206"/>
      <c r="W644" s="206"/>
      <c r="X644" s="206"/>
      <c r="Y644" s="206"/>
    </row>
    <row r="645">
      <c r="A645" s="206"/>
      <c r="B645" s="206"/>
      <c r="C645" s="206"/>
      <c r="D645" s="206"/>
      <c r="E645" s="206"/>
      <c r="F645" s="206"/>
      <c r="G645" s="206"/>
      <c r="H645" s="206"/>
      <c r="I645" s="206"/>
      <c r="J645" s="206"/>
      <c r="K645" s="206"/>
      <c r="L645" s="206"/>
      <c r="M645" s="206"/>
      <c r="N645" s="206"/>
      <c r="O645" s="206"/>
      <c r="P645" s="206"/>
      <c r="Q645" s="206"/>
      <c r="R645" s="206"/>
      <c r="S645" s="206"/>
      <c r="T645" s="206"/>
      <c r="U645" s="206"/>
      <c r="V645" s="206"/>
      <c r="W645" s="206"/>
      <c r="X645" s="206"/>
      <c r="Y645" s="206"/>
    </row>
    <row r="646">
      <c r="A646" s="206"/>
      <c r="B646" s="206"/>
      <c r="C646" s="206"/>
      <c r="D646" s="206"/>
      <c r="E646" s="206"/>
      <c r="F646" s="206"/>
      <c r="G646" s="206"/>
      <c r="H646" s="206"/>
      <c r="I646" s="206"/>
      <c r="J646" s="206"/>
      <c r="K646" s="206"/>
      <c r="L646" s="206"/>
      <c r="M646" s="206"/>
      <c r="N646" s="206"/>
      <c r="O646" s="206"/>
      <c r="P646" s="206"/>
      <c r="Q646" s="206"/>
      <c r="R646" s="206"/>
      <c r="S646" s="206"/>
      <c r="T646" s="206"/>
      <c r="U646" s="206"/>
      <c r="V646" s="206"/>
      <c r="W646" s="206"/>
      <c r="X646" s="206"/>
      <c r="Y646" s="206"/>
    </row>
    <row r="647">
      <c r="A647" s="206"/>
      <c r="B647" s="206"/>
      <c r="C647" s="206"/>
      <c r="D647" s="206"/>
      <c r="E647" s="206"/>
      <c r="F647" s="206"/>
      <c r="G647" s="206"/>
      <c r="H647" s="206"/>
      <c r="I647" s="206"/>
      <c r="J647" s="206"/>
      <c r="K647" s="206"/>
      <c r="L647" s="206"/>
      <c r="M647" s="206"/>
      <c r="N647" s="206"/>
      <c r="O647" s="206"/>
      <c r="P647" s="206"/>
      <c r="Q647" s="206"/>
      <c r="R647" s="206"/>
      <c r="S647" s="206"/>
      <c r="T647" s="206"/>
      <c r="U647" s="206"/>
      <c r="V647" s="206"/>
      <c r="W647" s="206"/>
      <c r="X647" s="206"/>
      <c r="Y647" s="206"/>
    </row>
    <row r="648">
      <c r="A648" s="206"/>
      <c r="B648" s="206"/>
      <c r="C648" s="206"/>
      <c r="D648" s="206"/>
      <c r="E648" s="206"/>
      <c r="F648" s="206"/>
      <c r="G648" s="206"/>
      <c r="H648" s="206"/>
      <c r="I648" s="206"/>
      <c r="J648" s="206"/>
      <c r="K648" s="206"/>
      <c r="L648" s="206"/>
      <c r="M648" s="206"/>
      <c r="N648" s="206"/>
      <c r="O648" s="206"/>
      <c r="P648" s="206"/>
      <c r="Q648" s="206"/>
      <c r="R648" s="206"/>
      <c r="S648" s="206"/>
      <c r="T648" s="206"/>
      <c r="U648" s="206"/>
      <c r="V648" s="206"/>
      <c r="W648" s="206"/>
      <c r="X648" s="206"/>
      <c r="Y648" s="206"/>
    </row>
    <row r="649">
      <c r="A649" s="206"/>
      <c r="B649" s="206"/>
      <c r="C649" s="206"/>
      <c r="D649" s="206"/>
      <c r="E649" s="206"/>
      <c r="F649" s="206"/>
      <c r="G649" s="206"/>
      <c r="H649" s="206"/>
      <c r="I649" s="206"/>
      <c r="J649" s="206"/>
      <c r="K649" s="206"/>
      <c r="L649" s="206"/>
      <c r="M649" s="206"/>
      <c r="N649" s="206"/>
      <c r="O649" s="206"/>
      <c r="P649" s="206"/>
      <c r="Q649" s="206"/>
      <c r="R649" s="206"/>
      <c r="S649" s="206"/>
      <c r="T649" s="206"/>
      <c r="U649" s="206"/>
      <c r="V649" s="206"/>
      <c r="W649" s="206"/>
      <c r="X649" s="206"/>
      <c r="Y649" s="206"/>
    </row>
    <row r="650">
      <c r="A650" s="206"/>
      <c r="B650" s="206"/>
      <c r="C650" s="206"/>
      <c r="D650" s="206"/>
      <c r="E650" s="206"/>
      <c r="F650" s="206"/>
      <c r="G650" s="206"/>
      <c r="H650" s="206"/>
      <c r="I650" s="206"/>
      <c r="J650" s="206"/>
      <c r="K650" s="206"/>
      <c r="L650" s="206"/>
      <c r="M650" s="206"/>
      <c r="N650" s="206"/>
      <c r="O650" s="206"/>
      <c r="P650" s="206"/>
      <c r="Q650" s="206"/>
      <c r="R650" s="206"/>
      <c r="S650" s="206"/>
      <c r="T650" s="206"/>
      <c r="U650" s="206"/>
      <c r="V650" s="206"/>
      <c r="W650" s="206"/>
      <c r="X650" s="206"/>
      <c r="Y650" s="206"/>
    </row>
    <row r="651">
      <c r="A651" s="206"/>
      <c r="B651" s="206"/>
      <c r="C651" s="206"/>
      <c r="D651" s="206"/>
      <c r="E651" s="206"/>
      <c r="F651" s="206"/>
      <c r="G651" s="206"/>
      <c r="H651" s="206"/>
      <c r="I651" s="206"/>
      <c r="J651" s="206"/>
      <c r="K651" s="206"/>
      <c r="L651" s="206"/>
      <c r="M651" s="206"/>
      <c r="N651" s="206"/>
      <c r="O651" s="206"/>
      <c r="P651" s="206"/>
      <c r="Q651" s="206"/>
      <c r="R651" s="206"/>
      <c r="S651" s="206"/>
      <c r="T651" s="206"/>
      <c r="U651" s="206"/>
      <c r="V651" s="206"/>
      <c r="W651" s="206"/>
      <c r="X651" s="206"/>
      <c r="Y651" s="206"/>
    </row>
    <row r="652">
      <c r="A652" s="206"/>
      <c r="B652" s="206"/>
      <c r="C652" s="206"/>
      <c r="D652" s="206"/>
      <c r="E652" s="206"/>
      <c r="F652" s="206"/>
      <c r="G652" s="206"/>
      <c r="H652" s="206"/>
      <c r="I652" s="206"/>
      <c r="J652" s="206"/>
      <c r="K652" s="206"/>
      <c r="L652" s="206"/>
      <c r="M652" s="206"/>
      <c r="N652" s="206"/>
      <c r="O652" s="206"/>
      <c r="P652" s="206"/>
      <c r="Q652" s="206"/>
      <c r="R652" s="206"/>
      <c r="S652" s="206"/>
      <c r="T652" s="206"/>
      <c r="U652" s="206"/>
      <c r="V652" s="206"/>
      <c r="W652" s="206"/>
      <c r="X652" s="206"/>
      <c r="Y652" s="206"/>
    </row>
    <row r="653">
      <c r="A653" s="206"/>
      <c r="B653" s="206"/>
      <c r="C653" s="206"/>
      <c r="D653" s="206"/>
      <c r="E653" s="206"/>
      <c r="F653" s="206"/>
      <c r="G653" s="206"/>
      <c r="H653" s="206"/>
      <c r="I653" s="206"/>
      <c r="J653" s="206"/>
      <c r="K653" s="206"/>
      <c r="L653" s="206"/>
      <c r="M653" s="206"/>
      <c r="N653" s="206"/>
      <c r="O653" s="206"/>
      <c r="P653" s="206"/>
      <c r="Q653" s="206"/>
      <c r="R653" s="206"/>
      <c r="S653" s="206"/>
      <c r="T653" s="206"/>
      <c r="U653" s="206"/>
      <c r="V653" s="206"/>
      <c r="W653" s="206"/>
      <c r="X653" s="206"/>
      <c r="Y653" s="206"/>
    </row>
    <row r="654">
      <c r="A654" s="206"/>
      <c r="B654" s="206"/>
      <c r="C654" s="206"/>
      <c r="D654" s="206"/>
      <c r="E654" s="206"/>
      <c r="F654" s="206"/>
      <c r="G654" s="206"/>
      <c r="H654" s="206"/>
      <c r="I654" s="206"/>
      <c r="J654" s="206"/>
      <c r="K654" s="206"/>
      <c r="L654" s="206"/>
      <c r="M654" s="206"/>
      <c r="N654" s="206"/>
      <c r="O654" s="206"/>
      <c r="P654" s="206"/>
      <c r="Q654" s="206"/>
      <c r="R654" s="206"/>
      <c r="S654" s="206"/>
      <c r="T654" s="206"/>
      <c r="U654" s="206"/>
      <c r="V654" s="206"/>
      <c r="W654" s="206"/>
      <c r="X654" s="206"/>
      <c r="Y654" s="206"/>
    </row>
    <row r="655">
      <c r="A655" s="206"/>
      <c r="B655" s="206"/>
      <c r="C655" s="206"/>
      <c r="D655" s="206"/>
      <c r="E655" s="206"/>
      <c r="F655" s="206"/>
      <c r="G655" s="206"/>
      <c r="H655" s="206"/>
      <c r="I655" s="206"/>
      <c r="J655" s="206"/>
      <c r="K655" s="206"/>
      <c r="L655" s="206"/>
      <c r="M655" s="206"/>
      <c r="N655" s="206"/>
      <c r="O655" s="206"/>
      <c r="P655" s="206"/>
      <c r="Q655" s="206"/>
      <c r="R655" s="206"/>
      <c r="S655" s="206"/>
      <c r="T655" s="206"/>
      <c r="U655" s="206"/>
      <c r="V655" s="206"/>
      <c r="W655" s="206"/>
      <c r="X655" s="206"/>
      <c r="Y655" s="206"/>
    </row>
    <row r="656">
      <c r="A656" s="206"/>
      <c r="B656" s="206"/>
      <c r="C656" s="206"/>
      <c r="D656" s="206"/>
      <c r="E656" s="206"/>
      <c r="F656" s="206"/>
      <c r="G656" s="206"/>
      <c r="H656" s="206"/>
      <c r="I656" s="206"/>
      <c r="J656" s="206"/>
      <c r="K656" s="206"/>
      <c r="L656" s="206"/>
      <c r="M656" s="206"/>
      <c r="N656" s="206"/>
      <c r="O656" s="206"/>
      <c r="P656" s="206"/>
      <c r="Q656" s="206"/>
      <c r="R656" s="206"/>
      <c r="S656" s="206"/>
      <c r="T656" s="206"/>
      <c r="U656" s="206"/>
      <c r="V656" s="206"/>
      <c r="W656" s="206"/>
      <c r="X656" s="206"/>
      <c r="Y656" s="206"/>
    </row>
    <row r="657">
      <c r="A657" s="206"/>
      <c r="B657" s="206"/>
      <c r="C657" s="206"/>
      <c r="D657" s="206"/>
      <c r="E657" s="206"/>
      <c r="F657" s="206"/>
      <c r="G657" s="206"/>
      <c r="H657" s="206"/>
      <c r="I657" s="206"/>
      <c r="J657" s="206"/>
      <c r="K657" s="206"/>
      <c r="L657" s="206"/>
      <c r="M657" s="206"/>
      <c r="N657" s="206"/>
      <c r="O657" s="206"/>
      <c r="P657" s="206"/>
      <c r="Q657" s="206"/>
      <c r="R657" s="206"/>
      <c r="S657" s="206"/>
      <c r="T657" s="206"/>
      <c r="U657" s="206"/>
      <c r="V657" s="206"/>
      <c r="W657" s="206"/>
      <c r="X657" s="206"/>
      <c r="Y657" s="206"/>
    </row>
    <row r="658">
      <c r="A658" s="206"/>
      <c r="B658" s="206"/>
      <c r="C658" s="206"/>
      <c r="D658" s="206"/>
      <c r="E658" s="206"/>
      <c r="F658" s="206"/>
      <c r="G658" s="206"/>
      <c r="H658" s="206"/>
      <c r="I658" s="206"/>
      <c r="J658" s="206"/>
      <c r="K658" s="206"/>
      <c r="L658" s="206"/>
      <c r="M658" s="206"/>
      <c r="N658" s="206"/>
      <c r="O658" s="206"/>
      <c r="P658" s="206"/>
      <c r="Q658" s="206"/>
      <c r="R658" s="206"/>
      <c r="S658" s="206"/>
      <c r="T658" s="206"/>
      <c r="U658" s="206"/>
      <c r="V658" s="206"/>
      <c r="W658" s="206"/>
      <c r="X658" s="206"/>
      <c r="Y658" s="206"/>
    </row>
    <row r="659">
      <c r="A659" s="206"/>
      <c r="B659" s="206"/>
      <c r="C659" s="206"/>
      <c r="D659" s="206"/>
      <c r="E659" s="206"/>
      <c r="F659" s="206"/>
      <c r="G659" s="206"/>
      <c r="H659" s="206"/>
      <c r="I659" s="206"/>
      <c r="J659" s="206"/>
      <c r="K659" s="206"/>
      <c r="L659" s="206"/>
      <c r="M659" s="206"/>
      <c r="N659" s="206"/>
      <c r="O659" s="206"/>
      <c r="P659" s="206"/>
      <c r="Q659" s="206"/>
      <c r="R659" s="206"/>
      <c r="S659" s="206"/>
      <c r="T659" s="206"/>
      <c r="U659" s="206"/>
      <c r="V659" s="206"/>
      <c r="W659" s="206"/>
      <c r="X659" s="206"/>
      <c r="Y659" s="206"/>
    </row>
    <row r="660">
      <c r="A660" s="206"/>
      <c r="B660" s="206"/>
      <c r="C660" s="206"/>
      <c r="D660" s="206"/>
      <c r="E660" s="206"/>
      <c r="F660" s="206"/>
      <c r="G660" s="206"/>
      <c r="H660" s="206"/>
      <c r="I660" s="206"/>
      <c r="J660" s="206"/>
      <c r="K660" s="206"/>
      <c r="L660" s="206"/>
      <c r="M660" s="206"/>
      <c r="N660" s="206"/>
      <c r="O660" s="206"/>
      <c r="P660" s="206"/>
      <c r="Q660" s="206"/>
      <c r="R660" s="206"/>
      <c r="S660" s="206"/>
      <c r="T660" s="206"/>
      <c r="U660" s="206"/>
      <c r="V660" s="206"/>
      <c r="W660" s="206"/>
      <c r="X660" s="206"/>
      <c r="Y660" s="206"/>
    </row>
    <row r="661">
      <c r="A661" s="206"/>
      <c r="B661" s="206"/>
      <c r="C661" s="206"/>
      <c r="D661" s="206"/>
      <c r="E661" s="206"/>
      <c r="F661" s="206"/>
      <c r="G661" s="206"/>
      <c r="H661" s="206"/>
      <c r="I661" s="206"/>
      <c r="J661" s="206"/>
      <c r="K661" s="206"/>
      <c r="L661" s="206"/>
      <c r="M661" s="206"/>
      <c r="N661" s="206"/>
      <c r="O661" s="206"/>
      <c r="P661" s="206"/>
      <c r="Q661" s="206"/>
      <c r="R661" s="206"/>
      <c r="S661" s="206"/>
      <c r="T661" s="206"/>
      <c r="U661" s="206"/>
      <c r="V661" s="206"/>
      <c r="W661" s="206"/>
      <c r="X661" s="206"/>
      <c r="Y661" s="206"/>
    </row>
    <row r="662">
      <c r="A662" s="206"/>
      <c r="B662" s="206"/>
      <c r="C662" s="206"/>
      <c r="D662" s="206"/>
      <c r="E662" s="206"/>
      <c r="F662" s="206"/>
      <c r="G662" s="206"/>
      <c r="H662" s="206"/>
      <c r="I662" s="206"/>
      <c r="J662" s="206"/>
      <c r="K662" s="206"/>
      <c r="L662" s="206"/>
      <c r="M662" s="206"/>
      <c r="N662" s="206"/>
      <c r="O662" s="206"/>
      <c r="P662" s="206"/>
      <c r="Q662" s="206"/>
      <c r="R662" s="206"/>
      <c r="S662" s="206"/>
      <c r="T662" s="206"/>
      <c r="U662" s="206"/>
      <c r="V662" s="206"/>
      <c r="W662" s="206"/>
      <c r="X662" s="206"/>
      <c r="Y662" s="206"/>
    </row>
    <row r="663">
      <c r="A663" s="206"/>
      <c r="B663" s="206"/>
      <c r="C663" s="206"/>
      <c r="D663" s="206"/>
      <c r="E663" s="206"/>
      <c r="F663" s="206"/>
      <c r="G663" s="206"/>
      <c r="H663" s="206"/>
      <c r="I663" s="206"/>
      <c r="J663" s="206"/>
      <c r="K663" s="206"/>
      <c r="L663" s="206"/>
      <c r="M663" s="206"/>
      <c r="N663" s="206"/>
      <c r="O663" s="206"/>
      <c r="P663" s="206"/>
      <c r="Q663" s="206"/>
      <c r="R663" s="206"/>
      <c r="S663" s="206"/>
      <c r="T663" s="206"/>
      <c r="U663" s="206"/>
      <c r="V663" s="206"/>
      <c r="W663" s="206"/>
      <c r="X663" s="206"/>
      <c r="Y663" s="206"/>
    </row>
    <row r="664">
      <c r="A664" s="206"/>
      <c r="B664" s="206"/>
      <c r="C664" s="206"/>
      <c r="D664" s="206"/>
      <c r="E664" s="206"/>
      <c r="F664" s="206"/>
      <c r="G664" s="206"/>
      <c r="H664" s="206"/>
      <c r="I664" s="206"/>
      <c r="J664" s="206"/>
      <c r="K664" s="206"/>
      <c r="L664" s="206"/>
      <c r="M664" s="206"/>
      <c r="N664" s="206"/>
      <c r="O664" s="206"/>
      <c r="P664" s="206"/>
      <c r="Q664" s="206"/>
      <c r="R664" s="206"/>
      <c r="S664" s="206"/>
      <c r="T664" s="206"/>
      <c r="U664" s="206"/>
      <c r="V664" s="206"/>
      <c r="W664" s="206"/>
      <c r="X664" s="206"/>
      <c r="Y664" s="206"/>
    </row>
    <row r="665">
      <c r="A665" s="206"/>
      <c r="B665" s="206"/>
      <c r="C665" s="206"/>
      <c r="D665" s="206"/>
      <c r="E665" s="206"/>
      <c r="F665" s="206"/>
      <c r="G665" s="206"/>
      <c r="H665" s="206"/>
      <c r="I665" s="206"/>
      <c r="J665" s="206"/>
      <c r="K665" s="206"/>
      <c r="L665" s="206"/>
      <c r="M665" s="206"/>
      <c r="N665" s="206"/>
      <c r="O665" s="206"/>
      <c r="P665" s="206"/>
      <c r="Q665" s="206"/>
      <c r="R665" s="206"/>
      <c r="S665" s="206"/>
      <c r="T665" s="206"/>
      <c r="U665" s="206"/>
      <c r="V665" s="206"/>
      <c r="W665" s="206"/>
      <c r="X665" s="206"/>
      <c r="Y665" s="206"/>
    </row>
    <row r="666">
      <c r="A666" s="206"/>
      <c r="B666" s="206"/>
      <c r="C666" s="206"/>
      <c r="D666" s="206"/>
      <c r="E666" s="206"/>
      <c r="F666" s="206"/>
      <c r="G666" s="206"/>
      <c r="H666" s="206"/>
      <c r="I666" s="206"/>
      <c r="J666" s="206"/>
      <c r="K666" s="206"/>
      <c r="L666" s="206"/>
      <c r="M666" s="206"/>
      <c r="N666" s="206"/>
      <c r="O666" s="206"/>
      <c r="P666" s="206"/>
      <c r="Q666" s="206"/>
      <c r="R666" s="206"/>
      <c r="S666" s="206"/>
      <c r="T666" s="206"/>
      <c r="U666" s="206"/>
      <c r="V666" s="206"/>
      <c r="W666" s="206"/>
      <c r="X666" s="206"/>
      <c r="Y666" s="206"/>
    </row>
    <row r="667">
      <c r="A667" s="206"/>
      <c r="B667" s="206"/>
      <c r="C667" s="206"/>
      <c r="D667" s="206"/>
      <c r="E667" s="206"/>
      <c r="F667" s="206"/>
      <c r="G667" s="206"/>
      <c r="H667" s="206"/>
      <c r="I667" s="206"/>
      <c r="J667" s="206"/>
      <c r="K667" s="206"/>
      <c r="L667" s="206"/>
      <c r="M667" s="206"/>
      <c r="N667" s="206"/>
      <c r="O667" s="206"/>
      <c r="P667" s="206"/>
      <c r="Q667" s="206"/>
      <c r="R667" s="206"/>
      <c r="S667" s="206"/>
      <c r="T667" s="206"/>
      <c r="U667" s="206"/>
      <c r="V667" s="206"/>
      <c r="W667" s="206"/>
      <c r="X667" s="206"/>
      <c r="Y667" s="206"/>
    </row>
    <row r="668">
      <c r="A668" s="206"/>
      <c r="B668" s="206"/>
      <c r="C668" s="206"/>
      <c r="D668" s="206"/>
      <c r="E668" s="206"/>
      <c r="F668" s="206"/>
      <c r="G668" s="206"/>
      <c r="H668" s="206"/>
      <c r="I668" s="206"/>
      <c r="J668" s="206"/>
      <c r="K668" s="206"/>
      <c r="L668" s="206"/>
      <c r="M668" s="206"/>
      <c r="N668" s="206"/>
      <c r="O668" s="206"/>
      <c r="P668" s="206"/>
      <c r="Q668" s="206"/>
      <c r="R668" s="206"/>
      <c r="S668" s="206"/>
      <c r="T668" s="206"/>
      <c r="U668" s="206"/>
      <c r="V668" s="206"/>
      <c r="W668" s="206"/>
      <c r="X668" s="206"/>
      <c r="Y668" s="206"/>
    </row>
    <row r="669">
      <c r="A669" s="206"/>
      <c r="B669" s="206"/>
      <c r="C669" s="206"/>
      <c r="D669" s="206"/>
      <c r="E669" s="206"/>
      <c r="F669" s="206"/>
      <c r="G669" s="206"/>
      <c r="H669" s="206"/>
      <c r="I669" s="206"/>
      <c r="J669" s="206"/>
      <c r="K669" s="206"/>
      <c r="L669" s="206"/>
      <c r="M669" s="206"/>
      <c r="N669" s="206"/>
      <c r="O669" s="206"/>
      <c r="P669" s="206"/>
      <c r="Q669" s="206"/>
      <c r="R669" s="206"/>
      <c r="S669" s="206"/>
      <c r="T669" s="206"/>
      <c r="U669" s="206"/>
      <c r="V669" s="206"/>
      <c r="W669" s="206"/>
      <c r="X669" s="206"/>
      <c r="Y669" s="206"/>
    </row>
    <row r="670">
      <c r="A670" s="206"/>
      <c r="B670" s="206"/>
      <c r="C670" s="206"/>
      <c r="D670" s="206"/>
      <c r="E670" s="206"/>
      <c r="F670" s="206"/>
      <c r="G670" s="206"/>
      <c r="H670" s="206"/>
      <c r="I670" s="206"/>
      <c r="J670" s="206"/>
      <c r="K670" s="206"/>
      <c r="L670" s="206"/>
      <c r="M670" s="206"/>
      <c r="N670" s="206"/>
      <c r="O670" s="206"/>
      <c r="P670" s="206"/>
      <c r="Q670" s="206"/>
      <c r="R670" s="206"/>
      <c r="S670" s="206"/>
      <c r="T670" s="206"/>
      <c r="U670" s="206"/>
      <c r="V670" s="206"/>
      <c r="W670" s="206"/>
      <c r="X670" s="206"/>
      <c r="Y670" s="206"/>
    </row>
    <row r="671">
      <c r="A671" s="206"/>
      <c r="B671" s="206"/>
      <c r="C671" s="206"/>
      <c r="D671" s="206"/>
      <c r="E671" s="206"/>
      <c r="F671" s="206"/>
      <c r="G671" s="206"/>
      <c r="H671" s="206"/>
      <c r="I671" s="206"/>
      <c r="J671" s="206"/>
      <c r="K671" s="206"/>
      <c r="L671" s="206"/>
      <c r="M671" s="206"/>
      <c r="N671" s="206"/>
      <c r="O671" s="206"/>
      <c r="P671" s="206"/>
      <c r="Q671" s="206"/>
      <c r="R671" s="206"/>
      <c r="S671" s="206"/>
      <c r="T671" s="206"/>
      <c r="U671" s="206"/>
      <c r="V671" s="206"/>
      <c r="W671" s="206"/>
      <c r="X671" s="206"/>
      <c r="Y671" s="206"/>
    </row>
    <row r="672">
      <c r="A672" s="206"/>
      <c r="B672" s="206"/>
      <c r="C672" s="206"/>
      <c r="D672" s="206"/>
      <c r="E672" s="206"/>
      <c r="F672" s="206"/>
      <c r="G672" s="206"/>
      <c r="H672" s="206"/>
      <c r="I672" s="206"/>
      <c r="J672" s="206"/>
      <c r="K672" s="206"/>
      <c r="L672" s="206"/>
      <c r="M672" s="206"/>
      <c r="N672" s="206"/>
      <c r="O672" s="206"/>
      <c r="P672" s="206"/>
      <c r="Q672" s="206"/>
      <c r="R672" s="206"/>
      <c r="S672" s="206"/>
      <c r="T672" s="206"/>
      <c r="U672" s="206"/>
      <c r="V672" s="206"/>
      <c r="W672" s="206"/>
      <c r="X672" s="206"/>
      <c r="Y672" s="206"/>
    </row>
    <row r="673">
      <c r="A673" s="206"/>
      <c r="B673" s="206"/>
      <c r="C673" s="206"/>
      <c r="D673" s="206"/>
      <c r="E673" s="206"/>
      <c r="F673" s="206"/>
      <c r="G673" s="206"/>
      <c r="H673" s="206"/>
      <c r="I673" s="206"/>
      <c r="J673" s="206"/>
      <c r="K673" s="206"/>
      <c r="L673" s="206"/>
      <c r="M673" s="206"/>
      <c r="N673" s="206"/>
      <c r="O673" s="206"/>
      <c r="P673" s="206"/>
      <c r="Q673" s="206"/>
      <c r="R673" s="206"/>
      <c r="S673" s="206"/>
      <c r="T673" s="206"/>
      <c r="U673" s="206"/>
      <c r="V673" s="206"/>
      <c r="W673" s="206"/>
      <c r="X673" s="206"/>
      <c r="Y673" s="206"/>
    </row>
    <row r="674">
      <c r="A674" s="206"/>
      <c r="B674" s="206"/>
      <c r="C674" s="206"/>
      <c r="D674" s="206"/>
      <c r="E674" s="206"/>
      <c r="F674" s="206"/>
      <c r="G674" s="206"/>
      <c r="H674" s="206"/>
      <c r="I674" s="206"/>
      <c r="J674" s="206"/>
      <c r="K674" s="206"/>
      <c r="L674" s="206"/>
      <c r="M674" s="206"/>
      <c r="N674" s="206"/>
      <c r="O674" s="206"/>
      <c r="P674" s="206"/>
      <c r="Q674" s="206"/>
      <c r="R674" s="206"/>
      <c r="S674" s="206"/>
      <c r="T674" s="206"/>
      <c r="U674" s="206"/>
      <c r="V674" s="206"/>
      <c r="W674" s="206"/>
      <c r="X674" s="206"/>
      <c r="Y674" s="206"/>
    </row>
    <row r="675">
      <c r="A675" s="206"/>
      <c r="B675" s="206"/>
      <c r="C675" s="206"/>
      <c r="D675" s="206"/>
      <c r="E675" s="206"/>
      <c r="F675" s="206"/>
      <c r="G675" s="206"/>
      <c r="H675" s="206"/>
      <c r="I675" s="206"/>
      <c r="J675" s="206"/>
      <c r="K675" s="206"/>
      <c r="L675" s="206"/>
      <c r="M675" s="206"/>
      <c r="N675" s="206"/>
      <c r="O675" s="206"/>
      <c r="P675" s="206"/>
      <c r="Q675" s="206"/>
      <c r="R675" s="206"/>
      <c r="S675" s="206"/>
      <c r="T675" s="206"/>
      <c r="U675" s="206"/>
      <c r="V675" s="206"/>
      <c r="W675" s="206"/>
      <c r="X675" s="206"/>
      <c r="Y675" s="206"/>
    </row>
    <row r="676">
      <c r="A676" s="206"/>
      <c r="B676" s="206"/>
      <c r="C676" s="206"/>
      <c r="D676" s="206"/>
      <c r="E676" s="206"/>
      <c r="F676" s="206"/>
      <c r="G676" s="206"/>
      <c r="H676" s="206"/>
      <c r="I676" s="206"/>
      <c r="J676" s="206"/>
      <c r="K676" s="206"/>
      <c r="L676" s="206"/>
      <c r="M676" s="206"/>
      <c r="N676" s="206"/>
      <c r="O676" s="206"/>
      <c r="P676" s="206"/>
      <c r="Q676" s="206"/>
      <c r="R676" s="206"/>
      <c r="S676" s="206"/>
      <c r="T676" s="206"/>
      <c r="U676" s="206"/>
      <c r="V676" s="206"/>
      <c r="W676" s="206"/>
      <c r="X676" s="206"/>
      <c r="Y676" s="206"/>
    </row>
    <row r="677">
      <c r="A677" s="206"/>
      <c r="B677" s="206"/>
      <c r="C677" s="206"/>
      <c r="D677" s="206"/>
      <c r="E677" s="206"/>
      <c r="F677" s="206"/>
      <c r="G677" s="206"/>
      <c r="H677" s="206"/>
      <c r="I677" s="206"/>
      <c r="J677" s="206"/>
      <c r="K677" s="206"/>
      <c r="L677" s="206"/>
      <c r="M677" s="206"/>
      <c r="N677" s="206"/>
      <c r="O677" s="206"/>
      <c r="P677" s="206"/>
      <c r="Q677" s="206"/>
      <c r="R677" s="206"/>
      <c r="S677" s="206"/>
      <c r="T677" s="206"/>
      <c r="U677" s="206"/>
      <c r="V677" s="206"/>
      <c r="W677" s="206"/>
      <c r="X677" s="206"/>
      <c r="Y677" s="206"/>
    </row>
    <row r="678">
      <c r="A678" s="206"/>
      <c r="B678" s="206"/>
      <c r="C678" s="206"/>
      <c r="D678" s="206"/>
      <c r="E678" s="206"/>
      <c r="F678" s="206"/>
      <c r="G678" s="206"/>
      <c r="H678" s="206"/>
      <c r="I678" s="206"/>
      <c r="J678" s="206"/>
      <c r="K678" s="206"/>
      <c r="L678" s="206"/>
      <c r="M678" s="206"/>
      <c r="N678" s="206"/>
      <c r="O678" s="206"/>
      <c r="P678" s="206"/>
      <c r="Q678" s="206"/>
      <c r="R678" s="206"/>
      <c r="S678" s="206"/>
      <c r="T678" s="206"/>
      <c r="U678" s="206"/>
      <c r="V678" s="206"/>
      <c r="W678" s="206"/>
      <c r="X678" s="206"/>
      <c r="Y678" s="206"/>
    </row>
    <row r="679">
      <c r="A679" s="206"/>
      <c r="B679" s="206"/>
      <c r="C679" s="206"/>
      <c r="D679" s="206"/>
      <c r="E679" s="206"/>
      <c r="F679" s="206"/>
      <c r="G679" s="206"/>
      <c r="H679" s="206"/>
      <c r="I679" s="206"/>
      <c r="J679" s="206"/>
      <c r="K679" s="206"/>
      <c r="L679" s="206"/>
      <c r="M679" s="206"/>
      <c r="N679" s="206"/>
      <c r="O679" s="206"/>
      <c r="P679" s="206"/>
      <c r="Q679" s="206"/>
      <c r="R679" s="206"/>
      <c r="S679" s="206"/>
      <c r="T679" s="206"/>
      <c r="U679" s="206"/>
      <c r="V679" s="206"/>
      <c r="W679" s="206"/>
      <c r="X679" s="206"/>
      <c r="Y679" s="206"/>
    </row>
    <row r="680">
      <c r="A680" s="206"/>
      <c r="B680" s="206"/>
      <c r="C680" s="206"/>
      <c r="D680" s="206"/>
      <c r="E680" s="206"/>
      <c r="F680" s="206"/>
      <c r="G680" s="206"/>
      <c r="H680" s="206"/>
      <c r="I680" s="206"/>
      <c r="J680" s="206"/>
      <c r="K680" s="206"/>
      <c r="L680" s="206"/>
      <c r="M680" s="206"/>
      <c r="N680" s="206"/>
      <c r="O680" s="206"/>
      <c r="P680" s="206"/>
      <c r="Q680" s="206"/>
      <c r="R680" s="206"/>
      <c r="S680" s="206"/>
      <c r="T680" s="206"/>
      <c r="U680" s="206"/>
      <c r="V680" s="206"/>
      <c r="W680" s="206"/>
      <c r="X680" s="206"/>
      <c r="Y680" s="206"/>
    </row>
    <row r="681">
      <c r="A681" s="206"/>
      <c r="B681" s="206"/>
      <c r="C681" s="206"/>
      <c r="D681" s="206"/>
      <c r="E681" s="206"/>
      <c r="F681" s="206"/>
      <c r="G681" s="206"/>
      <c r="H681" s="206"/>
      <c r="I681" s="206"/>
      <c r="J681" s="206"/>
      <c r="K681" s="206"/>
      <c r="L681" s="206"/>
      <c r="M681" s="206"/>
      <c r="N681" s="206"/>
      <c r="O681" s="206"/>
      <c r="P681" s="206"/>
      <c r="Q681" s="206"/>
      <c r="R681" s="206"/>
      <c r="S681" s="206"/>
      <c r="T681" s="206"/>
      <c r="U681" s="206"/>
      <c r="V681" s="206"/>
      <c r="W681" s="206"/>
      <c r="X681" s="206"/>
      <c r="Y681" s="206"/>
    </row>
    <row r="682">
      <c r="A682" s="206"/>
      <c r="B682" s="206"/>
      <c r="C682" s="206"/>
      <c r="D682" s="206"/>
      <c r="E682" s="206"/>
      <c r="F682" s="206"/>
      <c r="G682" s="206"/>
      <c r="H682" s="206"/>
      <c r="I682" s="206"/>
      <c r="J682" s="206"/>
      <c r="K682" s="206"/>
      <c r="L682" s="206"/>
      <c r="M682" s="206"/>
      <c r="N682" s="206"/>
      <c r="O682" s="206"/>
      <c r="P682" s="206"/>
      <c r="Q682" s="206"/>
      <c r="R682" s="206"/>
      <c r="S682" s="206"/>
      <c r="T682" s="206"/>
      <c r="U682" s="206"/>
      <c r="V682" s="206"/>
      <c r="W682" s="206"/>
      <c r="X682" s="206"/>
      <c r="Y682" s="206"/>
    </row>
    <row r="683">
      <c r="A683" s="206"/>
      <c r="B683" s="206"/>
      <c r="C683" s="206"/>
      <c r="D683" s="206"/>
      <c r="E683" s="206"/>
      <c r="F683" s="206"/>
      <c r="G683" s="206"/>
      <c r="H683" s="206"/>
      <c r="I683" s="206"/>
      <c r="J683" s="206"/>
      <c r="K683" s="206"/>
      <c r="L683" s="206"/>
      <c r="M683" s="206"/>
      <c r="N683" s="206"/>
      <c r="O683" s="206"/>
      <c r="P683" s="206"/>
      <c r="Q683" s="206"/>
      <c r="R683" s="206"/>
      <c r="S683" s="206"/>
      <c r="T683" s="206"/>
      <c r="U683" s="206"/>
      <c r="V683" s="206"/>
      <c r="W683" s="206"/>
      <c r="X683" s="206"/>
      <c r="Y683" s="206"/>
    </row>
    <row r="684">
      <c r="A684" s="206"/>
      <c r="B684" s="206"/>
      <c r="C684" s="206"/>
      <c r="D684" s="206"/>
      <c r="E684" s="206"/>
      <c r="F684" s="206"/>
      <c r="G684" s="206"/>
      <c r="H684" s="206"/>
      <c r="I684" s="206"/>
      <c r="J684" s="206"/>
      <c r="K684" s="206"/>
      <c r="L684" s="206"/>
      <c r="M684" s="206"/>
      <c r="N684" s="206"/>
      <c r="O684" s="206"/>
      <c r="P684" s="206"/>
      <c r="Q684" s="206"/>
      <c r="R684" s="206"/>
      <c r="S684" s="206"/>
      <c r="T684" s="206"/>
      <c r="U684" s="206"/>
      <c r="V684" s="206"/>
      <c r="W684" s="206"/>
      <c r="X684" s="206"/>
      <c r="Y684" s="206"/>
    </row>
    <row r="685">
      <c r="A685" s="206"/>
      <c r="B685" s="206"/>
      <c r="C685" s="206"/>
      <c r="D685" s="206"/>
      <c r="E685" s="206"/>
      <c r="F685" s="206"/>
      <c r="G685" s="206"/>
      <c r="H685" s="206"/>
      <c r="I685" s="206"/>
      <c r="J685" s="206"/>
      <c r="K685" s="206"/>
      <c r="L685" s="206"/>
      <c r="M685" s="206"/>
      <c r="N685" s="206"/>
      <c r="O685" s="206"/>
      <c r="P685" s="206"/>
      <c r="Q685" s="206"/>
      <c r="R685" s="206"/>
      <c r="S685" s="206"/>
      <c r="T685" s="206"/>
      <c r="U685" s="206"/>
      <c r="V685" s="206"/>
      <c r="W685" s="206"/>
      <c r="X685" s="206"/>
      <c r="Y685" s="206"/>
    </row>
    <row r="686">
      <c r="A686" s="206"/>
      <c r="B686" s="206"/>
      <c r="C686" s="206"/>
      <c r="D686" s="206"/>
      <c r="E686" s="206"/>
      <c r="F686" s="206"/>
      <c r="G686" s="206"/>
      <c r="H686" s="206"/>
      <c r="I686" s="206"/>
      <c r="J686" s="206"/>
      <c r="K686" s="206"/>
      <c r="L686" s="206"/>
      <c r="M686" s="206"/>
      <c r="N686" s="206"/>
      <c r="O686" s="206"/>
      <c r="P686" s="206"/>
      <c r="Q686" s="206"/>
      <c r="R686" s="206"/>
      <c r="S686" s="206"/>
      <c r="T686" s="206"/>
      <c r="U686" s="206"/>
      <c r="V686" s="206"/>
      <c r="W686" s="206"/>
      <c r="X686" s="206"/>
      <c r="Y686" s="206"/>
    </row>
    <row r="687">
      <c r="A687" s="206"/>
      <c r="B687" s="206"/>
      <c r="C687" s="206"/>
      <c r="D687" s="206"/>
      <c r="E687" s="206"/>
      <c r="F687" s="206"/>
      <c r="G687" s="206"/>
      <c r="H687" s="206"/>
      <c r="I687" s="206"/>
      <c r="J687" s="206"/>
      <c r="K687" s="206"/>
      <c r="L687" s="206"/>
      <c r="M687" s="206"/>
      <c r="N687" s="206"/>
      <c r="O687" s="206"/>
      <c r="P687" s="206"/>
      <c r="Q687" s="206"/>
      <c r="R687" s="206"/>
      <c r="S687" s="206"/>
      <c r="T687" s="206"/>
      <c r="U687" s="206"/>
      <c r="V687" s="206"/>
      <c r="W687" s="206"/>
      <c r="X687" s="206"/>
      <c r="Y687" s="206"/>
    </row>
    <row r="688">
      <c r="A688" s="206"/>
      <c r="B688" s="206"/>
      <c r="C688" s="206"/>
      <c r="D688" s="206"/>
      <c r="E688" s="206"/>
      <c r="F688" s="206"/>
      <c r="G688" s="206"/>
      <c r="H688" s="206"/>
      <c r="I688" s="206"/>
      <c r="J688" s="206"/>
      <c r="K688" s="206"/>
      <c r="L688" s="206"/>
      <c r="M688" s="206"/>
      <c r="N688" s="206"/>
      <c r="O688" s="206"/>
      <c r="P688" s="206"/>
      <c r="Q688" s="206"/>
      <c r="R688" s="206"/>
      <c r="S688" s="206"/>
      <c r="T688" s="206"/>
      <c r="U688" s="206"/>
      <c r="V688" s="206"/>
      <c r="W688" s="206"/>
      <c r="X688" s="206"/>
      <c r="Y688" s="206"/>
    </row>
    <row r="689">
      <c r="A689" s="206"/>
      <c r="B689" s="206"/>
      <c r="C689" s="206"/>
      <c r="D689" s="206"/>
      <c r="E689" s="206"/>
      <c r="F689" s="206"/>
      <c r="G689" s="206"/>
      <c r="H689" s="206"/>
      <c r="I689" s="206"/>
      <c r="J689" s="206"/>
      <c r="K689" s="206"/>
      <c r="L689" s="206"/>
      <c r="M689" s="206"/>
      <c r="N689" s="206"/>
      <c r="O689" s="206"/>
      <c r="P689" s="206"/>
      <c r="Q689" s="206"/>
      <c r="R689" s="206"/>
      <c r="S689" s="206"/>
      <c r="T689" s="206"/>
      <c r="U689" s="206"/>
      <c r="V689" s="206"/>
      <c r="W689" s="206"/>
      <c r="X689" s="206"/>
      <c r="Y689" s="206"/>
    </row>
    <row r="690">
      <c r="A690" s="206"/>
      <c r="B690" s="206"/>
      <c r="C690" s="206"/>
      <c r="D690" s="206"/>
      <c r="E690" s="206"/>
      <c r="F690" s="206"/>
      <c r="G690" s="206"/>
      <c r="H690" s="206"/>
      <c r="I690" s="206"/>
      <c r="J690" s="206"/>
      <c r="K690" s="206"/>
      <c r="L690" s="206"/>
      <c r="M690" s="206"/>
      <c r="N690" s="206"/>
      <c r="O690" s="206"/>
      <c r="P690" s="206"/>
      <c r="Q690" s="206"/>
      <c r="R690" s="206"/>
      <c r="S690" s="206"/>
      <c r="T690" s="206"/>
      <c r="U690" s="206"/>
      <c r="V690" s="206"/>
      <c r="W690" s="206"/>
      <c r="X690" s="206"/>
      <c r="Y690" s="206"/>
    </row>
    <row r="691">
      <c r="A691" s="206"/>
      <c r="B691" s="206"/>
      <c r="C691" s="206"/>
      <c r="D691" s="206"/>
      <c r="E691" s="206"/>
      <c r="F691" s="206"/>
      <c r="G691" s="206"/>
      <c r="H691" s="206"/>
      <c r="I691" s="206"/>
      <c r="J691" s="206"/>
      <c r="K691" s="206"/>
      <c r="L691" s="206"/>
      <c r="M691" s="206"/>
      <c r="N691" s="206"/>
      <c r="O691" s="206"/>
      <c r="P691" s="206"/>
      <c r="Q691" s="206"/>
      <c r="R691" s="206"/>
      <c r="S691" s="206"/>
      <c r="T691" s="206"/>
      <c r="U691" s="206"/>
      <c r="V691" s="206"/>
      <c r="W691" s="206"/>
      <c r="X691" s="206"/>
      <c r="Y691" s="206"/>
    </row>
    <row r="692">
      <c r="A692" s="206"/>
      <c r="B692" s="206"/>
      <c r="C692" s="206"/>
      <c r="D692" s="206"/>
      <c r="E692" s="206"/>
      <c r="F692" s="206"/>
      <c r="G692" s="206"/>
      <c r="H692" s="206"/>
      <c r="I692" s="206"/>
      <c r="J692" s="206"/>
      <c r="K692" s="206"/>
      <c r="L692" s="206"/>
      <c r="M692" s="206"/>
      <c r="N692" s="206"/>
      <c r="O692" s="206"/>
      <c r="P692" s="206"/>
      <c r="Q692" s="206"/>
      <c r="R692" s="206"/>
      <c r="S692" s="206"/>
      <c r="T692" s="206"/>
      <c r="U692" s="206"/>
      <c r="V692" s="206"/>
      <c r="W692" s="206"/>
      <c r="X692" s="206"/>
      <c r="Y692" s="206"/>
    </row>
    <row r="693">
      <c r="A693" s="206"/>
      <c r="B693" s="206"/>
      <c r="C693" s="206"/>
      <c r="D693" s="206"/>
      <c r="E693" s="206"/>
      <c r="F693" s="206"/>
      <c r="G693" s="206"/>
      <c r="H693" s="206"/>
      <c r="I693" s="206"/>
      <c r="J693" s="206"/>
      <c r="K693" s="206"/>
      <c r="L693" s="206"/>
      <c r="M693" s="206"/>
      <c r="N693" s="206"/>
      <c r="O693" s="206"/>
      <c r="P693" s="206"/>
      <c r="Q693" s="206"/>
      <c r="R693" s="206"/>
      <c r="S693" s="206"/>
      <c r="T693" s="206"/>
      <c r="U693" s="206"/>
      <c r="V693" s="206"/>
      <c r="W693" s="206"/>
      <c r="X693" s="206"/>
      <c r="Y693" s="206"/>
    </row>
    <row r="694">
      <c r="A694" s="206"/>
      <c r="B694" s="206"/>
      <c r="C694" s="206"/>
      <c r="D694" s="206"/>
      <c r="E694" s="206"/>
      <c r="F694" s="206"/>
      <c r="G694" s="206"/>
      <c r="H694" s="206"/>
      <c r="I694" s="206"/>
      <c r="J694" s="206"/>
      <c r="K694" s="206"/>
      <c r="L694" s="206"/>
      <c r="M694" s="206"/>
      <c r="N694" s="206"/>
      <c r="O694" s="206"/>
      <c r="P694" s="206"/>
      <c r="Q694" s="206"/>
      <c r="R694" s="206"/>
      <c r="S694" s="206"/>
      <c r="T694" s="206"/>
      <c r="U694" s="206"/>
      <c r="V694" s="206"/>
      <c r="W694" s="206"/>
      <c r="X694" s="206"/>
      <c r="Y694" s="206"/>
    </row>
    <row r="695">
      <c r="A695" s="206"/>
      <c r="B695" s="206"/>
      <c r="C695" s="206"/>
      <c r="D695" s="206"/>
      <c r="E695" s="206"/>
      <c r="F695" s="206"/>
      <c r="G695" s="206"/>
      <c r="H695" s="206"/>
      <c r="I695" s="206"/>
      <c r="J695" s="206"/>
      <c r="K695" s="206"/>
      <c r="L695" s="206"/>
      <c r="M695" s="206"/>
      <c r="N695" s="206"/>
      <c r="O695" s="206"/>
      <c r="P695" s="206"/>
      <c r="Q695" s="206"/>
      <c r="R695" s="206"/>
      <c r="S695" s="206"/>
      <c r="T695" s="206"/>
      <c r="U695" s="206"/>
      <c r="V695" s="206"/>
      <c r="W695" s="206"/>
      <c r="X695" s="206"/>
      <c r="Y695" s="206"/>
    </row>
    <row r="696">
      <c r="A696" s="206"/>
      <c r="B696" s="206"/>
      <c r="C696" s="206"/>
      <c r="D696" s="206"/>
      <c r="E696" s="206"/>
      <c r="F696" s="206"/>
      <c r="G696" s="206"/>
      <c r="H696" s="206"/>
      <c r="I696" s="206"/>
      <c r="J696" s="206"/>
      <c r="K696" s="206"/>
      <c r="L696" s="206"/>
      <c r="M696" s="206"/>
      <c r="N696" s="206"/>
      <c r="O696" s="206"/>
      <c r="P696" s="206"/>
      <c r="Q696" s="206"/>
      <c r="R696" s="206"/>
      <c r="S696" s="206"/>
      <c r="T696" s="206"/>
      <c r="U696" s="206"/>
      <c r="V696" s="206"/>
      <c r="W696" s="206"/>
      <c r="X696" s="206"/>
      <c r="Y696" s="206"/>
    </row>
    <row r="697">
      <c r="A697" s="206"/>
      <c r="B697" s="206"/>
      <c r="C697" s="206"/>
      <c r="D697" s="206"/>
      <c r="E697" s="206"/>
      <c r="F697" s="206"/>
      <c r="G697" s="206"/>
      <c r="H697" s="206"/>
      <c r="I697" s="206"/>
      <c r="J697" s="206"/>
      <c r="K697" s="206"/>
      <c r="L697" s="206"/>
      <c r="M697" s="206"/>
      <c r="N697" s="206"/>
      <c r="O697" s="206"/>
      <c r="P697" s="206"/>
      <c r="Q697" s="206"/>
      <c r="R697" s="206"/>
      <c r="S697" s="206"/>
      <c r="T697" s="206"/>
      <c r="U697" s="206"/>
      <c r="V697" s="206"/>
      <c r="W697" s="206"/>
      <c r="X697" s="206"/>
      <c r="Y697" s="206"/>
    </row>
    <row r="698">
      <c r="A698" s="206"/>
      <c r="B698" s="206"/>
      <c r="C698" s="206"/>
      <c r="D698" s="206"/>
      <c r="E698" s="206"/>
      <c r="F698" s="206"/>
      <c r="G698" s="206"/>
      <c r="H698" s="206"/>
      <c r="I698" s="206"/>
      <c r="J698" s="206"/>
      <c r="K698" s="206"/>
      <c r="L698" s="206"/>
      <c r="M698" s="206"/>
      <c r="N698" s="206"/>
      <c r="O698" s="206"/>
      <c r="P698" s="206"/>
      <c r="Q698" s="206"/>
      <c r="R698" s="206"/>
      <c r="S698" s="206"/>
      <c r="T698" s="206"/>
      <c r="U698" s="206"/>
      <c r="V698" s="206"/>
      <c r="W698" s="206"/>
      <c r="X698" s="206"/>
      <c r="Y698" s="206"/>
    </row>
    <row r="699">
      <c r="A699" s="206"/>
      <c r="B699" s="206"/>
      <c r="C699" s="206"/>
      <c r="D699" s="206"/>
      <c r="E699" s="206"/>
      <c r="F699" s="206"/>
      <c r="G699" s="206"/>
      <c r="H699" s="206"/>
      <c r="I699" s="206"/>
      <c r="J699" s="206"/>
      <c r="K699" s="206"/>
      <c r="L699" s="206"/>
      <c r="M699" s="206"/>
      <c r="N699" s="206"/>
      <c r="O699" s="206"/>
      <c r="P699" s="206"/>
      <c r="Q699" s="206"/>
      <c r="R699" s="206"/>
      <c r="S699" s="206"/>
      <c r="T699" s="206"/>
      <c r="U699" s="206"/>
      <c r="V699" s="206"/>
      <c r="W699" s="206"/>
      <c r="X699" s="206"/>
      <c r="Y699" s="206"/>
    </row>
    <row r="700">
      <c r="A700" s="206"/>
      <c r="B700" s="206"/>
      <c r="C700" s="206"/>
      <c r="D700" s="206"/>
      <c r="E700" s="206"/>
      <c r="F700" s="206"/>
      <c r="G700" s="206"/>
      <c r="H700" s="206"/>
      <c r="I700" s="206"/>
      <c r="J700" s="206"/>
      <c r="K700" s="206"/>
      <c r="L700" s="206"/>
      <c r="M700" s="206"/>
      <c r="N700" s="206"/>
      <c r="O700" s="206"/>
      <c r="P700" s="206"/>
      <c r="Q700" s="206"/>
      <c r="R700" s="206"/>
      <c r="S700" s="206"/>
      <c r="T700" s="206"/>
      <c r="U700" s="206"/>
      <c r="V700" s="206"/>
      <c r="W700" s="206"/>
      <c r="X700" s="206"/>
      <c r="Y700" s="206"/>
    </row>
    <row r="701">
      <c r="A701" s="206"/>
      <c r="B701" s="206"/>
      <c r="C701" s="206"/>
      <c r="D701" s="206"/>
      <c r="E701" s="206"/>
      <c r="F701" s="206"/>
      <c r="G701" s="206"/>
      <c r="H701" s="206"/>
      <c r="I701" s="206"/>
      <c r="J701" s="206"/>
      <c r="K701" s="206"/>
      <c r="L701" s="206"/>
      <c r="M701" s="206"/>
      <c r="N701" s="206"/>
      <c r="O701" s="206"/>
      <c r="P701" s="206"/>
      <c r="Q701" s="206"/>
      <c r="R701" s="206"/>
      <c r="S701" s="206"/>
      <c r="T701" s="206"/>
      <c r="U701" s="206"/>
      <c r="V701" s="206"/>
      <c r="W701" s="206"/>
      <c r="X701" s="206"/>
      <c r="Y701" s="206"/>
    </row>
    <row r="702">
      <c r="A702" s="206"/>
      <c r="B702" s="206"/>
      <c r="C702" s="206"/>
      <c r="D702" s="206"/>
      <c r="E702" s="206"/>
      <c r="F702" s="206"/>
      <c r="G702" s="206"/>
      <c r="H702" s="206"/>
      <c r="I702" s="206"/>
      <c r="J702" s="206"/>
      <c r="K702" s="206"/>
      <c r="L702" s="206"/>
      <c r="M702" s="206"/>
      <c r="N702" s="206"/>
      <c r="O702" s="206"/>
      <c r="P702" s="206"/>
      <c r="Q702" s="206"/>
      <c r="R702" s="206"/>
      <c r="S702" s="206"/>
      <c r="T702" s="206"/>
      <c r="U702" s="206"/>
      <c r="V702" s="206"/>
      <c r="W702" s="206"/>
      <c r="X702" s="206"/>
      <c r="Y702" s="206"/>
    </row>
    <row r="703">
      <c r="A703" s="206"/>
      <c r="B703" s="206"/>
      <c r="C703" s="206"/>
      <c r="D703" s="206"/>
      <c r="E703" s="206"/>
      <c r="F703" s="206"/>
      <c r="G703" s="206"/>
      <c r="H703" s="206"/>
      <c r="I703" s="206"/>
      <c r="J703" s="206"/>
      <c r="K703" s="206"/>
      <c r="L703" s="206"/>
      <c r="M703" s="206"/>
      <c r="N703" s="206"/>
      <c r="O703" s="206"/>
      <c r="P703" s="206"/>
      <c r="Q703" s="206"/>
      <c r="R703" s="206"/>
      <c r="S703" s="206"/>
      <c r="T703" s="206"/>
      <c r="U703" s="206"/>
      <c r="V703" s="206"/>
      <c r="W703" s="206"/>
      <c r="X703" s="206"/>
      <c r="Y703" s="206"/>
    </row>
    <row r="704">
      <c r="A704" s="206"/>
      <c r="B704" s="206"/>
      <c r="C704" s="206"/>
      <c r="D704" s="206"/>
      <c r="E704" s="206"/>
      <c r="F704" s="206"/>
      <c r="G704" s="206"/>
      <c r="H704" s="206"/>
      <c r="I704" s="206"/>
      <c r="J704" s="206"/>
      <c r="K704" s="206"/>
      <c r="L704" s="206"/>
      <c r="M704" s="206"/>
      <c r="N704" s="206"/>
      <c r="O704" s="206"/>
      <c r="P704" s="206"/>
      <c r="Q704" s="206"/>
      <c r="R704" s="206"/>
      <c r="S704" s="206"/>
      <c r="T704" s="206"/>
      <c r="U704" s="206"/>
      <c r="V704" s="206"/>
      <c r="W704" s="206"/>
      <c r="X704" s="206"/>
      <c r="Y704" s="206"/>
    </row>
    <row r="705">
      <c r="A705" s="206"/>
      <c r="B705" s="206"/>
      <c r="C705" s="206"/>
      <c r="D705" s="206"/>
      <c r="E705" s="206"/>
      <c r="F705" s="206"/>
      <c r="G705" s="206"/>
      <c r="H705" s="206"/>
      <c r="I705" s="206"/>
      <c r="J705" s="206"/>
      <c r="K705" s="206"/>
      <c r="L705" s="206"/>
      <c r="M705" s="206"/>
      <c r="N705" s="206"/>
      <c r="O705" s="206"/>
      <c r="P705" s="206"/>
      <c r="Q705" s="206"/>
      <c r="R705" s="206"/>
      <c r="S705" s="206"/>
      <c r="T705" s="206"/>
      <c r="U705" s="206"/>
      <c r="V705" s="206"/>
      <c r="W705" s="206"/>
      <c r="X705" s="206"/>
      <c r="Y705" s="206"/>
    </row>
    <row r="706">
      <c r="A706" s="206"/>
      <c r="B706" s="206"/>
      <c r="C706" s="206"/>
      <c r="D706" s="206"/>
      <c r="E706" s="206"/>
      <c r="F706" s="206"/>
      <c r="G706" s="206"/>
      <c r="H706" s="206"/>
      <c r="I706" s="206"/>
      <c r="J706" s="206"/>
      <c r="K706" s="206"/>
      <c r="L706" s="206"/>
      <c r="M706" s="206"/>
      <c r="N706" s="206"/>
      <c r="O706" s="206"/>
      <c r="P706" s="206"/>
      <c r="Q706" s="206"/>
      <c r="R706" s="206"/>
      <c r="S706" s="206"/>
      <c r="T706" s="206"/>
      <c r="U706" s="206"/>
      <c r="V706" s="206"/>
      <c r="W706" s="206"/>
      <c r="X706" s="206"/>
      <c r="Y706" s="206"/>
    </row>
    <row r="707">
      <c r="A707" s="206"/>
      <c r="B707" s="206"/>
      <c r="C707" s="206"/>
      <c r="D707" s="206"/>
      <c r="E707" s="206"/>
      <c r="F707" s="206"/>
      <c r="G707" s="206"/>
      <c r="H707" s="206"/>
      <c r="I707" s="206"/>
      <c r="J707" s="206"/>
      <c r="K707" s="206"/>
      <c r="L707" s="206"/>
      <c r="M707" s="206"/>
      <c r="N707" s="206"/>
      <c r="O707" s="206"/>
      <c r="P707" s="206"/>
      <c r="Q707" s="206"/>
      <c r="R707" s="206"/>
      <c r="S707" s="206"/>
      <c r="T707" s="206"/>
      <c r="U707" s="206"/>
      <c r="V707" s="206"/>
      <c r="W707" s="206"/>
      <c r="X707" s="206"/>
      <c r="Y707" s="206"/>
    </row>
    <row r="708">
      <c r="A708" s="206"/>
      <c r="B708" s="206"/>
      <c r="C708" s="206"/>
      <c r="D708" s="206"/>
      <c r="E708" s="206"/>
      <c r="F708" s="206"/>
      <c r="G708" s="206"/>
      <c r="H708" s="206"/>
      <c r="I708" s="206"/>
      <c r="J708" s="206"/>
      <c r="K708" s="206"/>
      <c r="L708" s="206"/>
      <c r="M708" s="206"/>
      <c r="N708" s="206"/>
      <c r="O708" s="206"/>
      <c r="P708" s="206"/>
      <c r="Q708" s="206"/>
      <c r="R708" s="206"/>
      <c r="S708" s="206"/>
      <c r="T708" s="206"/>
      <c r="U708" s="206"/>
      <c r="V708" s="206"/>
      <c r="W708" s="206"/>
      <c r="X708" s="206"/>
      <c r="Y708" s="206"/>
    </row>
    <row r="709">
      <c r="A709" s="206"/>
      <c r="B709" s="206"/>
      <c r="C709" s="206"/>
      <c r="D709" s="206"/>
      <c r="E709" s="206"/>
      <c r="F709" s="206"/>
      <c r="G709" s="206"/>
      <c r="H709" s="206"/>
      <c r="I709" s="206"/>
      <c r="J709" s="206"/>
      <c r="K709" s="206"/>
      <c r="L709" s="206"/>
      <c r="M709" s="206"/>
      <c r="N709" s="206"/>
      <c r="O709" s="206"/>
      <c r="P709" s="206"/>
      <c r="Q709" s="206"/>
      <c r="R709" s="206"/>
      <c r="S709" s="206"/>
      <c r="T709" s="206"/>
      <c r="U709" s="206"/>
      <c r="V709" s="206"/>
      <c r="W709" s="206"/>
      <c r="X709" s="206"/>
      <c r="Y709" s="206"/>
    </row>
    <row r="710">
      <c r="A710" s="206"/>
      <c r="B710" s="206"/>
      <c r="C710" s="206"/>
      <c r="D710" s="206"/>
      <c r="E710" s="206"/>
      <c r="F710" s="206"/>
      <c r="G710" s="206"/>
      <c r="H710" s="206"/>
      <c r="I710" s="206"/>
      <c r="J710" s="206"/>
      <c r="K710" s="206"/>
      <c r="L710" s="206"/>
      <c r="M710" s="206"/>
      <c r="N710" s="206"/>
      <c r="O710" s="206"/>
      <c r="P710" s="206"/>
      <c r="Q710" s="206"/>
      <c r="R710" s="206"/>
      <c r="S710" s="206"/>
      <c r="T710" s="206"/>
      <c r="U710" s="206"/>
      <c r="V710" s="206"/>
      <c r="W710" s="206"/>
      <c r="X710" s="206"/>
      <c r="Y710" s="206"/>
    </row>
    <row r="711">
      <c r="A711" s="206"/>
      <c r="B711" s="206"/>
      <c r="C711" s="206"/>
      <c r="D711" s="206"/>
      <c r="E711" s="206"/>
      <c r="F711" s="206"/>
      <c r="G711" s="206"/>
      <c r="H711" s="206"/>
      <c r="I711" s="206"/>
      <c r="J711" s="206"/>
      <c r="K711" s="206"/>
      <c r="L711" s="206"/>
      <c r="M711" s="206"/>
      <c r="N711" s="206"/>
      <c r="O711" s="206"/>
      <c r="P711" s="206"/>
      <c r="Q711" s="206"/>
      <c r="R711" s="206"/>
      <c r="S711" s="206"/>
      <c r="T711" s="206"/>
      <c r="U711" s="206"/>
      <c r="V711" s="206"/>
      <c r="W711" s="206"/>
      <c r="X711" s="206"/>
      <c r="Y711" s="206"/>
    </row>
    <row r="712">
      <c r="A712" s="206"/>
      <c r="B712" s="206"/>
      <c r="C712" s="206"/>
      <c r="D712" s="206"/>
      <c r="E712" s="206"/>
      <c r="F712" s="206"/>
      <c r="G712" s="206"/>
      <c r="H712" s="206"/>
      <c r="I712" s="206"/>
      <c r="J712" s="206"/>
      <c r="K712" s="206"/>
      <c r="L712" s="206"/>
      <c r="M712" s="206"/>
      <c r="N712" s="206"/>
      <c r="O712" s="206"/>
      <c r="P712" s="206"/>
      <c r="Q712" s="206"/>
      <c r="R712" s="206"/>
      <c r="S712" s="206"/>
      <c r="T712" s="206"/>
      <c r="U712" s="206"/>
      <c r="V712" s="206"/>
      <c r="W712" s="206"/>
      <c r="X712" s="206"/>
      <c r="Y712" s="206"/>
    </row>
    <row r="713">
      <c r="A713" s="206"/>
      <c r="B713" s="206"/>
      <c r="C713" s="206"/>
      <c r="D713" s="206"/>
      <c r="E713" s="206"/>
      <c r="F713" s="206"/>
      <c r="G713" s="206"/>
      <c r="H713" s="206"/>
      <c r="I713" s="206"/>
      <c r="J713" s="206"/>
      <c r="K713" s="206"/>
      <c r="L713" s="206"/>
      <c r="M713" s="206"/>
      <c r="N713" s="206"/>
      <c r="O713" s="206"/>
      <c r="P713" s="206"/>
      <c r="Q713" s="206"/>
      <c r="R713" s="206"/>
      <c r="S713" s="206"/>
      <c r="T713" s="206"/>
      <c r="U713" s="206"/>
      <c r="V713" s="206"/>
      <c r="W713" s="206"/>
      <c r="X713" s="206"/>
      <c r="Y713" s="206"/>
    </row>
    <row r="714">
      <c r="A714" s="206"/>
      <c r="B714" s="206"/>
      <c r="C714" s="206"/>
      <c r="D714" s="206"/>
      <c r="E714" s="206"/>
      <c r="F714" s="206"/>
      <c r="G714" s="206"/>
      <c r="H714" s="206"/>
      <c r="I714" s="206"/>
      <c r="J714" s="206"/>
      <c r="K714" s="206"/>
      <c r="L714" s="206"/>
      <c r="M714" s="206"/>
      <c r="N714" s="206"/>
      <c r="O714" s="206"/>
      <c r="P714" s="206"/>
      <c r="Q714" s="206"/>
      <c r="R714" s="206"/>
      <c r="S714" s="206"/>
      <c r="T714" s="206"/>
      <c r="U714" s="206"/>
      <c r="V714" s="206"/>
      <c r="W714" s="206"/>
      <c r="X714" s="206"/>
      <c r="Y714" s="206"/>
    </row>
    <row r="715">
      <c r="A715" s="206"/>
      <c r="B715" s="206"/>
      <c r="C715" s="206"/>
      <c r="D715" s="206"/>
      <c r="E715" s="206"/>
      <c r="F715" s="206"/>
      <c r="G715" s="206"/>
      <c r="H715" s="206"/>
      <c r="I715" s="206"/>
      <c r="J715" s="206"/>
      <c r="K715" s="206"/>
      <c r="L715" s="206"/>
      <c r="M715" s="206"/>
      <c r="N715" s="206"/>
      <c r="O715" s="206"/>
      <c r="P715" s="206"/>
      <c r="Q715" s="206"/>
      <c r="R715" s="206"/>
      <c r="S715" s="206"/>
      <c r="T715" s="206"/>
      <c r="U715" s="206"/>
      <c r="V715" s="206"/>
      <c r="W715" s="206"/>
      <c r="X715" s="206"/>
      <c r="Y715" s="206"/>
    </row>
    <row r="716">
      <c r="A716" s="206"/>
      <c r="B716" s="206"/>
      <c r="C716" s="206"/>
      <c r="D716" s="206"/>
      <c r="E716" s="206"/>
      <c r="F716" s="206"/>
      <c r="G716" s="206"/>
      <c r="H716" s="206"/>
      <c r="I716" s="206"/>
      <c r="J716" s="206"/>
      <c r="K716" s="206"/>
      <c r="L716" s="206"/>
      <c r="M716" s="206"/>
      <c r="N716" s="206"/>
      <c r="O716" s="206"/>
      <c r="P716" s="206"/>
      <c r="Q716" s="206"/>
      <c r="R716" s="206"/>
      <c r="S716" s="206"/>
      <c r="T716" s="206"/>
      <c r="U716" s="206"/>
      <c r="V716" s="206"/>
      <c r="W716" s="206"/>
      <c r="X716" s="206"/>
      <c r="Y716" s="206"/>
    </row>
    <row r="717">
      <c r="A717" s="206"/>
      <c r="B717" s="206"/>
      <c r="C717" s="206"/>
      <c r="D717" s="206"/>
      <c r="E717" s="206"/>
      <c r="F717" s="206"/>
      <c r="G717" s="206"/>
      <c r="H717" s="206"/>
      <c r="I717" s="206"/>
      <c r="J717" s="206"/>
      <c r="K717" s="206"/>
      <c r="L717" s="206"/>
      <c r="M717" s="206"/>
      <c r="N717" s="206"/>
      <c r="O717" s="206"/>
      <c r="P717" s="206"/>
      <c r="Q717" s="206"/>
      <c r="R717" s="206"/>
      <c r="S717" s="206"/>
      <c r="T717" s="206"/>
      <c r="U717" s="206"/>
      <c r="V717" s="206"/>
      <c r="W717" s="206"/>
      <c r="X717" s="206"/>
      <c r="Y717" s="206"/>
    </row>
    <row r="718">
      <c r="A718" s="206"/>
      <c r="B718" s="206"/>
      <c r="C718" s="206"/>
      <c r="D718" s="206"/>
      <c r="E718" s="206"/>
      <c r="F718" s="206"/>
      <c r="G718" s="206"/>
      <c r="H718" s="206"/>
      <c r="I718" s="206"/>
      <c r="J718" s="206"/>
      <c r="K718" s="206"/>
      <c r="L718" s="206"/>
      <c r="M718" s="206"/>
      <c r="N718" s="206"/>
      <c r="O718" s="206"/>
      <c r="P718" s="206"/>
      <c r="Q718" s="206"/>
      <c r="R718" s="206"/>
      <c r="S718" s="206"/>
      <c r="T718" s="206"/>
      <c r="U718" s="206"/>
      <c r="V718" s="206"/>
      <c r="W718" s="206"/>
      <c r="X718" s="206"/>
      <c r="Y718" s="206"/>
    </row>
    <row r="719">
      <c r="A719" s="206"/>
      <c r="B719" s="206"/>
      <c r="C719" s="206"/>
      <c r="D719" s="206"/>
      <c r="E719" s="206"/>
      <c r="F719" s="206"/>
      <c r="G719" s="206"/>
      <c r="H719" s="206"/>
      <c r="I719" s="206"/>
      <c r="J719" s="206"/>
      <c r="K719" s="206"/>
      <c r="L719" s="206"/>
      <c r="M719" s="206"/>
      <c r="N719" s="206"/>
      <c r="O719" s="206"/>
      <c r="P719" s="206"/>
      <c r="Q719" s="206"/>
      <c r="R719" s="206"/>
      <c r="S719" s="206"/>
      <c r="T719" s="206"/>
      <c r="U719" s="206"/>
      <c r="V719" s="206"/>
      <c r="W719" s="206"/>
      <c r="X719" s="206"/>
      <c r="Y719" s="206"/>
    </row>
    <row r="720">
      <c r="A720" s="206"/>
      <c r="B720" s="206"/>
      <c r="C720" s="206"/>
      <c r="D720" s="206"/>
      <c r="E720" s="206"/>
      <c r="F720" s="206"/>
      <c r="G720" s="206"/>
      <c r="H720" s="206"/>
      <c r="I720" s="206"/>
      <c r="J720" s="206"/>
      <c r="K720" s="206"/>
      <c r="L720" s="206"/>
      <c r="M720" s="206"/>
      <c r="N720" s="206"/>
      <c r="O720" s="206"/>
      <c r="P720" s="206"/>
      <c r="Q720" s="206"/>
      <c r="R720" s="206"/>
      <c r="S720" s="206"/>
      <c r="T720" s="206"/>
      <c r="U720" s="206"/>
      <c r="V720" s="206"/>
      <c r="W720" s="206"/>
      <c r="X720" s="206"/>
      <c r="Y720" s="206"/>
    </row>
    <row r="721">
      <c r="A721" s="206"/>
      <c r="B721" s="206"/>
      <c r="C721" s="206"/>
      <c r="D721" s="206"/>
      <c r="E721" s="206"/>
      <c r="F721" s="206"/>
      <c r="G721" s="206"/>
      <c r="H721" s="206"/>
      <c r="I721" s="206"/>
      <c r="J721" s="206"/>
      <c r="K721" s="206"/>
      <c r="L721" s="206"/>
      <c r="M721" s="206"/>
      <c r="N721" s="206"/>
      <c r="O721" s="206"/>
      <c r="P721" s="206"/>
      <c r="Q721" s="206"/>
      <c r="R721" s="206"/>
      <c r="S721" s="206"/>
      <c r="T721" s="206"/>
      <c r="U721" s="206"/>
      <c r="V721" s="206"/>
      <c r="W721" s="206"/>
      <c r="X721" s="206"/>
      <c r="Y721" s="206"/>
    </row>
    <row r="722">
      <c r="A722" s="206"/>
      <c r="B722" s="206"/>
      <c r="C722" s="206"/>
      <c r="D722" s="206"/>
      <c r="E722" s="206"/>
      <c r="F722" s="206"/>
      <c r="G722" s="206"/>
      <c r="H722" s="206"/>
      <c r="I722" s="206"/>
      <c r="J722" s="206"/>
      <c r="K722" s="206"/>
      <c r="L722" s="206"/>
      <c r="M722" s="206"/>
      <c r="N722" s="206"/>
      <c r="O722" s="206"/>
      <c r="P722" s="206"/>
      <c r="Q722" s="206"/>
      <c r="R722" s="206"/>
      <c r="S722" s="206"/>
      <c r="T722" s="206"/>
      <c r="U722" s="206"/>
      <c r="V722" s="206"/>
      <c r="W722" s="206"/>
      <c r="X722" s="206"/>
      <c r="Y722" s="206"/>
    </row>
    <row r="723">
      <c r="A723" s="206"/>
      <c r="B723" s="206"/>
      <c r="C723" s="206"/>
      <c r="D723" s="206"/>
      <c r="E723" s="206"/>
      <c r="F723" s="206"/>
      <c r="G723" s="206"/>
      <c r="H723" s="206"/>
      <c r="I723" s="206"/>
      <c r="J723" s="206"/>
      <c r="K723" s="206"/>
      <c r="L723" s="206"/>
      <c r="M723" s="206"/>
      <c r="N723" s="206"/>
      <c r="O723" s="206"/>
      <c r="P723" s="206"/>
      <c r="Q723" s="206"/>
      <c r="R723" s="206"/>
      <c r="S723" s="206"/>
      <c r="T723" s="206"/>
      <c r="U723" s="206"/>
      <c r="V723" s="206"/>
      <c r="W723" s="206"/>
      <c r="X723" s="206"/>
      <c r="Y723" s="206"/>
    </row>
    <row r="724">
      <c r="A724" s="206"/>
      <c r="B724" s="206"/>
      <c r="C724" s="206"/>
      <c r="D724" s="206"/>
      <c r="E724" s="206"/>
      <c r="F724" s="206"/>
      <c r="G724" s="206"/>
      <c r="H724" s="206"/>
      <c r="I724" s="206"/>
      <c r="J724" s="206"/>
      <c r="K724" s="206"/>
      <c r="L724" s="206"/>
      <c r="M724" s="206"/>
      <c r="N724" s="206"/>
      <c r="O724" s="206"/>
      <c r="P724" s="206"/>
      <c r="Q724" s="206"/>
      <c r="R724" s="206"/>
      <c r="S724" s="206"/>
      <c r="T724" s="206"/>
      <c r="U724" s="206"/>
      <c r="V724" s="206"/>
      <c r="W724" s="206"/>
      <c r="X724" s="206"/>
      <c r="Y724" s="206"/>
    </row>
    <row r="725">
      <c r="A725" s="206"/>
      <c r="B725" s="206"/>
      <c r="C725" s="206"/>
      <c r="D725" s="206"/>
      <c r="E725" s="206"/>
      <c r="F725" s="206"/>
      <c r="G725" s="206"/>
      <c r="H725" s="206"/>
      <c r="I725" s="206"/>
      <c r="J725" s="206"/>
      <c r="K725" s="206"/>
      <c r="L725" s="206"/>
      <c r="M725" s="206"/>
      <c r="N725" s="206"/>
      <c r="O725" s="206"/>
      <c r="P725" s="206"/>
      <c r="Q725" s="206"/>
      <c r="R725" s="206"/>
      <c r="S725" s="206"/>
      <c r="T725" s="206"/>
      <c r="U725" s="206"/>
      <c r="V725" s="206"/>
      <c r="W725" s="206"/>
      <c r="X725" s="206"/>
      <c r="Y725" s="206"/>
    </row>
    <row r="726">
      <c r="A726" s="206"/>
      <c r="B726" s="206"/>
      <c r="C726" s="206"/>
      <c r="D726" s="206"/>
      <c r="E726" s="206"/>
      <c r="F726" s="206"/>
      <c r="G726" s="206"/>
      <c r="H726" s="206"/>
      <c r="I726" s="206"/>
      <c r="J726" s="206"/>
      <c r="K726" s="206"/>
      <c r="L726" s="206"/>
      <c r="M726" s="206"/>
      <c r="N726" s="206"/>
      <c r="O726" s="206"/>
      <c r="P726" s="206"/>
      <c r="Q726" s="206"/>
      <c r="R726" s="206"/>
      <c r="S726" s="206"/>
      <c r="T726" s="206"/>
      <c r="U726" s="206"/>
      <c r="V726" s="206"/>
      <c r="W726" s="206"/>
      <c r="X726" s="206"/>
      <c r="Y726" s="206"/>
    </row>
    <row r="727">
      <c r="A727" s="206"/>
      <c r="B727" s="206"/>
      <c r="C727" s="206"/>
      <c r="D727" s="206"/>
      <c r="E727" s="206"/>
      <c r="F727" s="206"/>
      <c r="G727" s="206"/>
      <c r="H727" s="206"/>
      <c r="I727" s="206"/>
      <c r="J727" s="206"/>
      <c r="K727" s="206"/>
      <c r="L727" s="206"/>
      <c r="M727" s="206"/>
      <c r="N727" s="206"/>
      <c r="O727" s="206"/>
      <c r="P727" s="206"/>
      <c r="Q727" s="206"/>
      <c r="R727" s="206"/>
      <c r="S727" s="206"/>
      <c r="T727" s="206"/>
      <c r="U727" s="206"/>
      <c r="V727" s="206"/>
      <c r="W727" s="206"/>
      <c r="X727" s="206"/>
      <c r="Y727" s="206"/>
    </row>
    <row r="728">
      <c r="A728" s="206"/>
      <c r="B728" s="206"/>
      <c r="C728" s="206"/>
      <c r="D728" s="206"/>
      <c r="E728" s="206"/>
      <c r="F728" s="206"/>
      <c r="G728" s="206"/>
      <c r="H728" s="206"/>
      <c r="I728" s="206"/>
      <c r="J728" s="206"/>
      <c r="K728" s="206"/>
      <c r="L728" s="206"/>
      <c r="M728" s="206"/>
      <c r="N728" s="206"/>
      <c r="O728" s="206"/>
      <c r="P728" s="206"/>
      <c r="Q728" s="206"/>
      <c r="R728" s="206"/>
      <c r="S728" s="206"/>
      <c r="T728" s="206"/>
      <c r="U728" s="206"/>
      <c r="V728" s="206"/>
      <c r="W728" s="206"/>
      <c r="X728" s="206"/>
      <c r="Y728" s="206"/>
    </row>
    <row r="729">
      <c r="A729" s="206"/>
      <c r="B729" s="206"/>
      <c r="C729" s="206"/>
      <c r="D729" s="206"/>
      <c r="E729" s="206"/>
      <c r="F729" s="206"/>
      <c r="G729" s="206"/>
      <c r="H729" s="206"/>
      <c r="I729" s="206"/>
      <c r="J729" s="206"/>
      <c r="K729" s="206"/>
      <c r="L729" s="206"/>
      <c r="M729" s="206"/>
      <c r="N729" s="206"/>
      <c r="O729" s="206"/>
      <c r="P729" s="206"/>
      <c r="Q729" s="206"/>
      <c r="R729" s="206"/>
      <c r="S729" s="206"/>
      <c r="T729" s="206"/>
      <c r="U729" s="206"/>
      <c r="V729" s="206"/>
      <c r="W729" s="206"/>
      <c r="X729" s="206"/>
      <c r="Y729" s="206"/>
    </row>
    <row r="730">
      <c r="A730" s="206"/>
      <c r="B730" s="206"/>
      <c r="C730" s="206"/>
      <c r="D730" s="206"/>
      <c r="E730" s="206"/>
      <c r="F730" s="206"/>
      <c r="G730" s="206"/>
      <c r="H730" s="206"/>
      <c r="I730" s="206"/>
      <c r="J730" s="206"/>
      <c r="K730" s="206"/>
      <c r="L730" s="206"/>
      <c r="M730" s="206"/>
      <c r="N730" s="206"/>
      <c r="O730" s="206"/>
      <c r="P730" s="206"/>
      <c r="Q730" s="206"/>
      <c r="R730" s="206"/>
      <c r="S730" s="206"/>
      <c r="T730" s="206"/>
      <c r="U730" s="206"/>
      <c r="V730" s="206"/>
      <c r="W730" s="206"/>
      <c r="X730" s="206"/>
      <c r="Y730" s="206"/>
    </row>
    <row r="731">
      <c r="A731" s="206"/>
      <c r="B731" s="206"/>
      <c r="C731" s="206"/>
      <c r="D731" s="206"/>
      <c r="E731" s="206"/>
      <c r="F731" s="206"/>
      <c r="G731" s="206"/>
      <c r="H731" s="206"/>
      <c r="I731" s="206"/>
      <c r="J731" s="206"/>
      <c r="K731" s="206"/>
      <c r="L731" s="206"/>
      <c r="M731" s="206"/>
      <c r="N731" s="206"/>
      <c r="O731" s="206"/>
      <c r="P731" s="206"/>
      <c r="Q731" s="206"/>
      <c r="R731" s="206"/>
      <c r="S731" s="206"/>
      <c r="T731" s="206"/>
      <c r="U731" s="206"/>
      <c r="V731" s="206"/>
      <c r="W731" s="206"/>
      <c r="X731" s="206"/>
      <c r="Y731" s="206"/>
    </row>
    <row r="732">
      <c r="A732" s="206"/>
      <c r="B732" s="206"/>
      <c r="C732" s="206"/>
      <c r="D732" s="206"/>
      <c r="E732" s="206"/>
      <c r="F732" s="206"/>
      <c r="G732" s="206"/>
      <c r="H732" s="206"/>
      <c r="I732" s="206"/>
      <c r="J732" s="206"/>
      <c r="K732" s="206"/>
      <c r="L732" s="206"/>
      <c r="M732" s="206"/>
      <c r="N732" s="206"/>
      <c r="O732" s="206"/>
      <c r="P732" s="206"/>
      <c r="Q732" s="206"/>
      <c r="R732" s="206"/>
      <c r="S732" s="206"/>
      <c r="T732" s="206"/>
      <c r="U732" s="206"/>
      <c r="V732" s="206"/>
      <c r="W732" s="206"/>
      <c r="X732" s="206"/>
      <c r="Y732" s="206"/>
    </row>
    <row r="733">
      <c r="A733" s="206"/>
      <c r="B733" s="206"/>
      <c r="C733" s="206"/>
      <c r="D733" s="206"/>
      <c r="E733" s="206"/>
      <c r="F733" s="206"/>
      <c r="G733" s="206"/>
      <c r="H733" s="206"/>
      <c r="I733" s="206"/>
      <c r="J733" s="206"/>
      <c r="K733" s="206"/>
      <c r="L733" s="206"/>
      <c r="M733" s="206"/>
      <c r="N733" s="206"/>
      <c r="O733" s="206"/>
      <c r="P733" s="206"/>
      <c r="Q733" s="206"/>
      <c r="R733" s="206"/>
      <c r="S733" s="206"/>
      <c r="T733" s="206"/>
      <c r="U733" s="206"/>
      <c r="V733" s="206"/>
      <c r="W733" s="206"/>
      <c r="X733" s="206"/>
      <c r="Y733" s="206"/>
    </row>
    <row r="734">
      <c r="A734" s="206"/>
      <c r="B734" s="206"/>
      <c r="C734" s="206"/>
      <c r="D734" s="206"/>
      <c r="E734" s="206"/>
      <c r="F734" s="206"/>
      <c r="G734" s="206"/>
      <c r="H734" s="206"/>
      <c r="I734" s="206"/>
      <c r="J734" s="206"/>
      <c r="K734" s="206"/>
      <c r="L734" s="206"/>
      <c r="M734" s="206"/>
      <c r="N734" s="206"/>
      <c r="O734" s="206"/>
      <c r="P734" s="206"/>
      <c r="Q734" s="206"/>
      <c r="R734" s="206"/>
      <c r="S734" s="206"/>
      <c r="T734" s="206"/>
      <c r="U734" s="206"/>
      <c r="V734" s="206"/>
      <c r="W734" s="206"/>
      <c r="X734" s="206"/>
      <c r="Y734" s="206"/>
    </row>
    <row r="735">
      <c r="A735" s="206"/>
      <c r="B735" s="206"/>
      <c r="C735" s="206"/>
      <c r="D735" s="206"/>
      <c r="E735" s="206"/>
      <c r="F735" s="206"/>
      <c r="G735" s="206"/>
      <c r="H735" s="206"/>
      <c r="I735" s="206"/>
      <c r="J735" s="206"/>
      <c r="K735" s="206"/>
      <c r="L735" s="206"/>
      <c r="M735" s="206"/>
      <c r="N735" s="206"/>
      <c r="O735" s="206"/>
      <c r="P735" s="206"/>
      <c r="Q735" s="206"/>
      <c r="R735" s="206"/>
      <c r="S735" s="206"/>
      <c r="T735" s="206"/>
      <c r="U735" s="206"/>
      <c r="V735" s="206"/>
      <c r="W735" s="206"/>
      <c r="X735" s="206"/>
      <c r="Y735" s="206"/>
    </row>
    <row r="736">
      <c r="A736" s="206"/>
      <c r="B736" s="206"/>
      <c r="C736" s="206"/>
      <c r="D736" s="206"/>
      <c r="E736" s="206"/>
      <c r="F736" s="206"/>
      <c r="G736" s="206"/>
      <c r="H736" s="206"/>
      <c r="I736" s="206"/>
      <c r="J736" s="206"/>
      <c r="K736" s="206"/>
      <c r="L736" s="206"/>
      <c r="M736" s="206"/>
      <c r="N736" s="206"/>
      <c r="O736" s="206"/>
      <c r="P736" s="206"/>
      <c r="Q736" s="206"/>
      <c r="R736" s="206"/>
      <c r="S736" s="206"/>
      <c r="T736" s="206"/>
      <c r="U736" s="206"/>
      <c r="V736" s="206"/>
      <c r="W736" s="206"/>
      <c r="X736" s="206"/>
      <c r="Y736" s="206"/>
    </row>
    <row r="737">
      <c r="A737" s="206"/>
      <c r="B737" s="206"/>
      <c r="C737" s="206"/>
      <c r="D737" s="206"/>
      <c r="E737" s="206"/>
      <c r="F737" s="206"/>
      <c r="G737" s="206"/>
      <c r="H737" s="206"/>
      <c r="I737" s="206"/>
      <c r="J737" s="206"/>
      <c r="K737" s="206"/>
      <c r="L737" s="206"/>
      <c r="M737" s="206"/>
      <c r="N737" s="206"/>
      <c r="O737" s="206"/>
      <c r="P737" s="206"/>
      <c r="Q737" s="206"/>
      <c r="R737" s="206"/>
      <c r="S737" s="206"/>
      <c r="T737" s="206"/>
      <c r="U737" s="206"/>
      <c r="V737" s="206"/>
      <c r="W737" s="206"/>
      <c r="X737" s="206"/>
      <c r="Y737" s="206"/>
    </row>
    <row r="738">
      <c r="A738" s="206"/>
      <c r="B738" s="206"/>
      <c r="C738" s="206"/>
      <c r="D738" s="206"/>
      <c r="E738" s="206"/>
      <c r="F738" s="206"/>
      <c r="G738" s="206"/>
      <c r="H738" s="206"/>
      <c r="I738" s="206"/>
      <c r="J738" s="206"/>
      <c r="K738" s="206"/>
      <c r="L738" s="206"/>
      <c r="M738" s="206"/>
      <c r="N738" s="206"/>
      <c r="O738" s="206"/>
      <c r="P738" s="206"/>
      <c r="Q738" s="206"/>
      <c r="R738" s="206"/>
      <c r="S738" s="206"/>
      <c r="T738" s="206"/>
      <c r="U738" s="206"/>
      <c r="V738" s="206"/>
      <c r="W738" s="206"/>
      <c r="X738" s="206"/>
      <c r="Y738" s="206"/>
    </row>
    <row r="739">
      <c r="A739" s="206"/>
      <c r="B739" s="206"/>
      <c r="C739" s="206"/>
      <c r="D739" s="206"/>
      <c r="E739" s="206"/>
      <c r="F739" s="206"/>
      <c r="G739" s="206"/>
      <c r="H739" s="206"/>
      <c r="I739" s="206"/>
      <c r="J739" s="206"/>
      <c r="K739" s="206"/>
      <c r="L739" s="206"/>
      <c r="M739" s="206"/>
      <c r="N739" s="206"/>
      <c r="O739" s="206"/>
      <c r="P739" s="206"/>
      <c r="Q739" s="206"/>
      <c r="R739" s="206"/>
      <c r="S739" s="206"/>
      <c r="T739" s="206"/>
      <c r="U739" s="206"/>
      <c r="V739" s="206"/>
      <c r="W739" s="206"/>
      <c r="X739" s="206"/>
      <c r="Y739" s="206"/>
    </row>
    <row r="740">
      <c r="A740" s="206"/>
      <c r="B740" s="206"/>
      <c r="C740" s="206"/>
      <c r="D740" s="206"/>
      <c r="E740" s="206"/>
      <c r="F740" s="206"/>
      <c r="G740" s="206"/>
      <c r="H740" s="206"/>
      <c r="I740" s="206"/>
      <c r="J740" s="206"/>
      <c r="K740" s="206"/>
      <c r="L740" s="206"/>
      <c r="M740" s="206"/>
      <c r="N740" s="206"/>
      <c r="O740" s="206"/>
      <c r="P740" s="206"/>
      <c r="Q740" s="206"/>
      <c r="R740" s="206"/>
      <c r="S740" s="206"/>
      <c r="T740" s="206"/>
      <c r="U740" s="206"/>
      <c r="V740" s="206"/>
      <c r="W740" s="206"/>
      <c r="X740" s="206"/>
      <c r="Y740" s="206"/>
    </row>
    <row r="741">
      <c r="A741" s="206"/>
      <c r="B741" s="206"/>
      <c r="C741" s="206"/>
      <c r="D741" s="206"/>
      <c r="E741" s="206"/>
      <c r="F741" s="206"/>
      <c r="G741" s="206"/>
      <c r="H741" s="206"/>
      <c r="I741" s="206"/>
      <c r="J741" s="206"/>
      <c r="K741" s="206"/>
      <c r="L741" s="206"/>
      <c r="M741" s="206"/>
      <c r="N741" s="206"/>
      <c r="O741" s="206"/>
      <c r="P741" s="206"/>
      <c r="Q741" s="206"/>
      <c r="R741" s="206"/>
      <c r="S741" s="206"/>
      <c r="T741" s="206"/>
      <c r="U741" s="206"/>
      <c r="V741" s="206"/>
      <c r="W741" s="206"/>
      <c r="X741" s="206"/>
      <c r="Y741" s="206"/>
    </row>
    <row r="742">
      <c r="A742" s="206"/>
      <c r="B742" s="206"/>
      <c r="C742" s="206"/>
      <c r="D742" s="206"/>
      <c r="E742" s="206"/>
      <c r="F742" s="206"/>
      <c r="G742" s="206"/>
      <c r="H742" s="206"/>
      <c r="I742" s="206"/>
      <c r="J742" s="206"/>
      <c r="K742" s="206"/>
      <c r="L742" s="206"/>
      <c r="M742" s="206"/>
      <c r="N742" s="206"/>
      <c r="O742" s="206"/>
      <c r="P742" s="206"/>
      <c r="Q742" s="206"/>
      <c r="R742" s="206"/>
      <c r="S742" s="206"/>
      <c r="T742" s="206"/>
      <c r="U742" s="206"/>
      <c r="V742" s="206"/>
      <c r="W742" s="206"/>
      <c r="X742" s="206"/>
      <c r="Y742" s="206"/>
    </row>
    <row r="743">
      <c r="A743" s="206"/>
      <c r="B743" s="206"/>
      <c r="C743" s="206"/>
      <c r="D743" s="206"/>
      <c r="E743" s="206"/>
      <c r="F743" s="206"/>
      <c r="G743" s="206"/>
      <c r="H743" s="206"/>
      <c r="I743" s="206"/>
      <c r="J743" s="206"/>
      <c r="K743" s="206"/>
      <c r="L743" s="206"/>
      <c r="M743" s="206"/>
      <c r="N743" s="206"/>
      <c r="O743" s="206"/>
      <c r="P743" s="206"/>
      <c r="Q743" s="206"/>
      <c r="R743" s="206"/>
      <c r="S743" s="206"/>
      <c r="T743" s="206"/>
      <c r="U743" s="206"/>
      <c r="V743" s="206"/>
      <c r="W743" s="206"/>
      <c r="X743" s="206"/>
      <c r="Y743" s="206"/>
    </row>
    <row r="744">
      <c r="A744" s="206"/>
      <c r="B744" s="206"/>
      <c r="C744" s="206"/>
      <c r="D744" s="206"/>
      <c r="E744" s="206"/>
      <c r="F744" s="206"/>
      <c r="G744" s="206"/>
      <c r="H744" s="206"/>
      <c r="I744" s="206"/>
      <c r="J744" s="206"/>
      <c r="K744" s="206"/>
      <c r="L744" s="206"/>
      <c r="M744" s="206"/>
      <c r="N744" s="206"/>
      <c r="O744" s="206"/>
      <c r="P744" s="206"/>
      <c r="Q744" s="206"/>
      <c r="R744" s="206"/>
      <c r="S744" s="206"/>
      <c r="T744" s="206"/>
      <c r="U744" s="206"/>
      <c r="V744" s="206"/>
      <c r="W744" s="206"/>
      <c r="X744" s="206"/>
      <c r="Y744" s="206"/>
    </row>
    <row r="745">
      <c r="A745" s="206"/>
      <c r="B745" s="206"/>
      <c r="C745" s="206"/>
      <c r="D745" s="206"/>
      <c r="E745" s="206"/>
      <c r="F745" s="206"/>
      <c r="G745" s="206"/>
      <c r="H745" s="206"/>
      <c r="I745" s="206"/>
      <c r="J745" s="206"/>
      <c r="K745" s="206"/>
      <c r="L745" s="206"/>
      <c r="M745" s="206"/>
      <c r="N745" s="206"/>
      <c r="O745" s="206"/>
      <c r="P745" s="206"/>
      <c r="Q745" s="206"/>
      <c r="R745" s="206"/>
      <c r="S745" s="206"/>
      <c r="T745" s="206"/>
      <c r="U745" s="206"/>
      <c r="V745" s="206"/>
      <c r="W745" s="206"/>
      <c r="X745" s="206"/>
      <c r="Y745" s="206"/>
    </row>
    <row r="746">
      <c r="A746" s="206"/>
      <c r="B746" s="206"/>
      <c r="C746" s="206"/>
      <c r="D746" s="206"/>
      <c r="E746" s="206"/>
      <c r="F746" s="206"/>
      <c r="G746" s="206"/>
      <c r="H746" s="206"/>
      <c r="I746" s="206"/>
      <c r="J746" s="206"/>
      <c r="K746" s="206"/>
      <c r="L746" s="206"/>
      <c r="M746" s="206"/>
      <c r="N746" s="206"/>
      <c r="O746" s="206"/>
      <c r="P746" s="206"/>
      <c r="Q746" s="206"/>
      <c r="R746" s="206"/>
      <c r="S746" s="206"/>
      <c r="T746" s="206"/>
      <c r="U746" s="206"/>
      <c r="V746" s="206"/>
      <c r="W746" s="206"/>
      <c r="X746" s="206"/>
      <c r="Y746" s="206"/>
    </row>
    <row r="747">
      <c r="A747" s="206"/>
      <c r="B747" s="206"/>
      <c r="C747" s="206"/>
      <c r="D747" s="206"/>
      <c r="E747" s="206"/>
      <c r="F747" s="206"/>
      <c r="G747" s="206"/>
      <c r="H747" s="206"/>
      <c r="I747" s="206"/>
      <c r="J747" s="206"/>
      <c r="K747" s="206"/>
      <c r="L747" s="206"/>
      <c r="M747" s="206"/>
      <c r="N747" s="206"/>
      <c r="O747" s="206"/>
      <c r="P747" s="206"/>
      <c r="Q747" s="206"/>
      <c r="R747" s="206"/>
      <c r="S747" s="206"/>
      <c r="T747" s="206"/>
      <c r="U747" s="206"/>
      <c r="V747" s="206"/>
      <c r="W747" s="206"/>
      <c r="X747" s="206"/>
      <c r="Y747" s="206"/>
    </row>
    <row r="748">
      <c r="A748" s="206"/>
      <c r="B748" s="206"/>
      <c r="C748" s="206"/>
      <c r="D748" s="206"/>
      <c r="E748" s="206"/>
      <c r="F748" s="206"/>
      <c r="G748" s="206"/>
      <c r="H748" s="206"/>
      <c r="I748" s="206"/>
      <c r="J748" s="206"/>
      <c r="K748" s="206"/>
      <c r="L748" s="206"/>
      <c r="M748" s="206"/>
      <c r="N748" s="206"/>
      <c r="O748" s="206"/>
      <c r="P748" s="206"/>
      <c r="Q748" s="206"/>
      <c r="R748" s="206"/>
      <c r="S748" s="206"/>
      <c r="T748" s="206"/>
      <c r="U748" s="206"/>
      <c r="V748" s="206"/>
      <c r="W748" s="206"/>
      <c r="X748" s="206"/>
      <c r="Y748" s="206"/>
    </row>
    <row r="749">
      <c r="A749" s="206"/>
      <c r="B749" s="206"/>
      <c r="C749" s="206"/>
      <c r="D749" s="206"/>
      <c r="E749" s="206"/>
      <c r="F749" s="206"/>
      <c r="G749" s="206"/>
      <c r="H749" s="206"/>
      <c r="I749" s="206"/>
      <c r="J749" s="206"/>
      <c r="K749" s="206"/>
      <c r="L749" s="206"/>
      <c r="M749" s="206"/>
      <c r="N749" s="206"/>
      <c r="O749" s="206"/>
      <c r="P749" s="206"/>
      <c r="Q749" s="206"/>
      <c r="R749" s="206"/>
      <c r="S749" s="206"/>
      <c r="T749" s="206"/>
      <c r="U749" s="206"/>
      <c r="V749" s="206"/>
      <c r="W749" s="206"/>
      <c r="X749" s="206"/>
      <c r="Y749" s="206"/>
    </row>
    <row r="750">
      <c r="A750" s="206"/>
      <c r="B750" s="206"/>
      <c r="C750" s="206"/>
      <c r="D750" s="206"/>
      <c r="E750" s="206"/>
      <c r="F750" s="206"/>
      <c r="G750" s="206"/>
      <c r="H750" s="206"/>
      <c r="I750" s="206"/>
      <c r="J750" s="206"/>
      <c r="K750" s="206"/>
      <c r="L750" s="206"/>
      <c r="M750" s="206"/>
      <c r="N750" s="206"/>
      <c r="O750" s="206"/>
      <c r="P750" s="206"/>
      <c r="Q750" s="206"/>
      <c r="R750" s="206"/>
      <c r="S750" s="206"/>
      <c r="T750" s="206"/>
      <c r="U750" s="206"/>
      <c r="V750" s="206"/>
      <c r="W750" s="206"/>
      <c r="X750" s="206"/>
      <c r="Y750" s="206"/>
    </row>
    <row r="751">
      <c r="A751" s="206"/>
      <c r="B751" s="206"/>
      <c r="C751" s="206"/>
      <c r="D751" s="206"/>
      <c r="E751" s="206"/>
      <c r="F751" s="206"/>
      <c r="G751" s="206"/>
      <c r="H751" s="206"/>
      <c r="I751" s="206"/>
      <c r="J751" s="206"/>
      <c r="K751" s="206"/>
      <c r="L751" s="206"/>
      <c r="M751" s="206"/>
      <c r="N751" s="206"/>
      <c r="O751" s="206"/>
      <c r="P751" s="206"/>
      <c r="Q751" s="206"/>
      <c r="R751" s="206"/>
      <c r="S751" s="206"/>
      <c r="T751" s="206"/>
      <c r="U751" s="206"/>
      <c r="V751" s="206"/>
      <c r="W751" s="206"/>
      <c r="X751" s="206"/>
      <c r="Y751" s="206"/>
    </row>
    <row r="752">
      <c r="A752" s="206"/>
      <c r="B752" s="206"/>
      <c r="C752" s="206"/>
      <c r="D752" s="206"/>
      <c r="E752" s="206"/>
      <c r="F752" s="206"/>
      <c r="G752" s="206"/>
      <c r="H752" s="206"/>
      <c r="I752" s="206"/>
      <c r="J752" s="206"/>
      <c r="K752" s="206"/>
      <c r="L752" s="206"/>
      <c r="M752" s="206"/>
      <c r="N752" s="206"/>
      <c r="O752" s="206"/>
      <c r="P752" s="206"/>
      <c r="Q752" s="206"/>
      <c r="R752" s="206"/>
      <c r="S752" s="206"/>
      <c r="T752" s="206"/>
      <c r="U752" s="206"/>
      <c r="V752" s="206"/>
      <c r="W752" s="206"/>
      <c r="X752" s="206"/>
      <c r="Y752" s="206"/>
    </row>
    <row r="753">
      <c r="A753" s="206"/>
      <c r="B753" s="206"/>
      <c r="C753" s="206"/>
      <c r="D753" s="206"/>
      <c r="E753" s="206"/>
      <c r="F753" s="206"/>
      <c r="G753" s="206"/>
      <c r="H753" s="206"/>
      <c r="I753" s="206"/>
      <c r="J753" s="206"/>
      <c r="K753" s="206"/>
      <c r="L753" s="206"/>
      <c r="M753" s="206"/>
      <c r="N753" s="206"/>
      <c r="O753" s="206"/>
      <c r="P753" s="206"/>
      <c r="Q753" s="206"/>
      <c r="R753" s="206"/>
      <c r="S753" s="206"/>
      <c r="T753" s="206"/>
      <c r="U753" s="206"/>
      <c r="V753" s="206"/>
      <c r="W753" s="206"/>
      <c r="X753" s="206"/>
      <c r="Y753" s="206"/>
    </row>
    <row r="754">
      <c r="A754" s="206"/>
      <c r="B754" s="206"/>
      <c r="C754" s="206"/>
      <c r="D754" s="206"/>
      <c r="E754" s="206"/>
      <c r="F754" s="206"/>
      <c r="G754" s="206"/>
      <c r="H754" s="206"/>
      <c r="I754" s="206"/>
      <c r="J754" s="206"/>
      <c r="K754" s="206"/>
      <c r="L754" s="206"/>
      <c r="M754" s="206"/>
      <c r="N754" s="206"/>
      <c r="O754" s="206"/>
      <c r="P754" s="206"/>
      <c r="Q754" s="206"/>
      <c r="R754" s="206"/>
      <c r="S754" s="206"/>
      <c r="T754" s="206"/>
      <c r="U754" s="206"/>
      <c r="V754" s="206"/>
      <c r="W754" s="206"/>
      <c r="X754" s="206"/>
      <c r="Y754" s="206"/>
    </row>
    <row r="755">
      <c r="A755" s="206"/>
      <c r="B755" s="206"/>
      <c r="C755" s="206"/>
      <c r="D755" s="206"/>
      <c r="E755" s="206"/>
      <c r="F755" s="206"/>
      <c r="G755" s="206"/>
      <c r="H755" s="206"/>
      <c r="I755" s="206"/>
      <c r="J755" s="206"/>
      <c r="K755" s="206"/>
      <c r="L755" s="206"/>
      <c r="M755" s="206"/>
      <c r="N755" s="206"/>
      <c r="O755" s="206"/>
      <c r="P755" s="206"/>
      <c r="Q755" s="206"/>
      <c r="R755" s="206"/>
      <c r="S755" s="206"/>
      <c r="T755" s="206"/>
      <c r="U755" s="206"/>
      <c r="V755" s="206"/>
      <c r="W755" s="206"/>
      <c r="X755" s="206"/>
      <c r="Y755" s="206"/>
    </row>
    <row r="756">
      <c r="A756" s="206"/>
      <c r="B756" s="206"/>
      <c r="C756" s="206"/>
      <c r="D756" s="206"/>
      <c r="E756" s="206"/>
      <c r="F756" s="206"/>
      <c r="G756" s="206"/>
      <c r="H756" s="206"/>
      <c r="I756" s="206"/>
      <c r="J756" s="206"/>
      <c r="K756" s="206"/>
      <c r="L756" s="206"/>
      <c r="M756" s="206"/>
      <c r="N756" s="206"/>
      <c r="O756" s="206"/>
      <c r="P756" s="206"/>
      <c r="Q756" s="206"/>
      <c r="R756" s="206"/>
      <c r="S756" s="206"/>
      <c r="T756" s="206"/>
      <c r="U756" s="206"/>
      <c r="V756" s="206"/>
      <c r="W756" s="206"/>
      <c r="X756" s="206"/>
      <c r="Y756" s="206"/>
    </row>
    <row r="757">
      <c r="A757" s="206"/>
      <c r="B757" s="206"/>
      <c r="C757" s="206"/>
      <c r="D757" s="206"/>
      <c r="E757" s="206"/>
      <c r="F757" s="206"/>
      <c r="G757" s="206"/>
      <c r="H757" s="206"/>
      <c r="I757" s="206"/>
      <c r="J757" s="206"/>
      <c r="K757" s="206"/>
      <c r="L757" s="206"/>
      <c r="M757" s="206"/>
      <c r="N757" s="206"/>
      <c r="O757" s="206"/>
      <c r="P757" s="206"/>
      <c r="Q757" s="206"/>
      <c r="R757" s="206"/>
      <c r="S757" s="206"/>
      <c r="T757" s="206"/>
      <c r="U757" s="206"/>
      <c r="V757" s="206"/>
      <c r="W757" s="206"/>
      <c r="X757" s="206"/>
      <c r="Y757" s="206"/>
    </row>
    <row r="758">
      <c r="A758" s="206"/>
      <c r="B758" s="206"/>
      <c r="C758" s="206"/>
      <c r="D758" s="206"/>
      <c r="E758" s="206"/>
      <c r="F758" s="206"/>
      <c r="G758" s="206"/>
      <c r="H758" s="206"/>
      <c r="I758" s="206"/>
      <c r="J758" s="206"/>
      <c r="K758" s="206"/>
      <c r="L758" s="206"/>
      <c r="M758" s="206"/>
      <c r="N758" s="206"/>
      <c r="O758" s="206"/>
      <c r="P758" s="206"/>
      <c r="Q758" s="206"/>
      <c r="R758" s="206"/>
      <c r="S758" s="206"/>
      <c r="T758" s="206"/>
      <c r="U758" s="206"/>
      <c r="V758" s="206"/>
      <c r="W758" s="206"/>
      <c r="X758" s="206"/>
      <c r="Y758" s="206"/>
    </row>
    <row r="759">
      <c r="A759" s="206"/>
      <c r="B759" s="206"/>
      <c r="C759" s="206"/>
      <c r="D759" s="206"/>
      <c r="E759" s="206"/>
      <c r="F759" s="206"/>
      <c r="G759" s="206"/>
      <c r="H759" s="206"/>
      <c r="I759" s="206"/>
      <c r="J759" s="206"/>
      <c r="K759" s="206"/>
      <c r="L759" s="206"/>
      <c r="M759" s="206"/>
      <c r="N759" s="206"/>
      <c r="O759" s="206"/>
      <c r="P759" s="206"/>
      <c r="Q759" s="206"/>
      <c r="R759" s="206"/>
      <c r="S759" s="206"/>
      <c r="T759" s="206"/>
      <c r="U759" s="206"/>
      <c r="V759" s="206"/>
      <c r="W759" s="206"/>
      <c r="X759" s="206"/>
      <c r="Y759" s="206"/>
    </row>
    <row r="760">
      <c r="A760" s="206"/>
      <c r="B760" s="206"/>
      <c r="C760" s="206"/>
      <c r="D760" s="206"/>
      <c r="E760" s="206"/>
      <c r="F760" s="206"/>
      <c r="G760" s="206"/>
      <c r="H760" s="206"/>
      <c r="I760" s="206"/>
      <c r="J760" s="206"/>
      <c r="K760" s="206"/>
      <c r="L760" s="206"/>
      <c r="M760" s="206"/>
      <c r="N760" s="206"/>
      <c r="O760" s="206"/>
      <c r="P760" s="206"/>
      <c r="Q760" s="206"/>
      <c r="R760" s="206"/>
      <c r="S760" s="206"/>
      <c r="T760" s="206"/>
      <c r="U760" s="206"/>
      <c r="V760" s="206"/>
      <c r="W760" s="206"/>
      <c r="X760" s="206"/>
      <c r="Y760" s="206"/>
    </row>
    <row r="761">
      <c r="A761" s="206"/>
      <c r="B761" s="206"/>
      <c r="C761" s="206"/>
      <c r="D761" s="206"/>
      <c r="E761" s="206"/>
      <c r="F761" s="206"/>
      <c r="G761" s="206"/>
      <c r="H761" s="206"/>
      <c r="I761" s="206"/>
      <c r="J761" s="206"/>
      <c r="K761" s="206"/>
      <c r="L761" s="206"/>
      <c r="M761" s="206"/>
      <c r="N761" s="206"/>
      <c r="O761" s="206"/>
      <c r="P761" s="206"/>
      <c r="Q761" s="206"/>
      <c r="R761" s="206"/>
      <c r="S761" s="206"/>
      <c r="T761" s="206"/>
      <c r="U761" s="206"/>
      <c r="V761" s="206"/>
      <c r="W761" s="206"/>
      <c r="X761" s="206"/>
      <c r="Y761" s="206"/>
    </row>
    <row r="762">
      <c r="A762" s="206"/>
      <c r="B762" s="206"/>
      <c r="C762" s="206"/>
      <c r="D762" s="206"/>
      <c r="E762" s="206"/>
      <c r="F762" s="206"/>
      <c r="G762" s="206"/>
      <c r="H762" s="206"/>
      <c r="I762" s="206"/>
      <c r="J762" s="206"/>
      <c r="K762" s="206"/>
      <c r="L762" s="206"/>
      <c r="M762" s="206"/>
      <c r="N762" s="206"/>
      <c r="O762" s="206"/>
      <c r="P762" s="206"/>
      <c r="Q762" s="206"/>
      <c r="R762" s="206"/>
      <c r="S762" s="206"/>
      <c r="T762" s="206"/>
      <c r="U762" s="206"/>
      <c r="V762" s="206"/>
      <c r="W762" s="206"/>
      <c r="X762" s="206"/>
      <c r="Y762" s="206"/>
    </row>
    <row r="763">
      <c r="A763" s="206"/>
      <c r="B763" s="206"/>
      <c r="C763" s="206"/>
      <c r="D763" s="206"/>
      <c r="E763" s="206"/>
      <c r="F763" s="206"/>
      <c r="G763" s="206"/>
      <c r="H763" s="206"/>
      <c r="I763" s="206"/>
      <c r="J763" s="206"/>
      <c r="K763" s="206"/>
      <c r="L763" s="206"/>
      <c r="M763" s="206"/>
      <c r="N763" s="206"/>
      <c r="O763" s="206"/>
      <c r="P763" s="206"/>
      <c r="Q763" s="206"/>
      <c r="R763" s="206"/>
      <c r="S763" s="206"/>
      <c r="T763" s="206"/>
      <c r="U763" s="206"/>
      <c r="V763" s="206"/>
      <c r="W763" s="206"/>
      <c r="X763" s="206"/>
      <c r="Y763" s="206"/>
    </row>
    <row r="764">
      <c r="A764" s="206"/>
      <c r="B764" s="206"/>
      <c r="C764" s="206"/>
      <c r="D764" s="206"/>
      <c r="E764" s="206"/>
      <c r="F764" s="206"/>
      <c r="G764" s="206"/>
      <c r="H764" s="206"/>
      <c r="I764" s="206"/>
      <c r="J764" s="206"/>
      <c r="K764" s="206"/>
      <c r="L764" s="206"/>
      <c r="M764" s="206"/>
      <c r="N764" s="206"/>
      <c r="O764" s="206"/>
      <c r="P764" s="206"/>
      <c r="Q764" s="206"/>
      <c r="R764" s="206"/>
      <c r="S764" s="206"/>
      <c r="T764" s="206"/>
      <c r="U764" s="206"/>
      <c r="V764" s="206"/>
      <c r="W764" s="206"/>
      <c r="X764" s="206"/>
      <c r="Y764" s="206"/>
    </row>
    <row r="765">
      <c r="A765" s="206"/>
      <c r="B765" s="206"/>
      <c r="C765" s="206"/>
      <c r="D765" s="206"/>
      <c r="E765" s="206"/>
      <c r="F765" s="206"/>
      <c r="G765" s="206"/>
      <c r="H765" s="206"/>
      <c r="I765" s="206"/>
      <c r="J765" s="206"/>
      <c r="K765" s="206"/>
      <c r="L765" s="206"/>
      <c r="M765" s="206"/>
      <c r="N765" s="206"/>
      <c r="O765" s="206"/>
      <c r="P765" s="206"/>
      <c r="Q765" s="206"/>
      <c r="R765" s="206"/>
      <c r="S765" s="206"/>
      <c r="T765" s="206"/>
      <c r="U765" s="206"/>
      <c r="V765" s="206"/>
      <c r="W765" s="206"/>
      <c r="X765" s="206"/>
      <c r="Y765" s="206"/>
    </row>
    <row r="766">
      <c r="A766" s="206"/>
      <c r="B766" s="206"/>
      <c r="C766" s="206"/>
      <c r="D766" s="206"/>
      <c r="E766" s="206"/>
      <c r="F766" s="206"/>
      <c r="G766" s="206"/>
      <c r="H766" s="206"/>
      <c r="I766" s="206"/>
      <c r="J766" s="206"/>
      <c r="K766" s="206"/>
      <c r="L766" s="206"/>
      <c r="M766" s="206"/>
      <c r="N766" s="206"/>
      <c r="O766" s="206"/>
      <c r="P766" s="206"/>
      <c r="Q766" s="206"/>
      <c r="R766" s="206"/>
      <c r="S766" s="206"/>
      <c r="T766" s="206"/>
      <c r="U766" s="206"/>
      <c r="V766" s="206"/>
      <c r="W766" s="206"/>
      <c r="X766" s="206"/>
      <c r="Y766" s="206"/>
    </row>
    <row r="767">
      <c r="A767" s="206"/>
      <c r="B767" s="206"/>
      <c r="C767" s="206"/>
      <c r="D767" s="206"/>
      <c r="E767" s="206"/>
      <c r="F767" s="206"/>
      <c r="G767" s="206"/>
      <c r="H767" s="206"/>
      <c r="I767" s="206"/>
      <c r="J767" s="206"/>
      <c r="K767" s="206"/>
      <c r="L767" s="206"/>
      <c r="M767" s="206"/>
      <c r="N767" s="206"/>
      <c r="O767" s="206"/>
      <c r="P767" s="206"/>
      <c r="Q767" s="206"/>
      <c r="R767" s="206"/>
      <c r="S767" s="206"/>
      <c r="T767" s="206"/>
      <c r="U767" s="206"/>
      <c r="V767" s="206"/>
      <c r="W767" s="206"/>
      <c r="X767" s="206"/>
      <c r="Y767" s="206"/>
    </row>
    <row r="768">
      <c r="A768" s="206"/>
      <c r="B768" s="206"/>
      <c r="C768" s="206"/>
      <c r="D768" s="206"/>
      <c r="E768" s="206"/>
      <c r="F768" s="206"/>
      <c r="G768" s="206"/>
      <c r="H768" s="206"/>
      <c r="I768" s="206"/>
      <c r="J768" s="206"/>
      <c r="K768" s="206"/>
      <c r="L768" s="206"/>
      <c r="M768" s="206"/>
      <c r="N768" s="206"/>
      <c r="O768" s="206"/>
      <c r="P768" s="206"/>
      <c r="Q768" s="206"/>
      <c r="R768" s="206"/>
      <c r="S768" s="206"/>
      <c r="T768" s="206"/>
      <c r="U768" s="206"/>
      <c r="V768" s="206"/>
      <c r="W768" s="206"/>
      <c r="X768" s="206"/>
      <c r="Y768" s="206"/>
    </row>
    <row r="769">
      <c r="A769" s="206"/>
      <c r="B769" s="206"/>
      <c r="C769" s="206"/>
      <c r="D769" s="206"/>
      <c r="E769" s="206"/>
      <c r="F769" s="206"/>
      <c r="G769" s="206"/>
      <c r="H769" s="206"/>
      <c r="I769" s="206"/>
      <c r="J769" s="206"/>
      <c r="K769" s="206"/>
      <c r="L769" s="206"/>
      <c r="M769" s="206"/>
      <c r="N769" s="206"/>
      <c r="O769" s="206"/>
      <c r="P769" s="206"/>
      <c r="Q769" s="206"/>
      <c r="R769" s="206"/>
      <c r="S769" s="206"/>
      <c r="T769" s="206"/>
      <c r="U769" s="206"/>
      <c r="V769" s="206"/>
      <c r="W769" s="206"/>
      <c r="X769" s="206"/>
      <c r="Y769" s="206"/>
    </row>
    <row r="770">
      <c r="A770" s="206"/>
      <c r="B770" s="206"/>
      <c r="C770" s="206"/>
      <c r="D770" s="206"/>
      <c r="E770" s="206"/>
      <c r="F770" s="206"/>
      <c r="G770" s="206"/>
      <c r="H770" s="206"/>
      <c r="I770" s="206"/>
      <c r="J770" s="206"/>
      <c r="K770" s="206"/>
      <c r="L770" s="206"/>
      <c r="M770" s="206"/>
      <c r="N770" s="206"/>
      <c r="O770" s="206"/>
      <c r="P770" s="206"/>
      <c r="Q770" s="206"/>
      <c r="R770" s="206"/>
      <c r="S770" s="206"/>
      <c r="T770" s="206"/>
      <c r="U770" s="206"/>
      <c r="V770" s="206"/>
      <c r="W770" s="206"/>
      <c r="X770" s="206"/>
      <c r="Y770" s="206"/>
    </row>
    <row r="771">
      <c r="A771" s="206"/>
      <c r="B771" s="206"/>
      <c r="C771" s="206"/>
      <c r="D771" s="206"/>
      <c r="E771" s="206"/>
      <c r="F771" s="206"/>
      <c r="G771" s="206"/>
      <c r="H771" s="206"/>
      <c r="I771" s="206"/>
      <c r="J771" s="206"/>
      <c r="K771" s="206"/>
      <c r="L771" s="206"/>
      <c r="M771" s="206"/>
      <c r="N771" s="206"/>
      <c r="O771" s="206"/>
      <c r="P771" s="206"/>
      <c r="Q771" s="206"/>
      <c r="R771" s="206"/>
      <c r="S771" s="206"/>
      <c r="T771" s="206"/>
      <c r="U771" s="206"/>
      <c r="V771" s="206"/>
      <c r="W771" s="206"/>
      <c r="X771" s="206"/>
      <c r="Y771" s="206"/>
    </row>
    <row r="772">
      <c r="A772" s="206"/>
      <c r="B772" s="206"/>
      <c r="C772" s="206"/>
      <c r="D772" s="206"/>
      <c r="E772" s="206"/>
      <c r="F772" s="206"/>
      <c r="G772" s="206"/>
      <c r="H772" s="206"/>
      <c r="I772" s="206"/>
      <c r="J772" s="206"/>
      <c r="K772" s="206"/>
      <c r="L772" s="206"/>
      <c r="M772" s="206"/>
      <c r="N772" s="206"/>
      <c r="O772" s="206"/>
      <c r="P772" s="206"/>
      <c r="Q772" s="206"/>
      <c r="R772" s="206"/>
      <c r="S772" s="206"/>
      <c r="T772" s="206"/>
      <c r="U772" s="206"/>
      <c r="V772" s="206"/>
      <c r="W772" s="206"/>
      <c r="X772" s="206"/>
      <c r="Y772" s="206"/>
    </row>
    <row r="773">
      <c r="A773" s="206"/>
      <c r="B773" s="206"/>
      <c r="C773" s="206"/>
      <c r="D773" s="206"/>
      <c r="E773" s="206"/>
      <c r="F773" s="206"/>
      <c r="G773" s="206"/>
      <c r="H773" s="206"/>
      <c r="I773" s="206"/>
      <c r="J773" s="206"/>
      <c r="K773" s="206"/>
      <c r="L773" s="206"/>
      <c r="M773" s="206"/>
      <c r="N773" s="206"/>
      <c r="O773" s="206"/>
      <c r="P773" s="206"/>
      <c r="Q773" s="206"/>
      <c r="R773" s="206"/>
      <c r="S773" s="206"/>
      <c r="T773" s="206"/>
      <c r="U773" s="206"/>
      <c r="V773" s="206"/>
      <c r="W773" s="206"/>
      <c r="X773" s="206"/>
      <c r="Y773" s="206"/>
    </row>
    <row r="774">
      <c r="A774" s="206"/>
      <c r="B774" s="206"/>
      <c r="C774" s="206"/>
      <c r="D774" s="206"/>
      <c r="E774" s="206"/>
      <c r="F774" s="206"/>
      <c r="G774" s="206"/>
      <c r="H774" s="206"/>
      <c r="I774" s="206"/>
      <c r="J774" s="206"/>
      <c r="K774" s="206"/>
      <c r="L774" s="206"/>
      <c r="M774" s="206"/>
      <c r="N774" s="206"/>
      <c r="O774" s="206"/>
      <c r="P774" s="206"/>
      <c r="Q774" s="206"/>
      <c r="R774" s="206"/>
      <c r="S774" s="206"/>
      <c r="T774" s="206"/>
      <c r="U774" s="206"/>
      <c r="V774" s="206"/>
      <c r="W774" s="206"/>
      <c r="X774" s="206"/>
      <c r="Y774" s="206"/>
    </row>
    <row r="775">
      <c r="A775" s="206"/>
      <c r="B775" s="206"/>
      <c r="C775" s="206"/>
      <c r="D775" s="206"/>
      <c r="E775" s="206"/>
      <c r="F775" s="206"/>
      <c r="G775" s="206"/>
      <c r="H775" s="206"/>
      <c r="I775" s="206"/>
      <c r="J775" s="206"/>
      <c r="K775" s="206"/>
      <c r="L775" s="206"/>
      <c r="M775" s="206"/>
      <c r="N775" s="206"/>
      <c r="O775" s="206"/>
      <c r="P775" s="206"/>
      <c r="Q775" s="206"/>
      <c r="R775" s="206"/>
      <c r="S775" s="206"/>
      <c r="T775" s="206"/>
      <c r="U775" s="206"/>
      <c r="V775" s="206"/>
      <c r="W775" s="206"/>
      <c r="X775" s="206"/>
      <c r="Y775" s="206"/>
    </row>
    <row r="776">
      <c r="A776" s="206"/>
      <c r="B776" s="206"/>
      <c r="C776" s="206"/>
      <c r="D776" s="206"/>
      <c r="E776" s="206"/>
      <c r="F776" s="206"/>
      <c r="G776" s="206"/>
      <c r="H776" s="206"/>
      <c r="I776" s="206"/>
      <c r="J776" s="206"/>
      <c r="K776" s="206"/>
      <c r="L776" s="206"/>
      <c r="M776" s="206"/>
      <c r="N776" s="206"/>
      <c r="O776" s="206"/>
      <c r="P776" s="206"/>
      <c r="Q776" s="206"/>
      <c r="R776" s="206"/>
      <c r="S776" s="206"/>
      <c r="T776" s="206"/>
      <c r="U776" s="206"/>
      <c r="V776" s="206"/>
      <c r="W776" s="206"/>
      <c r="X776" s="206"/>
      <c r="Y776" s="206"/>
    </row>
    <row r="777">
      <c r="A777" s="206"/>
      <c r="B777" s="206"/>
      <c r="C777" s="206"/>
      <c r="D777" s="206"/>
      <c r="E777" s="206"/>
      <c r="F777" s="206"/>
      <c r="G777" s="206"/>
      <c r="H777" s="206"/>
      <c r="I777" s="206"/>
      <c r="J777" s="206"/>
      <c r="K777" s="206"/>
      <c r="L777" s="206"/>
      <c r="M777" s="206"/>
      <c r="N777" s="206"/>
      <c r="O777" s="206"/>
      <c r="P777" s="206"/>
      <c r="Q777" s="206"/>
      <c r="R777" s="206"/>
      <c r="S777" s="206"/>
      <c r="T777" s="206"/>
      <c r="U777" s="206"/>
      <c r="V777" s="206"/>
      <c r="W777" s="206"/>
      <c r="X777" s="206"/>
      <c r="Y777" s="206"/>
    </row>
    <row r="778">
      <c r="A778" s="206"/>
      <c r="B778" s="206"/>
      <c r="C778" s="206"/>
      <c r="D778" s="206"/>
      <c r="E778" s="206"/>
      <c r="F778" s="206"/>
      <c r="G778" s="206"/>
      <c r="H778" s="206"/>
      <c r="I778" s="206"/>
      <c r="J778" s="206"/>
      <c r="K778" s="206"/>
      <c r="L778" s="206"/>
      <c r="M778" s="206"/>
      <c r="N778" s="206"/>
      <c r="O778" s="206"/>
      <c r="P778" s="206"/>
      <c r="Q778" s="206"/>
      <c r="R778" s="206"/>
      <c r="S778" s="206"/>
      <c r="T778" s="206"/>
      <c r="U778" s="206"/>
      <c r="V778" s="206"/>
      <c r="W778" s="206"/>
      <c r="X778" s="206"/>
      <c r="Y778" s="206"/>
    </row>
    <row r="779">
      <c r="A779" s="206"/>
      <c r="B779" s="206"/>
      <c r="C779" s="206"/>
      <c r="D779" s="206"/>
      <c r="E779" s="206"/>
      <c r="F779" s="206"/>
      <c r="G779" s="206"/>
      <c r="H779" s="206"/>
      <c r="I779" s="206"/>
      <c r="J779" s="206"/>
      <c r="K779" s="206"/>
      <c r="L779" s="206"/>
      <c r="M779" s="206"/>
      <c r="N779" s="206"/>
      <c r="O779" s="206"/>
      <c r="P779" s="206"/>
      <c r="Q779" s="206"/>
      <c r="R779" s="206"/>
      <c r="S779" s="206"/>
      <c r="T779" s="206"/>
      <c r="U779" s="206"/>
      <c r="V779" s="206"/>
      <c r="W779" s="206"/>
      <c r="X779" s="206"/>
      <c r="Y779" s="206"/>
    </row>
    <row r="780">
      <c r="A780" s="206"/>
      <c r="B780" s="206"/>
      <c r="C780" s="206"/>
      <c r="D780" s="206"/>
      <c r="E780" s="206"/>
      <c r="F780" s="206"/>
      <c r="G780" s="206"/>
      <c r="H780" s="206"/>
      <c r="I780" s="206"/>
      <c r="J780" s="206"/>
      <c r="K780" s="206"/>
      <c r="L780" s="206"/>
      <c r="M780" s="206"/>
      <c r="N780" s="206"/>
      <c r="O780" s="206"/>
      <c r="P780" s="206"/>
      <c r="Q780" s="206"/>
      <c r="R780" s="206"/>
      <c r="S780" s="206"/>
      <c r="T780" s="206"/>
      <c r="U780" s="206"/>
      <c r="V780" s="206"/>
      <c r="W780" s="206"/>
      <c r="X780" s="206"/>
      <c r="Y780" s="206"/>
    </row>
    <row r="781">
      <c r="A781" s="206"/>
      <c r="B781" s="206"/>
      <c r="C781" s="206"/>
      <c r="D781" s="206"/>
      <c r="E781" s="206"/>
      <c r="F781" s="206"/>
      <c r="G781" s="206"/>
      <c r="H781" s="206"/>
      <c r="I781" s="206"/>
      <c r="J781" s="206"/>
      <c r="K781" s="206"/>
      <c r="L781" s="206"/>
      <c r="M781" s="206"/>
      <c r="N781" s="206"/>
      <c r="O781" s="206"/>
      <c r="P781" s="206"/>
      <c r="Q781" s="206"/>
      <c r="R781" s="206"/>
      <c r="S781" s="206"/>
      <c r="T781" s="206"/>
      <c r="U781" s="206"/>
      <c r="V781" s="206"/>
      <c r="W781" s="206"/>
      <c r="X781" s="206"/>
      <c r="Y781" s="206"/>
    </row>
    <row r="782">
      <c r="A782" s="206"/>
      <c r="B782" s="206"/>
      <c r="C782" s="206"/>
      <c r="D782" s="206"/>
      <c r="E782" s="206"/>
      <c r="F782" s="206"/>
      <c r="G782" s="206"/>
      <c r="H782" s="206"/>
      <c r="I782" s="206"/>
      <c r="J782" s="206"/>
      <c r="K782" s="206"/>
      <c r="L782" s="206"/>
      <c r="M782" s="206"/>
      <c r="N782" s="206"/>
      <c r="O782" s="206"/>
      <c r="P782" s="206"/>
      <c r="Q782" s="206"/>
      <c r="R782" s="206"/>
      <c r="S782" s="206"/>
      <c r="T782" s="206"/>
      <c r="U782" s="206"/>
      <c r="V782" s="206"/>
      <c r="W782" s="206"/>
      <c r="X782" s="206"/>
      <c r="Y782" s="206"/>
    </row>
    <row r="783">
      <c r="A783" s="206"/>
      <c r="B783" s="206"/>
      <c r="C783" s="206"/>
      <c r="D783" s="206"/>
      <c r="E783" s="206"/>
      <c r="F783" s="206"/>
      <c r="G783" s="206"/>
      <c r="H783" s="206"/>
      <c r="I783" s="206"/>
      <c r="J783" s="206"/>
      <c r="K783" s="206"/>
      <c r="L783" s="206"/>
      <c r="M783" s="206"/>
      <c r="N783" s="206"/>
      <c r="O783" s="206"/>
      <c r="P783" s="206"/>
      <c r="Q783" s="206"/>
      <c r="R783" s="206"/>
      <c r="S783" s="206"/>
      <c r="T783" s="206"/>
      <c r="U783" s="206"/>
      <c r="V783" s="206"/>
      <c r="W783" s="206"/>
      <c r="X783" s="206"/>
      <c r="Y783" s="206"/>
    </row>
    <row r="784">
      <c r="A784" s="206"/>
      <c r="B784" s="206"/>
      <c r="C784" s="206"/>
      <c r="D784" s="206"/>
      <c r="E784" s="206"/>
      <c r="F784" s="206"/>
      <c r="G784" s="206"/>
      <c r="H784" s="206"/>
      <c r="I784" s="206"/>
      <c r="J784" s="206"/>
      <c r="K784" s="206"/>
      <c r="L784" s="206"/>
      <c r="M784" s="206"/>
      <c r="N784" s="206"/>
      <c r="O784" s="206"/>
      <c r="P784" s="206"/>
      <c r="Q784" s="206"/>
      <c r="R784" s="206"/>
      <c r="S784" s="206"/>
      <c r="T784" s="206"/>
      <c r="U784" s="206"/>
      <c r="V784" s="206"/>
      <c r="W784" s="206"/>
      <c r="X784" s="206"/>
      <c r="Y784" s="206"/>
    </row>
    <row r="785">
      <c r="A785" s="206"/>
      <c r="B785" s="206"/>
      <c r="C785" s="206"/>
      <c r="D785" s="206"/>
      <c r="E785" s="206"/>
      <c r="F785" s="206"/>
      <c r="G785" s="206"/>
      <c r="H785" s="206"/>
      <c r="I785" s="206"/>
      <c r="J785" s="206"/>
      <c r="K785" s="206"/>
      <c r="L785" s="206"/>
      <c r="M785" s="206"/>
      <c r="N785" s="206"/>
      <c r="O785" s="206"/>
      <c r="P785" s="206"/>
      <c r="Q785" s="206"/>
      <c r="R785" s="206"/>
      <c r="S785" s="206"/>
      <c r="T785" s="206"/>
      <c r="U785" s="206"/>
      <c r="V785" s="206"/>
      <c r="W785" s="206"/>
      <c r="X785" s="206"/>
      <c r="Y785" s="206"/>
    </row>
    <row r="786">
      <c r="A786" s="206"/>
      <c r="B786" s="206"/>
      <c r="C786" s="206"/>
      <c r="D786" s="206"/>
      <c r="E786" s="206"/>
      <c r="F786" s="206"/>
      <c r="G786" s="206"/>
      <c r="H786" s="206"/>
      <c r="I786" s="206"/>
      <c r="J786" s="206"/>
      <c r="K786" s="206"/>
      <c r="L786" s="206"/>
      <c r="M786" s="206"/>
      <c r="N786" s="206"/>
      <c r="O786" s="206"/>
      <c r="P786" s="206"/>
      <c r="Q786" s="206"/>
      <c r="R786" s="206"/>
      <c r="S786" s="206"/>
      <c r="T786" s="206"/>
      <c r="U786" s="206"/>
      <c r="V786" s="206"/>
      <c r="W786" s="206"/>
      <c r="X786" s="206"/>
      <c r="Y786" s="206"/>
    </row>
    <row r="787">
      <c r="A787" s="206"/>
      <c r="B787" s="206"/>
      <c r="C787" s="206"/>
      <c r="D787" s="206"/>
      <c r="E787" s="206"/>
      <c r="F787" s="206"/>
      <c r="G787" s="206"/>
      <c r="H787" s="206"/>
      <c r="I787" s="206"/>
      <c r="J787" s="206"/>
      <c r="K787" s="206"/>
      <c r="L787" s="206"/>
      <c r="M787" s="206"/>
      <c r="N787" s="206"/>
      <c r="O787" s="206"/>
      <c r="P787" s="206"/>
      <c r="Q787" s="206"/>
      <c r="R787" s="206"/>
      <c r="S787" s="206"/>
      <c r="T787" s="206"/>
      <c r="U787" s="206"/>
      <c r="V787" s="206"/>
      <c r="W787" s="206"/>
      <c r="X787" s="206"/>
      <c r="Y787" s="206"/>
    </row>
    <row r="788">
      <c r="A788" s="206"/>
      <c r="B788" s="206"/>
      <c r="C788" s="206"/>
      <c r="D788" s="206"/>
      <c r="E788" s="206"/>
      <c r="F788" s="206"/>
      <c r="G788" s="206"/>
      <c r="H788" s="206"/>
      <c r="I788" s="206"/>
      <c r="J788" s="206"/>
      <c r="K788" s="206"/>
      <c r="L788" s="206"/>
      <c r="M788" s="206"/>
      <c r="N788" s="206"/>
      <c r="O788" s="206"/>
      <c r="P788" s="206"/>
      <c r="Q788" s="206"/>
      <c r="R788" s="206"/>
      <c r="S788" s="206"/>
      <c r="T788" s="206"/>
      <c r="U788" s="206"/>
      <c r="V788" s="206"/>
      <c r="W788" s="206"/>
      <c r="X788" s="206"/>
      <c r="Y788" s="206"/>
    </row>
    <row r="789">
      <c r="A789" s="206"/>
      <c r="B789" s="206"/>
      <c r="C789" s="206"/>
      <c r="D789" s="206"/>
      <c r="E789" s="206"/>
      <c r="F789" s="206"/>
      <c r="G789" s="206"/>
      <c r="H789" s="206"/>
      <c r="I789" s="206"/>
      <c r="J789" s="206"/>
      <c r="K789" s="206"/>
      <c r="L789" s="206"/>
      <c r="M789" s="206"/>
      <c r="N789" s="206"/>
      <c r="O789" s="206"/>
      <c r="P789" s="206"/>
      <c r="Q789" s="206"/>
      <c r="R789" s="206"/>
      <c r="S789" s="206"/>
      <c r="T789" s="206"/>
      <c r="U789" s="206"/>
      <c r="V789" s="206"/>
      <c r="W789" s="206"/>
      <c r="X789" s="206"/>
      <c r="Y789" s="206"/>
    </row>
    <row r="790">
      <c r="A790" s="206"/>
      <c r="B790" s="206"/>
      <c r="C790" s="206"/>
      <c r="D790" s="206"/>
      <c r="E790" s="206"/>
      <c r="F790" s="206"/>
      <c r="G790" s="206"/>
      <c r="H790" s="206"/>
      <c r="I790" s="206"/>
      <c r="J790" s="206"/>
      <c r="K790" s="206"/>
      <c r="L790" s="206"/>
      <c r="M790" s="206"/>
      <c r="N790" s="206"/>
      <c r="O790" s="206"/>
      <c r="P790" s="206"/>
      <c r="Q790" s="206"/>
      <c r="R790" s="206"/>
      <c r="S790" s="206"/>
      <c r="T790" s="206"/>
      <c r="U790" s="206"/>
      <c r="V790" s="206"/>
      <c r="W790" s="206"/>
      <c r="X790" s="206"/>
      <c r="Y790" s="206"/>
    </row>
    <row r="791">
      <c r="A791" s="206"/>
      <c r="B791" s="206"/>
      <c r="C791" s="206"/>
      <c r="D791" s="206"/>
      <c r="E791" s="206"/>
      <c r="F791" s="206"/>
      <c r="G791" s="206"/>
      <c r="H791" s="206"/>
      <c r="I791" s="206"/>
      <c r="J791" s="206"/>
      <c r="K791" s="206"/>
      <c r="L791" s="206"/>
      <c r="M791" s="206"/>
      <c r="N791" s="206"/>
      <c r="O791" s="206"/>
      <c r="P791" s="206"/>
      <c r="Q791" s="206"/>
      <c r="R791" s="206"/>
      <c r="S791" s="206"/>
      <c r="T791" s="206"/>
      <c r="U791" s="206"/>
      <c r="V791" s="206"/>
      <c r="W791" s="206"/>
      <c r="X791" s="206"/>
      <c r="Y791" s="206"/>
    </row>
    <row r="792">
      <c r="A792" s="206"/>
      <c r="B792" s="206"/>
      <c r="C792" s="206"/>
      <c r="D792" s="206"/>
      <c r="E792" s="206"/>
      <c r="F792" s="206"/>
      <c r="G792" s="206"/>
      <c r="H792" s="206"/>
      <c r="I792" s="206"/>
      <c r="J792" s="206"/>
      <c r="K792" s="206"/>
      <c r="L792" s="206"/>
      <c r="M792" s="206"/>
      <c r="N792" s="206"/>
      <c r="O792" s="206"/>
      <c r="P792" s="206"/>
      <c r="Q792" s="206"/>
      <c r="R792" s="206"/>
      <c r="S792" s="206"/>
      <c r="T792" s="206"/>
      <c r="U792" s="206"/>
      <c r="V792" s="206"/>
      <c r="W792" s="206"/>
      <c r="X792" s="206"/>
      <c r="Y792" s="206"/>
    </row>
    <row r="793">
      <c r="A793" s="206"/>
      <c r="B793" s="206"/>
      <c r="C793" s="206"/>
      <c r="D793" s="206"/>
      <c r="E793" s="206"/>
      <c r="F793" s="206"/>
      <c r="G793" s="206"/>
      <c r="H793" s="206"/>
      <c r="I793" s="206"/>
      <c r="J793" s="206"/>
      <c r="K793" s="206"/>
      <c r="L793" s="206"/>
      <c r="M793" s="206"/>
      <c r="N793" s="206"/>
      <c r="O793" s="206"/>
      <c r="P793" s="206"/>
      <c r="Q793" s="206"/>
      <c r="R793" s="206"/>
      <c r="S793" s="206"/>
      <c r="T793" s="206"/>
      <c r="U793" s="206"/>
      <c r="V793" s="206"/>
      <c r="W793" s="206"/>
      <c r="X793" s="206"/>
      <c r="Y793" s="206"/>
    </row>
    <row r="794">
      <c r="A794" s="206"/>
      <c r="B794" s="206"/>
      <c r="C794" s="206"/>
      <c r="D794" s="206"/>
      <c r="E794" s="206"/>
      <c r="F794" s="206"/>
      <c r="G794" s="206"/>
      <c r="H794" s="206"/>
      <c r="I794" s="206"/>
      <c r="J794" s="206"/>
      <c r="K794" s="206"/>
      <c r="L794" s="206"/>
      <c r="M794" s="206"/>
      <c r="N794" s="206"/>
      <c r="O794" s="206"/>
      <c r="P794" s="206"/>
      <c r="Q794" s="206"/>
      <c r="R794" s="206"/>
      <c r="S794" s="206"/>
      <c r="T794" s="206"/>
      <c r="U794" s="206"/>
      <c r="V794" s="206"/>
      <c r="W794" s="206"/>
      <c r="X794" s="206"/>
      <c r="Y794" s="206"/>
    </row>
    <row r="795">
      <c r="A795" s="206"/>
      <c r="B795" s="206"/>
      <c r="C795" s="206"/>
      <c r="D795" s="206"/>
      <c r="E795" s="206"/>
      <c r="F795" s="206"/>
      <c r="G795" s="206"/>
      <c r="H795" s="206"/>
      <c r="I795" s="206"/>
      <c r="J795" s="206"/>
      <c r="K795" s="206"/>
      <c r="L795" s="206"/>
      <c r="M795" s="206"/>
      <c r="N795" s="206"/>
      <c r="O795" s="206"/>
      <c r="P795" s="206"/>
      <c r="Q795" s="206"/>
      <c r="R795" s="206"/>
      <c r="S795" s="206"/>
      <c r="T795" s="206"/>
      <c r="U795" s="206"/>
      <c r="V795" s="206"/>
      <c r="W795" s="206"/>
      <c r="X795" s="206"/>
      <c r="Y795" s="206"/>
    </row>
    <row r="796">
      <c r="A796" s="206"/>
      <c r="B796" s="206"/>
      <c r="C796" s="206"/>
      <c r="D796" s="206"/>
      <c r="E796" s="206"/>
      <c r="F796" s="206"/>
      <c r="G796" s="206"/>
      <c r="H796" s="206"/>
      <c r="I796" s="206"/>
      <c r="J796" s="206"/>
      <c r="K796" s="206"/>
      <c r="L796" s="206"/>
      <c r="M796" s="206"/>
      <c r="N796" s="206"/>
      <c r="O796" s="206"/>
      <c r="P796" s="206"/>
      <c r="Q796" s="206"/>
      <c r="R796" s="206"/>
      <c r="S796" s="206"/>
      <c r="T796" s="206"/>
      <c r="U796" s="206"/>
      <c r="V796" s="206"/>
      <c r="W796" s="206"/>
      <c r="X796" s="206"/>
      <c r="Y796" s="206"/>
    </row>
    <row r="797">
      <c r="A797" s="206"/>
      <c r="B797" s="206"/>
      <c r="C797" s="206"/>
      <c r="D797" s="206"/>
      <c r="E797" s="206"/>
      <c r="F797" s="206"/>
      <c r="G797" s="206"/>
      <c r="H797" s="206"/>
      <c r="I797" s="206"/>
      <c r="J797" s="206"/>
      <c r="K797" s="206"/>
      <c r="L797" s="206"/>
      <c r="M797" s="206"/>
      <c r="N797" s="206"/>
      <c r="O797" s="206"/>
      <c r="P797" s="206"/>
      <c r="Q797" s="206"/>
      <c r="R797" s="206"/>
      <c r="S797" s="206"/>
      <c r="T797" s="206"/>
      <c r="U797" s="206"/>
      <c r="V797" s="206"/>
      <c r="W797" s="206"/>
      <c r="X797" s="206"/>
      <c r="Y797" s="206"/>
    </row>
    <row r="798">
      <c r="A798" s="206"/>
      <c r="B798" s="206"/>
      <c r="C798" s="206"/>
      <c r="D798" s="206"/>
      <c r="E798" s="206"/>
      <c r="F798" s="206"/>
      <c r="G798" s="206"/>
      <c r="H798" s="206"/>
      <c r="I798" s="206"/>
      <c r="J798" s="206"/>
      <c r="K798" s="206"/>
      <c r="L798" s="206"/>
      <c r="M798" s="206"/>
      <c r="N798" s="206"/>
      <c r="O798" s="206"/>
      <c r="P798" s="206"/>
      <c r="Q798" s="206"/>
      <c r="R798" s="206"/>
      <c r="S798" s="206"/>
      <c r="T798" s="206"/>
      <c r="U798" s="206"/>
      <c r="V798" s="206"/>
      <c r="W798" s="206"/>
      <c r="X798" s="206"/>
      <c r="Y798" s="206"/>
    </row>
    <row r="799">
      <c r="A799" s="206"/>
      <c r="B799" s="206"/>
      <c r="C799" s="206"/>
      <c r="D799" s="206"/>
      <c r="E799" s="206"/>
      <c r="F799" s="206"/>
      <c r="G799" s="206"/>
      <c r="H799" s="206"/>
      <c r="I799" s="206"/>
      <c r="J799" s="206"/>
      <c r="K799" s="206"/>
      <c r="L799" s="206"/>
      <c r="M799" s="206"/>
      <c r="N799" s="206"/>
      <c r="O799" s="206"/>
      <c r="P799" s="206"/>
      <c r="Q799" s="206"/>
      <c r="R799" s="206"/>
      <c r="S799" s="206"/>
      <c r="T799" s="206"/>
      <c r="U799" s="206"/>
      <c r="V799" s="206"/>
      <c r="W799" s="206"/>
      <c r="X799" s="206"/>
      <c r="Y799" s="206"/>
    </row>
    <row r="800">
      <c r="A800" s="206"/>
      <c r="B800" s="206"/>
      <c r="C800" s="206"/>
      <c r="D800" s="206"/>
      <c r="E800" s="206"/>
      <c r="F800" s="206"/>
      <c r="G800" s="206"/>
      <c r="H800" s="206"/>
      <c r="I800" s="206"/>
      <c r="J800" s="206"/>
      <c r="K800" s="206"/>
      <c r="L800" s="206"/>
      <c r="M800" s="206"/>
      <c r="N800" s="206"/>
      <c r="O800" s="206"/>
      <c r="P800" s="206"/>
      <c r="Q800" s="206"/>
      <c r="R800" s="206"/>
      <c r="S800" s="206"/>
      <c r="T800" s="206"/>
      <c r="U800" s="206"/>
      <c r="V800" s="206"/>
      <c r="W800" s="206"/>
      <c r="X800" s="206"/>
      <c r="Y800" s="206"/>
    </row>
    <row r="801">
      <c r="A801" s="206"/>
      <c r="B801" s="206"/>
      <c r="C801" s="206"/>
      <c r="D801" s="206"/>
      <c r="E801" s="206"/>
      <c r="F801" s="206"/>
      <c r="G801" s="206"/>
      <c r="H801" s="206"/>
      <c r="I801" s="206"/>
      <c r="J801" s="206"/>
      <c r="K801" s="206"/>
      <c r="L801" s="206"/>
      <c r="M801" s="206"/>
      <c r="N801" s="206"/>
      <c r="O801" s="206"/>
      <c r="P801" s="206"/>
      <c r="Q801" s="206"/>
      <c r="R801" s="206"/>
      <c r="S801" s="206"/>
      <c r="T801" s="206"/>
      <c r="U801" s="206"/>
      <c r="V801" s="206"/>
      <c r="W801" s="206"/>
      <c r="X801" s="206"/>
      <c r="Y801" s="206"/>
    </row>
    <row r="802">
      <c r="A802" s="206"/>
      <c r="B802" s="206"/>
      <c r="C802" s="206"/>
      <c r="D802" s="206"/>
      <c r="E802" s="206"/>
      <c r="F802" s="206"/>
      <c r="G802" s="206"/>
      <c r="H802" s="206"/>
      <c r="I802" s="206"/>
      <c r="J802" s="206"/>
      <c r="K802" s="206"/>
      <c r="L802" s="206"/>
      <c r="M802" s="206"/>
      <c r="N802" s="206"/>
      <c r="O802" s="206"/>
      <c r="P802" s="206"/>
      <c r="Q802" s="206"/>
      <c r="R802" s="206"/>
      <c r="S802" s="206"/>
      <c r="T802" s="206"/>
      <c r="U802" s="206"/>
      <c r="V802" s="206"/>
      <c r="W802" s="206"/>
      <c r="X802" s="206"/>
      <c r="Y802" s="206"/>
    </row>
    <row r="803">
      <c r="A803" s="206"/>
      <c r="B803" s="206"/>
      <c r="C803" s="206"/>
      <c r="D803" s="206"/>
      <c r="E803" s="206"/>
      <c r="F803" s="206"/>
      <c r="G803" s="206"/>
      <c r="H803" s="206"/>
      <c r="I803" s="206"/>
      <c r="J803" s="206"/>
      <c r="K803" s="206"/>
      <c r="L803" s="206"/>
      <c r="M803" s="206"/>
      <c r="N803" s="206"/>
      <c r="O803" s="206"/>
      <c r="P803" s="206"/>
      <c r="Q803" s="206"/>
      <c r="R803" s="206"/>
      <c r="S803" s="206"/>
      <c r="T803" s="206"/>
      <c r="U803" s="206"/>
      <c r="V803" s="206"/>
      <c r="W803" s="206"/>
      <c r="X803" s="206"/>
      <c r="Y803" s="206"/>
    </row>
    <row r="804">
      <c r="A804" s="206"/>
      <c r="B804" s="206"/>
      <c r="C804" s="206"/>
      <c r="D804" s="206"/>
      <c r="E804" s="206"/>
      <c r="F804" s="206"/>
      <c r="G804" s="206"/>
      <c r="H804" s="206"/>
      <c r="I804" s="206"/>
      <c r="J804" s="206"/>
      <c r="K804" s="206"/>
      <c r="L804" s="206"/>
      <c r="M804" s="206"/>
      <c r="N804" s="206"/>
      <c r="O804" s="206"/>
      <c r="P804" s="206"/>
      <c r="Q804" s="206"/>
      <c r="R804" s="206"/>
      <c r="S804" s="206"/>
      <c r="T804" s="206"/>
      <c r="U804" s="206"/>
      <c r="V804" s="206"/>
      <c r="W804" s="206"/>
      <c r="X804" s="206"/>
      <c r="Y804" s="206"/>
    </row>
    <row r="805">
      <c r="A805" s="206"/>
      <c r="B805" s="206"/>
      <c r="C805" s="206"/>
      <c r="D805" s="206"/>
      <c r="E805" s="206"/>
      <c r="F805" s="206"/>
      <c r="G805" s="206"/>
      <c r="H805" s="206"/>
      <c r="I805" s="206"/>
      <c r="J805" s="206"/>
      <c r="K805" s="206"/>
      <c r="L805" s="206"/>
      <c r="M805" s="206"/>
      <c r="N805" s="206"/>
      <c r="O805" s="206"/>
      <c r="P805" s="206"/>
      <c r="Q805" s="206"/>
      <c r="R805" s="206"/>
      <c r="S805" s="206"/>
      <c r="T805" s="206"/>
      <c r="U805" s="206"/>
      <c r="V805" s="206"/>
      <c r="W805" s="206"/>
      <c r="X805" s="206"/>
      <c r="Y805" s="206"/>
    </row>
    <row r="806">
      <c r="A806" s="206"/>
      <c r="B806" s="206"/>
      <c r="C806" s="206"/>
      <c r="D806" s="206"/>
      <c r="E806" s="206"/>
      <c r="F806" s="206"/>
      <c r="G806" s="206"/>
      <c r="H806" s="206"/>
      <c r="I806" s="206"/>
      <c r="J806" s="206"/>
      <c r="K806" s="206"/>
      <c r="L806" s="206"/>
      <c r="M806" s="206"/>
      <c r="N806" s="206"/>
      <c r="O806" s="206"/>
      <c r="P806" s="206"/>
      <c r="Q806" s="206"/>
      <c r="R806" s="206"/>
      <c r="S806" s="206"/>
      <c r="T806" s="206"/>
      <c r="U806" s="206"/>
      <c r="V806" s="206"/>
      <c r="W806" s="206"/>
      <c r="X806" s="206"/>
      <c r="Y806" s="206"/>
    </row>
    <row r="807">
      <c r="A807" s="206"/>
      <c r="B807" s="206"/>
      <c r="C807" s="206"/>
      <c r="D807" s="206"/>
      <c r="E807" s="206"/>
      <c r="F807" s="206"/>
      <c r="G807" s="206"/>
      <c r="H807" s="206"/>
      <c r="I807" s="206"/>
      <c r="J807" s="206"/>
      <c r="K807" s="206"/>
      <c r="L807" s="206"/>
      <c r="M807" s="206"/>
      <c r="N807" s="206"/>
      <c r="O807" s="206"/>
      <c r="P807" s="206"/>
      <c r="Q807" s="206"/>
      <c r="R807" s="206"/>
      <c r="S807" s="206"/>
      <c r="T807" s="206"/>
      <c r="U807" s="206"/>
      <c r="V807" s="206"/>
      <c r="W807" s="206"/>
      <c r="X807" s="206"/>
      <c r="Y807" s="206"/>
    </row>
    <row r="808">
      <c r="A808" s="206"/>
      <c r="B808" s="206"/>
      <c r="C808" s="206"/>
      <c r="D808" s="206"/>
      <c r="E808" s="206"/>
      <c r="F808" s="206"/>
      <c r="G808" s="206"/>
      <c r="H808" s="206"/>
      <c r="I808" s="206"/>
      <c r="J808" s="206"/>
      <c r="K808" s="206"/>
      <c r="L808" s="206"/>
      <c r="M808" s="206"/>
      <c r="N808" s="206"/>
      <c r="O808" s="206"/>
      <c r="P808" s="206"/>
      <c r="Q808" s="206"/>
      <c r="R808" s="206"/>
      <c r="S808" s="206"/>
      <c r="T808" s="206"/>
      <c r="U808" s="206"/>
      <c r="V808" s="206"/>
      <c r="W808" s="206"/>
      <c r="X808" s="206"/>
      <c r="Y808" s="206"/>
    </row>
    <row r="809">
      <c r="A809" s="206"/>
      <c r="B809" s="206"/>
      <c r="C809" s="206"/>
      <c r="D809" s="206"/>
      <c r="E809" s="206"/>
      <c r="F809" s="206"/>
      <c r="G809" s="206"/>
      <c r="H809" s="206"/>
      <c r="I809" s="206"/>
      <c r="J809" s="206"/>
      <c r="K809" s="206"/>
      <c r="L809" s="206"/>
      <c r="M809" s="206"/>
      <c r="N809" s="206"/>
      <c r="O809" s="206"/>
      <c r="P809" s="206"/>
      <c r="Q809" s="206"/>
      <c r="R809" s="206"/>
      <c r="S809" s="206"/>
      <c r="T809" s="206"/>
      <c r="U809" s="206"/>
      <c r="V809" s="206"/>
      <c r="W809" s="206"/>
      <c r="X809" s="206"/>
      <c r="Y809" s="206"/>
    </row>
    <row r="810">
      <c r="A810" s="206"/>
      <c r="B810" s="206"/>
      <c r="C810" s="206"/>
      <c r="D810" s="206"/>
      <c r="E810" s="206"/>
      <c r="F810" s="206"/>
      <c r="G810" s="206"/>
      <c r="H810" s="206"/>
      <c r="I810" s="206"/>
      <c r="J810" s="206"/>
      <c r="K810" s="206"/>
      <c r="L810" s="206"/>
      <c r="M810" s="206"/>
      <c r="N810" s="206"/>
      <c r="O810" s="206"/>
      <c r="P810" s="206"/>
      <c r="Q810" s="206"/>
      <c r="R810" s="206"/>
      <c r="S810" s="206"/>
      <c r="T810" s="206"/>
      <c r="U810" s="206"/>
      <c r="V810" s="206"/>
      <c r="W810" s="206"/>
      <c r="X810" s="206"/>
      <c r="Y810" s="206"/>
    </row>
    <row r="811">
      <c r="A811" s="206"/>
      <c r="B811" s="206"/>
      <c r="C811" s="206"/>
      <c r="D811" s="206"/>
      <c r="E811" s="206"/>
      <c r="F811" s="206"/>
      <c r="G811" s="206"/>
      <c r="H811" s="206"/>
      <c r="I811" s="206"/>
      <c r="J811" s="206"/>
      <c r="K811" s="206"/>
      <c r="L811" s="206"/>
      <c r="M811" s="206"/>
      <c r="N811" s="206"/>
      <c r="O811" s="206"/>
      <c r="P811" s="206"/>
      <c r="Q811" s="206"/>
      <c r="R811" s="206"/>
      <c r="S811" s="206"/>
      <c r="T811" s="206"/>
      <c r="U811" s="206"/>
      <c r="V811" s="206"/>
      <c r="W811" s="206"/>
      <c r="X811" s="206"/>
      <c r="Y811" s="206"/>
    </row>
    <row r="812">
      <c r="A812" s="206"/>
      <c r="B812" s="206"/>
      <c r="C812" s="206"/>
      <c r="D812" s="206"/>
      <c r="E812" s="206"/>
      <c r="F812" s="206"/>
      <c r="G812" s="206"/>
      <c r="H812" s="206"/>
      <c r="I812" s="206"/>
      <c r="J812" s="206"/>
      <c r="K812" s="206"/>
      <c r="L812" s="206"/>
      <c r="M812" s="206"/>
      <c r="N812" s="206"/>
      <c r="O812" s="206"/>
      <c r="P812" s="206"/>
      <c r="Q812" s="206"/>
      <c r="R812" s="206"/>
      <c r="S812" s="206"/>
      <c r="T812" s="206"/>
      <c r="U812" s="206"/>
      <c r="V812" s="206"/>
      <c r="W812" s="206"/>
      <c r="X812" s="206"/>
      <c r="Y812" s="206"/>
    </row>
    <row r="813">
      <c r="A813" s="206"/>
      <c r="B813" s="206"/>
      <c r="C813" s="206"/>
      <c r="D813" s="206"/>
      <c r="E813" s="206"/>
      <c r="F813" s="206"/>
      <c r="G813" s="206"/>
      <c r="H813" s="206"/>
      <c r="I813" s="206"/>
      <c r="J813" s="206"/>
      <c r="K813" s="206"/>
      <c r="L813" s="206"/>
      <c r="M813" s="206"/>
      <c r="N813" s="206"/>
      <c r="O813" s="206"/>
      <c r="P813" s="206"/>
      <c r="Q813" s="206"/>
      <c r="R813" s="206"/>
      <c r="S813" s="206"/>
      <c r="T813" s="206"/>
      <c r="U813" s="206"/>
      <c r="V813" s="206"/>
      <c r="W813" s="206"/>
      <c r="X813" s="206"/>
      <c r="Y813" s="206"/>
    </row>
    <row r="814">
      <c r="A814" s="206"/>
      <c r="B814" s="206"/>
      <c r="C814" s="206"/>
      <c r="D814" s="206"/>
      <c r="E814" s="206"/>
      <c r="F814" s="206"/>
      <c r="G814" s="206"/>
      <c r="H814" s="206"/>
      <c r="I814" s="206"/>
      <c r="J814" s="206"/>
      <c r="K814" s="206"/>
      <c r="L814" s="206"/>
      <c r="M814" s="206"/>
      <c r="N814" s="206"/>
      <c r="O814" s="206"/>
      <c r="P814" s="206"/>
      <c r="Q814" s="206"/>
      <c r="R814" s="206"/>
      <c r="S814" s="206"/>
      <c r="T814" s="206"/>
      <c r="U814" s="206"/>
      <c r="V814" s="206"/>
      <c r="W814" s="206"/>
      <c r="X814" s="206"/>
      <c r="Y814" s="206"/>
    </row>
    <row r="815">
      <c r="A815" s="206"/>
      <c r="B815" s="206"/>
      <c r="C815" s="206"/>
      <c r="D815" s="206"/>
      <c r="E815" s="206"/>
      <c r="F815" s="206"/>
      <c r="G815" s="206"/>
      <c r="H815" s="206"/>
      <c r="I815" s="206"/>
      <c r="J815" s="206"/>
      <c r="K815" s="206"/>
      <c r="L815" s="206"/>
      <c r="M815" s="206"/>
      <c r="N815" s="206"/>
      <c r="O815" s="206"/>
      <c r="P815" s="206"/>
      <c r="Q815" s="206"/>
      <c r="R815" s="206"/>
      <c r="S815" s="206"/>
      <c r="T815" s="206"/>
      <c r="U815" s="206"/>
      <c r="V815" s="206"/>
      <c r="W815" s="206"/>
      <c r="X815" s="206"/>
      <c r="Y815" s="206"/>
    </row>
    <row r="816">
      <c r="A816" s="206"/>
      <c r="B816" s="206"/>
      <c r="C816" s="206"/>
      <c r="D816" s="206"/>
      <c r="E816" s="206"/>
      <c r="F816" s="206"/>
      <c r="G816" s="206"/>
      <c r="H816" s="206"/>
      <c r="I816" s="206"/>
      <c r="J816" s="206"/>
      <c r="K816" s="206"/>
      <c r="L816" s="206"/>
      <c r="M816" s="206"/>
      <c r="N816" s="206"/>
      <c r="O816" s="206"/>
      <c r="P816" s="206"/>
      <c r="Q816" s="206"/>
      <c r="R816" s="206"/>
      <c r="S816" s="206"/>
      <c r="T816" s="206"/>
      <c r="U816" s="206"/>
      <c r="V816" s="206"/>
      <c r="W816" s="206"/>
      <c r="X816" s="206"/>
      <c r="Y816" s="206"/>
    </row>
    <row r="817">
      <c r="A817" s="206"/>
      <c r="B817" s="206"/>
      <c r="C817" s="206"/>
      <c r="D817" s="206"/>
      <c r="E817" s="206"/>
      <c r="F817" s="206"/>
      <c r="G817" s="206"/>
      <c r="H817" s="206"/>
      <c r="I817" s="206"/>
      <c r="J817" s="206"/>
      <c r="K817" s="206"/>
      <c r="L817" s="206"/>
      <c r="M817" s="206"/>
      <c r="N817" s="206"/>
      <c r="O817" s="206"/>
      <c r="P817" s="206"/>
      <c r="Q817" s="206"/>
      <c r="R817" s="206"/>
      <c r="S817" s="206"/>
      <c r="T817" s="206"/>
      <c r="U817" s="206"/>
      <c r="V817" s="206"/>
      <c r="W817" s="206"/>
      <c r="X817" s="206"/>
      <c r="Y817" s="206"/>
    </row>
    <row r="818">
      <c r="A818" s="206"/>
      <c r="B818" s="206"/>
      <c r="C818" s="206"/>
      <c r="D818" s="206"/>
      <c r="E818" s="206"/>
      <c r="F818" s="206"/>
      <c r="G818" s="206"/>
      <c r="H818" s="206"/>
      <c r="I818" s="206"/>
      <c r="J818" s="206"/>
      <c r="K818" s="206"/>
      <c r="L818" s="206"/>
      <c r="M818" s="206"/>
      <c r="N818" s="206"/>
      <c r="O818" s="206"/>
      <c r="P818" s="206"/>
      <c r="Q818" s="206"/>
      <c r="R818" s="206"/>
      <c r="S818" s="206"/>
      <c r="T818" s="206"/>
      <c r="U818" s="206"/>
      <c r="V818" s="206"/>
      <c r="W818" s="206"/>
      <c r="X818" s="206"/>
      <c r="Y818" s="206"/>
    </row>
    <row r="819">
      <c r="A819" s="206"/>
      <c r="B819" s="206"/>
      <c r="C819" s="206"/>
      <c r="D819" s="206"/>
      <c r="E819" s="206"/>
      <c r="F819" s="206"/>
      <c r="G819" s="206"/>
      <c r="H819" s="206"/>
      <c r="I819" s="206"/>
      <c r="J819" s="206"/>
      <c r="K819" s="206"/>
      <c r="L819" s="206"/>
      <c r="M819" s="206"/>
      <c r="N819" s="206"/>
      <c r="O819" s="206"/>
      <c r="P819" s="206"/>
      <c r="Q819" s="206"/>
      <c r="R819" s="206"/>
      <c r="S819" s="206"/>
      <c r="T819" s="206"/>
      <c r="U819" s="206"/>
      <c r="V819" s="206"/>
      <c r="W819" s="206"/>
      <c r="X819" s="206"/>
      <c r="Y819" s="206"/>
    </row>
    <row r="820">
      <c r="A820" s="206"/>
      <c r="B820" s="206"/>
      <c r="C820" s="206"/>
      <c r="D820" s="206"/>
      <c r="E820" s="206"/>
      <c r="F820" s="206"/>
      <c r="G820" s="206"/>
      <c r="H820" s="206"/>
      <c r="I820" s="206"/>
      <c r="J820" s="206"/>
      <c r="K820" s="206"/>
      <c r="L820" s="206"/>
      <c r="M820" s="206"/>
      <c r="N820" s="206"/>
      <c r="O820" s="206"/>
      <c r="P820" s="206"/>
      <c r="Q820" s="206"/>
      <c r="R820" s="206"/>
      <c r="S820" s="206"/>
      <c r="T820" s="206"/>
      <c r="U820" s="206"/>
      <c r="V820" s="206"/>
      <c r="W820" s="206"/>
      <c r="X820" s="206"/>
      <c r="Y820" s="206"/>
    </row>
    <row r="821">
      <c r="A821" s="206"/>
      <c r="B821" s="206"/>
      <c r="C821" s="206"/>
      <c r="D821" s="206"/>
      <c r="E821" s="206"/>
      <c r="F821" s="206"/>
      <c r="G821" s="206"/>
      <c r="H821" s="206"/>
      <c r="I821" s="206"/>
      <c r="J821" s="206"/>
      <c r="K821" s="206"/>
      <c r="L821" s="206"/>
      <c r="M821" s="206"/>
      <c r="N821" s="206"/>
      <c r="O821" s="206"/>
      <c r="P821" s="206"/>
      <c r="Q821" s="206"/>
      <c r="R821" s="206"/>
      <c r="S821" s="206"/>
      <c r="T821" s="206"/>
      <c r="U821" s="206"/>
      <c r="V821" s="206"/>
      <c r="W821" s="206"/>
      <c r="X821" s="206"/>
      <c r="Y821" s="206"/>
    </row>
    <row r="822">
      <c r="A822" s="206"/>
      <c r="B822" s="206"/>
      <c r="C822" s="206"/>
      <c r="D822" s="206"/>
      <c r="E822" s="206"/>
      <c r="F822" s="206"/>
      <c r="G822" s="206"/>
      <c r="H822" s="206"/>
      <c r="I822" s="206"/>
      <c r="J822" s="206"/>
      <c r="K822" s="206"/>
      <c r="L822" s="206"/>
      <c r="M822" s="206"/>
      <c r="N822" s="206"/>
      <c r="O822" s="206"/>
      <c r="P822" s="206"/>
      <c r="Q822" s="206"/>
      <c r="R822" s="206"/>
      <c r="S822" s="206"/>
      <c r="T822" s="206"/>
      <c r="U822" s="206"/>
      <c r="V822" s="206"/>
      <c r="W822" s="206"/>
      <c r="X822" s="206"/>
      <c r="Y822" s="206"/>
    </row>
    <row r="823">
      <c r="A823" s="206"/>
      <c r="B823" s="206"/>
      <c r="C823" s="206"/>
      <c r="D823" s="206"/>
      <c r="E823" s="206"/>
      <c r="F823" s="206"/>
      <c r="G823" s="206"/>
      <c r="H823" s="206"/>
      <c r="I823" s="206"/>
      <c r="J823" s="206"/>
      <c r="K823" s="206"/>
      <c r="L823" s="206"/>
      <c r="M823" s="206"/>
      <c r="N823" s="206"/>
      <c r="O823" s="206"/>
      <c r="P823" s="206"/>
      <c r="Q823" s="206"/>
      <c r="R823" s="206"/>
      <c r="S823" s="206"/>
      <c r="T823" s="206"/>
      <c r="U823" s="206"/>
      <c r="V823" s="206"/>
      <c r="W823" s="206"/>
      <c r="X823" s="206"/>
      <c r="Y823" s="206"/>
    </row>
    <row r="824">
      <c r="A824" s="206"/>
      <c r="B824" s="206"/>
      <c r="C824" s="206"/>
      <c r="D824" s="206"/>
      <c r="E824" s="206"/>
      <c r="F824" s="206"/>
      <c r="G824" s="206"/>
      <c r="H824" s="206"/>
      <c r="I824" s="206"/>
      <c r="J824" s="206"/>
      <c r="K824" s="206"/>
      <c r="L824" s="206"/>
      <c r="M824" s="206"/>
      <c r="N824" s="206"/>
      <c r="O824" s="206"/>
      <c r="P824" s="206"/>
      <c r="Q824" s="206"/>
      <c r="R824" s="206"/>
      <c r="S824" s="206"/>
      <c r="T824" s="206"/>
      <c r="U824" s="206"/>
      <c r="V824" s="206"/>
      <c r="W824" s="206"/>
      <c r="X824" s="206"/>
      <c r="Y824" s="206"/>
    </row>
    <row r="825">
      <c r="A825" s="206"/>
      <c r="B825" s="206"/>
      <c r="C825" s="206"/>
      <c r="D825" s="206"/>
      <c r="E825" s="206"/>
      <c r="F825" s="206"/>
      <c r="G825" s="206"/>
      <c r="H825" s="206"/>
      <c r="I825" s="206"/>
      <c r="J825" s="206"/>
      <c r="K825" s="206"/>
      <c r="L825" s="206"/>
      <c r="M825" s="206"/>
      <c r="N825" s="206"/>
      <c r="O825" s="206"/>
      <c r="P825" s="206"/>
      <c r="Q825" s="206"/>
      <c r="R825" s="206"/>
      <c r="S825" s="206"/>
      <c r="T825" s="206"/>
      <c r="U825" s="206"/>
      <c r="V825" s="206"/>
      <c r="W825" s="206"/>
      <c r="X825" s="206"/>
      <c r="Y825" s="206"/>
    </row>
    <row r="826">
      <c r="A826" s="206"/>
      <c r="B826" s="206"/>
      <c r="C826" s="206"/>
      <c r="D826" s="206"/>
      <c r="E826" s="206"/>
      <c r="F826" s="206"/>
      <c r="G826" s="206"/>
      <c r="H826" s="206"/>
      <c r="I826" s="206"/>
      <c r="J826" s="206"/>
      <c r="K826" s="206"/>
      <c r="L826" s="206"/>
      <c r="M826" s="206"/>
      <c r="N826" s="206"/>
      <c r="O826" s="206"/>
      <c r="P826" s="206"/>
      <c r="Q826" s="206"/>
      <c r="R826" s="206"/>
      <c r="S826" s="206"/>
      <c r="T826" s="206"/>
      <c r="U826" s="206"/>
      <c r="V826" s="206"/>
      <c r="W826" s="206"/>
      <c r="X826" s="206"/>
      <c r="Y826" s="206"/>
    </row>
    <row r="827">
      <c r="A827" s="206"/>
      <c r="B827" s="206"/>
      <c r="C827" s="206"/>
      <c r="D827" s="206"/>
      <c r="E827" s="206"/>
      <c r="F827" s="206"/>
      <c r="G827" s="206"/>
      <c r="H827" s="206"/>
      <c r="I827" s="206"/>
      <c r="J827" s="206"/>
      <c r="K827" s="206"/>
      <c r="L827" s="206"/>
      <c r="M827" s="206"/>
      <c r="N827" s="206"/>
      <c r="O827" s="206"/>
      <c r="P827" s="206"/>
      <c r="Q827" s="206"/>
      <c r="R827" s="206"/>
      <c r="S827" s="206"/>
      <c r="T827" s="206"/>
      <c r="U827" s="206"/>
      <c r="V827" s="206"/>
      <c r="W827" s="206"/>
      <c r="X827" s="206"/>
      <c r="Y827" s="206"/>
    </row>
    <row r="828">
      <c r="A828" s="206"/>
      <c r="B828" s="206"/>
      <c r="C828" s="206"/>
      <c r="D828" s="206"/>
      <c r="E828" s="206"/>
      <c r="F828" s="206"/>
      <c r="G828" s="206"/>
      <c r="H828" s="206"/>
      <c r="I828" s="206"/>
      <c r="J828" s="206"/>
      <c r="K828" s="206"/>
      <c r="L828" s="206"/>
      <c r="M828" s="206"/>
      <c r="N828" s="206"/>
      <c r="O828" s="206"/>
      <c r="P828" s="206"/>
      <c r="Q828" s="206"/>
      <c r="R828" s="206"/>
      <c r="S828" s="206"/>
      <c r="T828" s="206"/>
      <c r="U828" s="206"/>
      <c r="V828" s="206"/>
      <c r="W828" s="206"/>
      <c r="X828" s="206"/>
      <c r="Y828" s="206"/>
    </row>
    <row r="829">
      <c r="A829" s="206"/>
      <c r="B829" s="206"/>
      <c r="C829" s="206"/>
      <c r="D829" s="206"/>
      <c r="E829" s="206"/>
      <c r="F829" s="206"/>
      <c r="G829" s="206"/>
      <c r="H829" s="206"/>
      <c r="I829" s="206"/>
      <c r="J829" s="206"/>
      <c r="K829" s="206"/>
      <c r="L829" s="206"/>
      <c r="M829" s="206"/>
      <c r="N829" s="206"/>
      <c r="O829" s="206"/>
      <c r="P829" s="206"/>
      <c r="Q829" s="206"/>
      <c r="R829" s="206"/>
      <c r="S829" s="206"/>
      <c r="T829" s="206"/>
      <c r="U829" s="206"/>
      <c r="V829" s="206"/>
      <c r="W829" s="206"/>
      <c r="X829" s="206"/>
      <c r="Y829" s="206"/>
    </row>
    <row r="830">
      <c r="A830" s="206"/>
      <c r="B830" s="206"/>
      <c r="C830" s="206"/>
      <c r="D830" s="206"/>
      <c r="E830" s="206"/>
      <c r="F830" s="206"/>
      <c r="G830" s="206"/>
      <c r="H830" s="206"/>
      <c r="I830" s="206"/>
      <c r="J830" s="206"/>
      <c r="K830" s="206"/>
      <c r="L830" s="206"/>
      <c r="M830" s="206"/>
      <c r="N830" s="206"/>
      <c r="O830" s="206"/>
      <c r="P830" s="206"/>
      <c r="Q830" s="206"/>
      <c r="R830" s="206"/>
      <c r="S830" s="206"/>
      <c r="T830" s="206"/>
      <c r="U830" s="206"/>
      <c r="V830" s="206"/>
      <c r="W830" s="206"/>
      <c r="X830" s="206"/>
      <c r="Y830" s="206"/>
    </row>
    <row r="831">
      <c r="A831" s="206"/>
      <c r="B831" s="206"/>
      <c r="C831" s="206"/>
      <c r="D831" s="206"/>
      <c r="E831" s="206"/>
      <c r="F831" s="206"/>
      <c r="G831" s="206"/>
      <c r="H831" s="206"/>
      <c r="I831" s="206"/>
      <c r="J831" s="206"/>
      <c r="K831" s="206"/>
      <c r="L831" s="206"/>
      <c r="M831" s="206"/>
      <c r="N831" s="206"/>
      <c r="O831" s="206"/>
      <c r="P831" s="206"/>
      <c r="Q831" s="206"/>
      <c r="R831" s="206"/>
      <c r="S831" s="206"/>
      <c r="T831" s="206"/>
      <c r="U831" s="206"/>
      <c r="V831" s="206"/>
      <c r="W831" s="206"/>
      <c r="X831" s="206"/>
      <c r="Y831" s="206"/>
    </row>
    <row r="832">
      <c r="A832" s="206"/>
      <c r="B832" s="206"/>
      <c r="C832" s="206"/>
      <c r="D832" s="206"/>
      <c r="E832" s="206"/>
      <c r="F832" s="206"/>
      <c r="G832" s="206"/>
      <c r="H832" s="206"/>
      <c r="I832" s="206"/>
      <c r="J832" s="206"/>
      <c r="K832" s="206"/>
      <c r="L832" s="206"/>
      <c r="M832" s="206"/>
      <c r="N832" s="206"/>
      <c r="O832" s="206"/>
      <c r="P832" s="206"/>
      <c r="Q832" s="206"/>
      <c r="R832" s="206"/>
      <c r="S832" s="206"/>
      <c r="T832" s="206"/>
      <c r="U832" s="206"/>
      <c r="V832" s="206"/>
      <c r="W832" s="206"/>
      <c r="X832" s="206"/>
      <c r="Y832" s="206"/>
    </row>
    <row r="833">
      <c r="A833" s="206"/>
      <c r="B833" s="206"/>
      <c r="C833" s="206"/>
      <c r="D833" s="206"/>
      <c r="E833" s="206"/>
      <c r="F833" s="206"/>
      <c r="G833" s="206"/>
      <c r="H833" s="206"/>
      <c r="I833" s="206"/>
      <c r="J833" s="206"/>
      <c r="K833" s="206"/>
      <c r="L833" s="206"/>
      <c r="M833" s="206"/>
      <c r="N833" s="206"/>
      <c r="O833" s="206"/>
      <c r="P833" s="206"/>
      <c r="Q833" s="206"/>
      <c r="R833" s="206"/>
      <c r="S833" s="206"/>
      <c r="T833" s="206"/>
      <c r="U833" s="206"/>
      <c r="V833" s="206"/>
      <c r="W833" s="206"/>
      <c r="X833" s="206"/>
      <c r="Y833" s="206"/>
    </row>
    <row r="834">
      <c r="A834" s="206"/>
      <c r="B834" s="206"/>
      <c r="C834" s="206"/>
      <c r="D834" s="206"/>
      <c r="E834" s="206"/>
      <c r="F834" s="206"/>
      <c r="G834" s="206"/>
      <c r="H834" s="206"/>
      <c r="I834" s="206"/>
      <c r="J834" s="206"/>
      <c r="K834" s="206"/>
      <c r="L834" s="206"/>
      <c r="M834" s="206"/>
      <c r="N834" s="206"/>
      <c r="O834" s="206"/>
      <c r="P834" s="206"/>
      <c r="Q834" s="206"/>
      <c r="R834" s="206"/>
      <c r="S834" s="206"/>
      <c r="T834" s="206"/>
      <c r="U834" s="206"/>
      <c r="V834" s="206"/>
      <c r="W834" s="206"/>
      <c r="X834" s="206"/>
      <c r="Y834" s="206"/>
    </row>
    <row r="835">
      <c r="A835" s="206"/>
      <c r="B835" s="206"/>
      <c r="C835" s="206"/>
      <c r="D835" s="206"/>
      <c r="E835" s="206"/>
      <c r="F835" s="206"/>
      <c r="G835" s="206"/>
      <c r="H835" s="206"/>
      <c r="I835" s="206"/>
      <c r="J835" s="206"/>
      <c r="K835" s="206"/>
      <c r="L835" s="206"/>
      <c r="M835" s="206"/>
      <c r="N835" s="206"/>
      <c r="O835" s="206"/>
      <c r="P835" s="206"/>
      <c r="Q835" s="206"/>
      <c r="R835" s="206"/>
      <c r="S835" s="206"/>
      <c r="T835" s="206"/>
      <c r="U835" s="206"/>
      <c r="V835" s="206"/>
      <c r="W835" s="206"/>
      <c r="X835" s="206"/>
      <c r="Y835" s="206"/>
    </row>
    <row r="836">
      <c r="A836" s="206"/>
      <c r="B836" s="206"/>
      <c r="C836" s="206"/>
      <c r="D836" s="206"/>
      <c r="E836" s="206"/>
      <c r="F836" s="206"/>
      <c r="G836" s="206"/>
      <c r="H836" s="206"/>
      <c r="I836" s="206"/>
      <c r="J836" s="206"/>
      <c r="K836" s="206"/>
      <c r="L836" s="206"/>
      <c r="M836" s="206"/>
      <c r="N836" s="206"/>
      <c r="O836" s="206"/>
      <c r="P836" s="206"/>
      <c r="Q836" s="206"/>
      <c r="R836" s="206"/>
      <c r="S836" s="206"/>
      <c r="T836" s="206"/>
      <c r="U836" s="206"/>
      <c r="V836" s="206"/>
      <c r="W836" s="206"/>
      <c r="X836" s="206"/>
      <c r="Y836" s="206"/>
    </row>
    <row r="837">
      <c r="A837" s="206"/>
      <c r="B837" s="206"/>
      <c r="C837" s="206"/>
      <c r="D837" s="206"/>
      <c r="E837" s="206"/>
      <c r="F837" s="206"/>
      <c r="G837" s="206"/>
      <c r="H837" s="206"/>
      <c r="I837" s="206"/>
      <c r="J837" s="206"/>
      <c r="K837" s="206"/>
      <c r="L837" s="206"/>
      <c r="M837" s="206"/>
      <c r="N837" s="206"/>
      <c r="O837" s="206"/>
      <c r="P837" s="206"/>
      <c r="Q837" s="206"/>
      <c r="R837" s="206"/>
      <c r="S837" s="206"/>
      <c r="T837" s="206"/>
      <c r="U837" s="206"/>
      <c r="V837" s="206"/>
      <c r="W837" s="206"/>
      <c r="X837" s="206"/>
      <c r="Y837" s="206"/>
    </row>
    <row r="838">
      <c r="A838" s="206"/>
      <c r="B838" s="206"/>
      <c r="C838" s="206"/>
      <c r="D838" s="206"/>
      <c r="E838" s="206"/>
      <c r="F838" s="206"/>
      <c r="G838" s="206"/>
      <c r="H838" s="206"/>
      <c r="I838" s="206"/>
      <c r="J838" s="206"/>
      <c r="K838" s="206"/>
      <c r="L838" s="206"/>
      <c r="M838" s="206"/>
      <c r="N838" s="206"/>
      <c r="O838" s="206"/>
      <c r="P838" s="206"/>
      <c r="Q838" s="206"/>
      <c r="R838" s="206"/>
      <c r="S838" s="206"/>
      <c r="T838" s="206"/>
      <c r="U838" s="206"/>
      <c r="V838" s="206"/>
      <c r="W838" s="206"/>
      <c r="X838" s="206"/>
      <c r="Y838" s="206"/>
    </row>
    <row r="839">
      <c r="A839" s="206"/>
      <c r="B839" s="206"/>
      <c r="C839" s="206"/>
      <c r="D839" s="206"/>
      <c r="E839" s="206"/>
      <c r="F839" s="206"/>
      <c r="G839" s="206"/>
      <c r="H839" s="206"/>
      <c r="I839" s="206"/>
      <c r="J839" s="206"/>
      <c r="K839" s="206"/>
      <c r="L839" s="206"/>
      <c r="M839" s="206"/>
      <c r="N839" s="206"/>
      <c r="O839" s="206"/>
      <c r="P839" s="206"/>
      <c r="Q839" s="206"/>
      <c r="R839" s="206"/>
      <c r="S839" s="206"/>
      <c r="T839" s="206"/>
      <c r="U839" s="206"/>
      <c r="V839" s="206"/>
      <c r="W839" s="206"/>
      <c r="X839" s="206"/>
      <c r="Y839" s="206"/>
    </row>
    <row r="840">
      <c r="A840" s="206"/>
      <c r="B840" s="206"/>
      <c r="C840" s="206"/>
      <c r="D840" s="206"/>
      <c r="E840" s="206"/>
      <c r="F840" s="206"/>
      <c r="G840" s="206"/>
      <c r="H840" s="206"/>
      <c r="I840" s="206"/>
      <c r="J840" s="206"/>
      <c r="K840" s="206"/>
      <c r="L840" s="206"/>
      <c r="M840" s="206"/>
      <c r="N840" s="206"/>
      <c r="O840" s="206"/>
      <c r="P840" s="206"/>
      <c r="Q840" s="206"/>
      <c r="R840" s="206"/>
      <c r="S840" s="206"/>
      <c r="T840" s="206"/>
      <c r="U840" s="206"/>
      <c r="V840" s="206"/>
      <c r="W840" s="206"/>
      <c r="X840" s="206"/>
      <c r="Y840" s="206"/>
    </row>
    <row r="841">
      <c r="A841" s="206"/>
      <c r="B841" s="206"/>
      <c r="C841" s="206"/>
      <c r="D841" s="206"/>
      <c r="E841" s="206"/>
      <c r="F841" s="206"/>
      <c r="G841" s="206"/>
      <c r="H841" s="206"/>
      <c r="I841" s="206"/>
      <c r="J841" s="206"/>
      <c r="K841" s="206"/>
      <c r="L841" s="206"/>
      <c r="M841" s="206"/>
      <c r="N841" s="206"/>
      <c r="O841" s="206"/>
      <c r="P841" s="206"/>
      <c r="Q841" s="206"/>
      <c r="R841" s="206"/>
      <c r="S841" s="206"/>
      <c r="T841" s="206"/>
      <c r="U841" s="206"/>
      <c r="V841" s="206"/>
      <c r="W841" s="206"/>
      <c r="X841" s="206"/>
      <c r="Y841" s="206"/>
    </row>
    <row r="842">
      <c r="A842" s="206"/>
      <c r="B842" s="206"/>
      <c r="C842" s="206"/>
      <c r="D842" s="206"/>
      <c r="E842" s="206"/>
      <c r="F842" s="206"/>
      <c r="G842" s="206"/>
      <c r="H842" s="206"/>
      <c r="I842" s="206"/>
      <c r="J842" s="206"/>
      <c r="K842" s="206"/>
      <c r="L842" s="206"/>
      <c r="M842" s="206"/>
      <c r="N842" s="206"/>
      <c r="O842" s="206"/>
      <c r="P842" s="206"/>
      <c r="Q842" s="206"/>
      <c r="R842" s="206"/>
      <c r="S842" s="206"/>
      <c r="T842" s="206"/>
      <c r="U842" s="206"/>
      <c r="V842" s="206"/>
      <c r="W842" s="206"/>
      <c r="X842" s="206"/>
      <c r="Y842" s="206"/>
    </row>
    <row r="843">
      <c r="A843" s="206"/>
      <c r="B843" s="206"/>
      <c r="C843" s="206"/>
      <c r="D843" s="206"/>
      <c r="E843" s="206"/>
      <c r="F843" s="206"/>
      <c r="G843" s="206"/>
      <c r="H843" s="206"/>
      <c r="I843" s="206"/>
      <c r="J843" s="206"/>
      <c r="K843" s="206"/>
      <c r="L843" s="206"/>
      <c r="M843" s="206"/>
      <c r="N843" s="206"/>
      <c r="O843" s="206"/>
      <c r="P843" s="206"/>
      <c r="Q843" s="206"/>
      <c r="R843" s="206"/>
      <c r="S843" s="206"/>
      <c r="T843" s="206"/>
      <c r="U843" s="206"/>
      <c r="V843" s="206"/>
      <c r="W843" s="206"/>
      <c r="X843" s="206"/>
      <c r="Y843" s="206"/>
    </row>
    <row r="844">
      <c r="A844" s="206"/>
      <c r="B844" s="206"/>
      <c r="C844" s="206"/>
      <c r="D844" s="206"/>
      <c r="E844" s="206"/>
      <c r="F844" s="206"/>
      <c r="G844" s="206"/>
      <c r="H844" s="206"/>
      <c r="I844" s="206"/>
      <c r="J844" s="206"/>
      <c r="K844" s="206"/>
      <c r="L844" s="206"/>
      <c r="M844" s="206"/>
      <c r="N844" s="206"/>
      <c r="O844" s="206"/>
      <c r="P844" s="206"/>
      <c r="Q844" s="206"/>
      <c r="R844" s="206"/>
      <c r="S844" s="206"/>
      <c r="T844" s="206"/>
      <c r="U844" s="206"/>
      <c r="V844" s="206"/>
      <c r="W844" s="206"/>
      <c r="X844" s="206"/>
      <c r="Y844" s="206"/>
    </row>
    <row r="845">
      <c r="A845" s="206"/>
      <c r="B845" s="206"/>
      <c r="C845" s="206"/>
      <c r="D845" s="206"/>
      <c r="E845" s="206"/>
      <c r="F845" s="206"/>
      <c r="G845" s="206"/>
      <c r="H845" s="206"/>
      <c r="I845" s="206"/>
      <c r="J845" s="206"/>
      <c r="K845" s="206"/>
      <c r="L845" s="206"/>
      <c r="M845" s="206"/>
      <c r="N845" s="206"/>
      <c r="O845" s="206"/>
      <c r="P845" s="206"/>
      <c r="Q845" s="206"/>
      <c r="R845" s="206"/>
      <c r="S845" s="206"/>
      <c r="T845" s="206"/>
      <c r="U845" s="206"/>
      <c r="V845" s="206"/>
      <c r="W845" s="206"/>
      <c r="X845" s="206"/>
      <c r="Y845" s="206"/>
    </row>
    <row r="846">
      <c r="A846" s="206"/>
      <c r="B846" s="206"/>
      <c r="C846" s="206"/>
      <c r="D846" s="206"/>
      <c r="E846" s="206"/>
      <c r="F846" s="206"/>
      <c r="G846" s="206"/>
      <c r="H846" s="206"/>
      <c r="I846" s="206"/>
      <c r="J846" s="206"/>
      <c r="K846" s="206"/>
      <c r="L846" s="206"/>
      <c r="M846" s="206"/>
      <c r="N846" s="206"/>
      <c r="O846" s="206"/>
      <c r="P846" s="206"/>
      <c r="Q846" s="206"/>
      <c r="R846" s="206"/>
      <c r="S846" s="206"/>
      <c r="T846" s="206"/>
      <c r="U846" s="206"/>
      <c r="V846" s="206"/>
      <c r="W846" s="206"/>
      <c r="X846" s="206"/>
      <c r="Y846" s="206"/>
    </row>
    <row r="847">
      <c r="A847" s="206"/>
      <c r="B847" s="206"/>
      <c r="C847" s="206"/>
      <c r="D847" s="206"/>
      <c r="E847" s="206"/>
      <c r="F847" s="206"/>
      <c r="G847" s="206"/>
      <c r="H847" s="206"/>
      <c r="I847" s="206"/>
      <c r="J847" s="206"/>
      <c r="K847" s="206"/>
      <c r="L847" s="206"/>
      <c r="M847" s="206"/>
      <c r="N847" s="206"/>
      <c r="O847" s="206"/>
      <c r="P847" s="206"/>
      <c r="Q847" s="206"/>
      <c r="R847" s="206"/>
      <c r="S847" s="206"/>
      <c r="T847" s="206"/>
      <c r="U847" s="206"/>
      <c r="V847" s="206"/>
      <c r="W847" s="206"/>
      <c r="X847" s="206"/>
      <c r="Y847" s="206"/>
    </row>
    <row r="848">
      <c r="A848" s="206"/>
      <c r="B848" s="206"/>
      <c r="C848" s="206"/>
      <c r="D848" s="206"/>
      <c r="E848" s="206"/>
      <c r="F848" s="206"/>
      <c r="G848" s="206"/>
      <c r="H848" s="206"/>
      <c r="I848" s="206"/>
      <c r="J848" s="206"/>
      <c r="K848" s="206"/>
      <c r="L848" s="206"/>
      <c r="M848" s="206"/>
      <c r="N848" s="206"/>
      <c r="O848" s="206"/>
      <c r="P848" s="206"/>
      <c r="Q848" s="206"/>
      <c r="R848" s="206"/>
      <c r="S848" s="206"/>
      <c r="T848" s="206"/>
      <c r="U848" s="206"/>
      <c r="V848" s="206"/>
      <c r="W848" s="206"/>
      <c r="X848" s="206"/>
      <c r="Y848" s="206"/>
    </row>
    <row r="849">
      <c r="A849" s="206"/>
      <c r="B849" s="206"/>
      <c r="C849" s="206"/>
      <c r="D849" s="206"/>
      <c r="E849" s="206"/>
      <c r="F849" s="206"/>
      <c r="G849" s="206"/>
      <c r="H849" s="206"/>
      <c r="I849" s="206"/>
      <c r="J849" s="206"/>
      <c r="K849" s="206"/>
      <c r="L849" s="206"/>
      <c r="M849" s="206"/>
      <c r="N849" s="206"/>
      <c r="O849" s="206"/>
      <c r="P849" s="206"/>
      <c r="Q849" s="206"/>
      <c r="R849" s="206"/>
      <c r="S849" s="206"/>
      <c r="T849" s="206"/>
      <c r="U849" s="206"/>
      <c r="V849" s="206"/>
      <c r="W849" s="206"/>
      <c r="X849" s="206"/>
      <c r="Y849" s="206"/>
    </row>
    <row r="850">
      <c r="A850" s="206"/>
      <c r="B850" s="206"/>
      <c r="C850" s="206"/>
      <c r="D850" s="206"/>
      <c r="E850" s="206"/>
      <c r="F850" s="206"/>
      <c r="G850" s="206"/>
      <c r="H850" s="206"/>
      <c r="I850" s="206"/>
      <c r="J850" s="206"/>
      <c r="K850" s="206"/>
      <c r="L850" s="206"/>
      <c r="M850" s="206"/>
      <c r="N850" s="206"/>
      <c r="O850" s="206"/>
      <c r="P850" s="206"/>
      <c r="Q850" s="206"/>
      <c r="R850" s="206"/>
      <c r="S850" s="206"/>
      <c r="T850" s="206"/>
      <c r="U850" s="206"/>
      <c r="V850" s="206"/>
      <c r="W850" s="206"/>
      <c r="X850" s="206"/>
      <c r="Y850" s="206"/>
    </row>
    <row r="851">
      <c r="A851" s="206"/>
      <c r="B851" s="206"/>
      <c r="C851" s="206"/>
      <c r="D851" s="206"/>
      <c r="E851" s="206"/>
      <c r="F851" s="206"/>
      <c r="G851" s="206"/>
      <c r="H851" s="206"/>
      <c r="I851" s="206"/>
      <c r="J851" s="206"/>
      <c r="K851" s="206"/>
      <c r="L851" s="206"/>
      <c r="M851" s="206"/>
      <c r="N851" s="206"/>
      <c r="O851" s="206"/>
      <c r="P851" s="206"/>
      <c r="Q851" s="206"/>
      <c r="R851" s="206"/>
      <c r="S851" s="206"/>
      <c r="T851" s="206"/>
      <c r="U851" s="206"/>
      <c r="V851" s="206"/>
      <c r="W851" s="206"/>
      <c r="X851" s="206"/>
      <c r="Y851" s="206"/>
    </row>
    <row r="852">
      <c r="A852" s="206"/>
      <c r="B852" s="206"/>
      <c r="C852" s="206"/>
      <c r="D852" s="206"/>
      <c r="E852" s="206"/>
      <c r="F852" s="206"/>
      <c r="G852" s="206"/>
      <c r="H852" s="206"/>
      <c r="I852" s="206"/>
      <c r="J852" s="206"/>
      <c r="K852" s="206"/>
      <c r="L852" s="206"/>
      <c r="M852" s="206"/>
      <c r="N852" s="206"/>
      <c r="O852" s="206"/>
      <c r="P852" s="206"/>
      <c r="Q852" s="206"/>
      <c r="R852" s="206"/>
      <c r="S852" s="206"/>
      <c r="T852" s="206"/>
      <c r="U852" s="206"/>
      <c r="V852" s="206"/>
      <c r="W852" s="206"/>
      <c r="X852" s="206"/>
      <c r="Y852" s="206"/>
    </row>
    <row r="853">
      <c r="A853" s="206"/>
      <c r="B853" s="206"/>
      <c r="C853" s="206"/>
      <c r="D853" s="206"/>
      <c r="E853" s="206"/>
      <c r="F853" s="206"/>
      <c r="G853" s="206"/>
      <c r="H853" s="206"/>
      <c r="I853" s="206"/>
      <c r="J853" s="206"/>
      <c r="K853" s="206"/>
      <c r="L853" s="206"/>
      <c r="M853" s="206"/>
      <c r="N853" s="206"/>
      <c r="O853" s="206"/>
      <c r="P853" s="206"/>
      <c r="Q853" s="206"/>
      <c r="R853" s="206"/>
      <c r="S853" s="206"/>
      <c r="T853" s="206"/>
      <c r="U853" s="206"/>
      <c r="V853" s="206"/>
      <c r="W853" s="206"/>
      <c r="X853" s="206"/>
      <c r="Y853" s="206"/>
    </row>
    <row r="854">
      <c r="A854" s="206"/>
      <c r="B854" s="206"/>
      <c r="C854" s="206"/>
      <c r="D854" s="206"/>
      <c r="E854" s="206"/>
      <c r="F854" s="206"/>
      <c r="G854" s="206"/>
      <c r="H854" s="206"/>
      <c r="I854" s="206"/>
      <c r="J854" s="206"/>
      <c r="K854" s="206"/>
      <c r="L854" s="206"/>
      <c r="M854" s="206"/>
      <c r="N854" s="206"/>
      <c r="O854" s="206"/>
      <c r="P854" s="206"/>
      <c r="Q854" s="206"/>
      <c r="R854" s="206"/>
      <c r="S854" s="206"/>
      <c r="T854" s="206"/>
      <c r="U854" s="206"/>
      <c r="V854" s="206"/>
      <c r="W854" s="206"/>
      <c r="X854" s="206"/>
      <c r="Y854" s="206"/>
    </row>
    <row r="855">
      <c r="A855" s="206"/>
      <c r="B855" s="206"/>
      <c r="C855" s="206"/>
      <c r="D855" s="206"/>
      <c r="E855" s="206"/>
      <c r="F855" s="206"/>
      <c r="G855" s="206"/>
      <c r="H855" s="206"/>
      <c r="I855" s="206"/>
      <c r="J855" s="206"/>
      <c r="K855" s="206"/>
      <c r="L855" s="206"/>
      <c r="M855" s="206"/>
      <c r="N855" s="206"/>
      <c r="O855" s="206"/>
      <c r="P855" s="206"/>
      <c r="Q855" s="206"/>
      <c r="R855" s="206"/>
      <c r="S855" s="206"/>
      <c r="T855" s="206"/>
      <c r="U855" s="206"/>
      <c r="V855" s="206"/>
      <c r="W855" s="206"/>
      <c r="X855" s="206"/>
      <c r="Y855" s="206"/>
    </row>
    <row r="856">
      <c r="A856" s="206"/>
      <c r="B856" s="206"/>
      <c r="C856" s="206"/>
      <c r="D856" s="206"/>
      <c r="E856" s="206"/>
      <c r="F856" s="206"/>
      <c r="G856" s="206"/>
      <c r="H856" s="206"/>
      <c r="I856" s="206"/>
      <c r="J856" s="206"/>
      <c r="K856" s="206"/>
      <c r="L856" s="206"/>
      <c r="M856" s="206"/>
      <c r="N856" s="206"/>
      <c r="O856" s="206"/>
      <c r="P856" s="206"/>
      <c r="Q856" s="206"/>
      <c r="R856" s="206"/>
      <c r="S856" s="206"/>
      <c r="T856" s="206"/>
      <c r="U856" s="206"/>
      <c r="V856" s="206"/>
      <c r="W856" s="206"/>
      <c r="X856" s="206"/>
      <c r="Y856" s="206"/>
    </row>
    <row r="857">
      <c r="A857" s="206"/>
      <c r="B857" s="206"/>
      <c r="C857" s="206"/>
      <c r="D857" s="206"/>
      <c r="E857" s="206"/>
      <c r="F857" s="206"/>
      <c r="G857" s="206"/>
      <c r="H857" s="206"/>
      <c r="I857" s="206"/>
      <c r="J857" s="206"/>
      <c r="K857" s="206"/>
      <c r="L857" s="206"/>
      <c r="M857" s="206"/>
      <c r="N857" s="206"/>
      <c r="O857" s="206"/>
      <c r="P857" s="206"/>
      <c r="Q857" s="206"/>
      <c r="R857" s="206"/>
      <c r="S857" s="206"/>
      <c r="T857" s="206"/>
      <c r="U857" s="206"/>
      <c r="V857" s="206"/>
      <c r="W857" s="206"/>
      <c r="X857" s="206"/>
      <c r="Y857" s="206"/>
    </row>
    <row r="858">
      <c r="A858" s="206"/>
      <c r="B858" s="206"/>
      <c r="C858" s="206"/>
      <c r="D858" s="206"/>
      <c r="E858" s="206"/>
      <c r="F858" s="206"/>
      <c r="G858" s="206"/>
      <c r="H858" s="206"/>
      <c r="I858" s="206"/>
      <c r="J858" s="206"/>
      <c r="K858" s="206"/>
      <c r="L858" s="206"/>
      <c r="M858" s="206"/>
      <c r="N858" s="206"/>
      <c r="O858" s="206"/>
      <c r="P858" s="206"/>
      <c r="Q858" s="206"/>
      <c r="R858" s="206"/>
      <c r="S858" s="206"/>
      <c r="T858" s="206"/>
      <c r="U858" s="206"/>
      <c r="V858" s="206"/>
      <c r="W858" s="206"/>
      <c r="X858" s="206"/>
      <c r="Y858" s="206"/>
    </row>
    <row r="859">
      <c r="A859" s="206"/>
      <c r="B859" s="206"/>
      <c r="C859" s="206"/>
      <c r="D859" s="206"/>
      <c r="E859" s="206"/>
      <c r="F859" s="206"/>
      <c r="G859" s="206"/>
      <c r="H859" s="206"/>
      <c r="I859" s="206"/>
      <c r="J859" s="206"/>
      <c r="K859" s="206"/>
      <c r="L859" s="206"/>
      <c r="M859" s="206"/>
      <c r="N859" s="206"/>
      <c r="O859" s="206"/>
      <c r="P859" s="206"/>
      <c r="Q859" s="206"/>
      <c r="R859" s="206"/>
      <c r="S859" s="206"/>
      <c r="T859" s="206"/>
      <c r="U859" s="206"/>
      <c r="V859" s="206"/>
      <c r="W859" s="206"/>
      <c r="X859" s="206"/>
      <c r="Y859" s="206"/>
    </row>
    <row r="860">
      <c r="A860" s="206"/>
      <c r="B860" s="206"/>
      <c r="C860" s="206"/>
      <c r="D860" s="206"/>
      <c r="E860" s="206"/>
      <c r="F860" s="206"/>
      <c r="G860" s="206"/>
      <c r="H860" s="206"/>
      <c r="I860" s="206"/>
      <c r="J860" s="206"/>
      <c r="K860" s="206"/>
      <c r="L860" s="206"/>
      <c r="M860" s="206"/>
      <c r="N860" s="206"/>
      <c r="O860" s="206"/>
      <c r="P860" s="206"/>
      <c r="Q860" s="206"/>
      <c r="R860" s="206"/>
      <c r="S860" s="206"/>
      <c r="T860" s="206"/>
      <c r="U860" s="206"/>
      <c r="V860" s="206"/>
      <c r="W860" s="206"/>
      <c r="X860" s="206"/>
      <c r="Y860" s="206"/>
    </row>
    <row r="861">
      <c r="A861" s="206"/>
      <c r="B861" s="206"/>
      <c r="C861" s="206"/>
      <c r="D861" s="206"/>
      <c r="E861" s="206"/>
      <c r="F861" s="206"/>
      <c r="G861" s="206"/>
      <c r="H861" s="206"/>
      <c r="I861" s="206"/>
      <c r="J861" s="206"/>
      <c r="K861" s="206"/>
      <c r="L861" s="206"/>
      <c r="M861" s="206"/>
      <c r="N861" s="206"/>
      <c r="O861" s="206"/>
      <c r="P861" s="206"/>
      <c r="Q861" s="206"/>
      <c r="R861" s="206"/>
      <c r="S861" s="206"/>
      <c r="T861" s="206"/>
      <c r="U861" s="206"/>
      <c r="V861" s="206"/>
      <c r="W861" s="206"/>
      <c r="X861" s="206"/>
      <c r="Y861" s="206"/>
    </row>
    <row r="862">
      <c r="A862" s="206"/>
      <c r="B862" s="206"/>
      <c r="C862" s="206"/>
      <c r="D862" s="206"/>
      <c r="E862" s="206"/>
      <c r="F862" s="206"/>
      <c r="G862" s="206"/>
      <c r="H862" s="206"/>
      <c r="I862" s="206"/>
      <c r="J862" s="206"/>
      <c r="K862" s="206"/>
      <c r="L862" s="206"/>
      <c r="M862" s="206"/>
      <c r="N862" s="206"/>
      <c r="O862" s="206"/>
      <c r="P862" s="206"/>
      <c r="Q862" s="206"/>
      <c r="R862" s="206"/>
      <c r="S862" s="206"/>
      <c r="T862" s="206"/>
      <c r="U862" s="206"/>
      <c r="V862" s="206"/>
      <c r="W862" s="206"/>
      <c r="X862" s="206"/>
      <c r="Y862" s="206"/>
    </row>
    <row r="863">
      <c r="A863" s="206"/>
      <c r="B863" s="206"/>
      <c r="C863" s="206"/>
      <c r="D863" s="206"/>
      <c r="E863" s="206"/>
      <c r="F863" s="206"/>
      <c r="G863" s="206"/>
      <c r="H863" s="206"/>
      <c r="I863" s="206"/>
      <c r="J863" s="206"/>
      <c r="K863" s="206"/>
      <c r="L863" s="206"/>
      <c r="M863" s="206"/>
      <c r="N863" s="206"/>
      <c r="O863" s="206"/>
      <c r="P863" s="206"/>
      <c r="Q863" s="206"/>
      <c r="R863" s="206"/>
      <c r="S863" s="206"/>
      <c r="T863" s="206"/>
      <c r="U863" s="206"/>
      <c r="V863" s="206"/>
      <c r="W863" s="206"/>
      <c r="X863" s="206"/>
      <c r="Y863" s="206"/>
    </row>
    <row r="864">
      <c r="A864" s="206"/>
      <c r="B864" s="206"/>
      <c r="C864" s="206"/>
      <c r="D864" s="206"/>
      <c r="E864" s="206"/>
      <c r="F864" s="206"/>
      <c r="G864" s="206"/>
      <c r="H864" s="206"/>
      <c r="I864" s="206"/>
      <c r="J864" s="206"/>
      <c r="K864" s="206"/>
      <c r="L864" s="206"/>
      <c r="M864" s="206"/>
      <c r="N864" s="206"/>
      <c r="O864" s="206"/>
      <c r="P864" s="206"/>
      <c r="Q864" s="206"/>
      <c r="R864" s="206"/>
      <c r="S864" s="206"/>
      <c r="T864" s="206"/>
      <c r="U864" s="206"/>
      <c r="V864" s="206"/>
      <c r="W864" s="206"/>
      <c r="X864" s="206"/>
      <c r="Y864" s="206"/>
    </row>
    <row r="865">
      <c r="A865" s="206"/>
      <c r="B865" s="206"/>
      <c r="C865" s="206"/>
      <c r="D865" s="206"/>
      <c r="E865" s="206"/>
      <c r="F865" s="206"/>
      <c r="G865" s="206"/>
      <c r="H865" s="206"/>
      <c r="I865" s="206"/>
      <c r="J865" s="206"/>
      <c r="K865" s="206"/>
      <c r="L865" s="206"/>
      <c r="M865" s="206"/>
      <c r="N865" s="206"/>
      <c r="O865" s="206"/>
      <c r="P865" s="206"/>
      <c r="Q865" s="206"/>
      <c r="R865" s="206"/>
      <c r="S865" s="206"/>
      <c r="T865" s="206"/>
      <c r="U865" s="206"/>
      <c r="V865" s="206"/>
      <c r="W865" s="206"/>
      <c r="X865" s="206"/>
      <c r="Y865" s="206"/>
    </row>
    <row r="866">
      <c r="A866" s="206"/>
      <c r="B866" s="206"/>
      <c r="C866" s="206"/>
      <c r="D866" s="206"/>
      <c r="E866" s="206"/>
      <c r="F866" s="206"/>
      <c r="G866" s="206"/>
      <c r="H866" s="206"/>
      <c r="I866" s="206"/>
      <c r="J866" s="206"/>
      <c r="K866" s="206"/>
      <c r="L866" s="206"/>
      <c r="M866" s="206"/>
      <c r="N866" s="206"/>
      <c r="O866" s="206"/>
      <c r="P866" s="206"/>
      <c r="Q866" s="206"/>
      <c r="R866" s="206"/>
      <c r="S866" s="206"/>
      <c r="T866" s="206"/>
      <c r="U866" s="206"/>
      <c r="V866" s="206"/>
      <c r="W866" s="206"/>
      <c r="X866" s="206"/>
      <c r="Y866" s="206"/>
    </row>
    <row r="867">
      <c r="A867" s="206"/>
      <c r="B867" s="206"/>
      <c r="C867" s="206"/>
      <c r="D867" s="206"/>
      <c r="E867" s="206"/>
      <c r="F867" s="206"/>
      <c r="G867" s="206"/>
      <c r="H867" s="206"/>
      <c r="I867" s="206"/>
      <c r="J867" s="206"/>
      <c r="K867" s="206"/>
      <c r="L867" s="206"/>
      <c r="M867" s="206"/>
      <c r="N867" s="206"/>
      <c r="O867" s="206"/>
      <c r="P867" s="206"/>
      <c r="Q867" s="206"/>
      <c r="R867" s="206"/>
      <c r="S867" s="206"/>
      <c r="T867" s="206"/>
      <c r="U867" s="206"/>
      <c r="V867" s="206"/>
      <c r="W867" s="206"/>
      <c r="X867" s="206"/>
      <c r="Y867" s="206"/>
    </row>
    <row r="868">
      <c r="A868" s="206"/>
      <c r="B868" s="206"/>
      <c r="C868" s="206"/>
      <c r="D868" s="206"/>
      <c r="E868" s="206"/>
      <c r="F868" s="206"/>
      <c r="G868" s="206"/>
      <c r="H868" s="206"/>
      <c r="I868" s="206"/>
      <c r="J868" s="206"/>
      <c r="K868" s="206"/>
      <c r="L868" s="206"/>
      <c r="M868" s="206"/>
      <c r="N868" s="206"/>
      <c r="O868" s="206"/>
      <c r="P868" s="206"/>
      <c r="Q868" s="206"/>
      <c r="R868" s="206"/>
      <c r="S868" s="206"/>
      <c r="T868" s="206"/>
      <c r="U868" s="206"/>
      <c r="V868" s="206"/>
      <c r="W868" s="206"/>
      <c r="X868" s="206"/>
      <c r="Y868" s="206"/>
    </row>
    <row r="869">
      <c r="A869" s="206"/>
      <c r="B869" s="206"/>
      <c r="C869" s="206"/>
      <c r="D869" s="206"/>
      <c r="E869" s="206"/>
      <c r="F869" s="206"/>
      <c r="G869" s="206"/>
      <c r="H869" s="206"/>
      <c r="I869" s="206"/>
      <c r="J869" s="206"/>
      <c r="K869" s="206"/>
      <c r="L869" s="206"/>
      <c r="M869" s="206"/>
      <c r="N869" s="206"/>
      <c r="O869" s="206"/>
      <c r="P869" s="206"/>
      <c r="Q869" s="206"/>
      <c r="R869" s="206"/>
      <c r="S869" s="206"/>
      <c r="T869" s="206"/>
      <c r="U869" s="206"/>
      <c r="V869" s="206"/>
      <c r="W869" s="206"/>
      <c r="X869" s="206"/>
      <c r="Y869" s="206"/>
    </row>
    <row r="870">
      <c r="A870" s="206"/>
      <c r="B870" s="206"/>
      <c r="C870" s="206"/>
      <c r="D870" s="206"/>
      <c r="E870" s="206"/>
      <c r="F870" s="206"/>
      <c r="G870" s="206"/>
      <c r="H870" s="206"/>
      <c r="I870" s="206"/>
      <c r="J870" s="206"/>
      <c r="K870" s="206"/>
      <c r="L870" s="206"/>
      <c r="M870" s="206"/>
      <c r="N870" s="206"/>
      <c r="O870" s="206"/>
      <c r="P870" s="206"/>
      <c r="Q870" s="206"/>
      <c r="R870" s="206"/>
      <c r="S870" s="206"/>
      <c r="T870" s="206"/>
      <c r="U870" s="206"/>
      <c r="V870" s="206"/>
      <c r="W870" s="206"/>
      <c r="X870" s="206"/>
      <c r="Y870" s="206"/>
    </row>
    <row r="871">
      <c r="A871" s="206"/>
      <c r="B871" s="206"/>
      <c r="C871" s="206"/>
      <c r="D871" s="206"/>
      <c r="E871" s="206"/>
      <c r="F871" s="206"/>
      <c r="G871" s="206"/>
      <c r="H871" s="206"/>
      <c r="I871" s="206"/>
      <c r="J871" s="206"/>
      <c r="K871" s="206"/>
      <c r="L871" s="206"/>
      <c r="M871" s="206"/>
      <c r="N871" s="206"/>
      <c r="O871" s="206"/>
      <c r="P871" s="206"/>
      <c r="Q871" s="206"/>
      <c r="R871" s="206"/>
      <c r="S871" s="206"/>
      <c r="T871" s="206"/>
      <c r="U871" s="206"/>
      <c r="V871" s="206"/>
      <c r="W871" s="206"/>
      <c r="X871" s="206"/>
      <c r="Y871" s="206"/>
    </row>
    <row r="872">
      <c r="A872" s="206"/>
      <c r="B872" s="206"/>
      <c r="C872" s="206"/>
      <c r="D872" s="206"/>
      <c r="E872" s="206"/>
      <c r="F872" s="206"/>
      <c r="G872" s="206"/>
      <c r="H872" s="206"/>
      <c r="I872" s="206"/>
      <c r="J872" s="206"/>
      <c r="K872" s="206"/>
      <c r="L872" s="206"/>
      <c r="M872" s="206"/>
      <c r="N872" s="206"/>
      <c r="O872" s="206"/>
      <c r="P872" s="206"/>
      <c r="Q872" s="206"/>
      <c r="R872" s="206"/>
      <c r="S872" s="206"/>
      <c r="T872" s="206"/>
      <c r="U872" s="206"/>
      <c r="V872" s="206"/>
      <c r="W872" s="206"/>
      <c r="X872" s="206"/>
      <c r="Y872" s="206"/>
    </row>
    <row r="873">
      <c r="A873" s="206"/>
      <c r="B873" s="206"/>
      <c r="C873" s="206"/>
      <c r="D873" s="206"/>
      <c r="E873" s="206"/>
      <c r="F873" s="206"/>
      <c r="G873" s="206"/>
      <c r="H873" s="206"/>
      <c r="I873" s="206"/>
      <c r="J873" s="206"/>
      <c r="K873" s="206"/>
      <c r="L873" s="206"/>
      <c r="M873" s="206"/>
      <c r="N873" s="206"/>
      <c r="O873" s="206"/>
      <c r="P873" s="206"/>
      <c r="Q873" s="206"/>
      <c r="R873" s="206"/>
      <c r="S873" s="206"/>
      <c r="T873" s="206"/>
      <c r="U873" s="206"/>
      <c r="V873" s="206"/>
      <c r="W873" s="206"/>
      <c r="X873" s="206"/>
      <c r="Y873" s="206"/>
    </row>
    <row r="874">
      <c r="A874" s="206"/>
      <c r="B874" s="206"/>
      <c r="C874" s="206"/>
      <c r="D874" s="206"/>
      <c r="E874" s="206"/>
      <c r="F874" s="206"/>
      <c r="G874" s="206"/>
      <c r="H874" s="206"/>
      <c r="I874" s="206"/>
      <c r="J874" s="206"/>
      <c r="K874" s="206"/>
      <c r="L874" s="206"/>
      <c r="M874" s="206"/>
      <c r="N874" s="206"/>
      <c r="O874" s="206"/>
      <c r="P874" s="206"/>
      <c r="Q874" s="206"/>
      <c r="R874" s="206"/>
      <c r="S874" s="206"/>
      <c r="T874" s="206"/>
      <c r="U874" s="206"/>
      <c r="V874" s="206"/>
      <c r="W874" s="206"/>
      <c r="X874" s="206"/>
      <c r="Y874" s="206"/>
    </row>
    <row r="875">
      <c r="A875" s="206"/>
      <c r="B875" s="206"/>
      <c r="C875" s="206"/>
      <c r="D875" s="206"/>
      <c r="E875" s="206"/>
      <c r="F875" s="206"/>
      <c r="G875" s="206"/>
      <c r="H875" s="206"/>
      <c r="I875" s="206"/>
      <c r="J875" s="206"/>
      <c r="K875" s="206"/>
      <c r="L875" s="206"/>
      <c r="M875" s="206"/>
      <c r="N875" s="206"/>
      <c r="O875" s="206"/>
      <c r="P875" s="206"/>
      <c r="Q875" s="206"/>
      <c r="R875" s="206"/>
      <c r="S875" s="206"/>
      <c r="T875" s="206"/>
      <c r="U875" s="206"/>
      <c r="V875" s="206"/>
      <c r="W875" s="206"/>
      <c r="X875" s="206"/>
      <c r="Y875" s="206"/>
    </row>
    <row r="876">
      <c r="A876" s="206"/>
      <c r="B876" s="206"/>
      <c r="C876" s="206"/>
      <c r="D876" s="206"/>
      <c r="E876" s="206"/>
      <c r="F876" s="206"/>
      <c r="G876" s="206"/>
      <c r="H876" s="206"/>
      <c r="I876" s="206"/>
      <c r="J876" s="206"/>
      <c r="K876" s="206"/>
      <c r="L876" s="206"/>
      <c r="M876" s="206"/>
      <c r="N876" s="206"/>
      <c r="O876" s="206"/>
      <c r="P876" s="206"/>
      <c r="Q876" s="206"/>
      <c r="R876" s="206"/>
      <c r="S876" s="206"/>
      <c r="T876" s="206"/>
      <c r="U876" s="206"/>
      <c r="V876" s="206"/>
      <c r="W876" s="206"/>
      <c r="X876" s="206"/>
      <c r="Y876" s="206"/>
    </row>
    <row r="877">
      <c r="A877" s="206"/>
      <c r="B877" s="206"/>
      <c r="C877" s="206"/>
      <c r="D877" s="206"/>
      <c r="E877" s="206"/>
      <c r="F877" s="206"/>
      <c r="G877" s="206"/>
      <c r="H877" s="206"/>
      <c r="I877" s="206"/>
      <c r="J877" s="206"/>
      <c r="K877" s="206"/>
      <c r="L877" s="206"/>
      <c r="M877" s="206"/>
      <c r="N877" s="206"/>
      <c r="O877" s="206"/>
      <c r="P877" s="206"/>
      <c r="Q877" s="206"/>
      <c r="R877" s="206"/>
      <c r="S877" s="206"/>
      <c r="T877" s="206"/>
      <c r="U877" s="206"/>
      <c r="V877" s="206"/>
      <c r="W877" s="206"/>
      <c r="X877" s="206"/>
      <c r="Y877" s="206"/>
    </row>
    <row r="878">
      <c r="A878" s="206"/>
      <c r="B878" s="206"/>
      <c r="C878" s="206"/>
      <c r="D878" s="206"/>
      <c r="E878" s="206"/>
      <c r="F878" s="206"/>
      <c r="G878" s="206"/>
      <c r="H878" s="206"/>
      <c r="I878" s="206"/>
      <c r="J878" s="206"/>
      <c r="K878" s="206"/>
      <c r="L878" s="206"/>
      <c r="M878" s="206"/>
      <c r="N878" s="206"/>
      <c r="O878" s="206"/>
      <c r="P878" s="206"/>
      <c r="Q878" s="206"/>
      <c r="R878" s="206"/>
      <c r="S878" s="206"/>
      <c r="T878" s="206"/>
      <c r="U878" s="206"/>
      <c r="V878" s="206"/>
      <c r="W878" s="206"/>
      <c r="X878" s="206"/>
      <c r="Y878" s="206"/>
    </row>
    <row r="879">
      <c r="A879" s="206"/>
      <c r="B879" s="206"/>
      <c r="C879" s="206"/>
      <c r="D879" s="206"/>
      <c r="E879" s="206"/>
      <c r="F879" s="206"/>
      <c r="G879" s="206"/>
      <c r="H879" s="206"/>
      <c r="I879" s="206"/>
      <c r="J879" s="206"/>
      <c r="K879" s="206"/>
      <c r="L879" s="206"/>
      <c r="M879" s="206"/>
      <c r="N879" s="206"/>
      <c r="O879" s="206"/>
      <c r="P879" s="206"/>
      <c r="Q879" s="206"/>
      <c r="R879" s="206"/>
      <c r="S879" s="206"/>
      <c r="T879" s="206"/>
      <c r="U879" s="206"/>
      <c r="V879" s="206"/>
      <c r="W879" s="206"/>
      <c r="X879" s="206"/>
      <c r="Y879" s="206"/>
    </row>
    <row r="880">
      <c r="A880" s="206"/>
      <c r="B880" s="206"/>
      <c r="C880" s="206"/>
      <c r="D880" s="206"/>
      <c r="E880" s="206"/>
      <c r="F880" s="206"/>
      <c r="G880" s="206"/>
      <c r="H880" s="206"/>
      <c r="I880" s="206"/>
      <c r="J880" s="206"/>
      <c r="K880" s="206"/>
      <c r="L880" s="206"/>
      <c r="M880" s="206"/>
      <c r="N880" s="206"/>
      <c r="O880" s="206"/>
      <c r="P880" s="206"/>
      <c r="Q880" s="206"/>
      <c r="R880" s="206"/>
      <c r="S880" s="206"/>
      <c r="T880" s="206"/>
      <c r="U880" s="206"/>
      <c r="V880" s="206"/>
      <c r="W880" s="206"/>
      <c r="X880" s="206"/>
      <c r="Y880" s="206"/>
    </row>
    <row r="881">
      <c r="A881" s="206"/>
      <c r="B881" s="206"/>
      <c r="C881" s="206"/>
      <c r="D881" s="206"/>
      <c r="E881" s="206"/>
      <c r="F881" s="206"/>
      <c r="G881" s="206"/>
      <c r="H881" s="206"/>
      <c r="I881" s="206"/>
      <c r="J881" s="206"/>
      <c r="K881" s="206"/>
      <c r="L881" s="206"/>
      <c r="M881" s="206"/>
      <c r="N881" s="206"/>
      <c r="O881" s="206"/>
      <c r="P881" s="206"/>
      <c r="Q881" s="206"/>
      <c r="R881" s="206"/>
      <c r="S881" s="206"/>
      <c r="T881" s="206"/>
      <c r="U881" s="206"/>
      <c r="V881" s="206"/>
      <c r="W881" s="206"/>
      <c r="X881" s="206"/>
      <c r="Y881" s="206"/>
    </row>
    <row r="882">
      <c r="A882" s="206"/>
      <c r="B882" s="206"/>
      <c r="C882" s="206"/>
      <c r="D882" s="206"/>
      <c r="E882" s="206"/>
      <c r="F882" s="206"/>
      <c r="G882" s="206"/>
      <c r="H882" s="206"/>
      <c r="I882" s="206"/>
      <c r="J882" s="206"/>
      <c r="K882" s="206"/>
      <c r="L882" s="206"/>
      <c r="M882" s="206"/>
      <c r="N882" s="206"/>
      <c r="O882" s="206"/>
      <c r="P882" s="206"/>
      <c r="Q882" s="206"/>
      <c r="R882" s="206"/>
      <c r="S882" s="206"/>
      <c r="T882" s="206"/>
      <c r="U882" s="206"/>
      <c r="V882" s="206"/>
      <c r="W882" s="206"/>
      <c r="X882" s="206"/>
      <c r="Y882" s="206"/>
    </row>
    <row r="883">
      <c r="A883" s="206"/>
      <c r="B883" s="206"/>
      <c r="C883" s="206"/>
      <c r="D883" s="206"/>
      <c r="E883" s="206"/>
      <c r="F883" s="206"/>
      <c r="G883" s="206"/>
      <c r="H883" s="206"/>
      <c r="I883" s="206"/>
      <c r="J883" s="206"/>
      <c r="K883" s="206"/>
      <c r="L883" s="206"/>
      <c r="M883" s="206"/>
      <c r="N883" s="206"/>
      <c r="O883" s="206"/>
      <c r="P883" s="206"/>
      <c r="Q883" s="206"/>
      <c r="R883" s="206"/>
      <c r="S883" s="206"/>
      <c r="T883" s="206"/>
      <c r="U883" s="206"/>
      <c r="V883" s="206"/>
      <c r="W883" s="206"/>
      <c r="X883" s="206"/>
      <c r="Y883" s="206"/>
    </row>
    <row r="884">
      <c r="A884" s="206"/>
      <c r="B884" s="206"/>
      <c r="C884" s="206"/>
      <c r="D884" s="206"/>
      <c r="E884" s="206"/>
      <c r="F884" s="206"/>
      <c r="G884" s="206"/>
      <c r="H884" s="206"/>
      <c r="I884" s="206"/>
      <c r="J884" s="206"/>
      <c r="K884" s="206"/>
      <c r="L884" s="206"/>
      <c r="M884" s="206"/>
      <c r="N884" s="206"/>
      <c r="O884" s="206"/>
      <c r="P884" s="206"/>
      <c r="Q884" s="206"/>
      <c r="R884" s="206"/>
      <c r="S884" s="206"/>
      <c r="T884" s="206"/>
      <c r="U884" s="206"/>
      <c r="V884" s="206"/>
      <c r="W884" s="206"/>
      <c r="X884" s="206"/>
      <c r="Y884" s="206"/>
    </row>
    <row r="885">
      <c r="A885" s="206"/>
      <c r="B885" s="206"/>
      <c r="C885" s="206"/>
      <c r="D885" s="206"/>
      <c r="E885" s="206"/>
      <c r="F885" s="206"/>
      <c r="G885" s="206"/>
      <c r="H885" s="206"/>
      <c r="I885" s="206"/>
      <c r="J885" s="206"/>
      <c r="K885" s="206"/>
      <c r="L885" s="206"/>
      <c r="M885" s="206"/>
      <c r="N885" s="206"/>
      <c r="O885" s="206"/>
      <c r="P885" s="206"/>
      <c r="Q885" s="206"/>
      <c r="R885" s="206"/>
      <c r="S885" s="206"/>
      <c r="T885" s="206"/>
      <c r="U885" s="206"/>
      <c r="V885" s="206"/>
      <c r="W885" s="206"/>
      <c r="X885" s="206"/>
      <c r="Y885" s="206"/>
    </row>
    <row r="886">
      <c r="A886" s="206"/>
      <c r="B886" s="206"/>
      <c r="C886" s="206"/>
      <c r="D886" s="206"/>
      <c r="E886" s="206"/>
      <c r="F886" s="206"/>
      <c r="G886" s="206"/>
      <c r="H886" s="206"/>
      <c r="I886" s="206"/>
      <c r="J886" s="206"/>
      <c r="K886" s="206"/>
      <c r="L886" s="206"/>
      <c r="M886" s="206"/>
      <c r="N886" s="206"/>
      <c r="O886" s="206"/>
      <c r="P886" s="206"/>
      <c r="Q886" s="206"/>
      <c r="R886" s="206"/>
      <c r="S886" s="206"/>
      <c r="T886" s="206"/>
      <c r="U886" s="206"/>
      <c r="V886" s="206"/>
      <c r="W886" s="206"/>
      <c r="X886" s="206"/>
      <c r="Y886" s="206"/>
    </row>
    <row r="887">
      <c r="A887" s="206"/>
      <c r="B887" s="206"/>
      <c r="C887" s="206"/>
      <c r="D887" s="206"/>
      <c r="E887" s="206"/>
      <c r="F887" s="206"/>
      <c r="G887" s="206"/>
      <c r="H887" s="206"/>
      <c r="I887" s="206"/>
      <c r="J887" s="206"/>
      <c r="K887" s="206"/>
      <c r="L887" s="206"/>
      <c r="M887" s="206"/>
      <c r="N887" s="206"/>
      <c r="O887" s="206"/>
      <c r="P887" s="206"/>
      <c r="Q887" s="206"/>
      <c r="R887" s="206"/>
      <c r="S887" s="206"/>
      <c r="T887" s="206"/>
      <c r="U887" s="206"/>
      <c r="V887" s="206"/>
      <c r="W887" s="206"/>
      <c r="X887" s="206"/>
      <c r="Y887" s="206"/>
    </row>
    <row r="888">
      <c r="A888" s="206"/>
      <c r="B888" s="206"/>
      <c r="C888" s="206"/>
      <c r="D888" s="206"/>
      <c r="E888" s="206"/>
      <c r="F888" s="206"/>
      <c r="G888" s="206"/>
      <c r="H888" s="206"/>
      <c r="I888" s="206"/>
      <c r="J888" s="206"/>
      <c r="K888" s="206"/>
      <c r="L888" s="206"/>
      <c r="M888" s="206"/>
      <c r="N888" s="206"/>
      <c r="O888" s="206"/>
      <c r="P888" s="206"/>
      <c r="Q888" s="206"/>
      <c r="R888" s="206"/>
      <c r="S888" s="206"/>
      <c r="T888" s="206"/>
      <c r="U888" s="206"/>
      <c r="V888" s="206"/>
      <c r="W888" s="206"/>
      <c r="X888" s="206"/>
      <c r="Y888" s="206"/>
    </row>
    <row r="889">
      <c r="A889" s="206"/>
      <c r="B889" s="206"/>
      <c r="C889" s="206"/>
      <c r="D889" s="206"/>
      <c r="E889" s="206"/>
      <c r="F889" s="206"/>
      <c r="G889" s="206"/>
      <c r="H889" s="206"/>
      <c r="I889" s="206"/>
      <c r="J889" s="206"/>
      <c r="K889" s="206"/>
      <c r="L889" s="206"/>
      <c r="M889" s="206"/>
      <c r="N889" s="206"/>
      <c r="O889" s="206"/>
      <c r="P889" s="206"/>
      <c r="Q889" s="206"/>
      <c r="R889" s="206"/>
      <c r="S889" s="206"/>
      <c r="T889" s="206"/>
      <c r="U889" s="206"/>
      <c r="V889" s="206"/>
      <c r="W889" s="206"/>
      <c r="X889" s="206"/>
      <c r="Y889" s="206"/>
    </row>
    <row r="890">
      <c r="A890" s="206"/>
      <c r="B890" s="206"/>
      <c r="C890" s="206"/>
      <c r="D890" s="206"/>
      <c r="E890" s="206"/>
      <c r="F890" s="206"/>
      <c r="G890" s="206"/>
      <c r="H890" s="206"/>
      <c r="I890" s="206"/>
      <c r="J890" s="206"/>
      <c r="K890" s="206"/>
      <c r="L890" s="206"/>
      <c r="M890" s="206"/>
      <c r="N890" s="206"/>
      <c r="O890" s="206"/>
      <c r="P890" s="206"/>
      <c r="Q890" s="206"/>
      <c r="R890" s="206"/>
      <c r="S890" s="206"/>
      <c r="T890" s="206"/>
      <c r="U890" s="206"/>
      <c r="V890" s="206"/>
      <c r="W890" s="206"/>
      <c r="X890" s="206"/>
      <c r="Y890" s="206"/>
    </row>
    <row r="891">
      <c r="A891" s="206"/>
      <c r="B891" s="206"/>
      <c r="C891" s="206"/>
      <c r="D891" s="206"/>
      <c r="E891" s="206"/>
      <c r="F891" s="206"/>
      <c r="G891" s="206"/>
      <c r="H891" s="206"/>
      <c r="I891" s="206"/>
      <c r="J891" s="206"/>
      <c r="K891" s="206"/>
      <c r="L891" s="206"/>
      <c r="M891" s="206"/>
      <c r="N891" s="206"/>
      <c r="O891" s="206"/>
      <c r="P891" s="206"/>
      <c r="Q891" s="206"/>
      <c r="R891" s="206"/>
      <c r="S891" s="206"/>
      <c r="T891" s="206"/>
      <c r="U891" s="206"/>
      <c r="V891" s="206"/>
      <c r="W891" s="206"/>
      <c r="X891" s="206"/>
      <c r="Y891" s="206"/>
    </row>
    <row r="892">
      <c r="A892" s="206"/>
      <c r="B892" s="206"/>
      <c r="C892" s="206"/>
      <c r="D892" s="206"/>
      <c r="E892" s="206"/>
      <c r="F892" s="206"/>
      <c r="G892" s="206"/>
      <c r="H892" s="206"/>
      <c r="I892" s="206"/>
      <c r="J892" s="206"/>
      <c r="K892" s="206"/>
      <c r="L892" s="206"/>
      <c r="M892" s="206"/>
      <c r="N892" s="206"/>
      <c r="O892" s="206"/>
      <c r="P892" s="206"/>
      <c r="Q892" s="206"/>
      <c r="R892" s="206"/>
      <c r="S892" s="206"/>
      <c r="T892" s="206"/>
      <c r="U892" s="206"/>
      <c r="V892" s="206"/>
      <c r="W892" s="206"/>
      <c r="X892" s="206"/>
      <c r="Y892" s="206"/>
    </row>
    <row r="893">
      <c r="A893" s="206"/>
      <c r="B893" s="206"/>
      <c r="C893" s="206"/>
      <c r="D893" s="206"/>
      <c r="E893" s="206"/>
      <c r="F893" s="206"/>
      <c r="G893" s="206"/>
      <c r="H893" s="206"/>
      <c r="I893" s="206"/>
      <c r="J893" s="206"/>
      <c r="K893" s="206"/>
      <c r="L893" s="206"/>
      <c r="M893" s="206"/>
      <c r="N893" s="206"/>
      <c r="O893" s="206"/>
      <c r="P893" s="206"/>
      <c r="Q893" s="206"/>
      <c r="R893" s="206"/>
      <c r="S893" s="206"/>
      <c r="T893" s="206"/>
      <c r="U893" s="206"/>
      <c r="V893" s="206"/>
      <c r="W893" s="206"/>
      <c r="X893" s="206"/>
      <c r="Y893" s="206"/>
    </row>
    <row r="894">
      <c r="A894" s="206"/>
      <c r="B894" s="206"/>
      <c r="C894" s="206"/>
      <c r="D894" s="206"/>
      <c r="E894" s="206"/>
      <c r="F894" s="206"/>
      <c r="G894" s="206"/>
      <c r="H894" s="206"/>
      <c r="I894" s="206"/>
      <c r="J894" s="206"/>
      <c r="K894" s="206"/>
      <c r="L894" s="206"/>
      <c r="M894" s="206"/>
      <c r="N894" s="206"/>
      <c r="O894" s="206"/>
      <c r="P894" s="206"/>
      <c r="Q894" s="206"/>
      <c r="R894" s="206"/>
      <c r="S894" s="206"/>
      <c r="T894" s="206"/>
      <c r="U894" s="206"/>
      <c r="V894" s="206"/>
      <c r="W894" s="206"/>
      <c r="X894" s="206"/>
      <c r="Y894" s="206"/>
    </row>
    <row r="895">
      <c r="A895" s="206"/>
      <c r="B895" s="206"/>
      <c r="C895" s="206"/>
      <c r="D895" s="206"/>
      <c r="E895" s="206"/>
      <c r="F895" s="206"/>
      <c r="G895" s="206"/>
      <c r="H895" s="206"/>
      <c r="I895" s="206"/>
      <c r="J895" s="206"/>
      <c r="K895" s="206"/>
      <c r="L895" s="206"/>
      <c r="M895" s="206"/>
      <c r="N895" s="206"/>
      <c r="O895" s="206"/>
      <c r="P895" s="206"/>
      <c r="Q895" s="206"/>
      <c r="R895" s="206"/>
      <c r="S895" s="206"/>
      <c r="T895" s="206"/>
      <c r="U895" s="206"/>
      <c r="V895" s="206"/>
      <c r="W895" s="206"/>
      <c r="X895" s="206"/>
      <c r="Y895" s="206"/>
    </row>
    <row r="896">
      <c r="A896" s="206"/>
      <c r="B896" s="206"/>
      <c r="C896" s="206"/>
      <c r="D896" s="206"/>
      <c r="E896" s="206"/>
      <c r="F896" s="206"/>
      <c r="G896" s="206"/>
      <c r="H896" s="206"/>
      <c r="I896" s="206"/>
      <c r="J896" s="206"/>
      <c r="K896" s="206"/>
      <c r="L896" s="206"/>
      <c r="M896" s="206"/>
      <c r="N896" s="206"/>
      <c r="O896" s="206"/>
      <c r="P896" s="206"/>
      <c r="Q896" s="206"/>
      <c r="R896" s="206"/>
      <c r="S896" s="206"/>
      <c r="T896" s="206"/>
      <c r="U896" s="206"/>
      <c r="V896" s="206"/>
      <c r="W896" s="206"/>
      <c r="X896" s="206"/>
      <c r="Y896" s="206"/>
    </row>
    <row r="897">
      <c r="A897" s="206"/>
      <c r="B897" s="206"/>
      <c r="C897" s="206"/>
      <c r="D897" s="206"/>
      <c r="E897" s="206"/>
      <c r="F897" s="206"/>
      <c r="G897" s="206"/>
      <c r="H897" s="206"/>
      <c r="I897" s="206"/>
      <c r="J897" s="206"/>
      <c r="K897" s="206"/>
      <c r="L897" s="206"/>
      <c r="M897" s="206"/>
      <c r="N897" s="206"/>
      <c r="O897" s="206"/>
      <c r="P897" s="206"/>
      <c r="Q897" s="206"/>
      <c r="R897" s="206"/>
      <c r="S897" s="206"/>
      <c r="T897" s="206"/>
      <c r="U897" s="206"/>
      <c r="V897" s="206"/>
      <c r="W897" s="206"/>
      <c r="X897" s="206"/>
      <c r="Y897" s="206"/>
    </row>
    <row r="898">
      <c r="A898" s="206"/>
      <c r="B898" s="206"/>
      <c r="C898" s="206"/>
      <c r="D898" s="206"/>
      <c r="E898" s="206"/>
      <c r="F898" s="206"/>
      <c r="G898" s="206"/>
      <c r="H898" s="206"/>
      <c r="I898" s="206"/>
      <c r="J898" s="206"/>
      <c r="K898" s="206"/>
      <c r="L898" s="206"/>
      <c r="M898" s="206"/>
      <c r="N898" s="206"/>
      <c r="O898" s="206"/>
      <c r="P898" s="206"/>
      <c r="Q898" s="206"/>
      <c r="R898" s="206"/>
      <c r="S898" s="206"/>
      <c r="T898" s="206"/>
      <c r="U898" s="206"/>
      <c r="V898" s="206"/>
      <c r="W898" s="206"/>
      <c r="X898" s="206"/>
      <c r="Y898" s="206"/>
    </row>
    <row r="899">
      <c r="A899" s="206"/>
      <c r="B899" s="206"/>
      <c r="C899" s="206"/>
      <c r="D899" s="206"/>
      <c r="E899" s="206"/>
      <c r="F899" s="206"/>
      <c r="G899" s="206"/>
      <c r="H899" s="206"/>
      <c r="I899" s="206"/>
      <c r="J899" s="206"/>
      <c r="K899" s="206"/>
      <c r="L899" s="206"/>
      <c r="M899" s="206"/>
      <c r="N899" s="206"/>
      <c r="O899" s="206"/>
      <c r="P899" s="206"/>
      <c r="Q899" s="206"/>
      <c r="R899" s="206"/>
      <c r="S899" s="206"/>
      <c r="T899" s="206"/>
      <c r="U899" s="206"/>
      <c r="V899" s="206"/>
      <c r="W899" s="206"/>
      <c r="X899" s="206"/>
      <c r="Y899" s="206"/>
    </row>
    <row r="900">
      <c r="A900" s="206"/>
      <c r="B900" s="206"/>
      <c r="C900" s="206"/>
      <c r="D900" s="206"/>
      <c r="E900" s="206"/>
      <c r="F900" s="206"/>
      <c r="G900" s="206"/>
      <c r="H900" s="206"/>
      <c r="I900" s="206"/>
      <c r="J900" s="206"/>
      <c r="K900" s="206"/>
      <c r="L900" s="206"/>
      <c r="M900" s="206"/>
      <c r="N900" s="206"/>
      <c r="O900" s="206"/>
      <c r="P900" s="206"/>
      <c r="Q900" s="206"/>
      <c r="R900" s="206"/>
      <c r="S900" s="206"/>
      <c r="T900" s="206"/>
      <c r="U900" s="206"/>
      <c r="V900" s="206"/>
      <c r="W900" s="206"/>
      <c r="X900" s="206"/>
      <c r="Y900" s="206"/>
    </row>
    <row r="901">
      <c r="A901" s="206"/>
      <c r="B901" s="206"/>
      <c r="C901" s="206"/>
      <c r="D901" s="206"/>
      <c r="E901" s="206"/>
      <c r="F901" s="206"/>
      <c r="G901" s="206"/>
      <c r="H901" s="206"/>
      <c r="I901" s="206"/>
      <c r="J901" s="206"/>
      <c r="K901" s="206"/>
      <c r="L901" s="206"/>
      <c r="M901" s="206"/>
      <c r="N901" s="206"/>
      <c r="O901" s="206"/>
      <c r="P901" s="206"/>
      <c r="Q901" s="206"/>
      <c r="R901" s="206"/>
      <c r="S901" s="206"/>
      <c r="T901" s="206"/>
      <c r="U901" s="206"/>
      <c r="V901" s="206"/>
      <c r="W901" s="206"/>
      <c r="X901" s="206"/>
      <c r="Y901" s="206"/>
    </row>
    <row r="902">
      <c r="A902" s="206"/>
      <c r="B902" s="206"/>
      <c r="C902" s="206"/>
      <c r="D902" s="206"/>
      <c r="E902" s="206"/>
      <c r="F902" s="206"/>
      <c r="G902" s="206"/>
      <c r="H902" s="206"/>
      <c r="I902" s="206"/>
      <c r="J902" s="206"/>
      <c r="K902" s="206"/>
      <c r="L902" s="206"/>
      <c r="M902" s="206"/>
      <c r="N902" s="206"/>
      <c r="O902" s="206"/>
      <c r="P902" s="206"/>
      <c r="Q902" s="206"/>
      <c r="R902" s="206"/>
      <c r="S902" s="206"/>
      <c r="T902" s="206"/>
      <c r="U902" s="206"/>
      <c r="V902" s="206"/>
      <c r="W902" s="206"/>
      <c r="X902" s="206"/>
      <c r="Y902" s="206"/>
    </row>
    <row r="903">
      <c r="A903" s="206"/>
      <c r="B903" s="206"/>
      <c r="C903" s="206"/>
      <c r="D903" s="206"/>
      <c r="E903" s="206"/>
      <c r="F903" s="206"/>
      <c r="G903" s="206"/>
      <c r="H903" s="206"/>
      <c r="I903" s="206"/>
      <c r="J903" s="206"/>
      <c r="K903" s="206"/>
      <c r="L903" s="206"/>
      <c r="M903" s="206"/>
      <c r="N903" s="206"/>
      <c r="O903" s="206"/>
      <c r="P903" s="206"/>
      <c r="Q903" s="206"/>
      <c r="R903" s="206"/>
      <c r="S903" s="206"/>
      <c r="T903" s="206"/>
      <c r="U903" s="206"/>
      <c r="V903" s="206"/>
      <c r="W903" s="206"/>
      <c r="X903" s="206"/>
      <c r="Y903" s="206"/>
    </row>
    <row r="904">
      <c r="A904" s="206"/>
      <c r="B904" s="206"/>
      <c r="C904" s="206"/>
      <c r="D904" s="206"/>
      <c r="E904" s="206"/>
      <c r="F904" s="206"/>
      <c r="G904" s="206"/>
      <c r="H904" s="206"/>
      <c r="I904" s="206"/>
      <c r="J904" s="206"/>
      <c r="K904" s="206"/>
      <c r="L904" s="206"/>
      <c r="M904" s="206"/>
      <c r="N904" s="206"/>
      <c r="O904" s="206"/>
      <c r="P904" s="206"/>
      <c r="Q904" s="206"/>
      <c r="R904" s="206"/>
      <c r="S904" s="206"/>
      <c r="T904" s="206"/>
      <c r="U904" s="206"/>
      <c r="V904" s="206"/>
      <c r="W904" s="206"/>
      <c r="X904" s="206"/>
      <c r="Y904" s="206"/>
    </row>
    <row r="905">
      <c r="A905" s="206"/>
      <c r="B905" s="206"/>
      <c r="C905" s="206"/>
      <c r="D905" s="206"/>
      <c r="E905" s="206"/>
      <c r="F905" s="206"/>
      <c r="G905" s="206"/>
      <c r="H905" s="206"/>
      <c r="I905" s="206"/>
      <c r="J905" s="206"/>
      <c r="K905" s="206"/>
      <c r="L905" s="206"/>
      <c r="M905" s="206"/>
      <c r="N905" s="206"/>
      <c r="O905" s="206"/>
      <c r="P905" s="206"/>
      <c r="Q905" s="206"/>
      <c r="R905" s="206"/>
      <c r="S905" s="206"/>
      <c r="T905" s="206"/>
      <c r="U905" s="206"/>
      <c r="V905" s="206"/>
      <c r="W905" s="206"/>
      <c r="X905" s="206"/>
      <c r="Y905" s="206"/>
    </row>
    <row r="906">
      <c r="A906" s="206"/>
      <c r="B906" s="206"/>
      <c r="C906" s="206"/>
      <c r="D906" s="206"/>
      <c r="E906" s="206"/>
      <c r="F906" s="206"/>
      <c r="G906" s="206"/>
      <c r="H906" s="206"/>
      <c r="I906" s="206"/>
      <c r="J906" s="206"/>
      <c r="K906" s="206"/>
      <c r="L906" s="206"/>
      <c r="M906" s="206"/>
      <c r="N906" s="206"/>
      <c r="O906" s="206"/>
      <c r="P906" s="206"/>
      <c r="Q906" s="206"/>
      <c r="R906" s="206"/>
      <c r="S906" s="206"/>
      <c r="T906" s="206"/>
      <c r="U906" s="206"/>
      <c r="V906" s="206"/>
      <c r="W906" s="206"/>
      <c r="X906" s="206"/>
      <c r="Y906" s="206"/>
    </row>
    <row r="907">
      <c r="A907" s="206"/>
      <c r="B907" s="206"/>
      <c r="C907" s="206"/>
      <c r="D907" s="206"/>
      <c r="E907" s="206"/>
      <c r="F907" s="206"/>
      <c r="G907" s="206"/>
      <c r="H907" s="206"/>
      <c r="I907" s="206"/>
      <c r="J907" s="206"/>
      <c r="K907" s="206"/>
      <c r="L907" s="206"/>
      <c r="M907" s="206"/>
      <c r="N907" s="206"/>
      <c r="O907" s="206"/>
      <c r="P907" s="206"/>
      <c r="Q907" s="206"/>
      <c r="R907" s="206"/>
      <c r="S907" s="206"/>
      <c r="T907" s="206"/>
      <c r="U907" s="206"/>
      <c r="V907" s="206"/>
      <c r="W907" s="206"/>
      <c r="X907" s="206"/>
      <c r="Y907" s="206"/>
    </row>
    <row r="908">
      <c r="A908" s="206"/>
      <c r="B908" s="206"/>
      <c r="C908" s="206"/>
      <c r="D908" s="206"/>
      <c r="E908" s="206"/>
      <c r="F908" s="206"/>
      <c r="G908" s="206"/>
      <c r="H908" s="206"/>
      <c r="I908" s="206"/>
      <c r="J908" s="206"/>
      <c r="K908" s="206"/>
      <c r="L908" s="206"/>
      <c r="M908" s="206"/>
      <c r="N908" s="206"/>
      <c r="O908" s="206"/>
      <c r="P908" s="206"/>
      <c r="Q908" s="206"/>
      <c r="R908" s="206"/>
      <c r="S908" s="206"/>
      <c r="T908" s="206"/>
      <c r="U908" s="206"/>
      <c r="V908" s="206"/>
      <c r="W908" s="206"/>
      <c r="X908" s="206"/>
      <c r="Y908" s="206"/>
    </row>
    <row r="909">
      <c r="A909" s="206"/>
      <c r="B909" s="206"/>
      <c r="C909" s="206"/>
      <c r="D909" s="206"/>
      <c r="E909" s="206"/>
      <c r="F909" s="206"/>
      <c r="G909" s="206"/>
      <c r="H909" s="206"/>
      <c r="I909" s="206"/>
      <c r="J909" s="206"/>
      <c r="K909" s="206"/>
      <c r="L909" s="206"/>
      <c r="M909" s="206"/>
      <c r="N909" s="206"/>
      <c r="O909" s="206"/>
      <c r="P909" s="206"/>
      <c r="Q909" s="206"/>
      <c r="R909" s="206"/>
      <c r="S909" s="206"/>
      <c r="T909" s="206"/>
      <c r="U909" s="206"/>
      <c r="V909" s="206"/>
      <c r="W909" s="206"/>
      <c r="X909" s="206"/>
      <c r="Y909" s="206"/>
    </row>
    <row r="910">
      <c r="A910" s="206"/>
      <c r="B910" s="206"/>
      <c r="C910" s="206"/>
      <c r="D910" s="206"/>
      <c r="E910" s="206"/>
      <c r="F910" s="206"/>
      <c r="G910" s="206"/>
      <c r="H910" s="206"/>
      <c r="I910" s="206"/>
      <c r="J910" s="206"/>
      <c r="K910" s="206"/>
      <c r="L910" s="206"/>
      <c r="M910" s="206"/>
      <c r="N910" s="206"/>
      <c r="O910" s="206"/>
      <c r="P910" s="206"/>
      <c r="Q910" s="206"/>
      <c r="R910" s="206"/>
      <c r="S910" s="206"/>
      <c r="T910" s="206"/>
      <c r="U910" s="206"/>
      <c r="V910" s="206"/>
      <c r="W910" s="206"/>
      <c r="X910" s="206"/>
      <c r="Y910" s="206"/>
    </row>
    <row r="911">
      <c r="A911" s="206"/>
      <c r="B911" s="206"/>
      <c r="C911" s="206"/>
      <c r="D911" s="206"/>
      <c r="E911" s="206"/>
      <c r="F911" s="206"/>
      <c r="G911" s="206"/>
      <c r="H911" s="206"/>
      <c r="I911" s="206"/>
      <c r="J911" s="206"/>
      <c r="K911" s="206"/>
      <c r="L911" s="206"/>
      <c r="M911" s="206"/>
      <c r="N911" s="206"/>
      <c r="O911" s="206"/>
      <c r="P911" s="206"/>
      <c r="Q911" s="206"/>
      <c r="R911" s="206"/>
      <c r="S911" s="206"/>
      <c r="T911" s="206"/>
      <c r="U911" s="206"/>
      <c r="V911" s="206"/>
      <c r="W911" s="206"/>
      <c r="X911" s="206"/>
      <c r="Y911" s="206"/>
    </row>
    <row r="912">
      <c r="A912" s="206"/>
      <c r="B912" s="206"/>
      <c r="C912" s="206"/>
      <c r="D912" s="206"/>
      <c r="E912" s="206"/>
      <c r="F912" s="206"/>
      <c r="G912" s="206"/>
      <c r="H912" s="206"/>
      <c r="I912" s="206"/>
      <c r="J912" s="206"/>
      <c r="K912" s="206"/>
      <c r="L912" s="206"/>
      <c r="M912" s="206"/>
      <c r="N912" s="206"/>
      <c r="O912" s="206"/>
      <c r="P912" s="206"/>
      <c r="Q912" s="206"/>
      <c r="R912" s="206"/>
      <c r="S912" s="206"/>
      <c r="T912" s="206"/>
      <c r="U912" s="206"/>
      <c r="V912" s="206"/>
      <c r="W912" s="206"/>
      <c r="X912" s="206"/>
      <c r="Y912" s="206"/>
    </row>
    <row r="913">
      <c r="A913" s="206"/>
      <c r="B913" s="206"/>
      <c r="C913" s="206"/>
      <c r="D913" s="206"/>
      <c r="E913" s="206"/>
      <c r="F913" s="206"/>
      <c r="G913" s="206"/>
      <c r="H913" s="206"/>
      <c r="I913" s="206"/>
      <c r="J913" s="206"/>
      <c r="K913" s="206"/>
      <c r="L913" s="206"/>
      <c r="M913" s="206"/>
      <c r="N913" s="206"/>
      <c r="O913" s="206"/>
      <c r="P913" s="206"/>
      <c r="Q913" s="206"/>
      <c r="R913" s="206"/>
      <c r="S913" s="206"/>
      <c r="T913" s="206"/>
      <c r="U913" s="206"/>
      <c r="V913" s="206"/>
      <c r="W913" s="206"/>
      <c r="X913" s="206"/>
      <c r="Y913" s="206"/>
    </row>
    <row r="914">
      <c r="A914" s="206"/>
      <c r="B914" s="206"/>
      <c r="C914" s="206"/>
      <c r="D914" s="206"/>
      <c r="E914" s="206"/>
      <c r="F914" s="206"/>
      <c r="G914" s="206"/>
      <c r="H914" s="206"/>
      <c r="I914" s="206"/>
      <c r="J914" s="206"/>
      <c r="K914" s="206"/>
      <c r="L914" s="206"/>
      <c r="M914" s="206"/>
      <c r="N914" s="206"/>
      <c r="O914" s="206"/>
      <c r="P914" s="206"/>
      <c r="Q914" s="206"/>
      <c r="R914" s="206"/>
      <c r="S914" s="206"/>
      <c r="T914" s="206"/>
      <c r="U914" s="206"/>
      <c r="V914" s="206"/>
      <c r="W914" s="206"/>
      <c r="X914" s="206"/>
      <c r="Y914" s="206"/>
    </row>
    <row r="915">
      <c r="A915" s="206"/>
      <c r="B915" s="206"/>
      <c r="C915" s="206"/>
      <c r="D915" s="206"/>
      <c r="E915" s="206"/>
      <c r="F915" s="206"/>
      <c r="G915" s="206"/>
      <c r="H915" s="206"/>
      <c r="I915" s="206"/>
      <c r="J915" s="206"/>
      <c r="K915" s="206"/>
      <c r="L915" s="206"/>
      <c r="M915" s="206"/>
      <c r="N915" s="206"/>
      <c r="O915" s="206"/>
      <c r="P915" s="206"/>
      <c r="Q915" s="206"/>
      <c r="R915" s="206"/>
      <c r="S915" s="206"/>
      <c r="T915" s="206"/>
      <c r="U915" s="206"/>
      <c r="V915" s="206"/>
      <c r="W915" s="206"/>
      <c r="X915" s="206"/>
      <c r="Y915" s="206"/>
    </row>
    <row r="916">
      <c r="A916" s="206"/>
      <c r="B916" s="206"/>
      <c r="C916" s="206"/>
      <c r="D916" s="206"/>
      <c r="E916" s="206"/>
      <c r="F916" s="206"/>
      <c r="G916" s="206"/>
      <c r="H916" s="206"/>
      <c r="I916" s="206"/>
      <c r="J916" s="206"/>
      <c r="K916" s="206"/>
      <c r="L916" s="206"/>
      <c r="M916" s="206"/>
      <c r="N916" s="206"/>
      <c r="O916" s="206"/>
      <c r="P916" s="206"/>
      <c r="Q916" s="206"/>
      <c r="R916" s="206"/>
      <c r="S916" s="206"/>
      <c r="T916" s="206"/>
      <c r="U916" s="206"/>
      <c r="V916" s="206"/>
      <c r="W916" s="206"/>
      <c r="X916" s="206"/>
      <c r="Y916" s="206"/>
    </row>
    <row r="917">
      <c r="A917" s="206"/>
      <c r="B917" s="206"/>
      <c r="C917" s="206"/>
      <c r="D917" s="206"/>
      <c r="E917" s="206"/>
      <c r="F917" s="206"/>
      <c r="G917" s="206"/>
      <c r="H917" s="206"/>
      <c r="I917" s="206"/>
      <c r="J917" s="206"/>
      <c r="K917" s="206"/>
      <c r="L917" s="206"/>
      <c r="M917" s="206"/>
      <c r="N917" s="206"/>
      <c r="O917" s="206"/>
      <c r="P917" s="206"/>
      <c r="Q917" s="206"/>
      <c r="R917" s="206"/>
      <c r="S917" s="206"/>
      <c r="T917" s="206"/>
      <c r="U917" s="206"/>
      <c r="V917" s="206"/>
      <c r="W917" s="206"/>
      <c r="X917" s="206"/>
      <c r="Y917" s="206"/>
    </row>
    <row r="918">
      <c r="A918" s="206"/>
      <c r="B918" s="206"/>
      <c r="C918" s="206"/>
      <c r="D918" s="206"/>
      <c r="E918" s="206"/>
      <c r="F918" s="206"/>
      <c r="G918" s="206"/>
      <c r="H918" s="206"/>
      <c r="I918" s="206"/>
      <c r="J918" s="206"/>
      <c r="K918" s="206"/>
      <c r="L918" s="206"/>
      <c r="M918" s="206"/>
      <c r="N918" s="206"/>
      <c r="O918" s="206"/>
      <c r="P918" s="206"/>
      <c r="Q918" s="206"/>
      <c r="R918" s="206"/>
      <c r="S918" s="206"/>
      <c r="T918" s="206"/>
      <c r="U918" s="206"/>
      <c r="V918" s="206"/>
      <c r="W918" s="206"/>
      <c r="X918" s="206"/>
      <c r="Y918" s="206"/>
    </row>
    <row r="919">
      <c r="A919" s="206"/>
      <c r="B919" s="206"/>
      <c r="C919" s="206"/>
      <c r="D919" s="206"/>
      <c r="E919" s="206"/>
      <c r="F919" s="206"/>
      <c r="G919" s="206"/>
      <c r="H919" s="206"/>
      <c r="I919" s="206"/>
      <c r="J919" s="206"/>
      <c r="K919" s="206"/>
      <c r="L919" s="206"/>
      <c r="M919" s="206"/>
      <c r="N919" s="206"/>
      <c r="O919" s="206"/>
      <c r="P919" s="206"/>
      <c r="Q919" s="206"/>
      <c r="R919" s="206"/>
      <c r="S919" s="206"/>
      <c r="T919" s="206"/>
      <c r="U919" s="206"/>
      <c r="V919" s="206"/>
      <c r="W919" s="206"/>
      <c r="X919" s="206"/>
      <c r="Y919" s="206"/>
    </row>
    <row r="920">
      <c r="A920" s="206"/>
      <c r="B920" s="206"/>
      <c r="C920" s="206"/>
      <c r="D920" s="206"/>
      <c r="E920" s="206"/>
      <c r="F920" s="206"/>
      <c r="G920" s="206"/>
      <c r="H920" s="206"/>
      <c r="I920" s="206"/>
      <c r="J920" s="206"/>
      <c r="K920" s="206"/>
      <c r="L920" s="206"/>
      <c r="M920" s="206"/>
      <c r="N920" s="206"/>
      <c r="O920" s="206"/>
      <c r="P920" s="206"/>
      <c r="Q920" s="206"/>
      <c r="R920" s="206"/>
      <c r="S920" s="206"/>
      <c r="T920" s="206"/>
      <c r="U920" s="206"/>
      <c r="V920" s="206"/>
      <c r="W920" s="206"/>
      <c r="X920" s="206"/>
      <c r="Y920" s="206"/>
    </row>
    <row r="921">
      <c r="A921" s="206"/>
      <c r="B921" s="206"/>
      <c r="C921" s="206"/>
      <c r="D921" s="206"/>
      <c r="E921" s="206"/>
      <c r="F921" s="206"/>
      <c r="G921" s="206"/>
      <c r="H921" s="206"/>
      <c r="I921" s="206"/>
      <c r="J921" s="206"/>
      <c r="K921" s="206"/>
      <c r="L921" s="206"/>
      <c r="M921" s="206"/>
      <c r="N921" s="206"/>
      <c r="O921" s="206"/>
      <c r="P921" s="206"/>
      <c r="Q921" s="206"/>
      <c r="R921" s="206"/>
      <c r="S921" s="206"/>
      <c r="T921" s="206"/>
      <c r="U921" s="206"/>
      <c r="V921" s="206"/>
      <c r="W921" s="206"/>
      <c r="X921" s="206"/>
      <c r="Y921" s="206"/>
    </row>
    <row r="922">
      <c r="A922" s="206"/>
      <c r="B922" s="206"/>
      <c r="C922" s="206"/>
      <c r="D922" s="206"/>
      <c r="E922" s="206"/>
      <c r="F922" s="206"/>
      <c r="G922" s="206"/>
      <c r="H922" s="206"/>
      <c r="I922" s="206"/>
      <c r="J922" s="206"/>
      <c r="K922" s="206"/>
      <c r="L922" s="206"/>
      <c r="M922" s="206"/>
      <c r="N922" s="206"/>
      <c r="O922" s="206"/>
      <c r="P922" s="206"/>
      <c r="Q922" s="206"/>
      <c r="R922" s="206"/>
      <c r="S922" s="206"/>
      <c r="T922" s="206"/>
      <c r="U922" s="206"/>
      <c r="V922" s="206"/>
      <c r="W922" s="206"/>
      <c r="X922" s="206"/>
      <c r="Y922" s="206"/>
    </row>
    <row r="923">
      <c r="A923" s="206"/>
      <c r="B923" s="206"/>
      <c r="C923" s="206"/>
      <c r="D923" s="206"/>
      <c r="E923" s="206"/>
      <c r="F923" s="206"/>
      <c r="G923" s="206"/>
      <c r="H923" s="206"/>
      <c r="I923" s="206"/>
      <c r="J923" s="206"/>
      <c r="K923" s="206"/>
      <c r="L923" s="206"/>
      <c r="M923" s="206"/>
      <c r="N923" s="206"/>
      <c r="O923" s="206"/>
      <c r="P923" s="206"/>
      <c r="Q923" s="206"/>
      <c r="R923" s="206"/>
      <c r="S923" s="206"/>
      <c r="T923" s="206"/>
      <c r="U923" s="206"/>
      <c r="V923" s="206"/>
      <c r="W923" s="206"/>
      <c r="X923" s="206"/>
      <c r="Y923" s="206"/>
    </row>
    <row r="924">
      <c r="A924" s="206"/>
      <c r="B924" s="206"/>
      <c r="C924" s="206"/>
      <c r="D924" s="206"/>
      <c r="E924" s="206"/>
      <c r="F924" s="206"/>
      <c r="G924" s="206"/>
      <c r="H924" s="206"/>
      <c r="I924" s="206"/>
      <c r="J924" s="206"/>
      <c r="K924" s="206"/>
      <c r="L924" s="206"/>
      <c r="M924" s="206"/>
      <c r="N924" s="206"/>
      <c r="O924" s="206"/>
      <c r="P924" s="206"/>
      <c r="Q924" s="206"/>
      <c r="R924" s="206"/>
      <c r="S924" s="206"/>
      <c r="T924" s="206"/>
      <c r="U924" s="206"/>
      <c r="V924" s="206"/>
      <c r="W924" s="206"/>
      <c r="X924" s="206"/>
      <c r="Y924" s="206"/>
    </row>
    <row r="925">
      <c r="A925" s="206"/>
      <c r="B925" s="206"/>
      <c r="C925" s="206"/>
      <c r="D925" s="206"/>
      <c r="E925" s="206"/>
      <c r="F925" s="206"/>
      <c r="G925" s="206"/>
      <c r="H925" s="206"/>
      <c r="I925" s="206"/>
      <c r="J925" s="206"/>
      <c r="K925" s="206"/>
      <c r="L925" s="206"/>
      <c r="M925" s="206"/>
      <c r="N925" s="206"/>
      <c r="O925" s="206"/>
      <c r="P925" s="206"/>
      <c r="Q925" s="206"/>
      <c r="R925" s="206"/>
      <c r="S925" s="206"/>
      <c r="T925" s="206"/>
      <c r="U925" s="206"/>
      <c r="V925" s="206"/>
      <c r="W925" s="206"/>
      <c r="X925" s="206"/>
      <c r="Y925" s="206"/>
    </row>
    <row r="926">
      <c r="A926" s="206"/>
      <c r="B926" s="206"/>
      <c r="C926" s="206"/>
      <c r="D926" s="206"/>
      <c r="E926" s="206"/>
      <c r="F926" s="206"/>
      <c r="G926" s="206"/>
      <c r="H926" s="206"/>
      <c r="I926" s="206"/>
      <c r="J926" s="206"/>
      <c r="K926" s="206"/>
      <c r="L926" s="206"/>
      <c r="M926" s="206"/>
      <c r="N926" s="206"/>
      <c r="O926" s="206"/>
      <c r="P926" s="206"/>
      <c r="Q926" s="206"/>
      <c r="R926" s="206"/>
      <c r="S926" s="206"/>
      <c r="T926" s="206"/>
      <c r="U926" s="206"/>
      <c r="V926" s="206"/>
      <c r="W926" s="206"/>
      <c r="X926" s="206"/>
      <c r="Y926" s="206"/>
    </row>
    <row r="927">
      <c r="A927" s="206"/>
      <c r="B927" s="206"/>
      <c r="C927" s="206"/>
      <c r="D927" s="206"/>
      <c r="E927" s="206"/>
      <c r="F927" s="206"/>
      <c r="G927" s="206"/>
      <c r="H927" s="206"/>
      <c r="I927" s="206"/>
      <c r="J927" s="206"/>
      <c r="K927" s="206"/>
      <c r="L927" s="206"/>
      <c r="M927" s="206"/>
      <c r="N927" s="206"/>
      <c r="O927" s="206"/>
      <c r="P927" s="206"/>
      <c r="Q927" s="206"/>
      <c r="R927" s="206"/>
      <c r="S927" s="206"/>
      <c r="T927" s="206"/>
      <c r="U927" s="206"/>
      <c r="V927" s="206"/>
      <c r="W927" s="206"/>
      <c r="X927" s="206"/>
      <c r="Y927" s="206"/>
    </row>
    <row r="928">
      <c r="A928" s="206"/>
      <c r="B928" s="206"/>
      <c r="C928" s="206"/>
      <c r="D928" s="206"/>
      <c r="E928" s="206"/>
      <c r="F928" s="206"/>
      <c r="G928" s="206"/>
      <c r="H928" s="206"/>
      <c r="I928" s="206"/>
      <c r="J928" s="206"/>
      <c r="K928" s="206"/>
      <c r="L928" s="206"/>
      <c r="M928" s="206"/>
      <c r="N928" s="206"/>
      <c r="O928" s="206"/>
      <c r="P928" s="206"/>
      <c r="Q928" s="206"/>
      <c r="R928" s="206"/>
      <c r="S928" s="206"/>
      <c r="T928" s="206"/>
      <c r="U928" s="206"/>
      <c r="V928" s="206"/>
      <c r="W928" s="206"/>
      <c r="X928" s="206"/>
      <c r="Y928" s="206"/>
    </row>
    <row r="929">
      <c r="A929" s="206"/>
      <c r="B929" s="206"/>
      <c r="C929" s="206"/>
      <c r="D929" s="206"/>
      <c r="E929" s="206"/>
      <c r="F929" s="206"/>
      <c r="G929" s="206"/>
      <c r="H929" s="206"/>
      <c r="I929" s="206"/>
      <c r="J929" s="206"/>
      <c r="K929" s="206"/>
      <c r="L929" s="206"/>
      <c r="M929" s="206"/>
      <c r="N929" s="206"/>
      <c r="O929" s="206"/>
      <c r="P929" s="206"/>
      <c r="Q929" s="206"/>
      <c r="R929" s="206"/>
      <c r="S929" s="206"/>
      <c r="T929" s="206"/>
      <c r="U929" s="206"/>
      <c r="V929" s="206"/>
      <c r="W929" s="206"/>
      <c r="X929" s="206"/>
      <c r="Y929" s="206"/>
    </row>
    <row r="930">
      <c r="A930" s="206"/>
      <c r="B930" s="206"/>
      <c r="C930" s="206"/>
      <c r="D930" s="206"/>
      <c r="E930" s="206"/>
      <c r="F930" s="206"/>
      <c r="G930" s="206"/>
      <c r="H930" s="206"/>
      <c r="I930" s="206"/>
      <c r="J930" s="206"/>
      <c r="K930" s="206"/>
      <c r="L930" s="206"/>
      <c r="M930" s="206"/>
      <c r="N930" s="206"/>
      <c r="O930" s="206"/>
      <c r="P930" s="206"/>
      <c r="Q930" s="206"/>
      <c r="R930" s="206"/>
      <c r="S930" s="206"/>
      <c r="T930" s="206"/>
      <c r="U930" s="206"/>
      <c r="V930" s="206"/>
      <c r="W930" s="206"/>
      <c r="X930" s="206"/>
      <c r="Y930" s="206"/>
    </row>
    <row r="931">
      <c r="A931" s="206"/>
      <c r="B931" s="206"/>
      <c r="C931" s="206"/>
      <c r="D931" s="206"/>
      <c r="E931" s="206"/>
      <c r="F931" s="206"/>
      <c r="G931" s="206"/>
      <c r="H931" s="206"/>
      <c r="I931" s="206"/>
      <c r="J931" s="206"/>
      <c r="K931" s="206"/>
      <c r="L931" s="206"/>
      <c r="M931" s="206"/>
      <c r="N931" s="206"/>
      <c r="O931" s="206"/>
      <c r="P931" s="206"/>
      <c r="Q931" s="206"/>
      <c r="R931" s="206"/>
      <c r="S931" s="206"/>
      <c r="T931" s="206"/>
      <c r="U931" s="206"/>
      <c r="V931" s="206"/>
      <c r="W931" s="206"/>
      <c r="X931" s="206"/>
      <c r="Y931" s="206"/>
    </row>
    <row r="932">
      <c r="A932" s="206"/>
      <c r="B932" s="206"/>
      <c r="C932" s="206"/>
      <c r="D932" s="206"/>
      <c r="E932" s="206"/>
      <c r="F932" s="206"/>
      <c r="G932" s="206"/>
      <c r="H932" s="206"/>
      <c r="I932" s="206"/>
      <c r="J932" s="206"/>
      <c r="K932" s="206"/>
      <c r="L932" s="206"/>
      <c r="M932" s="206"/>
      <c r="N932" s="206"/>
      <c r="O932" s="206"/>
      <c r="P932" s="206"/>
      <c r="Q932" s="206"/>
      <c r="R932" s="206"/>
      <c r="S932" s="206"/>
      <c r="T932" s="206"/>
      <c r="U932" s="206"/>
      <c r="V932" s="206"/>
      <c r="W932" s="206"/>
      <c r="X932" s="206"/>
      <c r="Y932" s="206"/>
    </row>
    <row r="933">
      <c r="A933" s="206"/>
      <c r="B933" s="206"/>
      <c r="C933" s="206"/>
      <c r="D933" s="206"/>
      <c r="E933" s="206"/>
      <c r="F933" s="206"/>
      <c r="G933" s="206"/>
      <c r="H933" s="206"/>
      <c r="I933" s="206"/>
      <c r="J933" s="206"/>
      <c r="K933" s="206"/>
      <c r="L933" s="206"/>
      <c r="M933" s="206"/>
      <c r="N933" s="206"/>
      <c r="O933" s="206"/>
      <c r="P933" s="206"/>
      <c r="Q933" s="206"/>
      <c r="R933" s="206"/>
      <c r="S933" s="206"/>
      <c r="T933" s="206"/>
      <c r="U933" s="206"/>
      <c r="V933" s="206"/>
      <c r="W933" s="206"/>
      <c r="X933" s="206"/>
      <c r="Y933" s="206"/>
    </row>
    <row r="934">
      <c r="A934" s="206"/>
      <c r="B934" s="206"/>
      <c r="C934" s="206"/>
      <c r="D934" s="206"/>
      <c r="E934" s="206"/>
      <c r="F934" s="206"/>
      <c r="G934" s="206"/>
      <c r="H934" s="206"/>
      <c r="I934" s="206"/>
      <c r="J934" s="206"/>
      <c r="K934" s="206"/>
      <c r="L934" s="206"/>
      <c r="M934" s="206"/>
      <c r="N934" s="206"/>
      <c r="O934" s="206"/>
      <c r="P934" s="206"/>
      <c r="Q934" s="206"/>
      <c r="R934" s="206"/>
      <c r="S934" s="206"/>
      <c r="T934" s="206"/>
      <c r="U934" s="206"/>
      <c r="V934" s="206"/>
      <c r="W934" s="206"/>
      <c r="X934" s="206"/>
      <c r="Y934" s="206"/>
    </row>
    <row r="935">
      <c r="A935" s="206"/>
      <c r="B935" s="206"/>
      <c r="C935" s="206"/>
      <c r="D935" s="206"/>
      <c r="E935" s="206"/>
      <c r="F935" s="206"/>
      <c r="G935" s="206"/>
      <c r="H935" s="206"/>
      <c r="I935" s="206"/>
      <c r="J935" s="206"/>
      <c r="K935" s="206"/>
      <c r="L935" s="206"/>
      <c r="M935" s="206"/>
      <c r="N935" s="206"/>
      <c r="O935" s="206"/>
      <c r="P935" s="206"/>
      <c r="Q935" s="206"/>
      <c r="R935" s="206"/>
      <c r="S935" s="206"/>
      <c r="T935" s="206"/>
      <c r="U935" s="206"/>
      <c r="V935" s="206"/>
      <c r="W935" s="206"/>
      <c r="X935" s="206"/>
      <c r="Y935" s="206"/>
    </row>
    <row r="936">
      <c r="A936" s="206"/>
      <c r="B936" s="206"/>
      <c r="C936" s="206"/>
      <c r="D936" s="206"/>
      <c r="E936" s="206"/>
      <c r="F936" s="206"/>
      <c r="G936" s="206"/>
      <c r="H936" s="206"/>
      <c r="I936" s="206"/>
      <c r="J936" s="206"/>
      <c r="K936" s="206"/>
      <c r="L936" s="206"/>
      <c r="M936" s="206"/>
      <c r="N936" s="206"/>
      <c r="O936" s="206"/>
      <c r="P936" s="206"/>
      <c r="Q936" s="206"/>
      <c r="R936" s="206"/>
      <c r="S936" s="206"/>
      <c r="T936" s="206"/>
      <c r="U936" s="206"/>
      <c r="V936" s="206"/>
      <c r="W936" s="206"/>
      <c r="X936" s="206"/>
      <c r="Y936" s="206"/>
    </row>
    <row r="937">
      <c r="A937" s="206"/>
      <c r="B937" s="206"/>
      <c r="C937" s="206"/>
      <c r="D937" s="206"/>
      <c r="E937" s="206"/>
      <c r="F937" s="206"/>
      <c r="G937" s="206"/>
      <c r="H937" s="206"/>
      <c r="I937" s="206"/>
      <c r="J937" s="206"/>
      <c r="K937" s="206"/>
      <c r="L937" s="206"/>
      <c r="M937" s="206"/>
      <c r="N937" s="206"/>
      <c r="O937" s="206"/>
      <c r="P937" s="206"/>
      <c r="Q937" s="206"/>
      <c r="R937" s="206"/>
      <c r="S937" s="206"/>
      <c r="T937" s="206"/>
      <c r="U937" s="206"/>
      <c r="V937" s="206"/>
      <c r="W937" s="206"/>
      <c r="X937" s="206"/>
      <c r="Y937" s="206"/>
    </row>
    <row r="938">
      <c r="A938" s="206"/>
      <c r="B938" s="206"/>
      <c r="C938" s="206"/>
      <c r="D938" s="206"/>
      <c r="E938" s="206"/>
      <c r="F938" s="206"/>
      <c r="G938" s="206"/>
      <c r="H938" s="206"/>
      <c r="I938" s="206"/>
      <c r="J938" s="206"/>
      <c r="K938" s="206"/>
      <c r="L938" s="206"/>
      <c r="M938" s="206"/>
      <c r="N938" s="206"/>
      <c r="O938" s="206"/>
      <c r="P938" s="206"/>
      <c r="Q938" s="206"/>
      <c r="R938" s="206"/>
      <c r="S938" s="206"/>
      <c r="T938" s="206"/>
      <c r="U938" s="206"/>
      <c r="V938" s="206"/>
      <c r="W938" s="206"/>
      <c r="X938" s="206"/>
      <c r="Y938" s="206"/>
    </row>
    <row r="939">
      <c r="A939" s="206"/>
      <c r="B939" s="206"/>
      <c r="C939" s="206"/>
      <c r="D939" s="206"/>
      <c r="E939" s="206"/>
      <c r="F939" s="206"/>
      <c r="G939" s="206"/>
      <c r="H939" s="206"/>
      <c r="I939" s="206"/>
      <c r="J939" s="206"/>
      <c r="K939" s="206"/>
      <c r="L939" s="206"/>
      <c r="M939" s="206"/>
      <c r="N939" s="206"/>
      <c r="O939" s="206"/>
      <c r="P939" s="206"/>
      <c r="Q939" s="206"/>
      <c r="R939" s="206"/>
      <c r="S939" s="206"/>
      <c r="T939" s="206"/>
      <c r="U939" s="206"/>
      <c r="V939" s="206"/>
      <c r="W939" s="206"/>
      <c r="X939" s="206"/>
      <c r="Y939" s="206"/>
    </row>
    <row r="940">
      <c r="A940" s="206"/>
      <c r="B940" s="206"/>
      <c r="C940" s="206"/>
      <c r="D940" s="206"/>
      <c r="E940" s="206"/>
      <c r="F940" s="206"/>
      <c r="G940" s="206"/>
      <c r="H940" s="206"/>
      <c r="I940" s="206"/>
      <c r="J940" s="206"/>
      <c r="K940" s="206"/>
      <c r="L940" s="206"/>
      <c r="M940" s="206"/>
      <c r="N940" s="206"/>
      <c r="O940" s="206"/>
      <c r="P940" s="206"/>
      <c r="Q940" s="206"/>
      <c r="R940" s="206"/>
      <c r="S940" s="206"/>
      <c r="T940" s="206"/>
      <c r="U940" s="206"/>
      <c r="V940" s="206"/>
      <c r="W940" s="206"/>
      <c r="X940" s="206"/>
      <c r="Y940" s="206"/>
    </row>
    <row r="941">
      <c r="A941" s="206"/>
      <c r="B941" s="206"/>
      <c r="C941" s="206"/>
      <c r="D941" s="206"/>
      <c r="E941" s="206"/>
      <c r="F941" s="206"/>
      <c r="G941" s="206"/>
      <c r="H941" s="206"/>
      <c r="I941" s="206"/>
      <c r="J941" s="206"/>
      <c r="K941" s="206"/>
      <c r="L941" s="206"/>
      <c r="M941" s="206"/>
      <c r="N941" s="206"/>
      <c r="O941" s="206"/>
      <c r="P941" s="206"/>
      <c r="Q941" s="206"/>
      <c r="R941" s="206"/>
      <c r="S941" s="206"/>
      <c r="T941" s="206"/>
      <c r="U941" s="206"/>
      <c r="V941" s="206"/>
      <c r="W941" s="206"/>
      <c r="X941" s="206"/>
      <c r="Y941" s="206"/>
    </row>
    <row r="942">
      <c r="A942" s="206"/>
      <c r="B942" s="206"/>
      <c r="C942" s="206"/>
      <c r="D942" s="206"/>
      <c r="E942" s="206"/>
      <c r="F942" s="206"/>
      <c r="G942" s="206"/>
      <c r="H942" s="206"/>
      <c r="I942" s="206"/>
      <c r="J942" s="206"/>
      <c r="K942" s="206"/>
      <c r="L942" s="206"/>
      <c r="M942" s="206"/>
      <c r="N942" s="206"/>
      <c r="O942" s="206"/>
      <c r="P942" s="206"/>
      <c r="Q942" s="206"/>
      <c r="R942" s="206"/>
      <c r="S942" s="206"/>
      <c r="T942" s="206"/>
      <c r="U942" s="206"/>
      <c r="V942" s="206"/>
      <c r="W942" s="206"/>
      <c r="X942" s="206"/>
      <c r="Y942" s="206"/>
    </row>
    <row r="943">
      <c r="A943" s="206"/>
      <c r="B943" s="206"/>
      <c r="C943" s="206"/>
      <c r="D943" s="206"/>
      <c r="E943" s="206"/>
      <c r="F943" s="206"/>
      <c r="G943" s="206"/>
      <c r="H943" s="206"/>
      <c r="I943" s="206"/>
      <c r="J943" s="206"/>
      <c r="K943" s="206"/>
      <c r="L943" s="206"/>
      <c r="M943" s="206"/>
      <c r="N943" s="206"/>
      <c r="O943" s="206"/>
      <c r="P943" s="206"/>
      <c r="Q943" s="206"/>
      <c r="R943" s="206"/>
      <c r="S943" s="206"/>
      <c r="T943" s="206"/>
      <c r="U943" s="206"/>
      <c r="V943" s="206"/>
      <c r="W943" s="206"/>
      <c r="X943" s="206"/>
      <c r="Y943" s="206"/>
    </row>
    <row r="944">
      <c r="A944" s="206"/>
      <c r="B944" s="206"/>
      <c r="C944" s="206"/>
      <c r="D944" s="206"/>
      <c r="E944" s="206"/>
      <c r="F944" s="206"/>
      <c r="G944" s="206"/>
      <c r="H944" s="206"/>
      <c r="I944" s="206"/>
      <c r="J944" s="206"/>
      <c r="K944" s="206"/>
      <c r="L944" s="206"/>
      <c r="M944" s="206"/>
      <c r="N944" s="206"/>
      <c r="O944" s="206"/>
      <c r="P944" s="206"/>
      <c r="Q944" s="206"/>
      <c r="R944" s="206"/>
      <c r="S944" s="206"/>
      <c r="T944" s="206"/>
      <c r="U944" s="206"/>
      <c r="V944" s="206"/>
      <c r="W944" s="206"/>
      <c r="X944" s="206"/>
      <c r="Y944" s="206"/>
    </row>
    <row r="945">
      <c r="A945" s="206"/>
      <c r="B945" s="206"/>
      <c r="C945" s="206"/>
      <c r="D945" s="206"/>
      <c r="E945" s="206"/>
      <c r="F945" s="206"/>
      <c r="G945" s="206"/>
      <c r="H945" s="206"/>
      <c r="I945" s="206"/>
      <c r="J945" s="206"/>
      <c r="K945" s="206"/>
      <c r="L945" s="206"/>
      <c r="M945" s="206"/>
      <c r="N945" s="206"/>
      <c r="O945" s="206"/>
      <c r="P945" s="206"/>
      <c r="Q945" s="206"/>
      <c r="R945" s="206"/>
      <c r="S945" s="206"/>
      <c r="T945" s="206"/>
      <c r="U945" s="206"/>
      <c r="V945" s="206"/>
      <c r="W945" s="206"/>
      <c r="X945" s="206"/>
      <c r="Y945" s="206"/>
    </row>
    <row r="946">
      <c r="A946" s="206"/>
      <c r="B946" s="206"/>
      <c r="C946" s="206"/>
      <c r="D946" s="206"/>
      <c r="E946" s="206"/>
      <c r="F946" s="206"/>
      <c r="G946" s="206"/>
      <c r="H946" s="206"/>
      <c r="I946" s="206"/>
      <c r="J946" s="206"/>
      <c r="K946" s="206"/>
      <c r="L946" s="206"/>
      <c r="M946" s="206"/>
      <c r="N946" s="206"/>
      <c r="O946" s="206"/>
      <c r="P946" s="206"/>
      <c r="Q946" s="206"/>
      <c r="R946" s="206"/>
      <c r="S946" s="206"/>
      <c r="T946" s="206"/>
      <c r="U946" s="206"/>
      <c r="V946" s="206"/>
      <c r="W946" s="206"/>
      <c r="X946" s="206"/>
      <c r="Y946" s="206"/>
    </row>
    <row r="947">
      <c r="A947" s="206"/>
      <c r="B947" s="206"/>
      <c r="C947" s="206"/>
      <c r="D947" s="206"/>
      <c r="E947" s="206"/>
      <c r="F947" s="206"/>
      <c r="G947" s="206"/>
      <c r="H947" s="206"/>
      <c r="I947" s="206"/>
      <c r="J947" s="206"/>
      <c r="K947" s="206"/>
      <c r="L947" s="206"/>
      <c r="M947" s="206"/>
      <c r="N947" s="206"/>
      <c r="O947" s="206"/>
      <c r="P947" s="206"/>
      <c r="Q947" s="206"/>
      <c r="R947" s="206"/>
      <c r="S947" s="206"/>
      <c r="T947" s="206"/>
      <c r="U947" s="206"/>
      <c r="V947" s="206"/>
      <c r="W947" s="206"/>
      <c r="X947" s="206"/>
      <c r="Y947" s="206"/>
    </row>
    <row r="948">
      <c r="A948" s="206"/>
      <c r="B948" s="206"/>
      <c r="C948" s="206"/>
      <c r="D948" s="206"/>
      <c r="E948" s="206"/>
      <c r="F948" s="206"/>
      <c r="G948" s="206"/>
      <c r="H948" s="206"/>
      <c r="I948" s="206"/>
      <c r="J948" s="206"/>
      <c r="K948" s="206"/>
      <c r="L948" s="206"/>
      <c r="M948" s="206"/>
      <c r="N948" s="206"/>
      <c r="O948" s="206"/>
      <c r="P948" s="206"/>
      <c r="Q948" s="206"/>
      <c r="R948" s="206"/>
      <c r="S948" s="206"/>
      <c r="T948" s="206"/>
      <c r="U948" s="206"/>
      <c r="V948" s="206"/>
      <c r="W948" s="206"/>
      <c r="X948" s="206"/>
      <c r="Y948" s="206"/>
    </row>
    <row r="949">
      <c r="A949" s="206"/>
      <c r="B949" s="206"/>
      <c r="C949" s="206"/>
      <c r="D949" s="206"/>
      <c r="E949" s="206"/>
      <c r="F949" s="206"/>
      <c r="G949" s="206"/>
      <c r="H949" s="206"/>
      <c r="I949" s="206"/>
      <c r="J949" s="206"/>
      <c r="K949" s="206"/>
      <c r="L949" s="206"/>
      <c r="M949" s="206"/>
      <c r="N949" s="206"/>
      <c r="O949" s="206"/>
      <c r="P949" s="206"/>
      <c r="Q949" s="206"/>
      <c r="R949" s="206"/>
      <c r="S949" s="206"/>
      <c r="T949" s="206"/>
      <c r="U949" s="206"/>
      <c r="V949" s="206"/>
      <c r="W949" s="206"/>
      <c r="X949" s="206"/>
      <c r="Y949" s="206"/>
    </row>
    <row r="950">
      <c r="A950" s="206"/>
      <c r="B950" s="206"/>
      <c r="C950" s="206"/>
      <c r="D950" s="206"/>
      <c r="E950" s="206"/>
      <c r="F950" s="206"/>
      <c r="G950" s="206"/>
      <c r="H950" s="206"/>
      <c r="I950" s="206"/>
      <c r="J950" s="206"/>
      <c r="K950" s="206"/>
      <c r="L950" s="206"/>
      <c r="M950" s="206"/>
      <c r="N950" s="206"/>
      <c r="O950" s="206"/>
      <c r="P950" s="206"/>
      <c r="Q950" s="206"/>
      <c r="R950" s="206"/>
      <c r="S950" s="206"/>
      <c r="T950" s="206"/>
      <c r="U950" s="206"/>
      <c r="V950" s="206"/>
      <c r="W950" s="206"/>
      <c r="X950" s="206"/>
      <c r="Y950" s="206"/>
    </row>
    <row r="951">
      <c r="A951" s="206"/>
      <c r="B951" s="206"/>
      <c r="C951" s="206"/>
      <c r="D951" s="206"/>
      <c r="E951" s="206"/>
      <c r="F951" s="206"/>
      <c r="G951" s="206"/>
      <c r="H951" s="206"/>
      <c r="I951" s="206"/>
      <c r="J951" s="206"/>
      <c r="K951" s="206"/>
      <c r="L951" s="206"/>
      <c r="M951" s="206"/>
      <c r="N951" s="206"/>
      <c r="O951" s="206"/>
      <c r="P951" s="206"/>
      <c r="Q951" s="206"/>
      <c r="R951" s="206"/>
      <c r="S951" s="206"/>
      <c r="T951" s="206"/>
      <c r="U951" s="206"/>
      <c r="V951" s="206"/>
      <c r="W951" s="206"/>
      <c r="X951" s="206"/>
      <c r="Y951" s="206"/>
    </row>
    <row r="952">
      <c r="A952" s="206"/>
      <c r="B952" s="206"/>
      <c r="C952" s="206"/>
      <c r="D952" s="206"/>
      <c r="E952" s="206"/>
      <c r="F952" s="206"/>
      <c r="G952" s="206"/>
      <c r="H952" s="206"/>
      <c r="I952" s="206"/>
      <c r="J952" s="206"/>
      <c r="K952" s="206"/>
      <c r="L952" s="206"/>
      <c r="M952" s="206"/>
      <c r="N952" s="206"/>
      <c r="O952" s="206"/>
      <c r="P952" s="206"/>
      <c r="Q952" s="206"/>
      <c r="R952" s="206"/>
      <c r="S952" s="206"/>
      <c r="T952" s="206"/>
      <c r="U952" s="206"/>
      <c r="V952" s="206"/>
      <c r="W952" s="206"/>
      <c r="X952" s="206"/>
      <c r="Y952" s="206"/>
    </row>
    <row r="953">
      <c r="A953" s="206"/>
      <c r="B953" s="206"/>
      <c r="C953" s="206"/>
      <c r="D953" s="206"/>
      <c r="E953" s="206"/>
      <c r="F953" s="206"/>
      <c r="G953" s="206"/>
      <c r="H953" s="206"/>
      <c r="I953" s="206"/>
      <c r="J953" s="206"/>
      <c r="K953" s="206"/>
      <c r="L953" s="206"/>
      <c r="M953" s="206"/>
      <c r="N953" s="206"/>
      <c r="O953" s="206"/>
      <c r="P953" s="206"/>
      <c r="Q953" s="206"/>
      <c r="R953" s="206"/>
      <c r="S953" s="206"/>
      <c r="T953" s="206"/>
      <c r="U953" s="206"/>
      <c r="V953" s="206"/>
      <c r="W953" s="206"/>
      <c r="X953" s="206"/>
      <c r="Y953" s="206"/>
    </row>
    <row r="954">
      <c r="A954" s="206"/>
      <c r="B954" s="206"/>
      <c r="C954" s="206"/>
      <c r="D954" s="206"/>
      <c r="E954" s="206"/>
      <c r="F954" s="206"/>
      <c r="G954" s="206"/>
      <c r="H954" s="206"/>
      <c r="I954" s="206"/>
      <c r="J954" s="206"/>
      <c r="K954" s="206"/>
      <c r="L954" s="206"/>
      <c r="M954" s="206"/>
      <c r="N954" s="206"/>
      <c r="O954" s="206"/>
      <c r="P954" s="206"/>
      <c r="Q954" s="206"/>
      <c r="R954" s="206"/>
      <c r="S954" s="206"/>
      <c r="T954" s="206"/>
      <c r="U954" s="206"/>
      <c r="V954" s="206"/>
      <c r="W954" s="206"/>
      <c r="X954" s="206"/>
      <c r="Y954" s="206"/>
    </row>
    <row r="955">
      <c r="A955" s="206"/>
      <c r="B955" s="206"/>
      <c r="C955" s="206"/>
      <c r="D955" s="206"/>
      <c r="E955" s="206"/>
      <c r="F955" s="206"/>
      <c r="G955" s="206"/>
      <c r="H955" s="206"/>
      <c r="I955" s="206"/>
      <c r="J955" s="206"/>
      <c r="K955" s="206"/>
      <c r="L955" s="206"/>
      <c r="M955" s="206"/>
      <c r="N955" s="206"/>
      <c r="O955" s="206"/>
      <c r="P955" s="206"/>
      <c r="Q955" s="206"/>
      <c r="R955" s="206"/>
      <c r="S955" s="206"/>
      <c r="T955" s="206"/>
      <c r="U955" s="206"/>
      <c r="V955" s="206"/>
      <c r="W955" s="206"/>
      <c r="X955" s="206"/>
      <c r="Y955" s="206"/>
    </row>
    <row r="956">
      <c r="A956" s="206"/>
      <c r="B956" s="206"/>
      <c r="C956" s="206"/>
      <c r="D956" s="206"/>
      <c r="E956" s="206"/>
      <c r="F956" s="206"/>
      <c r="G956" s="206"/>
      <c r="H956" s="206"/>
      <c r="I956" s="206"/>
      <c r="J956" s="206"/>
      <c r="K956" s="206"/>
      <c r="L956" s="206"/>
      <c r="M956" s="206"/>
      <c r="N956" s="206"/>
      <c r="O956" s="206"/>
      <c r="P956" s="206"/>
      <c r="Q956" s="206"/>
      <c r="R956" s="206"/>
      <c r="S956" s="206"/>
      <c r="T956" s="206"/>
      <c r="U956" s="206"/>
      <c r="V956" s="206"/>
      <c r="W956" s="206"/>
      <c r="X956" s="206"/>
      <c r="Y956" s="206"/>
    </row>
    <row r="957">
      <c r="A957" s="206"/>
      <c r="B957" s="206"/>
      <c r="C957" s="206"/>
      <c r="D957" s="206"/>
      <c r="E957" s="206"/>
      <c r="F957" s="206"/>
      <c r="G957" s="206"/>
      <c r="H957" s="206"/>
      <c r="I957" s="206"/>
      <c r="J957" s="206"/>
      <c r="K957" s="206"/>
      <c r="L957" s="206"/>
      <c r="M957" s="206"/>
      <c r="N957" s="206"/>
      <c r="O957" s="206"/>
      <c r="P957" s="206"/>
      <c r="Q957" s="206"/>
      <c r="R957" s="206"/>
      <c r="S957" s="206"/>
      <c r="T957" s="206"/>
      <c r="U957" s="206"/>
      <c r="V957" s="206"/>
      <c r="W957" s="206"/>
      <c r="X957" s="206"/>
      <c r="Y957" s="206"/>
    </row>
    <row r="958">
      <c r="A958" s="206"/>
      <c r="B958" s="206"/>
      <c r="C958" s="206"/>
      <c r="D958" s="206"/>
      <c r="E958" s="206"/>
      <c r="F958" s="206"/>
      <c r="G958" s="206"/>
      <c r="H958" s="206"/>
      <c r="I958" s="206"/>
      <c r="J958" s="206"/>
      <c r="K958" s="206"/>
      <c r="L958" s="206"/>
      <c r="M958" s="206"/>
      <c r="N958" s="206"/>
      <c r="O958" s="206"/>
      <c r="P958" s="206"/>
      <c r="Q958" s="206"/>
      <c r="R958" s="206"/>
      <c r="S958" s="206"/>
      <c r="T958" s="206"/>
      <c r="U958" s="206"/>
      <c r="V958" s="206"/>
      <c r="W958" s="206"/>
      <c r="X958" s="206"/>
      <c r="Y958" s="206"/>
    </row>
    <row r="959">
      <c r="A959" s="206"/>
      <c r="B959" s="206"/>
      <c r="C959" s="206"/>
      <c r="D959" s="206"/>
      <c r="E959" s="206"/>
      <c r="F959" s="206"/>
      <c r="G959" s="206"/>
      <c r="H959" s="206"/>
      <c r="I959" s="206"/>
      <c r="J959" s="206"/>
      <c r="K959" s="206"/>
      <c r="L959" s="206"/>
      <c r="M959" s="206"/>
      <c r="N959" s="206"/>
      <c r="O959" s="206"/>
      <c r="P959" s="206"/>
      <c r="Q959" s="206"/>
      <c r="R959" s="206"/>
      <c r="S959" s="206"/>
      <c r="T959" s="206"/>
      <c r="U959" s="206"/>
      <c r="V959" s="206"/>
      <c r="W959" s="206"/>
      <c r="X959" s="206"/>
      <c r="Y959" s="206"/>
    </row>
    <row r="960">
      <c r="A960" s="206"/>
      <c r="B960" s="206"/>
      <c r="C960" s="206"/>
      <c r="D960" s="206"/>
      <c r="E960" s="206"/>
      <c r="F960" s="206"/>
      <c r="G960" s="206"/>
      <c r="H960" s="206"/>
      <c r="I960" s="206"/>
      <c r="J960" s="206"/>
      <c r="K960" s="206"/>
      <c r="L960" s="206"/>
      <c r="M960" s="206"/>
      <c r="N960" s="206"/>
      <c r="O960" s="206"/>
      <c r="P960" s="206"/>
      <c r="Q960" s="206"/>
      <c r="R960" s="206"/>
      <c r="S960" s="206"/>
      <c r="T960" s="206"/>
      <c r="U960" s="206"/>
      <c r="V960" s="206"/>
      <c r="W960" s="206"/>
      <c r="X960" s="206"/>
      <c r="Y960" s="206"/>
    </row>
    <row r="961">
      <c r="A961" s="206"/>
      <c r="B961" s="206"/>
      <c r="C961" s="206"/>
      <c r="D961" s="206"/>
      <c r="E961" s="206"/>
      <c r="F961" s="206"/>
      <c r="G961" s="206"/>
      <c r="H961" s="206"/>
      <c r="I961" s="206"/>
      <c r="J961" s="206"/>
      <c r="K961" s="206"/>
      <c r="L961" s="206"/>
      <c r="M961" s="206"/>
      <c r="N961" s="206"/>
      <c r="O961" s="206"/>
      <c r="P961" s="206"/>
      <c r="Q961" s="206"/>
      <c r="R961" s="206"/>
      <c r="S961" s="206"/>
      <c r="T961" s="206"/>
      <c r="U961" s="206"/>
      <c r="V961" s="206"/>
      <c r="W961" s="206"/>
      <c r="X961" s="206"/>
      <c r="Y961" s="206"/>
    </row>
    <row r="962">
      <c r="A962" s="206"/>
      <c r="B962" s="206"/>
      <c r="C962" s="206"/>
      <c r="D962" s="206"/>
      <c r="E962" s="206"/>
      <c r="F962" s="206"/>
      <c r="G962" s="206"/>
      <c r="H962" s="206"/>
      <c r="I962" s="206"/>
      <c r="J962" s="206"/>
      <c r="K962" s="206"/>
      <c r="L962" s="206"/>
      <c r="M962" s="206"/>
      <c r="N962" s="206"/>
      <c r="O962" s="206"/>
      <c r="P962" s="206"/>
      <c r="Q962" s="206"/>
      <c r="R962" s="206"/>
      <c r="S962" s="206"/>
      <c r="T962" s="206"/>
      <c r="U962" s="206"/>
      <c r="V962" s="206"/>
      <c r="W962" s="206"/>
      <c r="X962" s="206"/>
      <c r="Y962" s="206"/>
    </row>
    <row r="963">
      <c r="A963" s="206"/>
      <c r="B963" s="206"/>
      <c r="C963" s="206"/>
      <c r="D963" s="206"/>
      <c r="E963" s="206"/>
      <c r="F963" s="206"/>
      <c r="G963" s="206"/>
      <c r="H963" s="206"/>
      <c r="I963" s="206"/>
      <c r="J963" s="206"/>
      <c r="K963" s="206"/>
      <c r="L963" s="206"/>
      <c r="M963" s="206"/>
      <c r="N963" s="206"/>
      <c r="O963" s="206"/>
      <c r="P963" s="206"/>
      <c r="Q963" s="206"/>
      <c r="R963" s="206"/>
      <c r="S963" s="206"/>
      <c r="T963" s="206"/>
      <c r="U963" s="206"/>
      <c r="V963" s="206"/>
      <c r="W963" s="206"/>
      <c r="X963" s="206"/>
      <c r="Y963" s="206"/>
    </row>
    <row r="964">
      <c r="A964" s="206"/>
      <c r="B964" s="206"/>
      <c r="C964" s="206"/>
      <c r="D964" s="206"/>
      <c r="E964" s="206"/>
      <c r="F964" s="206"/>
      <c r="G964" s="206"/>
      <c r="H964" s="206"/>
      <c r="I964" s="206"/>
      <c r="J964" s="206"/>
      <c r="K964" s="206"/>
      <c r="L964" s="206"/>
      <c r="M964" s="206"/>
      <c r="N964" s="206"/>
      <c r="O964" s="206"/>
      <c r="P964" s="206"/>
      <c r="Q964" s="206"/>
      <c r="R964" s="206"/>
      <c r="S964" s="206"/>
      <c r="T964" s="206"/>
      <c r="U964" s="206"/>
      <c r="V964" s="206"/>
      <c r="W964" s="206"/>
      <c r="X964" s="206"/>
      <c r="Y964" s="206"/>
    </row>
    <row r="965">
      <c r="A965" s="206"/>
      <c r="B965" s="206"/>
      <c r="C965" s="206"/>
      <c r="D965" s="206"/>
      <c r="E965" s="206"/>
      <c r="F965" s="206"/>
      <c r="G965" s="206"/>
      <c r="H965" s="206"/>
      <c r="I965" s="206"/>
      <c r="J965" s="206"/>
      <c r="K965" s="206"/>
      <c r="L965" s="206"/>
      <c r="M965" s="206"/>
      <c r="N965" s="206"/>
      <c r="O965" s="206"/>
      <c r="P965" s="206"/>
      <c r="Q965" s="206"/>
      <c r="R965" s="206"/>
      <c r="S965" s="206"/>
      <c r="T965" s="206"/>
      <c r="U965" s="206"/>
      <c r="V965" s="206"/>
      <c r="W965" s="206"/>
      <c r="X965" s="206"/>
      <c r="Y965" s="206"/>
    </row>
    <row r="966">
      <c r="A966" s="206"/>
      <c r="B966" s="206"/>
      <c r="C966" s="206"/>
      <c r="D966" s="206"/>
      <c r="E966" s="206"/>
      <c r="F966" s="206"/>
      <c r="G966" s="206"/>
      <c r="H966" s="206"/>
      <c r="I966" s="206"/>
      <c r="J966" s="206"/>
      <c r="K966" s="206"/>
      <c r="L966" s="206"/>
      <c r="M966" s="206"/>
      <c r="N966" s="206"/>
      <c r="O966" s="206"/>
      <c r="P966" s="206"/>
      <c r="Q966" s="206"/>
      <c r="R966" s="206"/>
      <c r="S966" s="206"/>
      <c r="T966" s="206"/>
      <c r="U966" s="206"/>
      <c r="V966" s="206"/>
      <c r="W966" s="206"/>
      <c r="X966" s="206"/>
      <c r="Y966" s="206"/>
    </row>
    <row r="967">
      <c r="A967" s="206"/>
      <c r="B967" s="206"/>
      <c r="C967" s="206"/>
      <c r="D967" s="206"/>
      <c r="E967" s="206"/>
      <c r="F967" s="206"/>
      <c r="G967" s="206"/>
      <c r="H967" s="206"/>
      <c r="I967" s="206"/>
      <c r="J967" s="206"/>
      <c r="K967" s="206"/>
      <c r="L967" s="206"/>
      <c r="M967" s="206"/>
      <c r="N967" s="206"/>
      <c r="O967" s="206"/>
      <c r="P967" s="206"/>
      <c r="Q967" s="206"/>
      <c r="R967" s="206"/>
      <c r="S967" s="206"/>
      <c r="T967" s="206"/>
      <c r="U967" s="206"/>
      <c r="V967" s="206"/>
      <c r="W967" s="206"/>
      <c r="X967" s="206"/>
      <c r="Y967" s="206"/>
    </row>
    <row r="968">
      <c r="A968" s="206"/>
      <c r="B968" s="206"/>
      <c r="C968" s="206"/>
      <c r="D968" s="206"/>
      <c r="E968" s="206"/>
      <c r="F968" s="206"/>
      <c r="G968" s="206"/>
      <c r="H968" s="206"/>
      <c r="I968" s="206"/>
      <c r="J968" s="206"/>
      <c r="K968" s="206"/>
      <c r="L968" s="206"/>
      <c r="M968" s="206"/>
      <c r="N968" s="206"/>
      <c r="O968" s="206"/>
      <c r="P968" s="206"/>
      <c r="Q968" s="206"/>
      <c r="R968" s="206"/>
      <c r="S968" s="206"/>
      <c r="T968" s="206"/>
      <c r="U968" s="206"/>
      <c r="V968" s="206"/>
      <c r="W968" s="206"/>
      <c r="X968" s="206"/>
      <c r="Y968" s="206"/>
    </row>
    <row r="969">
      <c r="A969" s="206"/>
      <c r="B969" s="206"/>
      <c r="C969" s="206"/>
      <c r="D969" s="206"/>
      <c r="E969" s="206"/>
      <c r="F969" s="206"/>
      <c r="G969" s="206"/>
      <c r="H969" s="206"/>
      <c r="I969" s="206"/>
      <c r="J969" s="206"/>
      <c r="K969" s="206"/>
      <c r="L969" s="206"/>
      <c r="M969" s="206"/>
      <c r="N969" s="206"/>
      <c r="O969" s="206"/>
      <c r="P969" s="206"/>
      <c r="Q969" s="206"/>
      <c r="R969" s="206"/>
      <c r="S969" s="206"/>
      <c r="T969" s="206"/>
      <c r="U969" s="206"/>
      <c r="V969" s="206"/>
      <c r="W969" s="206"/>
      <c r="X969" s="206"/>
      <c r="Y969" s="206"/>
    </row>
    <row r="970">
      <c r="A970" s="206"/>
      <c r="B970" s="206"/>
      <c r="C970" s="206"/>
      <c r="D970" s="206"/>
      <c r="E970" s="206"/>
      <c r="F970" s="206"/>
      <c r="G970" s="206"/>
      <c r="H970" s="206"/>
      <c r="I970" s="206"/>
      <c r="J970" s="206"/>
      <c r="K970" s="206"/>
      <c r="L970" s="206"/>
      <c r="M970" s="206"/>
      <c r="N970" s="206"/>
      <c r="O970" s="206"/>
      <c r="P970" s="206"/>
      <c r="Q970" s="206"/>
      <c r="R970" s="206"/>
      <c r="S970" s="206"/>
      <c r="T970" s="206"/>
      <c r="U970" s="206"/>
      <c r="V970" s="206"/>
      <c r="W970" s="206"/>
      <c r="X970" s="206"/>
      <c r="Y970" s="206"/>
    </row>
    <row r="971">
      <c r="A971" s="206"/>
      <c r="B971" s="206"/>
      <c r="C971" s="206"/>
      <c r="D971" s="206"/>
      <c r="E971" s="206"/>
      <c r="F971" s="206"/>
      <c r="G971" s="206"/>
      <c r="H971" s="206"/>
      <c r="I971" s="206"/>
      <c r="J971" s="206"/>
      <c r="K971" s="206"/>
      <c r="L971" s="206"/>
      <c r="M971" s="206"/>
      <c r="N971" s="206"/>
      <c r="O971" s="206"/>
      <c r="P971" s="206"/>
      <c r="Q971" s="206"/>
      <c r="R971" s="206"/>
      <c r="S971" s="206"/>
      <c r="T971" s="206"/>
      <c r="U971" s="206"/>
      <c r="V971" s="206"/>
      <c r="W971" s="206"/>
      <c r="X971" s="206"/>
      <c r="Y971" s="206"/>
    </row>
    <row r="972">
      <c r="A972" s="206"/>
      <c r="B972" s="206"/>
      <c r="C972" s="206"/>
      <c r="D972" s="206"/>
      <c r="E972" s="206"/>
      <c r="F972" s="206"/>
      <c r="G972" s="206"/>
      <c r="H972" s="206"/>
      <c r="I972" s="206"/>
      <c r="J972" s="206"/>
      <c r="K972" s="206"/>
      <c r="L972" s="206"/>
      <c r="M972" s="206"/>
      <c r="N972" s="206"/>
      <c r="O972" s="206"/>
      <c r="P972" s="206"/>
      <c r="Q972" s="206"/>
      <c r="R972" s="206"/>
      <c r="S972" s="206"/>
      <c r="T972" s="206"/>
      <c r="U972" s="206"/>
      <c r="V972" s="206"/>
      <c r="W972" s="206"/>
      <c r="X972" s="206"/>
      <c r="Y972" s="206"/>
    </row>
    <row r="973">
      <c r="A973" s="206"/>
      <c r="B973" s="206"/>
      <c r="C973" s="206"/>
      <c r="D973" s="206"/>
      <c r="E973" s="206"/>
      <c r="F973" s="206"/>
      <c r="G973" s="206"/>
      <c r="H973" s="206"/>
      <c r="I973" s="206"/>
      <c r="J973" s="206"/>
      <c r="K973" s="206"/>
      <c r="L973" s="206"/>
      <c r="M973" s="206"/>
      <c r="N973" s="206"/>
      <c r="O973" s="206"/>
      <c r="P973" s="206"/>
      <c r="Q973" s="206"/>
      <c r="R973" s="206"/>
      <c r="S973" s="206"/>
      <c r="T973" s="206"/>
      <c r="U973" s="206"/>
      <c r="V973" s="206"/>
      <c r="W973" s="206"/>
      <c r="X973" s="206"/>
      <c r="Y973" s="206"/>
    </row>
    <row r="974">
      <c r="A974" s="206"/>
      <c r="B974" s="206"/>
      <c r="C974" s="206"/>
      <c r="D974" s="206"/>
      <c r="E974" s="206"/>
      <c r="F974" s="206"/>
      <c r="G974" s="206"/>
      <c r="H974" s="206"/>
      <c r="I974" s="206"/>
      <c r="J974" s="206"/>
      <c r="K974" s="206"/>
      <c r="L974" s="206"/>
      <c r="M974" s="206"/>
      <c r="N974" s="206"/>
      <c r="O974" s="206"/>
      <c r="P974" s="206"/>
      <c r="Q974" s="206"/>
      <c r="R974" s="206"/>
      <c r="S974" s="206"/>
      <c r="T974" s="206"/>
      <c r="U974" s="206"/>
      <c r="V974" s="206"/>
      <c r="W974" s="206"/>
      <c r="X974" s="206"/>
      <c r="Y974" s="206"/>
    </row>
    <row r="975">
      <c r="A975" s="206"/>
      <c r="B975" s="206"/>
      <c r="C975" s="206"/>
      <c r="D975" s="206"/>
      <c r="E975" s="206"/>
      <c r="F975" s="206"/>
      <c r="G975" s="206"/>
      <c r="H975" s="206"/>
      <c r="I975" s="206"/>
      <c r="J975" s="206"/>
      <c r="K975" s="206"/>
      <c r="L975" s="206"/>
      <c r="M975" s="206"/>
      <c r="N975" s="206"/>
      <c r="O975" s="206"/>
      <c r="P975" s="206"/>
      <c r="Q975" s="206"/>
      <c r="R975" s="206"/>
      <c r="S975" s="206"/>
      <c r="T975" s="206"/>
      <c r="U975" s="206"/>
      <c r="V975" s="206"/>
      <c r="W975" s="206"/>
      <c r="X975" s="206"/>
      <c r="Y975" s="206"/>
    </row>
    <row r="976">
      <c r="A976" s="206"/>
      <c r="B976" s="206"/>
      <c r="C976" s="206"/>
      <c r="D976" s="206"/>
      <c r="E976" s="206"/>
      <c r="F976" s="206"/>
      <c r="G976" s="206"/>
      <c r="H976" s="206"/>
      <c r="I976" s="206"/>
      <c r="J976" s="206"/>
      <c r="K976" s="206"/>
      <c r="L976" s="206"/>
      <c r="M976" s="206"/>
      <c r="N976" s="206"/>
      <c r="O976" s="206"/>
      <c r="P976" s="206"/>
      <c r="Q976" s="206"/>
      <c r="R976" s="206"/>
      <c r="S976" s="206"/>
      <c r="T976" s="206"/>
      <c r="U976" s="206"/>
      <c r="V976" s="206"/>
      <c r="W976" s="206"/>
      <c r="X976" s="206"/>
      <c r="Y976" s="206"/>
    </row>
    <row r="977">
      <c r="A977" s="206"/>
      <c r="B977" s="206"/>
      <c r="C977" s="206"/>
      <c r="D977" s="206"/>
      <c r="E977" s="206"/>
      <c r="F977" s="206"/>
      <c r="G977" s="206"/>
      <c r="H977" s="206"/>
      <c r="I977" s="206"/>
      <c r="J977" s="206"/>
      <c r="K977" s="206"/>
      <c r="L977" s="206"/>
      <c r="M977" s="206"/>
      <c r="N977" s="206"/>
      <c r="O977" s="206"/>
      <c r="P977" s="206"/>
      <c r="Q977" s="206"/>
      <c r="R977" s="206"/>
      <c r="S977" s="206"/>
      <c r="T977" s="206"/>
      <c r="U977" s="206"/>
      <c r="V977" s="206"/>
      <c r="W977" s="206"/>
      <c r="X977" s="206"/>
      <c r="Y977" s="206"/>
    </row>
    <row r="978">
      <c r="A978" s="206"/>
      <c r="B978" s="206"/>
      <c r="C978" s="206"/>
      <c r="D978" s="206"/>
      <c r="E978" s="206"/>
      <c r="F978" s="206"/>
      <c r="G978" s="206"/>
      <c r="H978" s="206"/>
      <c r="I978" s="206"/>
      <c r="J978" s="206"/>
      <c r="K978" s="206"/>
      <c r="L978" s="206"/>
      <c r="M978" s="206"/>
      <c r="N978" s="206"/>
      <c r="O978" s="206"/>
      <c r="P978" s="206"/>
      <c r="Q978" s="206"/>
      <c r="R978" s="206"/>
      <c r="S978" s="206"/>
      <c r="T978" s="206"/>
      <c r="U978" s="206"/>
      <c r="V978" s="206"/>
      <c r="W978" s="206"/>
      <c r="X978" s="206"/>
      <c r="Y978" s="206"/>
    </row>
    <row r="979">
      <c r="A979" s="206"/>
      <c r="B979" s="206"/>
      <c r="C979" s="206"/>
      <c r="D979" s="206"/>
      <c r="E979" s="206"/>
      <c r="F979" s="206"/>
      <c r="G979" s="206"/>
      <c r="H979" s="206"/>
      <c r="I979" s="206"/>
      <c r="J979" s="206"/>
      <c r="K979" s="206"/>
      <c r="L979" s="206"/>
      <c r="M979" s="206"/>
      <c r="N979" s="206"/>
      <c r="O979" s="206"/>
      <c r="P979" s="206"/>
      <c r="Q979" s="206"/>
      <c r="R979" s="206"/>
      <c r="S979" s="206"/>
      <c r="T979" s="206"/>
      <c r="U979" s="206"/>
      <c r="V979" s="206"/>
      <c r="W979" s="206"/>
      <c r="X979" s="206"/>
      <c r="Y979" s="206"/>
    </row>
    <row r="980">
      <c r="A980" s="206"/>
      <c r="B980" s="206"/>
      <c r="C980" s="206"/>
      <c r="D980" s="206"/>
      <c r="E980" s="206"/>
      <c r="F980" s="206"/>
      <c r="G980" s="206"/>
      <c r="H980" s="206"/>
      <c r="I980" s="206"/>
      <c r="J980" s="206"/>
      <c r="K980" s="206"/>
      <c r="L980" s="206"/>
      <c r="M980" s="206"/>
      <c r="N980" s="206"/>
      <c r="O980" s="206"/>
      <c r="P980" s="206"/>
      <c r="Q980" s="206"/>
      <c r="R980" s="206"/>
      <c r="S980" s="206"/>
      <c r="T980" s="206"/>
      <c r="U980" s="206"/>
      <c r="V980" s="206"/>
      <c r="W980" s="206"/>
      <c r="X980" s="206"/>
      <c r="Y980" s="206"/>
    </row>
    <row r="981">
      <c r="A981" s="206"/>
      <c r="B981" s="206"/>
      <c r="C981" s="206"/>
      <c r="D981" s="206"/>
      <c r="E981" s="206"/>
      <c r="F981" s="206"/>
      <c r="G981" s="206"/>
      <c r="H981" s="206"/>
      <c r="I981" s="206"/>
      <c r="J981" s="206"/>
      <c r="K981" s="206"/>
      <c r="L981" s="206"/>
      <c r="M981" s="206"/>
      <c r="N981" s="206"/>
      <c r="O981" s="206"/>
      <c r="P981" s="206"/>
      <c r="Q981" s="206"/>
      <c r="R981" s="206"/>
      <c r="S981" s="206"/>
      <c r="T981" s="206"/>
      <c r="U981" s="206"/>
      <c r="V981" s="206"/>
      <c r="W981" s="206"/>
      <c r="X981" s="206"/>
      <c r="Y981" s="206"/>
    </row>
    <row r="982">
      <c r="A982" s="206"/>
      <c r="B982" s="206"/>
      <c r="C982" s="206"/>
      <c r="D982" s="206"/>
      <c r="E982" s="206"/>
      <c r="F982" s="206"/>
      <c r="G982" s="206"/>
      <c r="H982" s="206"/>
      <c r="I982" s="206"/>
      <c r="J982" s="206"/>
      <c r="K982" s="206"/>
      <c r="L982" s="206"/>
      <c r="M982" s="206"/>
      <c r="N982" s="206"/>
      <c r="O982" s="206"/>
      <c r="P982" s="206"/>
      <c r="Q982" s="206"/>
      <c r="R982" s="206"/>
      <c r="S982" s="206"/>
      <c r="T982" s="206"/>
      <c r="U982" s="206"/>
      <c r="V982" s="206"/>
      <c r="W982" s="206"/>
      <c r="X982" s="206"/>
      <c r="Y982" s="206"/>
    </row>
    <row r="983">
      <c r="A983" s="206"/>
      <c r="B983" s="206"/>
      <c r="C983" s="206"/>
      <c r="D983" s="206"/>
      <c r="E983" s="206"/>
      <c r="F983" s="206"/>
      <c r="G983" s="206"/>
      <c r="H983" s="206"/>
      <c r="I983" s="206"/>
      <c r="J983" s="206"/>
      <c r="K983" s="206"/>
      <c r="L983" s="206"/>
      <c r="M983" s="206"/>
      <c r="N983" s="206"/>
      <c r="O983" s="206"/>
      <c r="P983" s="206"/>
      <c r="Q983" s="206"/>
      <c r="R983" s="206"/>
      <c r="S983" s="206"/>
      <c r="T983" s="206"/>
      <c r="U983" s="206"/>
      <c r="V983" s="206"/>
      <c r="W983" s="206"/>
      <c r="X983" s="206"/>
      <c r="Y983" s="206"/>
    </row>
    <row r="984">
      <c r="A984" s="206"/>
      <c r="B984" s="206"/>
      <c r="C984" s="206"/>
      <c r="D984" s="206"/>
      <c r="E984" s="206"/>
      <c r="F984" s="206"/>
      <c r="G984" s="206"/>
      <c r="H984" s="206"/>
      <c r="I984" s="206"/>
      <c r="J984" s="206"/>
      <c r="K984" s="206"/>
      <c r="L984" s="206"/>
      <c r="M984" s="206"/>
      <c r="N984" s="206"/>
      <c r="O984" s="206"/>
      <c r="P984" s="206"/>
      <c r="Q984" s="206"/>
      <c r="R984" s="206"/>
      <c r="S984" s="206"/>
      <c r="T984" s="206"/>
      <c r="U984" s="206"/>
      <c r="V984" s="206"/>
      <c r="W984" s="206"/>
      <c r="X984" s="206"/>
      <c r="Y984" s="206"/>
    </row>
    <row r="985">
      <c r="A985" s="206"/>
      <c r="B985" s="206"/>
      <c r="C985" s="206"/>
      <c r="D985" s="206"/>
      <c r="E985" s="206"/>
      <c r="F985" s="206"/>
      <c r="G985" s="206"/>
      <c r="H985" s="206"/>
      <c r="I985" s="206"/>
      <c r="J985" s="206"/>
      <c r="K985" s="206"/>
      <c r="L985" s="206"/>
      <c r="M985" s="206"/>
      <c r="N985" s="206"/>
      <c r="O985" s="206"/>
      <c r="P985" s="206"/>
      <c r="Q985" s="206"/>
      <c r="R985" s="206"/>
      <c r="S985" s="206"/>
      <c r="T985" s="206"/>
      <c r="U985" s="206"/>
      <c r="V985" s="206"/>
      <c r="W985" s="206"/>
      <c r="X985" s="206"/>
      <c r="Y985" s="206"/>
    </row>
    <row r="986">
      <c r="A986" s="206"/>
      <c r="B986" s="206"/>
      <c r="C986" s="206"/>
      <c r="D986" s="206"/>
      <c r="E986" s="206"/>
      <c r="F986" s="206"/>
      <c r="G986" s="206"/>
      <c r="H986" s="206"/>
      <c r="I986" s="206"/>
      <c r="J986" s="206"/>
      <c r="K986" s="206"/>
      <c r="L986" s="206"/>
      <c r="M986" s="206"/>
      <c r="N986" s="206"/>
      <c r="O986" s="206"/>
      <c r="P986" s="206"/>
      <c r="Q986" s="206"/>
      <c r="R986" s="206"/>
      <c r="S986" s="206"/>
      <c r="T986" s="206"/>
      <c r="U986" s="206"/>
      <c r="V986" s="206"/>
      <c r="W986" s="206"/>
      <c r="X986" s="206"/>
      <c r="Y986" s="206"/>
    </row>
    <row r="987">
      <c r="A987" s="206"/>
      <c r="B987" s="206"/>
      <c r="C987" s="206"/>
      <c r="D987" s="206"/>
      <c r="E987" s="206"/>
      <c r="F987" s="206"/>
      <c r="G987" s="206"/>
      <c r="H987" s="206"/>
      <c r="I987" s="206"/>
      <c r="J987" s="206"/>
      <c r="K987" s="206"/>
      <c r="L987" s="206"/>
      <c r="M987" s="206"/>
      <c r="N987" s="206"/>
      <c r="O987" s="206"/>
      <c r="P987" s="206"/>
      <c r="Q987" s="206"/>
      <c r="R987" s="206"/>
      <c r="S987" s="206"/>
      <c r="T987" s="206"/>
      <c r="U987" s="206"/>
      <c r="V987" s="206"/>
      <c r="W987" s="206"/>
      <c r="X987" s="206"/>
      <c r="Y987" s="206"/>
    </row>
    <row r="988">
      <c r="A988" s="206"/>
      <c r="B988" s="206"/>
      <c r="C988" s="206"/>
      <c r="D988" s="206"/>
      <c r="E988" s="206"/>
      <c r="F988" s="206"/>
      <c r="G988" s="206"/>
      <c r="H988" s="206"/>
      <c r="I988" s="206"/>
      <c r="J988" s="206"/>
      <c r="K988" s="206"/>
      <c r="L988" s="206"/>
      <c r="M988" s="206"/>
      <c r="N988" s="206"/>
      <c r="O988" s="206"/>
      <c r="P988" s="206"/>
      <c r="Q988" s="206"/>
      <c r="R988" s="206"/>
      <c r="S988" s="206"/>
      <c r="T988" s="206"/>
      <c r="U988" s="206"/>
      <c r="V988" s="206"/>
      <c r="W988" s="206"/>
      <c r="X988" s="206"/>
      <c r="Y988" s="206"/>
    </row>
    <row r="989">
      <c r="A989" s="206"/>
      <c r="B989" s="206"/>
      <c r="C989" s="206"/>
      <c r="D989" s="206"/>
      <c r="E989" s="206"/>
      <c r="F989" s="206"/>
      <c r="G989" s="206"/>
      <c r="H989" s="206"/>
      <c r="I989" s="206"/>
      <c r="J989" s="206"/>
      <c r="K989" s="206"/>
      <c r="L989" s="206"/>
      <c r="M989" s="206"/>
      <c r="N989" s="206"/>
      <c r="O989" s="206"/>
      <c r="P989" s="206"/>
      <c r="Q989" s="206"/>
      <c r="R989" s="206"/>
      <c r="S989" s="206"/>
      <c r="T989" s="206"/>
      <c r="U989" s="206"/>
      <c r="V989" s="206"/>
      <c r="W989" s="206"/>
      <c r="X989" s="206"/>
      <c r="Y989" s="206"/>
    </row>
    <row r="990">
      <c r="A990" s="206"/>
      <c r="B990" s="206"/>
      <c r="C990" s="206"/>
      <c r="D990" s="206"/>
      <c r="E990" s="206"/>
      <c r="F990" s="206"/>
      <c r="G990" s="206"/>
      <c r="H990" s="206"/>
      <c r="I990" s="206"/>
      <c r="J990" s="206"/>
      <c r="K990" s="206"/>
      <c r="L990" s="206"/>
      <c r="M990" s="206"/>
      <c r="N990" s="206"/>
      <c r="O990" s="206"/>
      <c r="P990" s="206"/>
      <c r="Q990" s="206"/>
      <c r="R990" s="206"/>
      <c r="S990" s="206"/>
      <c r="T990" s="206"/>
      <c r="U990" s="206"/>
      <c r="V990" s="206"/>
      <c r="W990" s="206"/>
      <c r="X990" s="206"/>
      <c r="Y990" s="206"/>
    </row>
    <row r="991">
      <c r="A991" s="206"/>
      <c r="B991" s="206"/>
      <c r="C991" s="206"/>
      <c r="D991" s="206"/>
      <c r="E991" s="206"/>
      <c r="F991" s="206"/>
      <c r="G991" s="206"/>
      <c r="H991" s="206"/>
      <c r="I991" s="206"/>
      <c r="J991" s="206"/>
      <c r="K991" s="206"/>
      <c r="L991" s="206"/>
      <c r="M991" s="206"/>
      <c r="N991" s="206"/>
      <c r="O991" s="206"/>
      <c r="P991" s="206"/>
      <c r="Q991" s="206"/>
      <c r="R991" s="206"/>
      <c r="S991" s="206"/>
      <c r="T991" s="206"/>
      <c r="U991" s="206"/>
      <c r="V991" s="206"/>
      <c r="W991" s="206"/>
      <c r="X991" s="206"/>
      <c r="Y991" s="206"/>
    </row>
    <row r="992">
      <c r="A992" s="206"/>
      <c r="B992" s="206"/>
      <c r="C992" s="206"/>
      <c r="D992" s="206"/>
      <c r="E992" s="206"/>
      <c r="F992" s="206"/>
      <c r="G992" s="206"/>
      <c r="H992" s="206"/>
      <c r="I992" s="206"/>
      <c r="J992" s="206"/>
      <c r="K992" s="206"/>
      <c r="L992" s="206"/>
      <c r="M992" s="206"/>
      <c r="N992" s="206"/>
      <c r="O992" s="206"/>
      <c r="P992" s="206"/>
      <c r="Q992" s="206"/>
      <c r="R992" s="206"/>
      <c r="S992" s="206"/>
      <c r="T992" s="206"/>
      <c r="U992" s="206"/>
      <c r="V992" s="206"/>
      <c r="W992" s="206"/>
      <c r="X992" s="206"/>
      <c r="Y992" s="206"/>
    </row>
  </sheetData>
  <mergeCells count="1">
    <mergeCell ref="A1:G1"/>
  </mergeCells>
  <hyperlinks>
    <hyperlink r:id="rId1" ref="D161"/>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2.0"/>
    <col customWidth="1" min="3" max="3" width="32.13"/>
    <col customWidth="1" min="4" max="4" width="17.88"/>
    <col customWidth="1" min="5" max="5" width="23.75"/>
    <col customWidth="1" min="6" max="6" width="18.88"/>
    <col customWidth="1" min="7" max="7" width="33.25"/>
    <col customWidth="1" min="8" max="8" width="16.38"/>
    <col customWidth="1" min="10" max="10" width="20.75"/>
  </cols>
  <sheetData>
    <row r="1" ht="35.25" customHeight="1">
      <c r="A1" s="221" t="s">
        <v>3125</v>
      </c>
      <c r="K1" s="222"/>
      <c r="L1" s="222"/>
      <c r="M1" s="222"/>
      <c r="N1" s="222"/>
      <c r="O1" s="222"/>
      <c r="P1" s="222"/>
      <c r="Q1" s="222"/>
      <c r="R1" s="222"/>
      <c r="S1" s="222"/>
      <c r="T1" s="222"/>
      <c r="U1" s="222"/>
      <c r="V1" s="222"/>
      <c r="W1" s="222"/>
      <c r="X1" s="222"/>
    </row>
    <row r="2">
      <c r="A2" s="223" t="s">
        <v>3126</v>
      </c>
      <c r="B2" s="224" t="s">
        <v>3127</v>
      </c>
      <c r="D2" s="225"/>
      <c r="E2" s="223" t="s">
        <v>3128</v>
      </c>
      <c r="F2" s="224" t="s">
        <v>3129</v>
      </c>
      <c r="G2" s="226"/>
      <c r="H2" s="226"/>
      <c r="I2" s="227"/>
      <c r="J2" s="226"/>
      <c r="K2" s="198"/>
      <c r="L2" s="198"/>
      <c r="M2" s="198"/>
      <c r="N2" s="198"/>
      <c r="O2" s="198"/>
      <c r="P2" s="198"/>
      <c r="Q2" s="198"/>
      <c r="R2" s="198"/>
      <c r="S2" s="198"/>
      <c r="T2" s="198"/>
      <c r="U2" s="198"/>
      <c r="V2" s="198"/>
      <c r="W2" s="198"/>
      <c r="X2" s="198"/>
    </row>
    <row r="3">
      <c r="A3" s="223" t="s">
        <v>3130</v>
      </c>
      <c r="B3" s="224" t="s">
        <v>3131</v>
      </c>
      <c r="D3" s="225"/>
      <c r="E3" s="223" t="s">
        <v>3132</v>
      </c>
      <c r="F3" s="228">
        <v>46145.0</v>
      </c>
      <c r="G3" s="226"/>
      <c r="H3" s="229"/>
      <c r="I3" s="227"/>
      <c r="J3" s="226"/>
      <c r="K3" s="198"/>
      <c r="L3" s="198"/>
      <c r="M3" s="198"/>
      <c r="N3" s="198"/>
      <c r="O3" s="198"/>
      <c r="P3" s="198"/>
      <c r="Q3" s="198"/>
      <c r="R3" s="198"/>
      <c r="S3" s="198"/>
      <c r="T3" s="198"/>
      <c r="U3" s="198"/>
      <c r="V3" s="198"/>
      <c r="W3" s="198"/>
      <c r="X3" s="198"/>
    </row>
    <row r="4">
      <c r="A4" s="223" t="s">
        <v>3133</v>
      </c>
      <c r="B4" s="224" t="s">
        <v>3134</v>
      </c>
      <c r="D4" s="225"/>
      <c r="E4" s="223" t="s">
        <v>3135</v>
      </c>
      <c r="F4" s="228">
        <v>46147.0</v>
      </c>
      <c r="G4" s="226"/>
      <c r="H4" s="226"/>
      <c r="I4" s="227"/>
      <c r="J4" s="226"/>
      <c r="K4" s="198"/>
      <c r="L4" s="198"/>
      <c r="M4" s="198"/>
      <c r="N4" s="198"/>
      <c r="O4" s="198"/>
      <c r="P4" s="198"/>
      <c r="Q4" s="198"/>
      <c r="R4" s="198"/>
      <c r="S4" s="198"/>
      <c r="T4" s="198"/>
      <c r="U4" s="198"/>
      <c r="V4" s="198"/>
      <c r="W4" s="198"/>
      <c r="X4" s="198"/>
    </row>
    <row r="5">
      <c r="A5" s="226"/>
      <c r="B5" s="226"/>
      <c r="C5" s="226"/>
      <c r="D5" s="226"/>
      <c r="E5" s="226"/>
      <c r="F5" s="226"/>
      <c r="G5" s="226"/>
      <c r="H5" s="226"/>
      <c r="I5" s="227"/>
      <c r="J5" s="226"/>
      <c r="K5" s="198"/>
      <c r="L5" s="198"/>
      <c r="M5" s="198"/>
      <c r="N5" s="198"/>
      <c r="O5" s="198"/>
      <c r="P5" s="198"/>
      <c r="Q5" s="198"/>
      <c r="R5" s="198"/>
      <c r="S5" s="198"/>
      <c r="T5" s="198"/>
      <c r="U5" s="198"/>
      <c r="V5" s="198"/>
      <c r="W5" s="198"/>
      <c r="X5" s="198"/>
    </row>
    <row r="6" ht="28.5" customHeight="1">
      <c r="A6" s="230" t="s">
        <v>3136</v>
      </c>
      <c r="B6" s="231" t="s">
        <v>1389</v>
      </c>
      <c r="C6" s="231" t="s">
        <v>2729</v>
      </c>
      <c r="D6" s="232" t="s">
        <v>1396</v>
      </c>
      <c r="E6" s="230" t="s">
        <v>3137</v>
      </c>
      <c r="F6" s="230" t="s">
        <v>3138</v>
      </c>
      <c r="G6" s="230" t="s">
        <v>3139</v>
      </c>
      <c r="H6" s="230" t="s">
        <v>149</v>
      </c>
      <c r="I6" s="230" t="s">
        <v>3140</v>
      </c>
      <c r="J6" s="230" t="s">
        <v>4</v>
      </c>
      <c r="K6" s="222"/>
      <c r="L6" s="222"/>
      <c r="M6" s="222"/>
      <c r="N6" s="222"/>
      <c r="O6" s="222"/>
      <c r="P6" s="222"/>
      <c r="Q6" s="222"/>
      <c r="R6" s="222"/>
      <c r="S6" s="222"/>
      <c r="T6" s="222"/>
      <c r="U6" s="222"/>
      <c r="V6" s="222"/>
      <c r="W6" s="222"/>
      <c r="X6" s="222"/>
    </row>
    <row r="7" ht="24.75" customHeight="1">
      <c r="A7" s="233" t="s">
        <v>3141</v>
      </c>
      <c r="B7" s="234"/>
      <c r="C7" s="234"/>
      <c r="D7" s="234"/>
      <c r="E7" s="234"/>
      <c r="F7" s="234"/>
      <c r="G7" s="234"/>
      <c r="H7" s="234"/>
      <c r="I7" s="234"/>
      <c r="J7" s="235"/>
      <c r="K7" s="212"/>
      <c r="L7" s="222"/>
      <c r="M7" s="222"/>
      <c r="N7" s="222"/>
      <c r="O7" s="222"/>
      <c r="P7" s="222"/>
      <c r="Q7" s="222"/>
      <c r="R7" s="222"/>
      <c r="S7" s="222"/>
      <c r="T7" s="222"/>
      <c r="U7" s="222"/>
      <c r="V7" s="222"/>
      <c r="W7" s="222"/>
      <c r="X7" s="222"/>
    </row>
    <row r="8" ht="42.75" customHeight="1">
      <c r="A8" s="236">
        <v>1.0</v>
      </c>
      <c r="B8" s="237" t="s">
        <v>703</v>
      </c>
      <c r="C8" s="237" t="s">
        <v>704</v>
      </c>
      <c r="D8" s="238" t="s">
        <v>1405</v>
      </c>
      <c r="E8" s="239" t="s">
        <v>90</v>
      </c>
      <c r="F8" s="240">
        <v>46146.0</v>
      </c>
      <c r="G8" s="241" t="s">
        <v>1404</v>
      </c>
      <c r="H8" s="173" t="s">
        <v>16</v>
      </c>
      <c r="I8" s="242"/>
      <c r="J8" s="243"/>
      <c r="K8" s="212"/>
      <c r="L8" s="222"/>
      <c r="M8" s="222"/>
      <c r="N8" s="222"/>
      <c r="O8" s="222"/>
      <c r="P8" s="222"/>
      <c r="Q8" s="222"/>
      <c r="R8" s="222"/>
      <c r="S8" s="222"/>
      <c r="T8" s="222"/>
      <c r="U8" s="222"/>
      <c r="V8" s="222"/>
      <c r="W8" s="222"/>
      <c r="X8" s="222"/>
    </row>
    <row r="9" ht="42.75" customHeight="1">
      <c r="A9" s="244">
        <v>2.0</v>
      </c>
      <c r="B9" s="245" t="s">
        <v>705</v>
      </c>
      <c r="C9" s="245" t="s">
        <v>706</v>
      </c>
      <c r="D9" s="246" t="s">
        <v>1411</v>
      </c>
      <c r="E9" s="247" t="s">
        <v>90</v>
      </c>
      <c r="F9" s="248">
        <v>46146.0</v>
      </c>
      <c r="G9" s="249" t="s">
        <v>1410</v>
      </c>
      <c r="H9" s="250" t="s">
        <v>16</v>
      </c>
      <c r="I9" s="251"/>
      <c r="J9" s="252"/>
      <c r="K9" s="222"/>
      <c r="L9" s="222"/>
      <c r="M9" s="222"/>
      <c r="N9" s="222"/>
      <c r="O9" s="222"/>
      <c r="P9" s="222"/>
      <c r="Q9" s="222"/>
      <c r="R9" s="222"/>
      <c r="S9" s="222"/>
      <c r="T9" s="222"/>
      <c r="U9" s="222"/>
      <c r="V9" s="222"/>
      <c r="W9" s="222"/>
      <c r="X9" s="222"/>
    </row>
    <row r="10" ht="42.75" customHeight="1">
      <c r="A10" s="236">
        <v>3.0</v>
      </c>
      <c r="B10" s="237" t="s">
        <v>707</v>
      </c>
      <c r="C10" s="237" t="s">
        <v>708</v>
      </c>
      <c r="D10" s="238" t="s">
        <v>1416</v>
      </c>
      <c r="E10" s="239" t="s">
        <v>90</v>
      </c>
      <c r="F10" s="240">
        <v>46146.0</v>
      </c>
      <c r="G10" s="241" t="s">
        <v>1415</v>
      </c>
      <c r="H10" s="173" t="s">
        <v>16</v>
      </c>
      <c r="I10" s="242"/>
      <c r="J10" s="243"/>
      <c r="K10" s="222"/>
      <c r="L10" s="222"/>
      <c r="M10" s="222"/>
      <c r="N10" s="222"/>
      <c r="O10" s="222"/>
      <c r="P10" s="222"/>
      <c r="Q10" s="222"/>
      <c r="R10" s="222"/>
      <c r="S10" s="222"/>
      <c r="T10" s="222"/>
      <c r="U10" s="222"/>
      <c r="V10" s="222"/>
      <c r="W10" s="222"/>
      <c r="X10" s="222"/>
    </row>
    <row r="11" ht="42.75" customHeight="1">
      <c r="A11" s="244">
        <v>4.0</v>
      </c>
      <c r="B11" s="245" t="s">
        <v>710</v>
      </c>
      <c r="C11" s="245" t="s">
        <v>711</v>
      </c>
      <c r="D11" s="246" t="s">
        <v>1411</v>
      </c>
      <c r="E11" s="247" t="s">
        <v>90</v>
      </c>
      <c r="F11" s="248">
        <v>46146.0</v>
      </c>
      <c r="G11" s="249" t="s">
        <v>1421</v>
      </c>
      <c r="H11" s="250" t="s">
        <v>16</v>
      </c>
      <c r="I11" s="251"/>
      <c r="J11" s="252"/>
      <c r="K11" s="222"/>
      <c r="L11" s="222"/>
      <c r="M11" s="222"/>
      <c r="N11" s="222"/>
      <c r="O11" s="222"/>
      <c r="P11" s="222"/>
      <c r="Q11" s="222"/>
      <c r="R11" s="222"/>
      <c r="S11" s="222"/>
      <c r="T11" s="222"/>
      <c r="U11" s="222"/>
      <c r="V11" s="222"/>
      <c r="W11" s="222"/>
      <c r="X11" s="222"/>
    </row>
    <row r="12" ht="42.75" customHeight="1">
      <c r="A12" s="236">
        <v>5.0</v>
      </c>
      <c r="B12" s="237" t="s">
        <v>712</v>
      </c>
      <c r="C12" s="237" t="s">
        <v>713</v>
      </c>
      <c r="D12" s="238" t="s">
        <v>1411</v>
      </c>
      <c r="E12" s="239" t="s">
        <v>90</v>
      </c>
      <c r="F12" s="240">
        <v>46146.0</v>
      </c>
      <c r="G12" s="241" t="s">
        <v>1421</v>
      </c>
      <c r="H12" s="173" t="s">
        <v>16</v>
      </c>
      <c r="I12" s="242"/>
      <c r="J12" s="243"/>
      <c r="K12" s="222"/>
      <c r="L12" s="222"/>
      <c r="M12" s="222"/>
      <c r="N12" s="222"/>
      <c r="O12" s="222"/>
      <c r="P12" s="222"/>
      <c r="Q12" s="222"/>
      <c r="R12" s="222"/>
      <c r="S12" s="222"/>
      <c r="T12" s="222"/>
      <c r="U12" s="222"/>
      <c r="V12" s="222"/>
      <c r="W12" s="222"/>
      <c r="X12" s="222"/>
    </row>
    <row r="13" ht="42.75" customHeight="1">
      <c r="A13" s="244">
        <v>6.0</v>
      </c>
      <c r="B13" s="245" t="s">
        <v>714</v>
      </c>
      <c r="C13" s="245" t="s">
        <v>715</v>
      </c>
      <c r="D13" s="246" t="s">
        <v>1411</v>
      </c>
      <c r="E13" s="247" t="s">
        <v>90</v>
      </c>
      <c r="F13" s="248">
        <v>46146.0</v>
      </c>
      <c r="G13" s="249" t="s">
        <v>1430</v>
      </c>
      <c r="H13" s="250" t="s">
        <v>16</v>
      </c>
      <c r="I13" s="251"/>
      <c r="J13" s="252"/>
      <c r="K13" s="222"/>
      <c r="L13" s="222"/>
      <c r="M13" s="222"/>
      <c r="N13" s="222"/>
      <c r="O13" s="222"/>
      <c r="P13" s="222"/>
      <c r="Q13" s="222"/>
      <c r="R13" s="222"/>
      <c r="S13" s="222"/>
      <c r="T13" s="222"/>
      <c r="U13" s="222"/>
      <c r="V13" s="222"/>
      <c r="W13" s="222"/>
      <c r="X13" s="222"/>
    </row>
    <row r="14" ht="42.75" customHeight="1">
      <c r="A14" s="236">
        <v>7.0</v>
      </c>
      <c r="B14" s="237" t="s">
        <v>717</v>
      </c>
      <c r="C14" s="237" t="s">
        <v>718</v>
      </c>
      <c r="D14" s="238" t="s">
        <v>1411</v>
      </c>
      <c r="E14" s="239" t="s">
        <v>90</v>
      </c>
      <c r="F14" s="240">
        <v>46146.0</v>
      </c>
      <c r="G14" s="241" t="s">
        <v>1410</v>
      </c>
      <c r="H14" s="173" t="s">
        <v>16</v>
      </c>
      <c r="I14" s="242"/>
      <c r="J14" s="243"/>
      <c r="K14" s="222"/>
      <c r="L14" s="222"/>
      <c r="M14" s="222"/>
      <c r="N14" s="222"/>
      <c r="O14" s="222"/>
      <c r="P14" s="222"/>
      <c r="Q14" s="222"/>
      <c r="R14" s="222"/>
      <c r="S14" s="222"/>
      <c r="T14" s="222"/>
      <c r="U14" s="222"/>
      <c r="V14" s="222"/>
      <c r="W14" s="222"/>
      <c r="X14" s="222"/>
    </row>
    <row r="15" ht="42.75" customHeight="1">
      <c r="A15" s="244">
        <v>8.0</v>
      </c>
      <c r="B15" s="245" t="s">
        <v>719</v>
      </c>
      <c r="C15" s="245" t="s">
        <v>720</v>
      </c>
      <c r="D15" s="246" t="s">
        <v>1411</v>
      </c>
      <c r="E15" s="247" t="s">
        <v>90</v>
      </c>
      <c r="F15" s="248">
        <v>46146.0</v>
      </c>
      <c r="G15" s="249" t="s">
        <v>1410</v>
      </c>
      <c r="H15" s="250" t="s">
        <v>16</v>
      </c>
      <c r="I15" s="251"/>
      <c r="J15" s="252"/>
      <c r="K15" s="222"/>
      <c r="L15" s="222"/>
      <c r="M15" s="222"/>
      <c r="N15" s="222"/>
      <c r="O15" s="222"/>
      <c r="P15" s="222"/>
      <c r="Q15" s="222"/>
      <c r="R15" s="222"/>
      <c r="S15" s="222"/>
      <c r="T15" s="222"/>
      <c r="U15" s="222"/>
      <c r="V15" s="222"/>
      <c r="W15" s="222"/>
      <c r="X15" s="222"/>
    </row>
    <row r="16" ht="42.75" customHeight="1">
      <c r="A16" s="236">
        <v>9.0</v>
      </c>
      <c r="B16" s="237" t="s">
        <v>721</v>
      </c>
      <c r="C16" s="237" t="s">
        <v>722</v>
      </c>
      <c r="D16" s="238" t="s">
        <v>1416</v>
      </c>
      <c r="E16" s="239" t="s">
        <v>90</v>
      </c>
      <c r="F16" s="240">
        <v>46146.0</v>
      </c>
      <c r="G16" s="241" t="s">
        <v>1430</v>
      </c>
      <c r="H16" s="173" t="s">
        <v>16</v>
      </c>
      <c r="I16" s="242"/>
      <c r="J16" s="243"/>
      <c r="K16" s="222"/>
      <c r="L16" s="222"/>
      <c r="M16" s="222"/>
      <c r="N16" s="222"/>
      <c r="O16" s="222"/>
      <c r="P16" s="222"/>
      <c r="Q16" s="222"/>
      <c r="R16" s="222"/>
      <c r="S16" s="222"/>
      <c r="T16" s="222"/>
      <c r="U16" s="222"/>
      <c r="V16" s="222"/>
      <c r="W16" s="222"/>
      <c r="X16" s="222"/>
    </row>
    <row r="17" ht="27.0" customHeight="1">
      <c r="A17" s="233" t="s">
        <v>3142</v>
      </c>
      <c r="B17" s="234"/>
      <c r="C17" s="234"/>
      <c r="D17" s="234"/>
      <c r="E17" s="234"/>
      <c r="F17" s="234"/>
      <c r="G17" s="234"/>
      <c r="H17" s="234"/>
      <c r="I17" s="234"/>
      <c r="J17" s="235"/>
      <c r="K17" s="222"/>
      <c r="L17" s="222"/>
      <c r="M17" s="222"/>
      <c r="N17" s="222"/>
      <c r="O17" s="222"/>
      <c r="P17" s="222"/>
      <c r="Q17" s="222"/>
      <c r="R17" s="222"/>
      <c r="S17" s="222"/>
      <c r="T17" s="222"/>
      <c r="U17" s="222"/>
      <c r="V17" s="222"/>
      <c r="W17" s="222"/>
      <c r="X17" s="222"/>
    </row>
    <row r="18" ht="42.75" customHeight="1">
      <c r="A18" s="236">
        <v>10.0</v>
      </c>
      <c r="B18" s="237" t="s">
        <v>724</v>
      </c>
      <c r="C18" s="237" t="s">
        <v>725</v>
      </c>
      <c r="D18" s="238" t="s">
        <v>1405</v>
      </c>
      <c r="E18" s="239" t="s">
        <v>90</v>
      </c>
      <c r="F18" s="240">
        <v>46146.0</v>
      </c>
      <c r="G18" s="241" t="s">
        <v>1447</v>
      </c>
      <c r="H18" s="173" t="s">
        <v>16</v>
      </c>
      <c r="I18" s="242"/>
      <c r="J18" s="243"/>
      <c r="K18" s="222"/>
      <c r="L18" s="222"/>
      <c r="M18" s="222"/>
      <c r="N18" s="222"/>
      <c r="O18" s="222"/>
      <c r="P18" s="222"/>
      <c r="Q18" s="222"/>
      <c r="R18" s="222"/>
      <c r="S18" s="222"/>
      <c r="T18" s="222"/>
      <c r="U18" s="222"/>
      <c r="V18" s="222"/>
      <c r="W18" s="222"/>
      <c r="X18" s="222"/>
    </row>
    <row r="19" ht="42.75" customHeight="1">
      <c r="A19" s="244">
        <v>11.0</v>
      </c>
      <c r="B19" s="245" t="s">
        <v>726</v>
      </c>
      <c r="C19" s="245" t="s">
        <v>727</v>
      </c>
      <c r="D19" s="246" t="s">
        <v>1411</v>
      </c>
      <c r="E19" s="247" t="s">
        <v>90</v>
      </c>
      <c r="F19" s="248">
        <v>46146.0</v>
      </c>
      <c r="G19" s="249" t="s">
        <v>1452</v>
      </c>
      <c r="H19" s="250" t="s">
        <v>16</v>
      </c>
      <c r="I19" s="251"/>
      <c r="J19" s="252"/>
      <c r="K19" s="222"/>
      <c r="L19" s="222"/>
      <c r="M19" s="222"/>
      <c r="N19" s="222"/>
      <c r="O19" s="222"/>
      <c r="P19" s="222"/>
      <c r="Q19" s="222"/>
      <c r="R19" s="222"/>
      <c r="S19" s="222"/>
      <c r="T19" s="222"/>
      <c r="U19" s="222"/>
      <c r="V19" s="222"/>
      <c r="W19" s="222"/>
      <c r="X19" s="222"/>
    </row>
    <row r="20" ht="42.75" customHeight="1">
      <c r="A20" s="236">
        <v>12.0</v>
      </c>
      <c r="B20" s="237" t="s">
        <v>728</v>
      </c>
      <c r="C20" s="237" t="s">
        <v>729</v>
      </c>
      <c r="D20" s="238" t="s">
        <v>1405</v>
      </c>
      <c r="E20" s="239" t="s">
        <v>90</v>
      </c>
      <c r="F20" s="240">
        <v>46146.0</v>
      </c>
      <c r="G20" s="241" t="s">
        <v>1457</v>
      </c>
      <c r="H20" s="173" t="s">
        <v>16</v>
      </c>
      <c r="I20" s="242"/>
      <c r="J20" s="243"/>
      <c r="K20" s="222"/>
      <c r="L20" s="222"/>
      <c r="M20" s="222"/>
      <c r="N20" s="222"/>
      <c r="O20" s="222"/>
      <c r="P20" s="222"/>
      <c r="Q20" s="222"/>
      <c r="R20" s="222"/>
      <c r="S20" s="222"/>
      <c r="T20" s="222"/>
      <c r="U20" s="222"/>
      <c r="V20" s="222"/>
      <c r="W20" s="222"/>
      <c r="X20" s="222"/>
    </row>
    <row r="21" ht="42.75" customHeight="1">
      <c r="A21" s="244">
        <v>13.0</v>
      </c>
      <c r="B21" s="245" t="s">
        <v>731</v>
      </c>
      <c r="C21" s="245" t="s">
        <v>732</v>
      </c>
      <c r="D21" s="246" t="s">
        <v>1411</v>
      </c>
      <c r="E21" s="247" t="s">
        <v>90</v>
      </c>
      <c r="F21" s="248">
        <v>46146.0</v>
      </c>
      <c r="G21" s="249" t="s">
        <v>1462</v>
      </c>
      <c r="H21" s="250" t="s">
        <v>16</v>
      </c>
      <c r="I21" s="251"/>
      <c r="J21" s="252"/>
      <c r="K21" s="222"/>
      <c r="L21" s="222"/>
      <c r="M21" s="222"/>
      <c r="N21" s="222"/>
      <c r="O21" s="222"/>
      <c r="P21" s="222"/>
      <c r="Q21" s="222"/>
      <c r="R21" s="222"/>
      <c r="S21" s="222"/>
      <c r="T21" s="222"/>
      <c r="U21" s="222"/>
      <c r="V21" s="222"/>
      <c r="W21" s="222"/>
      <c r="X21" s="222"/>
    </row>
    <row r="22" ht="42.75" customHeight="1">
      <c r="A22" s="236">
        <v>14.0</v>
      </c>
      <c r="B22" s="237" t="s">
        <v>733</v>
      </c>
      <c r="C22" s="237" t="s">
        <v>734</v>
      </c>
      <c r="D22" s="238" t="s">
        <v>1411</v>
      </c>
      <c r="E22" s="239" t="s">
        <v>90</v>
      </c>
      <c r="F22" s="240">
        <v>46146.0</v>
      </c>
      <c r="G22" s="241" t="s">
        <v>1467</v>
      </c>
      <c r="H22" s="173" t="s">
        <v>16</v>
      </c>
      <c r="I22" s="242"/>
      <c r="J22" s="243"/>
      <c r="K22" s="222"/>
      <c r="L22" s="222"/>
      <c r="M22" s="222"/>
      <c r="N22" s="222"/>
      <c r="O22" s="222"/>
      <c r="P22" s="222"/>
      <c r="Q22" s="222"/>
      <c r="R22" s="222"/>
      <c r="S22" s="222"/>
      <c r="T22" s="222"/>
      <c r="U22" s="222"/>
      <c r="V22" s="222"/>
      <c r="W22" s="222"/>
      <c r="X22" s="222"/>
    </row>
    <row r="23" ht="42.75" customHeight="1">
      <c r="A23" s="244">
        <v>15.0</v>
      </c>
      <c r="B23" s="245" t="s">
        <v>735</v>
      </c>
      <c r="C23" s="245" t="s">
        <v>736</v>
      </c>
      <c r="D23" s="246" t="s">
        <v>1405</v>
      </c>
      <c r="E23" s="247" t="s">
        <v>90</v>
      </c>
      <c r="F23" s="248">
        <v>46146.0</v>
      </c>
      <c r="G23" s="249" t="s">
        <v>1447</v>
      </c>
      <c r="H23" s="250" t="s">
        <v>16</v>
      </c>
      <c r="I23" s="251"/>
      <c r="J23" s="252"/>
      <c r="K23" s="222"/>
      <c r="L23" s="222"/>
      <c r="M23" s="222"/>
      <c r="N23" s="222"/>
      <c r="O23" s="222"/>
      <c r="P23" s="222"/>
      <c r="Q23" s="222"/>
      <c r="R23" s="222"/>
      <c r="S23" s="222"/>
      <c r="T23" s="222"/>
      <c r="U23" s="222"/>
      <c r="V23" s="222"/>
      <c r="W23" s="222"/>
      <c r="X23" s="222"/>
    </row>
    <row r="24" ht="42.75" customHeight="1">
      <c r="A24" s="236">
        <v>16.0</v>
      </c>
      <c r="B24" s="237" t="s">
        <v>738</v>
      </c>
      <c r="C24" s="237" t="s">
        <v>739</v>
      </c>
      <c r="D24" s="238" t="s">
        <v>1411</v>
      </c>
      <c r="E24" s="239" t="s">
        <v>90</v>
      </c>
      <c r="F24" s="240">
        <v>46146.0</v>
      </c>
      <c r="G24" s="241" t="s">
        <v>1476</v>
      </c>
      <c r="H24" s="173" t="s">
        <v>16</v>
      </c>
      <c r="I24" s="242"/>
      <c r="J24" s="243"/>
      <c r="K24" s="222"/>
      <c r="L24" s="222"/>
      <c r="M24" s="222"/>
      <c r="N24" s="222"/>
      <c r="O24" s="222"/>
      <c r="P24" s="222"/>
      <c r="Q24" s="222"/>
      <c r="R24" s="222"/>
      <c r="S24" s="222"/>
      <c r="T24" s="222"/>
      <c r="U24" s="222"/>
      <c r="V24" s="222"/>
      <c r="W24" s="222"/>
      <c r="X24" s="222"/>
    </row>
    <row r="25" ht="42.75" customHeight="1">
      <c r="A25" s="244">
        <v>17.0</v>
      </c>
      <c r="B25" s="245" t="s">
        <v>740</v>
      </c>
      <c r="C25" s="245" t="s">
        <v>741</v>
      </c>
      <c r="D25" s="246" t="s">
        <v>1411</v>
      </c>
      <c r="E25" s="247" t="s">
        <v>90</v>
      </c>
      <c r="F25" s="248">
        <v>46146.0</v>
      </c>
      <c r="G25" s="249" t="s">
        <v>1476</v>
      </c>
      <c r="H25" s="250" t="s">
        <v>16</v>
      </c>
      <c r="I25" s="251"/>
      <c r="J25" s="252"/>
      <c r="K25" s="222"/>
      <c r="L25" s="222"/>
      <c r="M25" s="222"/>
      <c r="N25" s="222"/>
      <c r="O25" s="222"/>
      <c r="P25" s="222"/>
      <c r="Q25" s="222"/>
      <c r="R25" s="222"/>
      <c r="S25" s="222"/>
      <c r="T25" s="222"/>
      <c r="U25" s="222"/>
      <c r="V25" s="222"/>
      <c r="W25" s="222"/>
      <c r="X25" s="222"/>
    </row>
    <row r="26" ht="42.75" customHeight="1">
      <c r="A26" s="236">
        <v>18.0</v>
      </c>
      <c r="B26" s="237" t="s">
        <v>742</v>
      </c>
      <c r="C26" s="237" t="s">
        <v>743</v>
      </c>
      <c r="D26" s="238" t="s">
        <v>1405</v>
      </c>
      <c r="E26" s="239" t="s">
        <v>90</v>
      </c>
      <c r="F26" s="240">
        <v>46146.0</v>
      </c>
      <c r="G26" s="241" t="s">
        <v>1447</v>
      </c>
      <c r="H26" s="173" t="s">
        <v>16</v>
      </c>
      <c r="I26" s="242"/>
      <c r="J26" s="243"/>
      <c r="K26" s="222"/>
      <c r="L26" s="222"/>
      <c r="M26" s="222"/>
      <c r="N26" s="222"/>
      <c r="O26" s="222"/>
      <c r="P26" s="222"/>
      <c r="Q26" s="222"/>
      <c r="R26" s="222"/>
      <c r="S26" s="222"/>
      <c r="T26" s="222"/>
      <c r="U26" s="222"/>
      <c r="V26" s="222"/>
      <c r="W26" s="222"/>
      <c r="X26" s="222"/>
    </row>
    <row r="27" ht="26.25" customHeight="1">
      <c r="A27" s="233" t="s">
        <v>3143</v>
      </c>
      <c r="B27" s="234"/>
      <c r="C27" s="234"/>
      <c r="D27" s="234"/>
      <c r="E27" s="234"/>
      <c r="F27" s="234"/>
      <c r="G27" s="234"/>
      <c r="H27" s="234"/>
      <c r="I27" s="234"/>
      <c r="J27" s="235"/>
      <c r="K27" s="222"/>
      <c r="L27" s="222"/>
      <c r="M27" s="222"/>
      <c r="N27" s="222"/>
      <c r="O27" s="222"/>
      <c r="P27" s="222"/>
      <c r="Q27" s="222"/>
      <c r="R27" s="222"/>
      <c r="S27" s="222"/>
      <c r="T27" s="222"/>
      <c r="U27" s="222"/>
      <c r="V27" s="222"/>
      <c r="W27" s="222"/>
      <c r="X27" s="222"/>
    </row>
    <row r="28" ht="42.75" customHeight="1">
      <c r="A28" s="236">
        <v>19.0</v>
      </c>
      <c r="B28" s="237" t="s">
        <v>745</v>
      </c>
      <c r="C28" s="237" t="s">
        <v>746</v>
      </c>
      <c r="D28" s="238" t="s">
        <v>1405</v>
      </c>
      <c r="E28" s="239" t="s">
        <v>90</v>
      </c>
      <c r="F28" s="240">
        <v>46146.0</v>
      </c>
      <c r="G28" s="241" t="s">
        <v>1488</v>
      </c>
      <c r="H28" s="173" t="s">
        <v>16</v>
      </c>
      <c r="I28" s="242"/>
      <c r="J28" s="243"/>
      <c r="K28" s="222"/>
      <c r="L28" s="222"/>
      <c r="M28" s="222"/>
      <c r="N28" s="222"/>
      <c r="O28" s="222"/>
      <c r="P28" s="222"/>
      <c r="Q28" s="222"/>
      <c r="R28" s="222"/>
      <c r="S28" s="222"/>
      <c r="T28" s="222"/>
      <c r="U28" s="222"/>
      <c r="V28" s="222"/>
      <c r="W28" s="222"/>
      <c r="X28" s="222"/>
    </row>
    <row r="29" ht="42.75" customHeight="1">
      <c r="A29" s="244">
        <v>20.0</v>
      </c>
      <c r="B29" s="245" t="s">
        <v>747</v>
      </c>
      <c r="C29" s="245" t="s">
        <v>748</v>
      </c>
      <c r="D29" s="246" t="s">
        <v>1411</v>
      </c>
      <c r="E29" s="247" t="s">
        <v>90</v>
      </c>
      <c r="F29" s="248">
        <v>46146.0</v>
      </c>
      <c r="G29" s="249" t="s">
        <v>1493</v>
      </c>
      <c r="H29" s="250" t="s">
        <v>16</v>
      </c>
      <c r="I29" s="251"/>
      <c r="J29" s="252"/>
      <c r="K29" s="222"/>
      <c r="L29" s="222"/>
      <c r="M29" s="222"/>
      <c r="N29" s="222"/>
      <c r="O29" s="222"/>
      <c r="P29" s="222"/>
      <c r="Q29" s="222"/>
      <c r="R29" s="222"/>
      <c r="S29" s="222"/>
      <c r="T29" s="222"/>
      <c r="U29" s="222"/>
      <c r="V29" s="222"/>
      <c r="W29" s="222"/>
      <c r="X29" s="222"/>
    </row>
    <row r="30" ht="42.75" customHeight="1">
      <c r="A30" s="236">
        <v>21.0</v>
      </c>
      <c r="B30" s="237" t="s">
        <v>749</v>
      </c>
      <c r="C30" s="237" t="s">
        <v>750</v>
      </c>
      <c r="D30" s="238" t="s">
        <v>1416</v>
      </c>
      <c r="E30" s="239" t="s">
        <v>90</v>
      </c>
      <c r="F30" s="240">
        <v>46146.0</v>
      </c>
      <c r="G30" s="241" t="s">
        <v>1498</v>
      </c>
      <c r="H30" s="173" t="s">
        <v>16</v>
      </c>
      <c r="I30" s="242"/>
      <c r="J30" s="243"/>
      <c r="K30" s="222"/>
      <c r="L30" s="222"/>
      <c r="M30" s="222"/>
      <c r="N30" s="222"/>
      <c r="O30" s="222"/>
      <c r="P30" s="222"/>
      <c r="Q30" s="222"/>
      <c r="R30" s="222"/>
      <c r="S30" s="222"/>
      <c r="T30" s="222"/>
      <c r="U30" s="222"/>
      <c r="V30" s="222"/>
      <c r="W30" s="222"/>
      <c r="X30" s="222"/>
    </row>
    <row r="31" ht="42.75" customHeight="1">
      <c r="A31" s="244">
        <v>22.0</v>
      </c>
      <c r="B31" s="245" t="s">
        <v>752</v>
      </c>
      <c r="C31" s="245" t="s">
        <v>753</v>
      </c>
      <c r="D31" s="246" t="s">
        <v>1411</v>
      </c>
      <c r="E31" s="247" t="s">
        <v>90</v>
      </c>
      <c r="F31" s="248">
        <v>46146.0</v>
      </c>
      <c r="G31" s="249" t="s">
        <v>1503</v>
      </c>
      <c r="H31" s="250" t="s">
        <v>16</v>
      </c>
      <c r="I31" s="251"/>
      <c r="J31" s="252"/>
      <c r="K31" s="222"/>
      <c r="L31" s="222"/>
      <c r="M31" s="222"/>
      <c r="N31" s="222"/>
      <c r="O31" s="222"/>
      <c r="P31" s="222"/>
      <c r="Q31" s="222"/>
      <c r="R31" s="222"/>
      <c r="S31" s="222"/>
      <c r="T31" s="222"/>
      <c r="U31" s="222"/>
      <c r="V31" s="222"/>
      <c r="W31" s="222"/>
      <c r="X31" s="222"/>
    </row>
    <row r="32" ht="42.75" customHeight="1">
      <c r="A32" s="236">
        <v>23.0</v>
      </c>
      <c r="B32" s="237" t="s">
        <v>754</v>
      </c>
      <c r="C32" s="237" t="s">
        <v>755</v>
      </c>
      <c r="D32" s="238" t="s">
        <v>1411</v>
      </c>
      <c r="E32" s="239" t="s">
        <v>90</v>
      </c>
      <c r="F32" s="240">
        <v>46146.0</v>
      </c>
      <c r="G32" s="241" t="s">
        <v>1508</v>
      </c>
      <c r="H32" s="173" t="s">
        <v>16</v>
      </c>
      <c r="I32" s="242"/>
      <c r="J32" s="243"/>
      <c r="K32" s="222"/>
      <c r="L32" s="222"/>
      <c r="M32" s="222"/>
      <c r="N32" s="222"/>
      <c r="O32" s="222"/>
      <c r="P32" s="222"/>
      <c r="Q32" s="222"/>
      <c r="R32" s="222"/>
      <c r="S32" s="222"/>
      <c r="T32" s="222"/>
      <c r="U32" s="222"/>
      <c r="V32" s="222"/>
      <c r="W32" s="222"/>
      <c r="X32" s="222"/>
    </row>
    <row r="33" ht="42.75" customHeight="1">
      <c r="A33" s="244">
        <v>24.0</v>
      </c>
      <c r="B33" s="245" t="s">
        <v>756</v>
      </c>
      <c r="C33" s="245" t="s">
        <v>757</v>
      </c>
      <c r="D33" s="246" t="s">
        <v>1405</v>
      </c>
      <c r="E33" s="247" t="s">
        <v>90</v>
      </c>
      <c r="F33" s="248">
        <v>46146.0</v>
      </c>
      <c r="G33" s="249" t="s">
        <v>1488</v>
      </c>
      <c r="H33" s="250" t="s">
        <v>16</v>
      </c>
      <c r="I33" s="251"/>
      <c r="J33" s="252"/>
      <c r="K33" s="222"/>
      <c r="L33" s="222"/>
      <c r="M33" s="222"/>
      <c r="N33" s="222"/>
      <c r="O33" s="222"/>
      <c r="P33" s="222"/>
      <c r="Q33" s="222"/>
      <c r="R33" s="222"/>
      <c r="S33" s="222"/>
      <c r="T33" s="222"/>
      <c r="U33" s="222"/>
      <c r="V33" s="222"/>
      <c r="W33" s="222"/>
      <c r="X33" s="222"/>
    </row>
    <row r="34" ht="42.75" customHeight="1">
      <c r="A34" s="236">
        <v>25.0</v>
      </c>
      <c r="B34" s="237" t="s">
        <v>759</v>
      </c>
      <c r="C34" s="237" t="s">
        <v>760</v>
      </c>
      <c r="D34" s="238" t="s">
        <v>1411</v>
      </c>
      <c r="E34" s="239" t="s">
        <v>90</v>
      </c>
      <c r="F34" s="240">
        <v>46146.0</v>
      </c>
      <c r="G34" s="241" t="s">
        <v>1516</v>
      </c>
      <c r="H34" s="173" t="s">
        <v>16</v>
      </c>
      <c r="I34" s="242"/>
      <c r="J34" s="243"/>
      <c r="K34" s="222"/>
      <c r="L34" s="222"/>
      <c r="M34" s="222"/>
      <c r="N34" s="222"/>
      <c r="O34" s="222"/>
      <c r="P34" s="222"/>
      <c r="Q34" s="222"/>
      <c r="R34" s="222"/>
      <c r="S34" s="222"/>
      <c r="T34" s="222"/>
      <c r="U34" s="222"/>
      <c r="V34" s="222"/>
      <c r="W34" s="222"/>
      <c r="X34" s="222"/>
    </row>
    <row r="35" ht="42.75" customHeight="1">
      <c r="A35" s="244">
        <v>26.0</v>
      </c>
      <c r="B35" s="245" t="s">
        <v>761</v>
      </c>
      <c r="C35" s="245" t="s">
        <v>762</v>
      </c>
      <c r="D35" s="246" t="s">
        <v>1405</v>
      </c>
      <c r="E35" s="247" t="s">
        <v>90</v>
      </c>
      <c r="F35" s="248">
        <v>46146.0</v>
      </c>
      <c r="G35" s="249" t="s">
        <v>1488</v>
      </c>
      <c r="H35" s="250" t="s">
        <v>16</v>
      </c>
      <c r="I35" s="251"/>
      <c r="J35" s="252"/>
      <c r="K35" s="222"/>
      <c r="L35" s="222"/>
      <c r="M35" s="222"/>
      <c r="N35" s="222"/>
      <c r="O35" s="222"/>
      <c r="P35" s="222"/>
      <c r="Q35" s="222"/>
      <c r="R35" s="222"/>
      <c r="S35" s="222"/>
      <c r="T35" s="222"/>
      <c r="U35" s="222"/>
      <c r="V35" s="222"/>
      <c r="W35" s="222"/>
      <c r="X35" s="222"/>
    </row>
    <row r="36" ht="42.75" customHeight="1">
      <c r="A36" s="236">
        <v>27.0</v>
      </c>
      <c r="B36" s="237" t="s">
        <v>764</v>
      </c>
      <c r="C36" s="237" t="s">
        <v>765</v>
      </c>
      <c r="D36" s="238" t="s">
        <v>1411</v>
      </c>
      <c r="E36" s="239" t="s">
        <v>90</v>
      </c>
      <c r="F36" s="240">
        <v>46146.0</v>
      </c>
      <c r="G36" s="241" t="s">
        <v>1524</v>
      </c>
      <c r="H36" s="173" t="s">
        <v>16</v>
      </c>
      <c r="I36" s="242"/>
      <c r="J36" s="243"/>
      <c r="K36" s="222"/>
      <c r="L36" s="222"/>
      <c r="M36" s="222"/>
      <c r="N36" s="222"/>
      <c r="O36" s="222"/>
      <c r="P36" s="222"/>
      <c r="Q36" s="222"/>
      <c r="R36" s="222"/>
      <c r="S36" s="222"/>
      <c r="T36" s="222"/>
      <c r="U36" s="222"/>
      <c r="V36" s="222"/>
      <c r="W36" s="222"/>
      <c r="X36" s="222"/>
    </row>
    <row r="37" ht="42.75" customHeight="1">
      <c r="A37" s="244">
        <v>28.0</v>
      </c>
      <c r="B37" s="245" t="s">
        <v>766</v>
      </c>
      <c r="C37" s="245" t="s">
        <v>1525</v>
      </c>
      <c r="D37" s="246" t="s">
        <v>1405</v>
      </c>
      <c r="E37" s="247" t="s">
        <v>90</v>
      </c>
      <c r="F37" s="248">
        <v>46146.0</v>
      </c>
      <c r="G37" s="249" t="s">
        <v>1488</v>
      </c>
      <c r="H37" s="250" t="s">
        <v>16</v>
      </c>
      <c r="I37" s="251"/>
      <c r="J37" s="252"/>
      <c r="K37" s="222"/>
      <c r="L37" s="222"/>
      <c r="M37" s="222"/>
      <c r="N37" s="222"/>
      <c r="O37" s="222"/>
      <c r="P37" s="222"/>
      <c r="Q37" s="222"/>
      <c r="R37" s="222"/>
      <c r="S37" s="222"/>
      <c r="T37" s="222"/>
      <c r="U37" s="222"/>
      <c r="V37" s="222"/>
      <c r="W37" s="222"/>
      <c r="X37" s="222"/>
    </row>
    <row r="38" ht="42.75" customHeight="1">
      <c r="A38" s="236">
        <v>29.0</v>
      </c>
      <c r="B38" s="237" t="s">
        <v>768</v>
      </c>
      <c r="C38" s="237" t="s">
        <v>769</v>
      </c>
      <c r="D38" s="238" t="s">
        <v>1411</v>
      </c>
      <c r="E38" s="239" t="s">
        <v>90</v>
      </c>
      <c r="F38" s="240">
        <v>46146.0</v>
      </c>
      <c r="G38" s="241" t="s">
        <v>1534</v>
      </c>
      <c r="H38" s="173" t="s">
        <v>16</v>
      </c>
      <c r="I38" s="242"/>
      <c r="J38" s="243"/>
      <c r="K38" s="222"/>
      <c r="L38" s="222"/>
      <c r="M38" s="222"/>
      <c r="N38" s="222"/>
      <c r="O38" s="222"/>
      <c r="P38" s="222"/>
      <c r="Q38" s="222"/>
      <c r="R38" s="222"/>
      <c r="S38" s="222"/>
      <c r="T38" s="222"/>
      <c r="U38" s="222"/>
      <c r="V38" s="222"/>
      <c r="W38" s="222"/>
      <c r="X38" s="222"/>
    </row>
    <row r="39" ht="42.75" customHeight="1">
      <c r="A39" s="244">
        <v>30.0</v>
      </c>
      <c r="B39" s="245" t="s">
        <v>771</v>
      </c>
      <c r="C39" s="245" t="s">
        <v>772</v>
      </c>
      <c r="D39" s="246" t="s">
        <v>1405</v>
      </c>
      <c r="E39" s="247" t="s">
        <v>92</v>
      </c>
      <c r="F39" s="248">
        <v>46146.0</v>
      </c>
      <c r="G39" s="253" t="s">
        <v>1540</v>
      </c>
      <c r="H39" s="250" t="s">
        <v>16</v>
      </c>
      <c r="I39" s="251"/>
      <c r="J39" s="252"/>
      <c r="K39" s="222"/>
      <c r="L39" s="222"/>
      <c r="M39" s="222"/>
      <c r="N39" s="222"/>
      <c r="O39" s="222"/>
      <c r="P39" s="222"/>
      <c r="Q39" s="222"/>
      <c r="R39" s="222"/>
      <c r="S39" s="222"/>
      <c r="T39" s="222"/>
      <c r="U39" s="222"/>
      <c r="V39" s="222"/>
      <c r="W39" s="222"/>
      <c r="X39" s="222"/>
    </row>
    <row r="40" ht="42.75" customHeight="1">
      <c r="A40" s="236">
        <v>31.0</v>
      </c>
      <c r="B40" s="237" t="s">
        <v>773</v>
      </c>
      <c r="C40" s="237" t="s">
        <v>774</v>
      </c>
      <c r="D40" s="238" t="s">
        <v>1405</v>
      </c>
      <c r="E40" s="239" t="s">
        <v>92</v>
      </c>
      <c r="F40" s="240">
        <v>46146.0</v>
      </c>
      <c r="G40" s="254" t="s">
        <v>1545</v>
      </c>
      <c r="H40" s="173" t="s">
        <v>16</v>
      </c>
      <c r="I40" s="242"/>
      <c r="J40" s="243"/>
      <c r="K40" s="222"/>
      <c r="L40" s="222"/>
      <c r="M40" s="222"/>
      <c r="N40" s="222"/>
      <c r="O40" s="222"/>
      <c r="P40" s="222"/>
      <c r="Q40" s="222"/>
      <c r="R40" s="222"/>
      <c r="S40" s="222"/>
      <c r="T40" s="222"/>
      <c r="U40" s="222"/>
      <c r="V40" s="222"/>
      <c r="W40" s="222"/>
      <c r="X40" s="222"/>
    </row>
    <row r="41" ht="42.75" customHeight="1">
      <c r="A41" s="244">
        <v>32.0</v>
      </c>
      <c r="B41" s="245" t="s">
        <v>775</v>
      </c>
      <c r="C41" s="245" t="s">
        <v>776</v>
      </c>
      <c r="D41" s="246" t="s">
        <v>1411</v>
      </c>
      <c r="E41" s="247" t="s">
        <v>92</v>
      </c>
      <c r="F41" s="248">
        <v>46146.0</v>
      </c>
      <c r="G41" s="255" t="s">
        <v>1550</v>
      </c>
      <c r="H41" s="250" t="s">
        <v>16</v>
      </c>
      <c r="I41" s="251"/>
      <c r="J41" s="252"/>
      <c r="K41" s="222"/>
      <c r="L41" s="222"/>
      <c r="M41" s="222"/>
      <c r="N41" s="222"/>
      <c r="O41" s="222"/>
      <c r="P41" s="222"/>
      <c r="Q41" s="222"/>
      <c r="R41" s="222"/>
      <c r="S41" s="222"/>
      <c r="T41" s="222"/>
      <c r="U41" s="222"/>
      <c r="V41" s="222"/>
      <c r="W41" s="222"/>
      <c r="X41" s="222"/>
    </row>
    <row r="42" ht="42.75" customHeight="1">
      <c r="A42" s="236">
        <v>33.0</v>
      </c>
      <c r="B42" s="237" t="s">
        <v>778</v>
      </c>
      <c r="C42" s="237" t="s">
        <v>779</v>
      </c>
      <c r="D42" s="238" t="s">
        <v>1405</v>
      </c>
      <c r="E42" s="239" t="s">
        <v>92</v>
      </c>
      <c r="F42" s="240">
        <v>46146.0</v>
      </c>
      <c r="G42" s="254" t="s">
        <v>1555</v>
      </c>
      <c r="H42" s="173" t="s">
        <v>16</v>
      </c>
      <c r="I42" s="242"/>
      <c r="J42" s="243"/>
      <c r="K42" s="222"/>
      <c r="L42" s="222"/>
      <c r="M42" s="222"/>
      <c r="N42" s="222"/>
      <c r="O42" s="222"/>
      <c r="P42" s="222"/>
      <c r="Q42" s="222"/>
      <c r="R42" s="222"/>
      <c r="S42" s="222"/>
      <c r="T42" s="222"/>
      <c r="U42" s="222"/>
      <c r="V42" s="222"/>
      <c r="W42" s="222"/>
      <c r="X42" s="222"/>
    </row>
    <row r="43" ht="42.75" customHeight="1">
      <c r="A43" s="244">
        <v>34.0</v>
      </c>
      <c r="B43" s="245" t="s">
        <v>780</v>
      </c>
      <c r="C43" s="245" t="s">
        <v>781</v>
      </c>
      <c r="D43" s="246" t="s">
        <v>1405</v>
      </c>
      <c r="E43" s="247" t="s">
        <v>92</v>
      </c>
      <c r="F43" s="248">
        <v>46146.0</v>
      </c>
      <c r="G43" s="255" t="s">
        <v>1560</v>
      </c>
      <c r="H43" s="250" t="s">
        <v>16</v>
      </c>
      <c r="I43" s="251"/>
      <c r="J43" s="252"/>
      <c r="K43" s="222"/>
      <c r="L43" s="222"/>
      <c r="M43" s="222"/>
      <c r="N43" s="222"/>
      <c r="O43" s="222"/>
      <c r="P43" s="222"/>
      <c r="Q43" s="222"/>
      <c r="R43" s="222"/>
      <c r="S43" s="222"/>
      <c r="T43" s="222"/>
      <c r="U43" s="222"/>
      <c r="V43" s="222"/>
      <c r="W43" s="222"/>
      <c r="X43" s="222"/>
    </row>
    <row r="44" ht="42.75" customHeight="1">
      <c r="A44" s="236">
        <v>35.0</v>
      </c>
      <c r="B44" s="237" t="s">
        <v>782</v>
      </c>
      <c r="C44" s="237" t="s">
        <v>783</v>
      </c>
      <c r="D44" s="238" t="s">
        <v>1411</v>
      </c>
      <c r="E44" s="239" t="s">
        <v>92</v>
      </c>
      <c r="F44" s="240">
        <v>46146.0</v>
      </c>
      <c r="G44" s="254" t="s">
        <v>1566</v>
      </c>
      <c r="H44" s="173" t="s">
        <v>16</v>
      </c>
      <c r="I44" s="242"/>
      <c r="J44" s="243"/>
      <c r="K44" s="222"/>
      <c r="L44" s="222"/>
      <c r="M44" s="222"/>
      <c r="N44" s="222"/>
      <c r="O44" s="222"/>
      <c r="P44" s="222"/>
      <c r="Q44" s="222"/>
      <c r="R44" s="222"/>
      <c r="S44" s="222"/>
      <c r="T44" s="222"/>
      <c r="U44" s="222"/>
      <c r="V44" s="222"/>
      <c r="W44" s="222"/>
      <c r="X44" s="222"/>
    </row>
    <row r="45" ht="42.75" customHeight="1">
      <c r="A45" s="244">
        <v>36.0</v>
      </c>
      <c r="B45" s="245" t="s">
        <v>785</v>
      </c>
      <c r="C45" s="245" t="s">
        <v>786</v>
      </c>
      <c r="D45" s="246" t="s">
        <v>1405</v>
      </c>
      <c r="E45" s="247" t="s">
        <v>92</v>
      </c>
      <c r="F45" s="248">
        <v>46146.0</v>
      </c>
      <c r="G45" s="253" t="s">
        <v>1571</v>
      </c>
      <c r="H45" s="250" t="s">
        <v>16</v>
      </c>
      <c r="I45" s="251"/>
      <c r="J45" s="252"/>
      <c r="K45" s="222"/>
      <c r="L45" s="222"/>
      <c r="M45" s="222"/>
      <c r="N45" s="222"/>
      <c r="O45" s="222"/>
      <c r="P45" s="222"/>
      <c r="Q45" s="222"/>
      <c r="R45" s="222"/>
      <c r="S45" s="222"/>
      <c r="T45" s="222"/>
      <c r="U45" s="222"/>
      <c r="V45" s="222"/>
      <c r="W45" s="222"/>
      <c r="X45" s="222"/>
    </row>
    <row r="46" ht="42.75" customHeight="1">
      <c r="A46" s="236">
        <v>37.0</v>
      </c>
      <c r="B46" s="237" t="s">
        <v>787</v>
      </c>
      <c r="C46" s="237" t="s">
        <v>788</v>
      </c>
      <c r="D46" s="238" t="s">
        <v>1416</v>
      </c>
      <c r="E46" s="239" t="s">
        <v>92</v>
      </c>
      <c r="F46" s="240">
        <v>46146.0</v>
      </c>
      <c r="G46" s="254" t="s">
        <v>1576</v>
      </c>
      <c r="H46" s="173" t="s">
        <v>16</v>
      </c>
      <c r="I46" s="242"/>
      <c r="J46" s="243"/>
      <c r="K46" s="222"/>
      <c r="L46" s="222"/>
      <c r="M46" s="222"/>
      <c r="N46" s="222"/>
      <c r="O46" s="222"/>
      <c r="P46" s="222"/>
      <c r="Q46" s="222"/>
      <c r="R46" s="222"/>
      <c r="S46" s="222"/>
      <c r="T46" s="222"/>
      <c r="U46" s="222"/>
      <c r="V46" s="222"/>
      <c r="W46" s="222"/>
      <c r="X46" s="222"/>
    </row>
    <row r="47" ht="42.75" customHeight="1">
      <c r="A47" s="244">
        <v>38.0</v>
      </c>
      <c r="B47" s="245" t="s">
        <v>789</v>
      </c>
      <c r="C47" s="245" t="s">
        <v>790</v>
      </c>
      <c r="D47" s="246" t="s">
        <v>1416</v>
      </c>
      <c r="E47" s="247" t="s">
        <v>92</v>
      </c>
      <c r="F47" s="248">
        <v>46146.0</v>
      </c>
      <c r="G47" s="253" t="s">
        <v>1582</v>
      </c>
      <c r="H47" s="250" t="s">
        <v>11</v>
      </c>
      <c r="I47" s="256" t="s">
        <v>1583</v>
      </c>
      <c r="J47" s="249" t="s">
        <v>1584</v>
      </c>
      <c r="K47" s="222"/>
      <c r="L47" s="222"/>
      <c r="M47" s="222"/>
      <c r="N47" s="222"/>
      <c r="O47" s="222"/>
      <c r="P47" s="222"/>
      <c r="Q47" s="222"/>
      <c r="R47" s="222"/>
      <c r="S47" s="222"/>
      <c r="T47" s="222"/>
      <c r="U47" s="222"/>
      <c r="V47" s="222"/>
      <c r="W47" s="222"/>
      <c r="X47" s="222"/>
    </row>
    <row r="48" ht="42.75" customHeight="1">
      <c r="A48" s="236">
        <v>39.0</v>
      </c>
      <c r="B48" s="237" t="s">
        <v>792</v>
      </c>
      <c r="C48" s="237" t="s">
        <v>793</v>
      </c>
      <c r="D48" s="238" t="s">
        <v>1405</v>
      </c>
      <c r="E48" s="239" t="s">
        <v>92</v>
      </c>
      <c r="F48" s="240">
        <v>46146.0</v>
      </c>
      <c r="G48" s="257" t="s">
        <v>1590</v>
      </c>
      <c r="H48" s="173" t="s">
        <v>16</v>
      </c>
      <c r="I48" s="242"/>
      <c r="J48" s="243"/>
      <c r="K48" s="222"/>
      <c r="L48" s="222"/>
      <c r="M48" s="222"/>
      <c r="N48" s="222"/>
      <c r="O48" s="222"/>
      <c r="P48" s="222"/>
      <c r="Q48" s="222"/>
      <c r="R48" s="222"/>
      <c r="S48" s="222"/>
      <c r="T48" s="222"/>
      <c r="U48" s="222"/>
      <c r="V48" s="222"/>
      <c r="W48" s="222"/>
      <c r="X48" s="222"/>
    </row>
    <row r="49" ht="42.75" customHeight="1">
      <c r="A49" s="244">
        <v>40.0</v>
      </c>
      <c r="B49" s="245" t="s">
        <v>794</v>
      </c>
      <c r="C49" s="245" t="s">
        <v>795</v>
      </c>
      <c r="D49" s="246" t="s">
        <v>1411</v>
      </c>
      <c r="E49" s="247" t="s">
        <v>92</v>
      </c>
      <c r="F49" s="248">
        <v>46146.0</v>
      </c>
      <c r="G49" s="255" t="s">
        <v>1595</v>
      </c>
      <c r="H49" s="250" t="s">
        <v>16</v>
      </c>
      <c r="I49" s="251"/>
      <c r="J49" s="252"/>
      <c r="K49" s="222"/>
      <c r="L49" s="222"/>
      <c r="M49" s="222"/>
      <c r="N49" s="222"/>
      <c r="O49" s="222"/>
      <c r="P49" s="222"/>
      <c r="Q49" s="222"/>
      <c r="R49" s="222"/>
      <c r="S49" s="222"/>
      <c r="T49" s="222"/>
      <c r="U49" s="222"/>
      <c r="V49" s="222"/>
      <c r="W49" s="222"/>
      <c r="X49" s="222"/>
    </row>
    <row r="50" ht="42.75" customHeight="1">
      <c r="A50" s="236">
        <v>41.0</v>
      </c>
      <c r="B50" s="237" t="s">
        <v>797</v>
      </c>
      <c r="C50" s="237" t="s">
        <v>798</v>
      </c>
      <c r="D50" s="238" t="s">
        <v>1411</v>
      </c>
      <c r="E50" s="239" t="s">
        <v>92</v>
      </c>
      <c r="F50" s="240">
        <v>46146.0</v>
      </c>
      <c r="G50" s="254" t="s">
        <v>1601</v>
      </c>
      <c r="H50" s="173" t="s">
        <v>16</v>
      </c>
      <c r="I50" s="242"/>
      <c r="J50" s="243"/>
      <c r="K50" s="222"/>
      <c r="L50" s="222"/>
      <c r="M50" s="222"/>
      <c r="N50" s="222"/>
      <c r="O50" s="222"/>
      <c r="P50" s="222"/>
      <c r="Q50" s="222"/>
      <c r="R50" s="222"/>
      <c r="S50" s="222"/>
      <c r="T50" s="222"/>
      <c r="U50" s="222"/>
      <c r="V50" s="222"/>
      <c r="W50" s="222"/>
      <c r="X50" s="222"/>
    </row>
    <row r="51" ht="42.75" customHeight="1">
      <c r="A51" s="244">
        <v>42.0</v>
      </c>
      <c r="B51" s="245" t="s">
        <v>799</v>
      </c>
      <c r="C51" s="245" t="s">
        <v>800</v>
      </c>
      <c r="D51" s="246" t="s">
        <v>1405</v>
      </c>
      <c r="E51" s="247" t="s">
        <v>92</v>
      </c>
      <c r="F51" s="248">
        <v>46146.0</v>
      </c>
      <c r="G51" s="253" t="s">
        <v>1606</v>
      </c>
      <c r="H51" s="250" t="s">
        <v>16</v>
      </c>
      <c r="I51" s="251"/>
      <c r="J51" s="252"/>
      <c r="K51" s="222"/>
      <c r="L51" s="222"/>
      <c r="M51" s="222"/>
      <c r="N51" s="222"/>
      <c r="O51" s="222"/>
      <c r="P51" s="222"/>
      <c r="Q51" s="222"/>
      <c r="R51" s="222"/>
      <c r="S51" s="222"/>
      <c r="T51" s="222"/>
      <c r="U51" s="222"/>
      <c r="V51" s="222"/>
      <c r="W51" s="222"/>
      <c r="X51" s="222"/>
    </row>
    <row r="52" ht="42.75" customHeight="1">
      <c r="A52" s="236">
        <v>43.0</v>
      </c>
      <c r="B52" s="237" t="s">
        <v>802</v>
      </c>
      <c r="C52" s="237" t="s">
        <v>803</v>
      </c>
      <c r="D52" s="238" t="s">
        <v>1405</v>
      </c>
      <c r="E52" s="239" t="s">
        <v>92</v>
      </c>
      <c r="F52" s="240">
        <v>46146.0</v>
      </c>
      <c r="G52" s="257" t="s">
        <v>1612</v>
      </c>
      <c r="H52" s="173" t="s">
        <v>16</v>
      </c>
      <c r="I52" s="242"/>
      <c r="J52" s="243"/>
      <c r="K52" s="222"/>
      <c r="L52" s="222"/>
      <c r="M52" s="222"/>
      <c r="N52" s="222"/>
      <c r="O52" s="222"/>
      <c r="P52" s="222"/>
      <c r="Q52" s="222"/>
      <c r="R52" s="222"/>
      <c r="S52" s="222"/>
      <c r="T52" s="222"/>
      <c r="U52" s="222"/>
      <c r="V52" s="222"/>
      <c r="W52" s="222"/>
      <c r="X52" s="222"/>
    </row>
    <row r="53" ht="42.75" customHeight="1">
      <c r="A53" s="244">
        <v>44.0</v>
      </c>
      <c r="B53" s="245" t="s">
        <v>804</v>
      </c>
      <c r="C53" s="245" t="s">
        <v>805</v>
      </c>
      <c r="D53" s="246" t="s">
        <v>1405</v>
      </c>
      <c r="E53" s="247" t="s">
        <v>92</v>
      </c>
      <c r="F53" s="248">
        <v>46146.0</v>
      </c>
      <c r="G53" s="255" t="s">
        <v>1618</v>
      </c>
      <c r="H53" s="250" t="s">
        <v>16</v>
      </c>
      <c r="I53" s="251"/>
      <c r="J53" s="252"/>
      <c r="K53" s="222"/>
      <c r="L53" s="222"/>
      <c r="M53" s="222"/>
      <c r="N53" s="222"/>
      <c r="O53" s="222"/>
      <c r="P53" s="222"/>
      <c r="Q53" s="222"/>
      <c r="R53" s="222"/>
      <c r="S53" s="222"/>
      <c r="T53" s="222"/>
      <c r="U53" s="222"/>
      <c r="V53" s="222"/>
      <c r="W53" s="222"/>
      <c r="X53" s="222"/>
    </row>
    <row r="54" ht="42.75" customHeight="1">
      <c r="A54" s="236">
        <v>45.0</v>
      </c>
      <c r="B54" s="237" t="s">
        <v>806</v>
      </c>
      <c r="C54" s="237" t="s">
        <v>807</v>
      </c>
      <c r="D54" s="238" t="s">
        <v>1416</v>
      </c>
      <c r="E54" s="239" t="s">
        <v>92</v>
      </c>
      <c r="F54" s="240">
        <v>46146.0</v>
      </c>
      <c r="G54" s="257" t="s">
        <v>1624</v>
      </c>
      <c r="H54" s="173" t="s">
        <v>16</v>
      </c>
      <c r="I54" s="242"/>
      <c r="J54" s="243"/>
      <c r="K54" s="222"/>
      <c r="L54" s="222"/>
      <c r="M54" s="222"/>
      <c r="N54" s="222"/>
      <c r="O54" s="222"/>
      <c r="P54" s="222"/>
      <c r="Q54" s="222"/>
      <c r="R54" s="222"/>
      <c r="S54" s="222"/>
      <c r="T54" s="222"/>
      <c r="U54" s="222"/>
      <c r="V54" s="222"/>
      <c r="W54" s="222"/>
      <c r="X54" s="222"/>
    </row>
    <row r="55" ht="42.75" customHeight="1">
      <c r="A55" s="244">
        <v>46.0</v>
      </c>
      <c r="B55" s="245" t="s">
        <v>809</v>
      </c>
      <c r="C55" s="245" t="s">
        <v>810</v>
      </c>
      <c r="D55" s="246" t="s">
        <v>1405</v>
      </c>
      <c r="E55" s="247" t="s">
        <v>92</v>
      </c>
      <c r="F55" s="248">
        <v>46146.0</v>
      </c>
      <c r="G55" s="253" t="s">
        <v>1629</v>
      </c>
      <c r="H55" s="250" t="s">
        <v>16</v>
      </c>
      <c r="I55" s="251"/>
      <c r="J55" s="252"/>
      <c r="K55" s="222"/>
      <c r="L55" s="222"/>
      <c r="M55" s="222"/>
      <c r="N55" s="222"/>
      <c r="O55" s="222"/>
      <c r="P55" s="222"/>
      <c r="Q55" s="222"/>
      <c r="R55" s="222"/>
      <c r="S55" s="222"/>
      <c r="T55" s="222"/>
      <c r="U55" s="222"/>
      <c r="V55" s="222"/>
      <c r="W55" s="222"/>
      <c r="X55" s="222"/>
    </row>
    <row r="56" ht="42.75" customHeight="1">
      <c r="A56" s="236">
        <v>47.0</v>
      </c>
      <c r="B56" s="237" t="s">
        <v>811</v>
      </c>
      <c r="C56" s="237" t="s">
        <v>812</v>
      </c>
      <c r="D56" s="238" t="s">
        <v>1405</v>
      </c>
      <c r="E56" s="239" t="s">
        <v>92</v>
      </c>
      <c r="F56" s="240">
        <v>46146.0</v>
      </c>
      <c r="G56" s="254" t="s">
        <v>1634</v>
      </c>
      <c r="H56" s="173" t="s">
        <v>16</v>
      </c>
      <c r="I56" s="242"/>
      <c r="J56" s="243"/>
      <c r="K56" s="222"/>
      <c r="L56" s="222"/>
      <c r="M56" s="222"/>
      <c r="N56" s="222"/>
      <c r="O56" s="222"/>
      <c r="P56" s="222"/>
      <c r="Q56" s="222"/>
      <c r="R56" s="222"/>
      <c r="S56" s="222"/>
      <c r="T56" s="222"/>
      <c r="U56" s="222"/>
      <c r="V56" s="222"/>
      <c r="W56" s="222"/>
      <c r="X56" s="222"/>
    </row>
    <row r="57" ht="42.75" customHeight="1">
      <c r="A57" s="244">
        <v>48.0</v>
      </c>
      <c r="B57" s="245" t="s">
        <v>813</v>
      </c>
      <c r="C57" s="245" t="s">
        <v>814</v>
      </c>
      <c r="D57" s="246" t="s">
        <v>1416</v>
      </c>
      <c r="E57" s="247" t="s">
        <v>92</v>
      </c>
      <c r="F57" s="248">
        <v>46146.0</v>
      </c>
      <c r="G57" s="255" t="s">
        <v>1640</v>
      </c>
      <c r="H57" s="250" t="s">
        <v>16</v>
      </c>
      <c r="I57" s="251"/>
      <c r="J57" s="252"/>
      <c r="K57" s="222"/>
      <c r="L57" s="222"/>
      <c r="M57" s="222"/>
      <c r="N57" s="222"/>
      <c r="O57" s="222"/>
      <c r="P57" s="222"/>
      <c r="Q57" s="222"/>
      <c r="R57" s="222"/>
      <c r="S57" s="222"/>
      <c r="T57" s="222"/>
      <c r="U57" s="222"/>
      <c r="V57" s="222"/>
      <c r="W57" s="222"/>
      <c r="X57" s="222"/>
    </row>
    <row r="58" ht="42.75" customHeight="1">
      <c r="A58" s="236">
        <v>49.0</v>
      </c>
      <c r="B58" s="237" t="s">
        <v>816</v>
      </c>
      <c r="C58" s="237" t="s">
        <v>817</v>
      </c>
      <c r="D58" s="238" t="s">
        <v>1405</v>
      </c>
      <c r="E58" s="239" t="s">
        <v>92</v>
      </c>
      <c r="F58" s="240">
        <v>46146.0</v>
      </c>
      <c r="G58" s="254" t="s">
        <v>1645</v>
      </c>
      <c r="H58" s="173" t="s">
        <v>16</v>
      </c>
      <c r="I58" s="242"/>
      <c r="J58" s="243"/>
      <c r="K58" s="222"/>
      <c r="L58" s="222"/>
      <c r="M58" s="222"/>
      <c r="N58" s="222"/>
      <c r="O58" s="222"/>
      <c r="P58" s="222"/>
      <c r="Q58" s="222"/>
      <c r="R58" s="222"/>
      <c r="S58" s="222"/>
      <c r="T58" s="222"/>
      <c r="U58" s="222"/>
      <c r="V58" s="222"/>
      <c r="W58" s="222"/>
      <c r="X58" s="222"/>
    </row>
    <row r="59" ht="42.75" customHeight="1">
      <c r="A59" s="244">
        <v>50.0</v>
      </c>
      <c r="B59" s="245" t="s">
        <v>818</v>
      </c>
      <c r="C59" s="245" t="s">
        <v>819</v>
      </c>
      <c r="D59" s="246" t="s">
        <v>1405</v>
      </c>
      <c r="E59" s="247" t="s">
        <v>92</v>
      </c>
      <c r="F59" s="248">
        <v>46146.0</v>
      </c>
      <c r="G59" s="253" t="s">
        <v>1650</v>
      </c>
      <c r="H59" s="250" t="s">
        <v>16</v>
      </c>
      <c r="I59" s="251"/>
      <c r="J59" s="252"/>
      <c r="K59" s="222"/>
      <c r="L59" s="222"/>
      <c r="M59" s="222"/>
      <c r="N59" s="222"/>
      <c r="O59" s="222"/>
      <c r="P59" s="222"/>
      <c r="Q59" s="222"/>
      <c r="R59" s="222"/>
      <c r="S59" s="222"/>
      <c r="T59" s="222"/>
      <c r="U59" s="222"/>
      <c r="V59" s="222"/>
      <c r="W59" s="222"/>
      <c r="X59" s="222"/>
    </row>
    <row r="60" ht="42.75" customHeight="1">
      <c r="A60" s="236">
        <v>51.0</v>
      </c>
      <c r="B60" s="237" t="s">
        <v>820</v>
      </c>
      <c r="C60" s="237" t="s">
        <v>821</v>
      </c>
      <c r="D60" s="238" t="s">
        <v>1405</v>
      </c>
      <c r="E60" s="239" t="s">
        <v>92</v>
      </c>
      <c r="F60" s="240">
        <v>46146.0</v>
      </c>
      <c r="G60" s="254" t="s">
        <v>1655</v>
      </c>
      <c r="H60" s="173" t="s">
        <v>16</v>
      </c>
      <c r="I60" s="242"/>
      <c r="J60" s="243"/>
      <c r="K60" s="222"/>
      <c r="L60" s="222"/>
      <c r="M60" s="222"/>
      <c r="N60" s="222"/>
      <c r="O60" s="222"/>
      <c r="P60" s="222"/>
      <c r="Q60" s="222"/>
      <c r="R60" s="222"/>
      <c r="S60" s="222"/>
      <c r="T60" s="222"/>
      <c r="U60" s="222"/>
      <c r="V60" s="222"/>
      <c r="W60" s="222"/>
      <c r="X60" s="222"/>
    </row>
    <row r="61" ht="42.75" customHeight="1">
      <c r="A61" s="244">
        <v>52.0</v>
      </c>
      <c r="B61" s="245" t="s">
        <v>823</v>
      </c>
      <c r="C61" s="245" t="s">
        <v>824</v>
      </c>
      <c r="D61" s="246" t="s">
        <v>1405</v>
      </c>
      <c r="E61" s="247" t="s">
        <v>92</v>
      </c>
      <c r="F61" s="248">
        <v>46146.0</v>
      </c>
      <c r="G61" s="255" t="s">
        <v>1661</v>
      </c>
      <c r="H61" s="250" t="s">
        <v>16</v>
      </c>
      <c r="I61" s="251"/>
      <c r="J61" s="252"/>
      <c r="K61" s="222"/>
      <c r="L61" s="222"/>
      <c r="M61" s="222"/>
      <c r="N61" s="222"/>
      <c r="O61" s="222"/>
      <c r="P61" s="222"/>
      <c r="Q61" s="222"/>
      <c r="R61" s="222"/>
      <c r="S61" s="222"/>
      <c r="T61" s="222"/>
      <c r="U61" s="222"/>
      <c r="V61" s="222"/>
      <c r="W61" s="222"/>
      <c r="X61" s="222"/>
    </row>
    <row r="62" ht="42.75" customHeight="1">
      <c r="A62" s="236">
        <v>53.0</v>
      </c>
      <c r="B62" s="237" t="s">
        <v>825</v>
      </c>
      <c r="C62" s="237" t="s">
        <v>826</v>
      </c>
      <c r="D62" s="238" t="s">
        <v>1416</v>
      </c>
      <c r="E62" s="239" t="s">
        <v>92</v>
      </c>
      <c r="F62" s="240">
        <v>46146.0</v>
      </c>
      <c r="G62" s="257" t="s">
        <v>1667</v>
      </c>
      <c r="H62" s="173" t="s">
        <v>16</v>
      </c>
      <c r="I62" s="242"/>
      <c r="J62" s="243"/>
      <c r="K62" s="222"/>
      <c r="L62" s="222"/>
      <c r="M62" s="222"/>
      <c r="N62" s="222"/>
      <c r="O62" s="222"/>
      <c r="P62" s="222"/>
      <c r="Q62" s="222"/>
      <c r="R62" s="222"/>
      <c r="S62" s="222"/>
      <c r="T62" s="222"/>
      <c r="U62" s="222"/>
      <c r="V62" s="222"/>
      <c r="W62" s="222"/>
      <c r="X62" s="222"/>
    </row>
    <row r="63" ht="42.75" customHeight="1">
      <c r="A63" s="244">
        <v>54.0</v>
      </c>
      <c r="B63" s="245" t="s">
        <v>828</v>
      </c>
      <c r="C63" s="245" t="s">
        <v>829</v>
      </c>
      <c r="D63" s="246" t="s">
        <v>1405</v>
      </c>
      <c r="E63" s="247" t="s">
        <v>92</v>
      </c>
      <c r="F63" s="248">
        <v>46146.0</v>
      </c>
      <c r="G63" s="255" t="s">
        <v>1673</v>
      </c>
      <c r="H63" s="250" t="s">
        <v>16</v>
      </c>
      <c r="I63" s="251"/>
      <c r="J63" s="252"/>
      <c r="K63" s="222"/>
      <c r="L63" s="222"/>
      <c r="M63" s="222"/>
      <c r="N63" s="222"/>
      <c r="O63" s="222"/>
      <c r="P63" s="222"/>
      <c r="Q63" s="222"/>
      <c r="R63" s="222"/>
      <c r="S63" s="222"/>
      <c r="T63" s="222"/>
      <c r="U63" s="222"/>
      <c r="V63" s="222"/>
      <c r="W63" s="222"/>
      <c r="X63" s="222"/>
    </row>
    <row r="64" ht="42.75" customHeight="1">
      <c r="A64" s="236">
        <v>55.0</v>
      </c>
      <c r="B64" s="237" t="s">
        <v>830</v>
      </c>
      <c r="C64" s="237" t="s">
        <v>831</v>
      </c>
      <c r="D64" s="238" t="s">
        <v>1411</v>
      </c>
      <c r="E64" s="239" t="s">
        <v>92</v>
      </c>
      <c r="F64" s="240">
        <v>46146.0</v>
      </c>
      <c r="G64" s="254" t="s">
        <v>1678</v>
      </c>
      <c r="H64" s="173" t="s">
        <v>16</v>
      </c>
      <c r="I64" s="242"/>
      <c r="J64" s="243"/>
      <c r="K64" s="222"/>
      <c r="L64" s="222"/>
      <c r="M64" s="222"/>
      <c r="N64" s="222"/>
      <c r="O64" s="222"/>
      <c r="P64" s="222"/>
      <c r="Q64" s="222"/>
      <c r="R64" s="222"/>
      <c r="S64" s="222"/>
      <c r="T64" s="222"/>
      <c r="U64" s="222"/>
      <c r="V64" s="222"/>
      <c r="W64" s="222"/>
      <c r="X64" s="222"/>
    </row>
    <row r="65" ht="42.75" customHeight="1">
      <c r="A65" s="244">
        <v>56.0</v>
      </c>
      <c r="B65" s="245" t="s">
        <v>832</v>
      </c>
      <c r="C65" s="245" t="s">
        <v>833</v>
      </c>
      <c r="D65" s="246" t="s">
        <v>1416</v>
      </c>
      <c r="E65" s="247" t="s">
        <v>92</v>
      </c>
      <c r="F65" s="248">
        <v>46146.0</v>
      </c>
      <c r="G65" s="253" t="s">
        <v>1683</v>
      </c>
      <c r="H65" s="250" t="s">
        <v>16</v>
      </c>
      <c r="I65" s="251"/>
      <c r="J65" s="252"/>
      <c r="K65" s="222"/>
      <c r="L65" s="222"/>
      <c r="M65" s="222"/>
      <c r="N65" s="222"/>
      <c r="O65" s="222"/>
      <c r="P65" s="222"/>
      <c r="Q65" s="222"/>
      <c r="R65" s="222"/>
      <c r="S65" s="222"/>
      <c r="T65" s="222"/>
      <c r="U65" s="222"/>
      <c r="V65" s="222"/>
      <c r="W65" s="222"/>
      <c r="X65" s="222"/>
    </row>
    <row r="66" ht="42.75" customHeight="1">
      <c r="A66" s="236">
        <v>57.0</v>
      </c>
      <c r="B66" s="237" t="s">
        <v>835</v>
      </c>
      <c r="C66" s="237" t="s">
        <v>836</v>
      </c>
      <c r="D66" s="238" t="s">
        <v>1405</v>
      </c>
      <c r="E66" s="239" t="s">
        <v>92</v>
      </c>
      <c r="F66" s="240">
        <v>46146.0</v>
      </c>
      <c r="G66" s="254" t="s">
        <v>1689</v>
      </c>
      <c r="H66" s="173" t="s">
        <v>16</v>
      </c>
      <c r="I66" s="242"/>
      <c r="J66" s="243"/>
      <c r="K66" s="222"/>
      <c r="L66" s="222"/>
      <c r="M66" s="222"/>
      <c r="N66" s="222"/>
      <c r="O66" s="222"/>
      <c r="P66" s="222"/>
      <c r="Q66" s="222"/>
      <c r="R66" s="222"/>
      <c r="S66" s="222"/>
      <c r="T66" s="222"/>
      <c r="U66" s="222"/>
      <c r="V66" s="222"/>
      <c r="W66" s="222"/>
      <c r="X66" s="222"/>
    </row>
    <row r="67" ht="42.75" customHeight="1">
      <c r="A67" s="244">
        <v>58.0</v>
      </c>
      <c r="B67" s="245" t="s">
        <v>837</v>
      </c>
      <c r="C67" s="245" t="s">
        <v>838</v>
      </c>
      <c r="D67" s="246" t="s">
        <v>1405</v>
      </c>
      <c r="E67" s="247" t="s">
        <v>92</v>
      </c>
      <c r="F67" s="248">
        <v>46146.0</v>
      </c>
      <c r="G67" s="255" t="s">
        <v>1695</v>
      </c>
      <c r="H67" s="250" t="s">
        <v>16</v>
      </c>
      <c r="I67" s="251"/>
      <c r="J67" s="252"/>
      <c r="K67" s="222"/>
      <c r="L67" s="222"/>
      <c r="M67" s="222"/>
      <c r="N67" s="222"/>
      <c r="O67" s="222"/>
      <c r="P67" s="222"/>
      <c r="Q67" s="222"/>
      <c r="R67" s="222"/>
      <c r="S67" s="222"/>
      <c r="T67" s="222"/>
      <c r="U67" s="222"/>
      <c r="V67" s="222"/>
      <c r="W67" s="222"/>
      <c r="X67" s="222"/>
    </row>
    <row r="68" ht="42.75" customHeight="1">
      <c r="A68" s="236">
        <v>59.0</v>
      </c>
      <c r="B68" s="237" t="s">
        <v>839</v>
      </c>
      <c r="C68" s="237" t="s">
        <v>840</v>
      </c>
      <c r="D68" s="238" t="s">
        <v>1416</v>
      </c>
      <c r="E68" s="239" t="s">
        <v>92</v>
      </c>
      <c r="F68" s="240">
        <v>46146.0</v>
      </c>
      <c r="G68" s="254" t="s">
        <v>1700</v>
      </c>
      <c r="H68" s="173" t="s">
        <v>16</v>
      </c>
      <c r="I68" s="242"/>
      <c r="J68" s="243"/>
      <c r="K68" s="222"/>
      <c r="L68" s="222"/>
      <c r="M68" s="222"/>
      <c r="N68" s="222"/>
      <c r="O68" s="222"/>
      <c r="P68" s="222"/>
      <c r="Q68" s="222"/>
      <c r="R68" s="222"/>
      <c r="S68" s="222"/>
      <c r="T68" s="222"/>
      <c r="U68" s="222"/>
      <c r="V68" s="222"/>
      <c r="W68" s="222"/>
      <c r="X68" s="222"/>
    </row>
    <row r="69" ht="42.75" customHeight="1">
      <c r="A69" s="244">
        <v>60.0</v>
      </c>
      <c r="B69" s="245" t="s">
        <v>842</v>
      </c>
      <c r="C69" s="245" t="s">
        <v>843</v>
      </c>
      <c r="D69" s="246" t="s">
        <v>1405</v>
      </c>
      <c r="E69" s="247" t="s">
        <v>92</v>
      </c>
      <c r="F69" s="248">
        <v>46146.0</v>
      </c>
      <c r="G69" s="253" t="s">
        <v>1705</v>
      </c>
      <c r="H69" s="250" t="s">
        <v>16</v>
      </c>
      <c r="I69" s="251"/>
      <c r="J69" s="252"/>
      <c r="K69" s="222"/>
      <c r="L69" s="222"/>
      <c r="M69" s="222"/>
      <c r="N69" s="222"/>
      <c r="O69" s="222"/>
      <c r="P69" s="222"/>
      <c r="Q69" s="222"/>
      <c r="R69" s="222"/>
      <c r="S69" s="222"/>
      <c r="T69" s="222"/>
      <c r="U69" s="222"/>
      <c r="V69" s="222"/>
      <c r="W69" s="222"/>
      <c r="X69" s="222"/>
    </row>
    <row r="70" ht="42.75" customHeight="1">
      <c r="A70" s="236">
        <v>61.0</v>
      </c>
      <c r="B70" s="237" t="s">
        <v>844</v>
      </c>
      <c r="C70" s="237" t="s">
        <v>845</v>
      </c>
      <c r="D70" s="238" t="s">
        <v>1405</v>
      </c>
      <c r="E70" s="239" t="s">
        <v>92</v>
      </c>
      <c r="F70" s="240">
        <v>46146.0</v>
      </c>
      <c r="G70" s="254" t="s">
        <v>1711</v>
      </c>
      <c r="H70" s="173" t="s">
        <v>16</v>
      </c>
      <c r="I70" s="242"/>
      <c r="J70" s="243"/>
      <c r="K70" s="222"/>
      <c r="L70" s="222"/>
      <c r="M70" s="222"/>
      <c r="N70" s="222"/>
      <c r="O70" s="222"/>
      <c r="P70" s="222"/>
      <c r="Q70" s="222"/>
      <c r="R70" s="222"/>
      <c r="S70" s="222"/>
      <c r="T70" s="222"/>
      <c r="U70" s="222"/>
      <c r="V70" s="222"/>
      <c r="W70" s="222"/>
      <c r="X70" s="222"/>
    </row>
    <row r="71" ht="42.75" customHeight="1">
      <c r="A71" s="244">
        <v>62.0</v>
      </c>
      <c r="B71" s="245" t="s">
        <v>846</v>
      </c>
      <c r="C71" s="245" t="s">
        <v>847</v>
      </c>
      <c r="D71" s="246" t="s">
        <v>1411</v>
      </c>
      <c r="E71" s="247" t="s">
        <v>92</v>
      </c>
      <c r="F71" s="248">
        <v>46146.0</v>
      </c>
      <c r="G71" s="253" t="s">
        <v>1716</v>
      </c>
      <c r="H71" s="250" t="s">
        <v>16</v>
      </c>
      <c r="I71" s="251"/>
      <c r="J71" s="252"/>
      <c r="K71" s="222"/>
      <c r="L71" s="222"/>
      <c r="M71" s="222"/>
      <c r="N71" s="222"/>
      <c r="O71" s="222"/>
      <c r="P71" s="222"/>
      <c r="Q71" s="222"/>
      <c r="R71" s="222"/>
      <c r="S71" s="222"/>
      <c r="T71" s="222"/>
      <c r="U71" s="222"/>
      <c r="V71" s="222"/>
      <c r="W71" s="222"/>
      <c r="X71" s="222"/>
    </row>
    <row r="72" ht="42.75" customHeight="1">
      <c r="A72" s="236">
        <v>63.0</v>
      </c>
      <c r="B72" s="237" t="s">
        <v>849</v>
      </c>
      <c r="C72" s="237" t="s">
        <v>850</v>
      </c>
      <c r="D72" s="238" t="s">
        <v>1405</v>
      </c>
      <c r="E72" s="239" t="s">
        <v>92</v>
      </c>
      <c r="F72" s="240">
        <v>46146.0</v>
      </c>
      <c r="G72" s="257" t="s">
        <v>1722</v>
      </c>
      <c r="H72" s="173" t="s">
        <v>16</v>
      </c>
      <c r="I72" s="242"/>
      <c r="J72" s="243"/>
      <c r="K72" s="222"/>
      <c r="L72" s="222"/>
      <c r="M72" s="222"/>
      <c r="N72" s="222"/>
      <c r="O72" s="222"/>
      <c r="P72" s="222"/>
      <c r="Q72" s="222"/>
      <c r="R72" s="222"/>
      <c r="S72" s="222"/>
      <c r="T72" s="222"/>
      <c r="U72" s="222"/>
      <c r="V72" s="222"/>
      <c r="W72" s="222"/>
      <c r="X72" s="222"/>
    </row>
    <row r="73" ht="42.75" customHeight="1">
      <c r="A73" s="244">
        <v>64.0</v>
      </c>
      <c r="B73" s="245" t="s">
        <v>851</v>
      </c>
      <c r="C73" s="245" t="s">
        <v>852</v>
      </c>
      <c r="D73" s="246" t="s">
        <v>1405</v>
      </c>
      <c r="E73" s="247" t="s">
        <v>92</v>
      </c>
      <c r="F73" s="248">
        <v>46146.0</v>
      </c>
      <c r="G73" s="255" t="s">
        <v>1728</v>
      </c>
      <c r="H73" s="250" t="s">
        <v>16</v>
      </c>
      <c r="I73" s="251"/>
      <c r="J73" s="252"/>
      <c r="K73" s="222"/>
      <c r="L73" s="222"/>
      <c r="M73" s="222"/>
      <c r="N73" s="222"/>
      <c r="O73" s="222"/>
      <c r="P73" s="222"/>
      <c r="Q73" s="222"/>
      <c r="R73" s="222"/>
      <c r="S73" s="222"/>
      <c r="T73" s="222"/>
      <c r="U73" s="222"/>
      <c r="V73" s="222"/>
      <c r="W73" s="222"/>
      <c r="X73" s="222"/>
    </row>
    <row r="74" ht="42.75" customHeight="1">
      <c r="A74" s="236">
        <v>65.0</v>
      </c>
      <c r="B74" s="237" t="s">
        <v>854</v>
      </c>
      <c r="C74" s="237" t="s">
        <v>855</v>
      </c>
      <c r="D74" s="238" t="s">
        <v>1405</v>
      </c>
      <c r="E74" s="239" t="s">
        <v>92</v>
      </c>
      <c r="F74" s="240">
        <v>46146.0</v>
      </c>
      <c r="G74" s="254" t="s">
        <v>1733</v>
      </c>
      <c r="H74" s="173" t="s">
        <v>16</v>
      </c>
      <c r="I74" s="242"/>
      <c r="J74" s="243"/>
      <c r="K74" s="222"/>
      <c r="L74" s="222"/>
      <c r="M74" s="222"/>
      <c r="N74" s="222"/>
      <c r="O74" s="222"/>
      <c r="P74" s="222"/>
      <c r="Q74" s="222"/>
      <c r="R74" s="222"/>
      <c r="S74" s="222"/>
      <c r="T74" s="222"/>
      <c r="U74" s="222"/>
      <c r="V74" s="222"/>
      <c r="W74" s="222"/>
      <c r="X74" s="222"/>
    </row>
    <row r="75" ht="42.75" customHeight="1">
      <c r="A75" s="244">
        <v>66.0</v>
      </c>
      <c r="B75" s="245" t="s">
        <v>856</v>
      </c>
      <c r="C75" s="245" t="s">
        <v>857</v>
      </c>
      <c r="D75" s="246" t="s">
        <v>1405</v>
      </c>
      <c r="E75" s="247" t="s">
        <v>92</v>
      </c>
      <c r="F75" s="248">
        <v>46146.0</v>
      </c>
      <c r="G75" s="253" t="s">
        <v>1738</v>
      </c>
      <c r="H75" s="250" t="s">
        <v>16</v>
      </c>
      <c r="I75" s="251"/>
      <c r="J75" s="252"/>
      <c r="K75" s="222"/>
      <c r="L75" s="222"/>
      <c r="M75" s="222"/>
      <c r="N75" s="222"/>
      <c r="O75" s="222"/>
      <c r="P75" s="222"/>
      <c r="Q75" s="222"/>
      <c r="R75" s="222"/>
      <c r="S75" s="222"/>
      <c r="T75" s="222"/>
      <c r="U75" s="222"/>
      <c r="V75" s="222"/>
      <c r="W75" s="222"/>
      <c r="X75" s="222"/>
    </row>
    <row r="76" ht="42.75" customHeight="1">
      <c r="A76" s="236">
        <v>67.0</v>
      </c>
      <c r="B76" s="237" t="s">
        <v>858</v>
      </c>
      <c r="C76" s="237" t="s">
        <v>859</v>
      </c>
      <c r="D76" s="238" t="s">
        <v>1416</v>
      </c>
      <c r="E76" s="239" t="s">
        <v>92</v>
      </c>
      <c r="F76" s="240">
        <v>46146.0</v>
      </c>
      <c r="G76" s="254" t="s">
        <v>1743</v>
      </c>
      <c r="H76" s="173" t="s">
        <v>16</v>
      </c>
      <c r="I76" s="242"/>
      <c r="J76" s="243"/>
      <c r="K76" s="222"/>
      <c r="L76" s="222"/>
      <c r="M76" s="222"/>
      <c r="N76" s="222"/>
      <c r="O76" s="222"/>
      <c r="P76" s="222"/>
      <c r="Q76" s="222"/>
      <c r="R76" s="222"/>
      <c r="S76" s="222"/>
      <c r="T76" s="222"/>
      <c r="U76" s="222"/>
      <c r="V76" s="222"/>
      <c r="W76" s="222"/>
      <c r="X76" s="222"/>
    </row>
    <row r="77" ht="42.75" customHeight="1">
      <c r="A77" s="244">
        <v>68.0</v>
      </c>
      <c r="B77" s="245" t="s">
        <v>861</v>
      </c>
      <c r="C77" s="245" t="s">
        <v>862</v>
      </c>
      <c r="D77" s="246" t="s">
        <v>1405</v>
      </c>
      <c r="E77" s="247" t="s">
        <v>92</v>
      </c>
      <c r="F77" s="248">
        <v>46146.0</v>
      </c>
      <c r="G77" s="255" t="s">
        <v>1749</v>
      </c>
      <c r="H77" s="250" t="s">
        <v>16</v>
      </c>
      <c r="I77" s="251"/>
      <c r="J77" s="252"/>
      <c r="K77" s="222"/>
      <c r="L77" s="222"/>
      <c r="M77" s="222"/>
      <c r="N77" s="222"/>
      <c r="O77" s="222"/>
      <c r="P77" s="222"/>
      <c r="Q77" s="222"/>
      <c r="R77" s="222"/>
      <c r="S77" s="222"/>
      <c r="T77" s="222"/>
      <c r="U77" s="222"/>
      <c r="V77" s="222"/>
      <c r="W77" s="222"/>
      <c r="X77" s="222"/>
    </row>
    <row r="78" ht="42.75" customHeight="1">
      <c r="A78" s="236">
        <v>69.0</v>
      </c>
      <c r="B78" s="237" t="s">
        <v>863</v>
      </c>
      <c r="C78" s="237" t="s">
        <v>864</v>
      </c>
      <c r="D78" s="238" t="s">
        <v>1411</v>
      </c>
      <c r="E78" s="239" t="s">
        <v>92</v>
      </c>
      <c r="F78" s="240">
        <v>46146.0</v>
      </c>
      <c r="G78" s="254" t="s">
        <v>1755</v>
      </c>
      <c r="H78" s="173" t="s">
        <v>16</v>
      </c>
      <c r="I78" s="242"/>
      <c r="J78" s="243"/>
      <c r="K78" s="222"/>
      <c r="L78" s="222"/>
      <c r="M78" s="222"/>
      <c r="N78" s="222"/>
      <c r="O78" s="222"/>
      <c r="P78" s="222"/>
      <c r="Q78" s="222"/>
      <c r="R78" s="222"/>
      <c r="S78" s="222"/>
      <c r="T78" s="222"/>
      <c r="U78" s="222"/>
      <c r="V78" s="222"/>
      <c r="W78" s="222"/>
      <c r="X78" s="222"/>
    </row>
    <row r="79" ht="42.75" customHeight="1">
      <c r="A79" s="244">
        <v>70.0</v>
      </c>
      <c r="B79" s="245" t="s">
        <v>866</v>
      </c>
      <c r="C79" s="245" t="s">
        <v>867</v>
      </c>
      <c r="D79" s="246" t="s">
        <v>1405</v>
      </c>
      <c r="E79" s="247" t="s">
        <v>88</v>
      </c>
      <c r="F79" s="248">
        <v>46146.0</v>
      </c>
      <c r="G79" s="258" t="s">
        <v>1759</v>
      </c>
      <c r="H79" s="250" t="s">
        <v>16</v>
      </c>
      <c r="I79" s="251"/>
      <c r="J79" s="252"/>
      <c r="K79" s="222"/>
      <c r="L79" s="222"/>
      <c r="M79" s="222"/>
      <c r="N79" s="222"/>
      <c r="O79" s="222"/>
      <c r="P79" s="222"/>
      <c r="Q79" s="222"/>
      <c r="R79" s="222"/>
      <c r="S79" s="222"/>
      <c r="T79" s="222"/>
      <c r="U79" s="222"/>
      <c r="V79" s="222"/>
      <c r="W79" s="222"/>
      <c r="X79" s="222"/>
    </row>
    <row r="80" ht="42.75" customHeight="1">
      <c r="A80" s="236">
        <v>71.0</v>
      </c>
      <c r="B80" s="237" t="s">
        <v>868</v>
      </c>
      <c r="C80" s="237" t="s">
        <v>869</v>
      </c>
      <c r="D80" s="238" t="s">
        <v>1405</v>
      </c>
      <c r="E80" s="239" t="s">
        <v>88</v>
      </c>
      <c r="F80" s="240">
        <v>46146.0</v>
      </c>
      <c r="G80" s="241" t="s">
        <v>1764</v>
      </c>
      <c r="H80" s="173" t="s">
        <v>11</v>
      </c>
      <c r="I80" s="259" t="s">
        <v>1765</v>
      </c>
      <c r="J80" s="243"/>
      <c r="K80" s="222"/>
      <c r="L80" s="222"/>
      <c r="M80" s="222"/>
      <c r="N80" s="222"/>
      <c r="O80" s="222"/>
      <c r="P80" s="222"/>
      <c r="Q80" s="222"/>
      <c r="R80" s="222"/>
      <c r="S80" s="222"/>
      <c r="T80" s="222"/>
      <c r="U80" s="222"/>
      <c r="V80" s="222"/>
      <c r="W80" s="222"/>
      <c r="X80" s="222"/>
    </row>
    <row r="81" ht="42.75" customHeight="1">
      <c r="A81" s="244">
        <v>72.0</v>
      </c>
      <c r="B81" s="245" t="s">
        <v>870</v>
      </c>
      <c r="C81" s="245" t="s">
        <v>871</v>
      </c>
      <c r="D81" s="246" t="s">
        <v>1405</v>
      </c>
      <c r="E81" s="247" t="s">
        <v>88</v>
      </c>
      <c r="F81" s="248">
        <v>46146.0</v>
      </c>
      <c r="G81" s="249" t="s">
        <v>1769</v>
      </c>
      <c r="H81" s="250" t="s">
        <v>16</v>
      </c>
      <c r="I81" s="251"/>
      <c r="J81" s="252"/>
      <c r="K81" s="222"/>
      <c r="L81" s="222"/>
      <c r="M81" s="222"/>
      <c r="N81" s="222"/>
      <c r="O81" s="222"/>
      <c r="P81" s="222"/>
      <c r="Q81" s="222"/>
      <c r="R81" s="222"/>
      <c r="S81" s="222"/>
      <c r="T81" s="222"/>
      <c r="U81" s="222"/>
      <c r="V81" s="222"/>
      <c r="W81" s="222"/>
      <c r="X81" s="222"/>
    </row>
    <row r="82" ht="42.75" customHeight="1">
      <c r="A82" s="236">
        <v>73.0</v>
      </c>
      <c r="B82" s="237" t="s">
        <v>873</v>
      </c>
      <c r="C82" s="237" t="s">
        <v>874</v>
      </c>
      <c r="D82" s="238" t="s">
        <v>1411</v>
      </c>
      <c r="E82" s="239" t="s">
        <v>88</v>
      </c>
      <c r="F82" s="240">
        <v>46146.0</v>
      </c>
      <c r="G82" s="241" t="s">
        <v>1774</v>
      </c>
      <c r="H82" s="173" t="s">
        <v>16</v>
      </c>
      <c r="I82" s="242"/>
      <c r="J82" s="243"/>
      <c r="K82" s="222"/>
      <c r="L82" s="222"/>
      <c r="M82" s="222"/>
      <c r="N82" s="222"/>
      <c r="O82" s="222"/>
      <c r="P82" s="222"/>
      <c r="Q82" s="222"/>
      <c r="R82" s="222"/>
      <c r="S82" s="222"/>
      <c r="T82" s="222"/>
      <c r="U82" s="222"/>
      <c r="V82" s="222"/>
      <c r="W82" s="222"/>
      <c r="X82" s="222"/>
    </row>
    <row r="83" ht="42.75" customHeight="1">
      <c r="A83" s="244">
        <v>74.0</v>
      </c>
      <c r="B83" s="245" t="s">
        <v>875</v>
      </c>
      <c r="C83" s="245" t="s">
        <v>876</v>
      </c>
      <c r="D83" s="246" t="s">
        <v>1416</v>
      </c>
      <c r="E83" s="247" t="s">
        <v>88</v>
      </c>
      <c r="F83" s="248">
        <v>46146.0</v>
      </c>
      <c r="G83" s="249" t="s">
        <v>1777</v>
      </c>
      <c r="H83" s="250" t="s">
        <v>16</v>
      </c>
      <c r="I83" s="251"/>
      <c r="J83" s="252"/>
      <c r="K83" s="222"/>
      <c r="L83" s="222"/>
      <c r="M83" s="222"/>
      <c r="N83" s="222"/>
      <c r="O83" s="222"/>
      <c r="P83" s="222"/>
      <c r="Q83" s="222"/>
      <c r="R83" s="222"/>
      <c r="S83" s="222"/>
      <c r="T83" s="222"/>
      <c r="U83" s="222"/>
      <c r="V83" s="222"/>
      <c r="W83" s="222"/>
      <c r="X83" s="222"/>
    </row>
    <row r="84" ht="42.75" customHeight="1">
      <c r="A84" s="236">
        <v>75.0</v>
      </c>
      <c r="B84" s="237" t="s">
        <v>878</v>
      </c>
      <c r="C84" s="237" t="s">
        <v>879</v>
      </c>
      <c r="D84" s="238" t="s">
        <v>1411</v>
      </c>
      <c r="E84" s="239" t="s">
        <v>88</v>
      </c>
      <c r="F84" s="240">
        <v>46146.0</v>
      </c>
      <c r="G84" s="241" t="s">
        <v>1781</v>
      </c>
      <c r="H84" s="173" t="s">
        <v>16</v>
      </c>
      <c r="I84" s="242"/>
      <c r="J84" s="243"/>
      <c r="K84" s="222"/>
      <c r="L84" s="222"/>
      <c r="M84" s="222"/>
      <c r="N84" s="222"/>
      <c r="O84" s="222"/>
      <c r="P84" s="222"/>
      <c r="Q84" s="222"/>
      <c r="R84" s="222"/>
      <c r="S84" s="222"/>
      <c r="T84" s="222"/>
      <c r="U84" s="222"/>
      <c r="V84" s="222"/>
      <c r="W84" s="222"/>
      <c r="X84" s="222"/>
    </row>
    <row r="85" ht="42.75" customHeight="1">
      <c r="A85" s="244">
        <v>76.0</v>
      </c>
      <c r="B85" s="245" t="s">
        <v>880</v>
      </c>
      <c r="C85" s="245" t="s">
        <v>881</v>
      </c>
      <c r="D85" s="246" t="s">
        <v>1411</v>
      </c>
      <c r="E85" s="247" t="s">
        <v>88</v>
      </c>
      <c r="F85" s="248">
        <v>46146.0</v>
      </c>
      <c r="G85" s="249" t="s">
        <v>1781</v>
      </c>
      <c r="H85" s="250" t="s">
        <v>16</v>
      </c>
      <c r="I85" s="251"/>
      <c r="J85" s="252"/>
      <c r="K85" s="222"/>
      <c r="L85" s="222"/>
      <c r="M85" s="222"/>
      <c r="N85" s="222"/>
      <c r="O85" s="222"/>
      <c r="P85" s="222"/>
      <c r="Q85" s="222"/>
      <c r="R85" s="222"/>
      <c r="S85" s="222"/>
      <c r="T85" s="222"/>
      <c r="U85" s="222"/>
      <c r="V85" s="222"/>
      <c r="W85" s="222"/>
      <c r="X85" s="222"/>
    </row>
    <row r="86" ht="42.75" customHeight="1">
      <c r="A86" s="236">
        <v>77.0</v>
      </c>
      <c r="B86" s="237" t="s">
        <v>883</v>
      </c>
      <c r="C86" s="237" t="s">
        <v>884</v>
      </c>
      <c r="D86" s="238" t="s">
        <v>1405</v>
      </c>
      <c r="E86" s="239" t="s">
        <v>88</v>
      </c>
      <c r="F86" s="240">
        <v>46146.0</v>
      </c>
      <c r="G86" s="241" t="s">
        <v>1788</v>
      </c>
      <c r="H86" s="173" t="s">
        <v>16</v>
      </c>
      <c r="I86" s="242"/>
      <c r="J86" s="243"/>
      <c r="K86" s="222"/>
      <c r="L86" s="222"/>
      <c r="M86" s="222"/>
      <c r="N86" s="222"/>
      <c r="O86" s="222"/>
      <c r="P86" s="222"/>
      <c r="Q86" s="222"/>
      <c r="R86" s="222"/>
      <c r="S86" s="222"/>
      <c r="T86" s="222"/>
      <c r="U86" s="222"/>
      <c r="V86" s="222"/>
      <c r="W86" s="222"/>
      <c r="X86" s="222"/>
    </row>
    <row r="87" ht="42.75" customHeight="1">
      <c r="A87" s="244">
        <v>78.0</v>
      </c>
      <c r="B87" s="245" t="s">
        <v>885</v>
      </c>
      <c r="C87" s="245" t="s">
        <v>886</v>
      </c>
      <c r="D87" s="246" t="s">
        <v>1405</v>
      </c>
      <c r="E87" s="247" t="s">
        <v>88</v>
      </c>
      <c r="F87" s="248">
        <v>46146.0</v>
      </c>
      <c r="G87" s="249" t="s">
        <v>1792</v>
      </c>
      <c r="H87" s="250" t="s">
        <v>16</v>
      </c>
      <c r="I87" s="251"/>
      <c r="J87" s="252"/>
      <c r="K87" s="222"/>
      <c r="L87" s="222"/>
      <c r="M87" s="222"/>
      <c r="N87" s="222"/>
      <c r="O87" s="222"/>
      <c r="P87" s="222"/>
      <c r="Q87" s="222"/>
      <c r="R87" s="222"/>
      <c r="S87" s="222"/>
      <c r="T87" s="222"/>
      <c r="U87" s="222"/>
      <c r="V87" s="222"/>
      <c r="W87" s="222"/>
      <c r="X87" s="222"/>
    </row>
    <row r="88" ht="42.75" customHeight="1">
      <c r="A88" s="236">
        <v>79.0</v>
      </c>
      <c r="B88" s="237" t="s">
        <v>887</v>
      </c>
      <c r="C88" s="237" t="s">
        <v>888</v>
      </c>
      <c r="D88" s="238" t="s">
        <v>1416</v>
      </c>
      <c r="E88" s="239" t="s">
        <v>88</v>
      </c>
      <c r="F88" s="240">
        <v>46146.0</v>
      </c>
      <c r="G88" s="241" t="s">
        <v>1796</v>
      </c>
      <c r="H88" s="173" t="s">
        <v>16</v>
      </c>
      <c r="I88" s="242"/>
      <c r="J88" s="243"/>
      <c r="K88" s="222"/>
      <c r="L88" s="222"/>
      <c r="M88" s="222"/>
      <c r="N88" s="222"/>
      <c r="O88" s="222"/>
      <c r="P88" s="222"/>
      <c r="Q88" s="222"/>
      <c r="R88" s="222"/>
      <c r="S88" s="222"/>
      <c r="T88" s="222"/>
      <c r="U88" s="222"/>
      <c r="V88" s="222"/>
      <c r="W88" s="222"/>
      <c r="X88" s="222"/>
    </row>
    <row r="89" ht="42.75" customHeight="1">
      <c r="A89" s="244">
        <v>80.0</v>
      </c>
      <c r="B89" s="245" t="s">
        <v>890</v>
      </c>
      <c r="C89" s="245" t="s">
        <v>891</v>
      </c>
      <c r="D89" s="246" t="s">
        <v>1405</v>
      </c>
      <c r="E89" s="247" t="s">
        <v>88</v>
      </c>
      <c r="F89" s="248">
        <v>46146.0</v>
      </c>
      <c r="G89" s="249" t="s">
        <v>1800</v>
      </c>
      <c r="H89" s="250" t="s">
        <v>16</v>
      </c>
      <c r="I89" s="251"/>
      <c r="J89" s="252"/>
      <c r="K89" s="222"/>
      <c r="L89" s="222"/>
      <c r="M89" s="222"/>
      <c r="N89" s="222"/>
      <c r="O89" s="222"/>
      <c r="P89" s="222"/>
      <c r="Q89" s="222"/>
      <c r="R89" s="222"/>
      <c r="S89" s="222"/>
      <c r="T89" s="222"/>
      <c r="U89" s="222"/>
      <c r="V89" s="222"/>
      <c r="W89" s="222"/>
      <c r="X89" s="222"/>
    </row>
    <row r="90" ht="42.75" customHeight="1">
      <c r="A90" s="236">
        <v>81.0</v>
      </c>
      <c r="B90" s="237" t="s">
        <v>892</v>
      </c>
      <c r="C90" s="237" t="s">
        <v>893</v>
      </c>
      <c r="D90" s="238" t="s">
        <v>1405</v>
      </c>
      <c r="E90" s="239" t="s">
        <v>88</v>
      </c>
      <c r="F90" s="240">
        <v>46146.0</v>
      </c>
      <c r="G90" s="241" t="s">
        <v>1804</v>
      </c>
      <c r="H90" s="173" t="s">
        <v>16</v>
      </c>
      <c r="I90" s="242"/>
      <c r="J90" s="243"/>
      <c r="K90" s="222"/>
      <c r="L90" s="222"/>
      <c r="M90" s="222"/>
      <c r="N90" s="222"/>
      <c r="O90" s="222"/>
      <c r="P90" s="222"/>
      <c r="Q90" s="222"/>
      <c r="R90" s="222"/>
      <c r="S90" s="222"/>
      <c r="T90" s="222"/>
      <c r="U90" s="222"/>
      <c r="V90" s="222"/>
      <c r="W90" s="222"/>
      <c r="X90" s="222"/>
    </row>
    <row r="91" ht="42.75" customHeight="1">
      <c r="A91" s="244">
        <v>82.0</v>
      </c>
      <c r="B91" s="245" t="s">
        <v>894</v>
      </c>
      <c r="C91" s="245" t="s">
        <v>895</v>
      </c>
      <c r="D91" s="246" t="s">
        <v>1405</v>
      </c>
      <c r="E91" s="247" t="s">
        <v>88</v>
      </c>
      <c r="F91" s="248">
        <v>46146.0</v>
      </c>
      <c r="G91" s="249" t="s">
        <v>1808</v>
      </c>
      <c r="H91" s="250" t="s">
        <v>16</v>
      </c>
      <c r="I91" s="251"/>
      <c r="J91" s="252"/>
      <c r="K91" s="222"/>
      <c r="L91" s="222"/>
      <c r="M91" s="222"/>
      <c r="N91" s="222"/>
      <c r="O91" s="222"/>
      <c r="P91" s="222"/>
      <c r="Q91" s="222"/>
      <c r="R91" s="222"/>
      <c r="S91" s="222"/>
      <c r="T91" s="222"/>
      <c r="U91" s="222"/>
      <c r="V91" s="222"/>
      <c r="W91" s="222"/>
      <c r="X91" s="222"/>
    </row>
    <row r="92" ht="42.75" customHeight="1">
      <c r="A92" s="236">
        <v>83.0</v>
      </c>
      <c r="B92" s="237" t="s">
        <v>897</v>
      </c>
      <c r="C92" s="237" t="s">
        <v>898</v>
      </c>
      <c r="D92" s="238" t="s">
        <v>1411</v>
      </c>
      <c r="E92" s="239" t="s">
        <v>88</v>
      </c>
      <c r="F92" s="240">
        <v>46146.0</v>
      </c>
      <c r="G92" s="241" t="s">
        <v>1812</v>
      </c>
      <c r="H92" s="173" t="s">
        <v>16</v>
      </c>
      <c r="I92" s="242"/>
      <c r="J92" s="243"/>
      <c r="K92" s="222"/>
      <c r="L92" s="222"/>
      <c r="M92" s="222"/>
      <c r="N92" s="222"/>
      <c r="O92" s="222"/>
      <c r="P92" s="222"/>
      <c r="Q92" s="222"/>
      <c r="R92" s="222"/>
      <c r="S92" s="222"/>
      <c r="T92" s="222"/>
      <c r="U92" s="222"/>
      <c r="V92" s="222"/>
      <c r="W92" s="222"/>
      <c r="X92" s="222"/>
    </row>
    <row r="93" ht="42.75" customHeight="1">
      <c r="A93" s="244">
        <v>84.0</v>
      </c>
      <c r="B93" s="245" t="s">
        <v>899</v>
      </c>
      <c r="C93" s="245" t="s">
        <v>900</v>
      </c>
      <c r="D93" s="246" t="s">
        <v>1405</v>
      </c>
      <c r="E93" s="247" t="s">
        <v>88</v>
      </c>
      <c r="F93" s="248">
        <v>46146.0</v>
      </c>
      <c r="G93" s="249" t="s">
        <v>1816</v>
      </c>
      <c r="H93" s="250" t="s">
        <v>16</v>
      </c>
      <c r="I93" s="251"/>
      <c r="J93" s="252"/>
      <c r="K93" s="222"/>
      <c r="L93" s="222"/>
      <c r="M93" s="222"/>
      <c r="N93" s="222"/>
      <c r="O93" s="222"/>
      <c r="P93" s="222"/>
      <c r="Q93" s="222"/>
      <c r="R93" s="222"/>
      <c r="S93" s="222"/>
      <c r="T93" s="222"/>
      <c r="U93" s="222"/>
      <c r="V93" s="222"/>
      <c r="W93" s="222"/>
      <c r="X93" s="222"/>
    </row>
    <row r="94" ht="42.75" customHeight="1">
      <c r="A94" s="236">
        <v>85.0</v>
      </c>
      <c r="B94" s="237" t="s">
        <v>902</v>
      </c>
      <c r="C94" s="237" t="s">
        <v>903</v>
      </c>
      <c r="D94" s="238" t="s">
        <v>1411</v>
      </c>
      <c r="E94" s="239" t="s">
        <v>88</v>
      </c>
      <c r="F94" s="240">
        <v>46146.0</v>
      </c>
      <c r="G94" s="241" t="s">
        <v>1820</v>
      </c>
      <c r="H94" s="173" t="s">
        <v>16</v>
      </c>
      <c r="I94" s="242"/>
      <c r="J94" s="243"/>
      <c r="K94" s="222"/>
      <c r="L94" s="222"/>
      <c r="M94" s="222"/>
      <c r="N94" s="222"/>
      <c r="O94" s="222"/>
      <c r="P94" s="222"/>
      <c r="Q94" s="222"/>
      <c r="R94" s="222"/>
      <c r="S94" s="222"/>
      <c r="T94" s="222"/>
      <c r="U94" s="222"/>
      <c r="V94" s="222"/>
      <c r="W94" s="222"/>
      <c r="X94" s="222"/>
    </row>
    <row r="95" ht="42.75" customHeight="1">
      <c r="A95" s="244">
        <v>86.0</v>
      </c>
      <c r="B95" s="245" t="s">
        <v>904</v>
      </c>
      <c r="C95" s="245" t="s">
        <v>905</v>
      </c>
      <c r="D95" s="246" t="s">
        <v>1411</v>
      </c>
      <c r="E95" s="247" t="s">
        <v>88</v>
      </c>
      <c r="F95" s="248">
        <v>46146.0</v>
      </c>
      <c r="G95" s="249" t="s">
        <v>1824</v>
      </c>
      <c r="H95" s="250" t="s">
        <v>16</v>
      </c>
      <c r="I95" s="251"/>
      <c r="J95" s="252"/>
      <c r="K95" s="222"/>
      <c r="L95" s="222"/>
      <c r="M95" s="222"/>
      <c r="N95" s="222"/>
      <c r="O95" s="222"/>
      <c r="P95" s="222"/>
      <c r="Q95" s="222"/>
      <c r="R95" s="222"/>
      <c r="S95" s="222"/>
      <c r="T95" s="222"/>
      <c r="U95" s="222"/>
      <c r="V95" s="222"/>
      <c r="W95" s="222"/>
      <c r="X95" s="222"/>
    </row>
    <row r="96" ht="42.75" customHeight="1">
      <c r="A96" s="236">
        <v>87.0</v>
      </c>
      <c r="B96" s="237" t="s">
        <v>906</v>
      </c>
      <c r="C96" s="237" t="s">
        <v>907</v>
      </c>
      <c r="D96" s="238" t="s">
        <v>1405</v>
      </c>
      <c r="E96" s="239" t="s">
        <v>88</v>
      </c>
      <c r="F96" s="240">
        <v>46146.0</v>
      </c>
      <c r="G96" s="241" t="s">
        <v>1828</v>
      </c>
      <c r="H96" s="173" t="s">
        <v>16</v>
      </c>
      <c r="I96" s="242"/>
      <c r="J96" s="243"/>
      <c r="K96" s="222"/>
      <c r="L96" s="222"/>
      <c r="M96" s="222"/>
      <c r="N96" s="222"/>
      <c r="O96" s="222"/>
      <c r="P96" s="222"/>
      <c r="Q96" s="222"/>
      <c r="R96" s="222"/>
      <c r="S96" s="222"/>
      <c r="T96" s="222"/>
      <c r="U96" s="222"/>
      <c r="V96" s="222"/>
      <c r="W96" s="222"/>
      <c r="X96" s="222"/>
    </row>
    <row r="97" ht="42.75" customHeight="1">
      <c r="A97" s="244">
        <v>88.0</v>
      </c>
      <c r="B97" s="245" t="s">
        <v>909</v>
      </c>
      <c r="C97" s="245" t="s">
        <v>910</v>
      </c>
      <c r="D97" s="246" t="s">
        <v>1411</v>
      </c>
      <c r="E97" s="247" t="s">
        <v>88</v>
      </c>
      <c r="F97" s="248">
        <v>46146.0</v>
      </c>
      <c r="G97" s="249" t="s">
        <v>1832</v>
      </c>
      <c r="H97" s="250" t="s">
        <v>16</v>
      </c>
      <c r="I97" s="251"/>
      <c r="J97" s="252"/>
      <c r="K97" s="222"/>
      <c r="L97" s="222"/>
      <c r="M97" s="222"/>
      <c r="N97" s="222"/>
      <c r="O97" s="222"/>
      <c r="P97" s="222"/>
      <c r="Q97" s="222"/>
      <c r="R97" s="222"/>
      <c r="S97" s="222"/>
      <c r="T97" s="222"/>
      <c r="U97" s="222"/>
      <c r="V97" s="222"/>
      <c r="W97" s="222"/>
      <c r="X97" s="222"/>
    </row>
    <row r="98" ht="42.75" customHeight="1">
      <c r="A98" s="236">
        <v>89.0</v>
      </c>
      <c r="B98" s="237" t="s">
        <v>911</v>
      </c>
      <c r="C98" s="237" t="s">
        <v>912</v>
      </c>
      <c r="D98" s="238" t="s">
        <v>1405</v>
      </c>
      <c r="E98" s="239" t="s">
        <v>88</v>
      </c>
      <c r="F98" s="240">
        <v>46146.0</v>
      </c>
      <c r="G98" s="241" t="s">
        <v>1836</v>
      </c>
      <c r="H98" s="173" t="s">
        <v>16</v>
      </c>
      <c r="I98" s="242"/>
      <c r="J98" s="243"/>
      <c r="K98" s="222"/>
      <c r="L98" s="222"/>
      <c r="M98" s="222"/>
      <c r="N98" s="222"/>
      <c r="O98" s="222"/>
      <c r="P98" s="222"/>
      <c r="Q98" s="222"/>
      <c r="R98" s="222"/>
      <c r="S98" s="222"/>
      <c r="T98" s="222"/>
      <c r="U98" s="222"/>
      <c r="V98" s="222"/>
      <c r="W98" s="222"/>
      <c r="X98" s="222"/>
    </row>
    <row r="99" ht="42.75" customHeight="1">
      <c r="A99" s="244">
        <v>90.0</v>
      </c>
      <c r="B99" s="245" t="s">
        <v>914</v>
      </c>
      <c r="C99" s="245" t="s">
        <v>915</v>
      </c>
      <c r="D99" s="246" t="s">
        <v>1411</v>
      </c>
      <c r="E99" s="247" t="s">
        <v>88</v>
      </c>
      <c r="F99" s="248">
        <v>46146.0</v>
      </c>
      <c r="G99" s="249" t="s">
        <v>1841</v>
      </c>
      <c r="H99" s="250" t="s">
        <v>11</v>
      </c>
      <c r="I99" s="256" t="s">
        <v>1842</v>
      </c>
      <c r="J99" s="252"/>
      <c r="K99" s="222"/>
      <c r="L99" s="222"/>
      <c r="M99" s="222"/>
      <c r="N99" s="222"/>
      <c r="O99" s="222"/>
      <c r="P99" s="222"/>
      <c r="Q99" s="222"/>
      <c r="R99" s="222"/>
      <c r="S99" s="222"/>
      <c r="T99" s="222"/>
      <c r="U99" s="222"/>
      <c r="V99" s="222"/>
      <c r="W99" s="222"/>
      <c r="X99" s="222"/>
    </row>
    <row r="100" ht="42.75" customHeight="1">
      <c r="A100" s="236">
        <v>91.0</v>
      </c>
      <c r="B100" s="237" t="s">
        <v>916</v>
      </c>
      <c r="C100" s="237" t="s">
        <v>917</v>
      </c>
      <c r="D100" s="238" t="s">
        <v>1411</v>
      </c>
      <c r="E100" s="239" t="s">
        <v>88</v>
      </c>
      <c r="F100" s="240">
        <v>46146.0</v>
      </c>
      <c r="G100" s="241" t="s">
        <v>1847</v>
      </c>
      <c r="H100" s="173" t="s">
        <v>11</v>
      </c>
      <c r="I100" s="259" t="s">
        <v>1848</v>
      </c>
      <c r="J100" s="243"/>
      <c r="K100" s="222"/>
      <c r="L100" s="222"/>
      <c r="M100" s="222"/>
      <c r="N100" s="222"/>
      <c r="O100" s="222"/>
      <c r="P100" s="222"/>
      <c r="Q100" s="222"/>
      <c r="R100" s="222"/>
      <c r="S100" s="222"/>
      <c r="T100" s="222"/>
      <c r="U100" s="222"/>
      <c r="V100" s="222"/>
      <c r="W100" s="222"/>
      <c r="X100" s="222"/>
    </row>
    <row r="101" ht="42.75" customHeight="1">
      <c r="A101" s="244">
        <v>92.0</v>
      </c>
      <c r="B101" s="245" t="s">
        <v>918</v>
      </c>
      <c r="C101" s="245" t="s">
        <v>919</v>
      </c>
      <c r="D101" s="246" t="s">
        <v>1416</v>
      </c>
      <c r="E101" s="247" t="s">
        <v>88</v>
      </c>
      <c r="F101" s="248">
        <v>46146.0</v>
      </c>
      <c r="G101" s="249" t="s">
        <v>1852</v>
      </c>
      <c r="H101" s="250" t="s">
        <v>16</v>
      </c>
      <c r="I101" s="251"/>
      <c r="J101" s="252"/>
      <c r="K101" s="222"/>
      <c r="L101" s="222"/>
      <c r="M101" s="222"/>
      <c r="N101" s="222"/>
      <c r="O101" s="222"/>
      <c r="P101" s="222"/>
      <c r="Q101" s="222"/>
      <c r="R101" s="222"/>
      <c r="S101" s="222"/>
      <c r="T101" s="222"/>
      <c r="U101" s="222"/>
      <c r="V101" s="222"/>
      <c r="W101" s="222"/>
      <c r="X101" s="222"/>
    </row>
    <row r="102" ht="42.75" customHeight="1">
      <c r="A102" s="236">
        <v>93.0</v>
      </c>
      <c r="B102" s="237" t="s">
        <v>921</v>
      </c>
      <c r="C102" s="237" t="s">
        <v>922</v>
      </c>
      <c r="D102" s="238" t="s">
        <v>1405</v>
      </c>
      <c r="E102" s="239" t="s">
        <v>88</v>
      </c>
      <c r="F102" s="240">
        <v>46146.0</v>
      </c>
      <c r="G102" s="241" t="s">
        <v>1856</v>
      </c>
      <c r="H102" s="173" t="s">
        <v>16</v>
      </c>
      <c r="I102" s="242"/>
      <c r="J102" s="243"/>
      <c r="K102" s="222"/>
      <c r="L102" s="222"/>
      <c r="M102" s="222"/>
      <c r="N102" s="222"/>
      <c r="O102" s="222"/>
      <c r="P102" s="222"/>
      <c r="Q102" s="222"/>
      <c r="R102" s="222"/>
      <c r="S102" s="222"/>
      <c r="T102" s="222"/>
      <c r="U102" s="222"/>
      <c r="V102" s="222"/>
      <c r="W102" s="222"/>
      <c r="X102" s="222"/>
    </row>
    <row r="103" ht="42.75" customHeight="1">
      <c r="A103" s="244">
        <v>94.0</v>
      </c>
      <c r="B103" s="245" t="s">
        <v>923</v>
      </c>
      <c r="C103" s="245" t="s">
        <v>924</v>
      </c>
      <c r="D103" s="246" t="s">
        <v>1416</v>
      </c>
      <c r="E103" s="247" t="s">
        <v>88</v>
      </c>
      <c r="F103" s="248">
        <v>46146.0</v>
      </c>
      <c r="G103" s="249" t="s">
        <v>1859</v>
      </c>
      <c r="H103" s="250" t="s">
        <v>16</v>
      </c>
      <c r="I103" s="251"/>
      <c r="J103" s="252"/>
      <c r="K103" s="222"/>
      <c r="L103" s="222"/>
      <c r="M103" s="222"/>
      <c r="N103" s="222"/>
      <c r="O103" s="222"/>
      <c r="P103" s="222"/>
      <c r="Q103" s="222"/>
      <c r="R103" s="222"/>
      <c r="S103" s="222"/>
      <c r="T103" s="222"/>
      <c r="U103" s="222"/>
      <c r="V103" s="222"/>
      <c r="W103" s="222"/>
      <c r="X103" s="222"/>
    </row>
    <row r="104" ht="42.75" customHeight="1">
      <c r="A104" s="236">
        <v>95.0</v>
      </c>
      <c r="B104" s="237" t="s">
        <v>926</v>
      </c>
      <c r="C104" s="237" t="s">
        <v>927</v>
      </c>
      <c r="D104" s="238" t="s">
        <v>1405</v>
      </c>
      <c r="E104" s="239" t="s">
        <v>88</v>
      </c>
      <c r="F104" s="240">
        <v>46146.0</v>
      </c>
      <c r="G104" s="241" t="s">
        <v>1863</v>
      </c>
      <c r="H104" s="173" t="s">
        <v>16</v>
      </c>
      <c r="I104" s="242"/>
      <c r="J104" s="243"/>
      <c r="K104" s="222"/>
      <c r="L104" s="222"/>
      <c r="M104" s="222"/>
      <c r="N104" s="222"/>
      <c r="O104" s="222"/>
      <c r="P104" s="222"/>
      <c r="Q104" s="222"/>
      <c r="R104" s="222"/>
      <c r="S104" s="222"/>
      <c r="T104" s="222"/>
      <c r="U104" s="222"/>
      <c r="V104" s="222"/>
      <c r="W104" s="222"/>
      <c r="X104" s="222"/>
    </row>
    <row r="105" ht="42.75" customHeight="1">
      <c r="A105" s="244">
        <v>96.0</v>
      </c>
      <c r="B105" s="245" t="s">
        <v>928</v>
      </c>
      <c r="C105" s="245" t="s">
        <v>929</v>
      </c>
      <c r="D105" s="246" t="s">
        <v>1411</v>
      </c>
      <c r="E105" s="247" t="s">
        <v>88</v>
      </c>
      <c r="F105" s="248">
        <v>46146.0</v>
      </c>
      <c r="G105" s="249" t="s">
        <v>1868</v>
      </c>
      <c r="H105" s="250" t="s">
        <v>11</v>
      </c>
      <c r="I105" s="256" t="s">
        <v>1869</v>
      </c>
      <c r="J105" s="252"/>
      <c r="K105" s="222"/>
      <c r="L105" s="222"/>
      <c r="M105" s="222"/>
      <c r="N105" s="222"/>
      <c r="O105" s="222"/>
      <c r="P105" s="222"/>
      <c r="Q105" s="222"/>
      <c r="R105" s="222"/>
      <c r="S105" s="222"/>
      <c r="T105" s="222"/>
      <c r="U105" s="222"/>
      <c r="V105" s="222"/>
      <c r="W105" s="222"/>
      <c r="X105" s="222"/>
    </row>
    <row r="106" ht="42.75" customHeight="1">
      <c r="A106" s="236">
        <v>97.0</v>
      </c>
      <c r="B106" s="237" t="s">
        <v>930</v>
      </c>
      <c r="C106" s="237" t="s">
        <v>931</v>
      </c>
      <c r="D106" s="238" t="s">
        <v>1411</v>
      </c>
      <c r="E106" s="239" t="s">
        <v>88</v>
      </c>
      <c r="F106" s="240">
        <v>46146.0</v>
      </c>
      <c r="G106" s="241" t="s">
        <v>1873</v>
      </c>
      <c r="H106" s="173" t="s">
        <v>16</v>
      </c>
      <c r="I106" s="242"/>
      <c r="J106" s="243"/>
      <c r="K106" s="222"/>
      <c r="L106" s="222"/>
      <c r="M106" s="222"/>
      <c r="N106" s="222"/>
      <c r="O106" s="222"/>
      <c r="P106" s="222"/>
      <c r="Q106" s="222"/>
      <c r="R106" s="222"/>
      <c r="S106" s="222"/>
      <c r="T106" s="222"/>
      <c r="U106" s="222"/>
      <c r="V106" s="222"/>
      <c r="W106" s="222"/>
      <c r="X106" s="222"/>
    </row>
    <row r="107" ht="42.75" customHeight="1">
      <c r="A107" s="244">
        <v>98.0</v>
      </c>
      <c r="B107" s="245" t="s">
        <v>933</v>
      </c>
      <c r="C107" s="245" t="s">
        <v>934</v>
      </c>
      <c r="D107" s="246" t="s">
        <v>1405</v>
      </c>
      <c r="E107" s="247" t="s">
        <v>88</v>
      </c>
      <c r="F107" s="248">
        <v>46146.0</v>
      </c>
      <c r="G107" s="249" t="s">
        <v>1876</v>
      </c>
      <c r="H107" s="250" t="s">
        <v>16</v>
      </c>
      <c r="I107" s="251"/>
      <c r="J107" s="252"/>
      <c r="K107" s="222"/>
      <c r="L107" s="222"/>
      <c r="M107" s="222"/>
      <c r="N107" s="222"/>
      <c r="O107" s="222"/>
      <c r="P107" s="222"/>
      <c r="Q107" s="222"/>
      <c r="R107" s="222"/>
      <c r="S107" s="222"/>
      <c r="T107" s="222"/>
      <c r="U107" s="222"/>
      <c r="V107" s="222"/>
      <c r="W107" s="222"/>
      <c r="X107" s="222"/>
    </row>
    <row r="108" ht="42.75" customHeight="1">
      <c r="A108" s="236">
        <v>99.0</v>
      </c>
      <c r="B108" s="237" t="s">
        <v>935</v>
      </c>
      <c r="C108" s="237" t="s">
        <v>936</v>
      </c>
      <c r="D108" s="238" t="s">
        <v>1405</v>
      </c>
      <c r="E108" s="239" t="s">
        <v>88</v>
      </c>
      <c r="F108" s="240">
        <v>46146.0</v>
      </c>
      <c r="G108" s="241" t="s">
        <v>1880</v>
      </c>
      <c r="H108" s="173" t="s">
        <v>16</v>
      </c>
      <c r="I108" s="242"/>
      <c r="J108" s="243"/>
      <c r="K108" s="222"/>
      <c r="L108" s="222"/>
      <c r="M108" s="222"/>
      <c r="N108" s="222"/>
      <c r="O108" s="222"/>
      <c r="P108" s="222"/>
      <c r="Q108" s="222"/>
      <c r="R108" s="222"/>
      <c r="S108" s="222"/>
      <c r="T108" s="222"/>
      <c r="U108" s="222"/>
      <c r="V108" s="222"/>
      <c r="W108" s="222"/>
      <c r="X108" s="222"/>
    </row>
    <row r="109" ht="42.75" customHeight="1">
      <c r="A109" s="244">
        <v>100.0</v>
      </c>
      <c r="B109" s="245" t="s">
        <v>937</v>
      </c>
      <c r="C109" s="245" t="s">
        <v>938</v>
      </c>
      <c r="D109" s="246" t="s">
        <v>1416</v>
      </c>
      <c r="E109" s="247" t="s">
        <v>88</v>
      </c>
      <c r="F109" s="248">
        <v>46146.0</v>
      </c>
      <c r="G109" s="249" t="s">
        <v>1884</v>
      </c>
      <c r="H109" s="250" t="s">
        <v>16</v>
      </c>
      <c r="I109" s="251"/>
      <c r="J109" s="252"/>
      <c r="K109" s="222"/>
      <c r="L109" s="222"/>
      <c r="M109" s="222"/>
      <c r="N109" s="222"/>
      <c r="O109" s="222"/>
      <c r="P109" s="222"/>
      <c r="Q109" s="222"/>
      <c r="R109" s="222"/>
      <c r="S109" s="222"/>
      <c r="T109" s="222"/>
      <c r="U109" s="222"/>
      <c r="V109" s="222"/>
      <c r="W109" s="222"/>
      <c r="X109" s="222"/>
    </row>
    <row r="110" ht="42.75" customHeight="1">
      <c r="A110" s="236">
        <v>101.0</v>
      </c>
      <c r="B110" s="237" t="s">
        <v>940</v>
      </c>
      <c r="C110" s="237" t="s">
        <v>941</v>
      </c>
      <c r="D110" s="238" t="s">
        <v>1405</v>
      </c>
      <c r="E110" s="239" t="s">
        <v>88</v>
      </c>
      <c r="F110" s="240">
        <v>46146.0</v>
      </c>
      <c r="G110" s="241" t="s">
        <v>1888</v>
      </c>
      <c r="H110" s="173" t="s">
        <v>16</v>
      </c>
      <c r="I110" s="242"/>
      <c r="J110" s="243"/>
      <c r="K110" s="222"/>
      <c r="L110" s="222"/>
      <c r="M110" s="222"/>
      <c r="N110" s="222"/>
      <c r="O110" s="222"/>
      <c r="P110" s="222"/>
      <c r="Q110" s="222"/>
      <c r="R110" s="222"/>
      <c r="S110" s="222"/>
      <c r="T110" s="222"/>
      <c r="U110" s="222"/>
      <c r="V110" s="222"/>
      <c r="W110" s="222"/>
      <c r="X110" s="222"/>
    </row>
    <row r="111" ht="42.75" customHeight="1">
      <c r="A111" s="244">
        <v>102.0</v>
      </c>
      <c r="B111" s="245" t="s">
        <v>942</v>
      </c>
      <c r="C111" s="245" t="s">
        <v>943</v>
      </c>
      <c r="D111" s="246" t="s">
        <v>1411</v>
      </c>
      <c r="E111" s="247" t="s">
        <v>88</v>
      </c>
      <c r="F111" s="248">
        <v>46146.0</v>
      </c>
      <c r="G111" s="249" t="s">
        <v>1892</v>
      </c>
      <c r="H111" s="250" t="s">
        <v>16</v>
      </c>
      <c r="I111" s="251"/>
      <c r="J111" s="252"/>
      <c r="K111" s="222"/>
      <c r="L111" s="222"/>
      <c r="M111" s="222"/>
      <c r="N111" s="222"/>
      <c r="O111" s="222"/>
      <c r="P111" s="222"/>
      <c r="Q111" s="222"/>
      <c r="R111" s="222"/>
      <c r="S111" s="222"/>
      <c r="T111" s="222"/>
      <c r="U111" s="222"/>
      <c r="V111" s="222"/>
      <c r="W111" s="222"/>
      <c r="X111" s="222"/>
    </row>
    <row r="112" ht="42.75" customHeight="1">
      <c r="A112" s="236">
        <v>103.0</v>
      </c>
      <c r="B112" s="237" t="s">
        <v>944</v>
      </c>
      <c r="C112" s="237" t="s">
        <v>945</v>
      </c>
      <c r="D112" s="238" t="s">
        <v>1405</v>
      </c>
      <c r="E112" s="239" t="s">
        <v>88</v>
      </c>
      <c r="F112" s="240">
        <v>46146.0</v>
      </c>
      <c r="G112" s="241" t="s">
        <v>1896</v>
      </c>
      <c r="H112" s="173" t="s">
        <v>16</v>
      </c>
      <c r="I112" s="242"/>
      <c r="J112" s="243"/>
      <c r="K112" s="222"/>
      <c r="L112" s="222"/>
      <c r="M112" s="222"/>
      <c r="N112" s="222"/>
      <c r="O112" s="222"/>
      <c r="P112" s="222"/>
      <c r="Q112" s="222"/>
      <c r="R112" s="222"/>
      <c r="S112" s="222"/>
      <c r="T112" s="222"/>
      <c r="U112" s="222"/>
      <c r="V112" s="222"/>
      <c r="W112" s="222"/>
      <c r="X112" s="222"/>
    </row>
    <row r="113" ht="42.75" customHeight="1">
      <c r="A113" s="244">
        <v>104.0</v>
      </c>
      <c r="B113" s="245" t="s">
        <v>947</v>
      </c>
      <c r="C113" s="245" t="s">
        <v>948</v>
      </c>
      <c r="D113" s="246" t="s">
        <v>1411</v>
      </c>
      <c r="E113" s="247" t="s">
        <v>88</v>
      </c>
      <c r="F113" s="248">
        <v>46146.0</v>
      </c>
      <c r="G113" s="249" t="s">
        <v>1900</v>
      </c>
      <c r="H113" s="250" t="s">
        <v>11</v>
      </c>
      <c r="I113" s="256" t="s">
        <v>1901</v>
      </c>
      <c r="J113" s="249" t="s">
        <v>1902</v>
      </c>
      <c r="K113" s="222"/>
      <c r="L113" s="222"/>
      <c r="M113" s="222"/>
      <c r="N113" s="222"/>
      <c r="O113" s="222"/>
      <c r="P113" s="222"/>
      <c r="Q113" s="222"/>
      <c r="R113" s="222"/>
      <c r="S113" s="222"/>
      <c r="T113" s="222"/>
      <c r="U113" s="222"/>
      <c r="V113" s="222"/>
      <c r="W113" s="222"/>
      <c r="X113" s="222"/>
    </row>
    <row r="114" ht="42.75" customHeight="1">
      <c r="A114" s="236">
        <v>105.0</v>
      </c>
      <c r="B114" s="237" t="s">
        <v>949</v>
      </c>
      <c r="C114" s="237" t="s">
        <v>950</v>
      </c>
      <c r="D114" s="238" t="s">
        <v>1405</v>
      </c>
      <c r="E114" s="239" t="s">
        <v>88</v>
      </c>
      <c r="F114" s="240">
        <v>46146.0</v>
      </c>
      <c r="G114" s="241" t="s">
        <v>1905</v>
      </c>
      <c r="H114" s="173" t="s">
        <v>16</v>
      </c>
      <c r="I114" s="242"/>
      <c r="J114" s="243"/>
      <c r="K114" s="222"/>
      <c r="L114" s="222"/>
      <c r="M114" s="222"/>
      <c r="N114" s="222"/>
      <c r="O114" s="222"/>
      <c r="P114" s="222"/>
      <c r="Q114" s="222"/>
      <c r="R114" s="222"/>
      <c r="S114" s="222"/>
      <c r="T114" s="222"/>
      <c r="U114" s="222"/>
      <c r="V114" s="222"/>
      <c r="W114" s="222"/>
      <c r="X114" s="222"/>
    </row>
    <row r="115" ht="42.75" customHeight="1">
      <c r="A115" s="244">
        <v>106.0</v>
      </c>
      <c r="B115" s="245" t="s">
        <v>952</v>
      </c>
      <c r="C115" s="245" t="s">
        <v>953</v>
      </c>
      <c r="D115" s="246" t="s">
        <v>1411</v>
      </c>
      <c r="E115" s="247" t="s">
        <v>88</v>
      </c>
      <c r="F115" s="248">
        <v>46146.0</v>
      </c>
      <c r="G115" s="249" t="s">
        <v>1909</v>
      </c>
      <c r="H115" s="250" t="s">
        <v>16</v>
      </c>
      <c r="I115" s="251"/>
      <c r="J115" s="252"/>
      <c r="K115" s="222"/>
      <c r="L115" s="222"/>
      <c r="M115" s="222"/>
      <c r="N115" s="222"/>
      <c r="O115" s="222"/>
      <c r="P115" s="222"/>
      <c r="Q115" s="222"/>
      <c r="R115" s="222"/>
      <c r="S115" s="222"/>
      <c r="T115" s="222"/>
      <c r="U115" s="222"/>
      <c r="V115" s="222"/>
      <c r="W115" s="222"/>
      <c r="X115" s="222"/>
    </row>
    <row r="116" ht="42.75" customHeight="1">
      <c r="A116" s="236">
        <v>107.0</v>
      </c>
      <c r="B116" s="237" t="s">
        <v>954</v>
      </c>
      <c r="C116" s="237" t="s">
        <v>955</v>
      </c>
      <c r="D116" s="238" t="s">
        <v>1411</v>
      </c>
      <c r="E116" s="239" t="s">
        <v>88</v>
      </c>
      <c r="F116" s="240">
        <v>46146.0</v>
      </c>
      <c r="G116" s="241" t="s">
        <v>1913</v>
      </c>
      <c r="H116" s="173" t="s">
        <v>11</v>
      </c>
      <c r="I116" s="259" t="s">
        <v>1914</v>
      </c>
      <c r="J116" s="243"/>
      <c r="K116" s="222"/>
      <c r="L116" s="222"/>
      <c r="M116" s="222"/>
      <c r="N116" s="222"/>
      <c r="O116" s="222"/>
      <c r="P116" s="222"/>
      <c r="Q116" s="222"/>
      <c r="R116" s="222"/>
      <c r="S116" s="222"/>
      <c r="T116" s="222"/>
      <c r="U116" s="222"/>
      <c r="V116" s="222"/>
      <c r="W116" s="222"/>
      <c r="X116" s="222"/>
    </row>
    <row r="117" ht="42.75" customHeight="1">
      <c r="A117" s="244">
        <v>108.0</v>
      </c>
      <c r="B117" s="245" t="s">
        <v>956</v>
      </c>
      <c r="C117" s="245" t="s">
        <v>957</v>
      </c>
      <c r="D117" s="246" t="s">
        <v>1405</v>
      </c>
      <c r="E117" s="247" t="s">
        <v>88</v>
      </c>
      <c r="F117" s="248">
        <v>46146.0</v>
      </c>
      <c r="G117" s="249" t="s">
        <v>1918</v>
      </c>
      <c r="H117" s="250" t="s">
        <v>16</v>
      </c>
      <c r="I117" s="251"/>
      <c r="J117" s="252"/>
      <c r="K117" s="222"/>
      <c r="L117" s="222"/>
      <c r="M117" s="222"/>
      <c r="N117" s="222"/>
      <c r="O117" s="222"/>
      <c r="P117" s="222"/>
      <c r="Q117" s="222"/>
      <c r="R117" s="222"/>
      <c r="S117" s="222"/>
      <c r="T117" s="222"/>
      <c r="U117" s="222"/>
      <c r="V117" s="222"/>
      <c r="W117" s="222"/>
      <c r="X117" s="222"/>
    </row>
    <row r="118" ht="42.75" customHeight="1">
      <c r="A118" s="236">
        <v>109.0</v>
      </c>
      <c r="B118" s="237" t="s">
        <v>959</v>
      </c>
      <c r="C118" s="237" t="s">
        <v>960</v>
      </c>
      <c r="D118" s="238" t="s">
        <v>1405</v>
      </c>
      <c r="E118" s="239" t="s">
        <v>94</v>
      </c>
      <c r="F118" s="240">
        <v>46146.0</v>
      </c>
      <c r="G118" s="241" t="s">
        <v>1922</v>
      </c>
      <c r="H118" s="173" t="s">
        <v>16</v>
      </c>
      <c r="I118" s="242"/>
      <c r="J118" s="243"/>
      <c r="K118" s="222"/>
      <c r="L118" s="222"/>
      <c r="M118" s="222"/>
      <c r="N118" s="222"/>
      <c r="O118" s="222"/>
      <c r="P118" s="222"/>
      <c r="Q118" s="222"/>
      <c r="R118" s="222"/>
      <c r="S118" s="222"/>
      <c r="T118" s="222"/>
      <c r="U118" s="222"/>
      <c r="V118" s="222"/>
      <c r="W118" s="222"/>
      <c r="X118" s="222"/>
    </row>
    <row r="119" ht="42.75" customHeight="1">
      <c r="A119" s="244">
        <v>110.0</v>
      </c>
      <c r="B119" s="245" t="s">
        <v>961</v>
      </c>
      <c r="C119" s="245" t="s">
        <v>962</v>
      </c>
      <c r="D119" s="246" t="s">
        <v>1416</v>
      </c>
      <c r="E119" s="247" t="s">
        <v>94</v>
      </c>
      <c r="F119" s="248">
        <v>46146.0</v>
      </c>
      <c r="G119" s="249" t="s">
        <v>1926</v>
      </c>
      <c r="H119" s="250" t="s">
        <v>16</v>
      </c>
      <c r="I119" s="251"/>
      <c r="J119" s="252"/>
      <c r="K119" s="222"/>
      <c r="L119" s="222"/>
      <c r="M119" s="222"/>
      <c r="N119" s="222"/>
      <c r="O119" s="222"/>
      <c r="P119" s="222"/>
      <c r="Q119" s="222"/>
      <c r="R119" s="222"/>
      <c r="S119" s="222"/>
      <c r="T119" s="222"/>
      <c r="U119" s="222"/>
      <c r="V119" s="222"/>
      <c r="W119" s="222"/>
      <c r="X119" s="222"/>
    </row>
    <row r="120" ht="42.75" customHeight="1">
      <c r="A120" s="236">
        <v>111.0</v>
      </c>
      <c r="B120" s="237" t="s">
        <v>963</v>
      </c>
      <c r="C120" s="237" t="s">
        <v>964</v>
      </c>
      <c r="D120" s="238" t="s">
        <v>1411</v>
      </c>
      <c r="E120" s="239" t="s">
        <v>94</v>
      </c>
      <c r="F120" s="240">
        <v>46146.0</v>
      </c>
      <c r="G120" s="241" t="s">
        <v>1930</v>
      </c>
      <c r="H120" s="173" t="s">
        <v>16</v>
      </c>
      <c r="I120" s="242"/>
      <c r="J120" s="243"/>
      <c r="K120" s="222"/>
      <c r="L120" s="222"/>
      <c r="M120" s="222"/>
      <c r="N120" s="222"/>
      <c r="O120" s="222"/>
      <c r="P120" s="222"/>
      <c r="Q120" s="222"/>
      <c r="R120" s="222"/>
      <c r="S120" s="222"/>
      <c r="T120" s="222"/>
      <c r="U120" s="222"/>
      <c r="V120" s="222"/>
      <c r="W120" s="222"/>
      <c r="X120" s="222"/>
    </row>
    <row r="121" ht="42.75" customHeight="1">
      <c r="A121" s="244">
        <v>112.0</v>
      </c>
      <c r="B121" s="245" t="s">
        <v>966</v>
      </c>
      <c r="C121" s="245" t="s">
        <v>1931</v>
      </c>
      <c r="D121" s="246" t="s">
        <v>1411</v>
      </c>
      <c r="E121" s="247" t="s">
        <v>94</v>
      </c>
      <c r="F121" s="248">
        <v>46146.0</v>
      </c>
      <c r="G121" s="249" t="s">
        <v>1935</v>
      </c>
      <c r="H121" s="250" t="s">
        <v>16</v>
      </c>
      <c r="I121" s="251"/>
      <c r="J121" s="252"/>
      <c r="K121" s="222"/>
      <c r="L121" s="222"/>
      <c r="M121" s="222"/>
      <c r="N121" s="222"/>
      <c r="O121" s="222"/>
      <c r="P121" s="222"/>
      <c r="Q121" s="222"/>
      <c r="R121" s="222"/>
      <c r="S121" s="222"/>
      <c r="T121" s="222"/>
      <c r="U121" s="222"/>
      <c r="V121" s="222"/>
      <c r="W121" s="222"/>
      <c r="X121" s="222"/>
    </row>
    <row r="122" ht="42.75" customHeight="1">
      <c r="A122" s="236">
        <v>113.0</v>
      </c>
      <c r="B122" s="237" t="s">
        <v>968</v>
      </c>
      <c r="C122" s="237" t="s">
        <v>969</v>
      </c>
      <c r="D122" s="238" t="s">
        <v>1405</v>
      </c>
      <c r="E122" s="239" t="s">
        <v>94</v>
      </c>
      <c r="F122" s="240">
        <v>46146.0</v>
      </c>
      <c r="G122" s="241" t="s">
        <v>1939</v>
      </c>
      <c r="H122" s="173" t="s">
        <v>16</v>
      </c>
      <c r="I122" s="242"/>
      <c r="J122" s="243"/>
      <c r="K122" s="222"/>
      <c r="L122" s="222"/>
      <c r="M122" s="222"/>
      <c r="N122" s="222"/>
      <c r="O122" s="222"/>
      <c r="P122" s="222"/>
      <c r="Q122" s="222"/>
      <c r="R122" s="222"/>
      <c r="S122" s="222"/>
      <c r="T122" s="222"/>
      <c r="U122" s="222"/>
      <c r="V122" s="222"/>
      <c r="W122" s="222"/>
      <c r="X122" s="222"/>
    </row>
    <row r="123" ht="42.75" customHeight="1">
      <c r="A123" s="244">
        <v>114.0</v>
      </c>
      <c r="B123" s="245" t="s">
        <v>971</v>
      </c>
      <c r="C123" s="245" t="s">
        <v>972</v>
      </c>
      <c r="D123" s="246" t="s">
        <v>1416</v>
      </c>
      <c r="E123" s="247" t="s">
        <v>94</v>
      </c>
      <c r="F123" s="248">
        <v>46146.0</v>
      </c>
      <c r="G123" s="249" t="s">
        <v>1943</v>
      </c>
      <c r="H123" s="250" t="s">
        <v>16</v>
      </c>
      <c r="I123" s="251"/>
      <c r="J123" s="252"/>
      <c r="K123" s="222"/>
      <c r="L123" s="222"/>
      <c r="M123" s="222"/>
      <c r="N123" s="222"/>
      <c r="O123" s="222"/>
      <c r="P123" s="222"/>
      <c r="Q123" s="222"/>
      <c r="R123" s="222"/>
      <c r="S123" s="222"/>
      <c r="T123" s="222"/>
      <c r="U123" s="222"/>
      <c r="V123" s="222"/>
      <c r="W123" s="222"/>
      <c r="X123" s="222"/>
    </row>
    <row r="124" ht="42.75" customHeight="1">
      <c r="A124" s="236">
        <v>115.0</v>
      </c>
      <c r="B124" s="237" t="s">
        <v>973</v>
      </c>
      <c r="C124" s="237" t="s">
        <v>974</v>
      </c>
      <c r="D124" s="238" t="s">
        <v>1411</v>
      </c>
      <c r="E124" s="239" t="s">
        <v>94</v>
      </c>
      <c r="F124" s="240">
        <v>46146.0</v>
      </c>
      <c r="G124" s="241" t="s">
        <v>1947</v>
      </c>
      <c r="H124" s="173" t="s">
        <v>16</v>
      </c>
      <c r="I124" s="242"/>
      <c r="J124" s="243"/>
      <c r="K124" s="222"/>
      <c r="L124" s="222"/>
      <c r="M124" s="222"/>
      <c r="N124" s="222"/>
      <c r="O124" s="222"/>
      <c r="P124" s="222"/>
      <c r="Q124" s="222"/>
      <c r="R124" s="222"/>
      <c r="S124" s="222"/>
      <c r="T124" s="222"/>
      <c r="U124" s="222"/>
      <c r="V124" s="222"/>
      <c r="W124" s="222"/>
      <c r="X124" s="222"/>
    </row>
    <row r="125" ht="42.75" customHeight="1">
      <c r="A125" s="244">
        <v>116.0</v>
      </c>
      <c r="B125" s="245" t="s">
        <v>975</v>
      </c>
      <c r="C125" s="245" t="s">
        <v>976</v>
      </c>
      <c r="D125" s="246" t="s">
        <v>1411</v>
      </c>
      <c r="E125" s="247" t="s">
        <v>94</v>
      </c>
      <c r="F125" s="248">
        <v>46146.0</v>
      </c>
      <c r="G125" s="249" t="s">
        <v>1951</v>
      </c>
      <c r="H125" s="250" t="s">
        <v>16</v>
      </c>
      <c r="I125" s="251"/>
      <c r="J125" s="252"/>
      <c r="K125" s="222"/>
      <c r="L125" s="222"/>
      <c r="M125" s="222"/>
      <c r="N125" s="222"/>
      <c r="O125" s="222"/>
      <c r="P125" s="222"/>
      <c r="Q125" s="222"/>
      <c r="R125" s="222"/>
      <c r="S125" s="222"/>
      <c r="T125" s="222"/>
      <c r="U125" s="222"/>
      <c r="V125" s="222"/>
      <c r="W125" s="222"/>
      <c r="X125" s="222"/>
    </row>
    <row r="126" ht="42.75" customHeight="1">
      <c r="A126" s="236">
        <v>117.0</v>
      </c>
      <c r="B126" s="237" t="s">
        <v>978</v>
      </c>
      <c r="C126" s="237" t="s">
        <v>979</v>
      </c>
      <c r="D126" s="238" t="s">
        <v>1405</v>
      </c>
      <c r="E126" s="239" t="s">
        <v>94</v>
      </c>
      <c r="F126" s="240">
        <v>46146.0</v>
      </c>
      <c r="G126" s="241" t="s">
        <v>1955</v>
      </c>
      <c r="H126" s="173" t="s">
        <v>16</v>
      </c>
      <c r="I126" s="242"/>
      <c r="J126" s="243"/>
      <c r="K126" s="222"/>
      <c r="L126" s="222"/>
      <c r="M126" s="222"/>
      <c r="N126" s="222"/>
      <c r="O126" s="222"/>
      <c r="P126" s="222"/>
      <c r="Q126" s="222"/>
      <c r="R126" s="222"/>
      <c r="S126" s="222"/>
      <c r="T126" s="222"/>
      <c r="U126" s="222"/>
      <c r="V126" s="222"/>
      <c r="W126" s="222"/>
      <c r="X126" s="222"/>
    </row>
    <row r="127" ht="42.75" customHeight="1">
      <c r="A127" s="244">
        <v>118.0</v>
      </c>
      <c r="B127" s="245" t="s">
        <v>980</v>
      </c>
      <c r="C127" s="245" t="s">
        <v>981</v>
      </c>
      <c r="D127" s="246" t="s">
        <v>1405</v>
      </c>
      <c r="E127" s="247" t="s">
        <v>94</v>
      </c>
      <c r="F127" s="248">
        <v>46146.0</v>
      </c>
      <c r="G127" s="249" t="s">
        <v>1959</v>
      </c>
      <c r="H127" s="250" t="s">
        <v>16</v>
      </c>
      <c r="I127" s="251"/>
      <c r="J127" s="252"/>
      <c r="K127" s="222"/>
      <c r="L127" s="222"/>
      <c r="M127" s="222"/>
      <c r="N127" s="222"/>
      <c r="O127" s="222"/>
      <c r="P127" s="222"/>
      <c r="Q127" s="222"/>
      <c r="R127" s="222"/>
      <c r="S127" s="222"/>
      <c r="T127" s="222"/>
      <c r="U127" s="222"/>
      <c r="V127" s="222"/>
      <c r="W127" s="222"/>
      <c r="X127" s="222"/>
    </row>
    <row r="128" ht="42.75" customHeight="1">
      <c r="A128" s="236">
        <v>119.0</v>
      </c>
      <c r="B128" s="237" t="s">
        <v>983</v>
      </c>
      <c r="C128" s="237" t="s">
        <v>984</v>
      </c>
      <c r="D128" s="238" t="s">
        <v>1405</v>
      </c>
      <c r="E128" s="239" t="s">
        <v>94</v>
      </c>
      <c r="F128" s="240">
        <v>46146.0</v>
      </c>
      <c r="G128" s="241" t="s">
        <v>1963</v>
      </c>
      <c r="H128" s="173" t="s">
        <v>16</v>
      </c>
      <c r="I128" s="242"/>
      <c r="J128" s="243"/>
      <c r="K128" s="222"/>
      <c r="L128" s="222"/>
      <c r="M128" s="222"/>
      <c r="N128" s="222"/>
      <c r="O128" s="222"/>
      <c r="P128" s="222"/>
      <c r="Q128" s="222"/>
      <c r="R128" s="222"/>
      <c r="S128" s="222"/>
      <c r="T128" s="222"/>
      <c r="U128" s="222"/>
      <c r="V128" s="222"/>
      <c r="W128" s="222"/>
      <c r="X128" s="222"/>
    </row>
    <row r="129" ht="42.75" customHeight="1">
      <c r="A129" s="244">
        <v>120.0</v>
      </c>
      <c r="B129" s="245" t="s">
        <v>985</v>
      </c>
      <c r="C129" s="245" t="s">
        <v>986</v>
      </c>
      <c r="D129" s="246" t="s">
        <v>1405</v>
      </c>
      <c r="E129" s="247" t="s">
        <v>94</v>
      </c>
      <c r="F129" s="248">
        <v>46146.0</v>
      </c>
      <c r="G129" s="249" t="s">
        <v>1967</v>
      </c>
      <c r="H129" s="250" t="s">
        <v>16</v>
      </c>
      <c r="I129" s="251"/>
      <c r="J129" s="252"/>
      <c r="K129" s="222"/>
      <c r="L129" s="222"/>
      <c r="M129" s="222"/>
      <c r="N129" s="222"/>
      <c r="O129" s="222"/>
      <c r="P129" s="222"/>
      <c r="Q129" s="222"/>
      <c r="R129" s="222"/>
      <c r="S129" s="222"/>
      <c r="T129" s="222"/>
      <c r="U129" s="222"/>
      <c r="V129" s="222"/>
      <c r="W129" s="222"/>
      <c r="X129" s="222"/>
    </row>
    <row r="130" ht="42.75" customHeight="1">
      <c r="A130" s="236">
        <v>121.0</v>
      </c>
      <c r="B130" s="237" t="s">
        <v>987</v>
      </c>
      <c r="C130" s="237" t="s">
        <v>988</v>
      </c>
      <c r="D130" s="238" t="s">
        <v>1416</v>
      </c>
      <c r="E130" s="239" t="s">
        <v>94</v>
      </c>
      <c r="F130" s="240">
        <v>46146.0</v>
      </c>
      <c r="G130" s="241" t="s">
        <v>1971</v>
      </c>
      <c r="H130" s="173" t="s">
        <v>16</v>
      </c>
      <c r="I130" s="242"/>
      <c r="J130" s="243"/>
      <c r="K130" s="222"/>
      <c r="L130" s="222"/>
      <c r="M130" s="222"/>
      <c r="N130" s="222"/>
      <c r="O130" s="222"/>
      <c r="P130" s="222"/>
      <c r="Q130" s="222"/>
      <c r="R130" s="222"/>
      <c r="S130" s="222"/>
      <c r="T130" s="222"/>
      <c r="U130" s="222"/>
      <c r="V130" s="222"/>
      <c r="W130" s="222"/>
      <c r="X130" s="222"/>
    </row>
    <row r="131" ht="42.75" customHeight="1">
      <c r="A131" s="244">
        <v>122.0</v>
      </c>
      <c r="B131" s="245" t="s">
        <v>990</v>
      </c>
      <c r="C131" s="245" t="s">
        <v>991</v>
      </c>
      <c r="D131" s="246" t="s">
        <v>1411</v>
      </c>
      <c r="E131" s="247" t="s">
        <v>94</v>
      </c>
      <c r="F131" s="248">
        <v>46146.0</v>
      </c>
      <c r="G131" s="249" t="s">
        <v>1975</v>
      </c>
      <c r="H131" s="250" t="s">
        <v>16</v>
      </c>
      <c r="I131" s="251"/>
      <c r="J131" s="252"/>
      <c r="K131" s="222"/>
      <c r="L131" s="222"/>
      <c r="M131" s="222"/>
      <c r="N131" s="222"/>
      <c r="O131" s="222"/>
      <c r="P131" s="222"/>
      <c r="Q131" s="222"/>
      <c r="R131" s="222"/>
      <c r="S131" s="222"/>
      <c r="T131" s="222"/>
      <c r="U131" s="222"/>
      <c r="V131" s="222"/>
      <c r="W131" s="222"/>
      <c r="X131" s="222"/>
    </row>
    <row r="132" ht="42.75" customHeight="1">
      <c r="A132" s="236">
        <v>123.0</v>
      </c>
      <c r="B132" s="237" t="s">
        <v>992</v>
      </c>
      <c r="C132" s="237" t="s">
        <v>993</v>
      </c>
      <c r="D132" s="238" t="s">
        <v>1416</v>
      </c>
      <c r="E132" s="239" t="s">
        <v>94</v>
      </c>
      <c r="F132" s="240">
        <v>46146.0</v>
      </c>
      <c r="G132" s="241" t="s">
        <v>1979</v>
      </c>
      <c r="H132" s="173" t="s">
        <v>16</v>
      </c>
      <c r="I132" s="242"/>
      <c r="J132" s="243"/>
      <c r="K132" s="222"/>
      <c r="L132" s="222"/>
      <c r="M132" s="222"/>
      <c r="N132" s="222"/>
      <c r="O132" s="222"/>
      <c r="P132" s="222"/>
      <c r="Q132" s="222"/>
      <c r="R132" s="222"/>
      <c r="S132" s="222"/>
      <c r="T132" s="222"/>
      <c r="U132" s="222"/>
      <c r="V132" s="222"/>
      <c r="W132" s="222"/>
      <c r="X132" s="222"/>
    </row>
    <row r="133" ht="42.75" customHeight="1">
      <c r="A133" s="244">
        <v>124.0</v>
      </c>
      <c r="B133" s="245" t="s">
        <v>995</v>
      </c>
      <c r="C133" s="245" t="s">
        <v>996</v>
      </c>
      <c r="D133" s="246" t="s">
        <v>1405</v>
      </c>
      <c r="E133" s="247" t="s">
        <v>94</v>
      </c>
      <c r="F133" s="248">
        <v>46146.0</v>
      </c>
      <c r="G133" s="249" t="s">
        <v>1983</v>
      </c>
      <c r="H133" s="250" t="s">
        <v>16</v>
      </c>
      <c r="I133" s="251"/>
      <c r="J133" s="252"/>
      <c r="K133" s="222"/>
      <c r="L133" s="222"/>
      <c r="M133" s="222"/>
      <c r="N133" s="222"/>
      <c r="O133" s="222"/>
      <c r="P133" s="222"/>
      <c r="Q133" s="222"/>
      <c r="R133" s="222"/>
      <c r="S133" s="222"/>
      <c r="T133" s="222"/>
      <c r="U133" s="222"/>
      <c r="V133" s="222"/>
      <c r="W133" s="222"/>
      <c r="X133" s="222"/>
    </row>
    <row r="134" ht="42.75" customHeight="1">
      <c r="A134" s="236">
        <v>125.0</v>
      </c>
      <c r="B134" s="237" t="s">
        <v>997</v>
      </c>
      <c r="C134" s="237" t="s">
        <v>998</v>
      </c>
      <c r="D134" s="238" t="s">
        <v>1405</v>
      </c>
      <c r="E134" s="239" t="s">
        <v>94</v>
      </c>
      <c r="F134" s="240">
        <v>46146.0</v>
      </c>
      <c r="G134" s="241" t="s">
        <v>1987</v>
      </c>
      <c r="H134" s="173" t="s">
        <v>16</v>
      </c>
      <c r="I134" s="242"/>
      <c r="J134" s="243"/>
      <c r="K134" s="222"/>
      <c r="L134" s="222"/>
      <c r="M134" s="222"/>
      <c r="N134" s="222"/>
      <c r="O134" s="222"/>
      <c r="P134" s="222"/>
      <c r="Q134" s="222"/>
      <c r="R134" s="222"/>
      <c r="S134" s="222"/>
      <c r="T134" s="222"/>
      <c r="U134" s="222"/>
      <c r="V134" s="222"/>
      <c r="W134" s="222"/>
      <c r="X134" s="222"/>
    </row>
    <row r="135" ht="42.75" customHeight="1">
      <c r="A135" s="244">
        <v>126.0</v>
      </c>
      <c r="B135" s="245" t="s">
        <v>999</v>
      </c>
      <c r="C135" s="245" t="s">
        <v>1000</v>
      </c>
      <c r="D135" s="246" t="s">
        <v>1405</v>
      </c>
      <c r="E135" s="247" t="s">
        <v>94</v>
      </c>
      <c r="F135" s="248">
        <v>46146.0</v>
      </c>
      <c r="G135" s="249" t="s">
        <v>1991</v>
      </c>
      <c r="H135" s="250" t="s">
        <v>16</v>
      </c>
      <c r="I135" s="251"/>
      <c r="J135" s="252"/>
      <c r="K135" s="222"/>
      <c r="L135" s="222"/>
      <c r="M135" s="222"/>
      <c r="N135" s="222"/>
      <c r="O135" s="222"/>
      <c r="P135" s="222"/>
      <c r="Q135" s="222"/>
      <c r="R135" s="222"/>
      <c r="S135" s="222"/>
      <c r="T135" s="222"/>
      <c r="U135" s="222"/>
      <c r="V135" s="222"/>
      <c r="W135" s="222"/>
      <c r="X135" s="222"/>
    </row>
    <row r="136" ht="42.75" customHeight="1">
      <c r="A136" s="236">
        <v>127.0</v>
      </c>
      <c r="B136" s="237" t="s">
        <v>1002</v>
      </c>
      <c r="C136" s="237" t="s">
        <v>1003</v>
      </c>
      <c r="D136" s="238" t="s">
        <v>1411</v>
      </c>
      <c r="E136" s="239" t="s">
        <v>94</v>
      </c>
      <c r="F136" s="240">
        <v>46146.0</v>
      </c>
      <c r="G136" s="241" t="s">
        <v>1995</v>
      </c>
      <c r="H136" s="173" t="s">
        <v>16</v>
      </c>
      <c r="I136" s="242"/>
      <c r="J136" s="243"/>
      <c r="K136" s="222"/>
      <c r="L136" s="222"/>
      <c r="M136" s="222"/>
      <c r="N136" s="222"/>
      <c r="O136" s="222"/>
      <c r="P136" s="222"/>
      <c r="Q136" s="222"/>
      <c r="R136" s="222"/>
      <c r="S136" s="222"/>
      <c r="T136" s="222"/>
      <c r="U136" s="222"/>
      <c r="V136" s="222"/>
      <c r="W136" s="222"/>
      <c r="X136" s="222"/>
    </row>
    <row r="137" ht="42.75" customHeight="1">
      <c r="A137" s="244">
        <v>128.0</v>
      </c>
      <c r="B137" s="245" t="s">
        <v>1004</v>
      </c>
      <c r="C137" s="245" t="s">
        <v>1005</v>
      </c>
      <c r="D137" s="246" t="s">
        <v>1416</v>
      </c>
      <c r="E137" s="247" t="s">
        <v>94</v>
      </c>
      <c r="F137" s="248">
        <v>46146.0</v>
      </c>
      <c r="G137" s="249" t="s">
        <v>1999</v>
      </c>
      <c r="H137" s="250" t="s">
        <v>16</v>
      </c>
      <c r="I137" s="251"/>
      <c r="J137" s="252"/>
      <c r="K137" s="222"/>
      <c r="L137" s="222"/>
      <c r="M137" s="222"/>
      <c r="N137" s="222"/>
      <c r="O137" s="222"/>
      <c r="P137" s="222"/>
      <c r="Q137" s="222"/>
      <c r="R137" s="222"/>
      <c r="S137" s="222"/>
      <c r="T137" s="222"/>
      <c r="U137" s="222"/>
      <c r="V137" s="222"/>
      <c r="W137" s="222"/>
      <c r="X137" s="222"/>
    </row>
    <row r="138" ht="42.75" customHeight="1">
      <c r="A138" s="236">
        <v>129.0</v>
      </c>
      <c r="B138" s="237" t="s">
        <v>1007</v>
      </c>
      <c r="C138" s="237" t="s">
        <v>3144</v>
      </c>
      <c r="D138" s="238" t="s">
        <v>1411</v>
      </c>
      <c r="E138" s="239" t="s">
        <v>94</v>
      </c>
      <c r="F138" s="240">
        <v>46146.0</v>
      </c>
      <c r="G138" s="241" t="s">
        <v>2003</v>
      </c>
      <c r="H138" s="173" t="s">
        <v>16</v>
      </c>
      <c r="I138" s="242"/>
      <c r="J138" s="243"/>
      <c r="K138" s="222"/>
      <c r="L138" s="222"/>
      <c r="M138" s="222"/>
      <c r="N138" s="222"/>
      <c r="O138" s="222"/>
      <c r="P138" s="222"/>
      <c r="Q138" s="222"/>
      <c r="R138" s="222"/>
      <c r="S138" s="222"/>
      <c r="T138" s="222"/>
      <c r="U138" s="222"/>
      <c r="V138" s="222"/>
      <c r="W138" s="222"/>
      <c r="X138" s="222"/>
    </row>
    <row r="139" ht="42.75" customHeight="1">
      <c r="A139" s="244">
        <v>130.0</v>
      </c>
      <c r="B139" s="245" t="s">
        <v>1009</v>
      </c>
      <c r="C139" s="245" t="s">
        <v>2919</v>
      </c>
      <c r="D139" s="246" t="s">
        <v>1405</v>
      </c>
      <c r="E139" s="247" t="s">
        <v>94</v>
      </c>
      <c r="F139" s="248">
        <v>46146.0</v>
      </c>
      <c r="G139" s="249" t="s">
        <v>2007</v>
      </c>
      <c r="H139" s="250" t="s">
        <v>16</v>
      </c>
      <c r="I139" s="251"/>
      <c r="J139" s="252"/>
      <c r="K139" s="222"/>
      <c r="L139" s="222"/>
      <c r="M139" s="222"/>
      <c r="N139" s="222"/>
      <c r="O139" s="222"/>
      <c r="P139" s="222"/>
      <c r="Q139" s="222"/>
      <c r="R139" s="222"/>
      <c r="S139" s="222"/>
      <c r="T139" s="222"/>
      <c r="U139" s="222"/>
      <c r="V139" s="222"/>
      <c r="W139" s="222"/>
      <c r="X139" s="222"/>
    </row>
    <row r="140" ht="42.75" customHeight="1">
      <c r="A140" s="236">
        <v>131.0</v>
      </c>
      <c r="B140" s="237" t="s">
        <v>1011</v>
      </c>
      <c r="C140" s="237" t="s">
        <v>1012</v>
      </c>
      <c r="D140" s="238" t="s">
        <v>1416</v>
      </c>
      <c r="E140" s="239" t="s">
        <v>94</v>
      </c>
      <c r="F140" s="240">
        <v>46146.0</v>
      </c>
      <c r="G140" s="241" t="s">
        <v>2011</v>
      </c>
      <c r="H140" s="173" t="s">
        <v>16</v>
      </c>
      <c r="I140" s="242"/>
      <c r="J140" s="243"/>
      <c r="K140" s="222"/>
      <c r="L140" s="222"/>
      <c r="M140" s="222"/>
      <c r="N140" s="222"/>
      <c r="O140" s="222"/>
      <c r="P140" s="222"/>
      <c r="Q140" s="222"/>
      <c r="R140" s="222"/>
      <c r="S140" s="222"/>
      <c r="T140" s="222"/>
      <c r="U140" s="222"/>
      <c r="V140" s="222"/>
      <c r="W140" s="222"/>
      <c r="X140" s="222"/>
    </row>
    <row r="141" ht="42.75" customHeight="1">
      <c r="A141" s="244">
        <v>132.0</v>
      </c>
      <c r="B141" s="245" t="s">
        <v>1014</v>
      </c>
      <c r="C141" s="245" t="s">
        <v>1015</v>
      </c>
      <c r="D141" s="246" t="s">
        <v>1405</v>
      </c>
      <c r="E141" s="247" t="s">
        <v>94</v>
      </c>
      <c r="F141" s="248">
        <v>46146.0</v>
      </c>
      <c r="G141" s="249" t="s">
        <v>2015</v>
      </c>
      <c r="H141" s="250" t="s">
        <v>16</v>
      </c>
      <c r="I141" s="251"/>
      <c r="J141" s="252"/>
      <c r="K141" s="222"/>
      <c r="L141" s="222"/>
      <c r="M141" s="222"/>
      <c r="N141" s="222"/>
      <c r="O141" s="222"/>
      <c r="P141" s="222"/>
      <c r="Q141" s="222"/>
      <c r="R141" s="222"/>
      <c r="S141" s="222"/>
      <c r="T141" s="222"/>
      <c r="U141" s="222"/>
      <c r="V141" s="222"/>
      <c r="W141" s="222"/>
      <c r="X141" s="222"/>
    </row>
    <row r="142" ht="42.75" customHeight="1">
      <c r="A142" s="236">
        <v>133.0</v>
      </c>
      <c r="B142" s="237" t="s">
        <v>1016</v>
      </c>
      <c r="C142" s="237" t="s">
        <v>1017</v>
      </c>
      <c r="D142" s="238" t="s">
        <v>1411</v>
      </c>
      <c r="E142" s="239" t="s">
        <v>94</v>
      </c>
      <c r="F142" s="240">
        <v>46146.0</v>
      </c>
      <c r="G142" s="241" t="s">
        <v>2019</v>
      </c>
      <c r="H142" s="173" t="s">
        <v>16</v>
      </c>
      <c r="I142" s="242"/>
      <c r="J142" s="243"/>
      <c r="K142" s="222"/>
      <c r="L142" s="222"/>
      <c r="M142" s="222"/>
      <c r="N142" s="222"/>
      <c r="O142" s="222"/>
      <c r="P142" s="222"/>
      <c r="Q142" s="222"/>
      <c r="R142" s="222"/>
      <c r="S142" s="222"/>
      <c r="T142" s="222"/>
      <c r="U142" s="222"/>
      <c r="V142" s="222"/>
      <c r="W142" s="222"/>
      <c r="X142" s="222"/>
    </row>
    <row r="143" ht="42.75" customHeight="1">
      <c r="A143" s="244">
        <v>134.0</v>
      </c>
      <c r="B143" s="245" t="s">
        <v>1018</v>
      </c>
      <c r="C143" s="245" t="s">
        <v>1019</v>
      </c>
      <c r="D143" s="246" t="s">
        <v>1411</v>
      </c>
      <c r="E143" s="247" t="s">
        <v>94</v>
      </c>
      <c r="F143" s="248">
        <v>46146.0</v>
      </c>
      <c r="G143" s="249" t="s">
        <v>2023</v>
      </c>
      <c r="H143" s="250" t="s">
        <v>16</v>
      </c>
      <c r="I143" s="251"/>
      <c r="J143" s="252"/>
      <c r="K143" s="222"/>
      <c r="L143" s="222"/>
      <c r="M143" s="222"/>
      <c r="N143" s="222"/>
      <c r="O143" s="222"/>
      <c r="P143" s="222"/>
      <c r="Q143" s="222"/>
      <c r="R143" s="222"/>
      <c r="S143" s="222"/>
      <c r="T143" s="222"/>
      <c r="U143" s="222"/>
      <c r="V143" s="222"/>
      <c r="W143" s="222"/>
      <c r="X143" s="222"/>
    </row>
    <row r="144" ht="42.75" customHeight="1">
      <c r="A144" s="236">
        <v>135.0</v>
      </c>
      <c r="B144" s="237" t="s">
        <v>1021</v>
      </c>
      <c r="C144" s="237" t="s">
        <v>1022</v>
      </c>
      <c r="D144" s="238" t="s">
        <v>1405</v>
      </c>
      <c r="E144" s="239" t="s">
        <v>94</v>
      </c>
      <c r="F144" s="240">
        <v>46146.0</v>
      </c>
      <c r="G144" s="241" t="s">
        <v>2027</v>
      </c>
      <c r="H144" s="173" t="s">
        <v>16</v>
      </c>
      <c r="I144" s="242"/>
      <c r="J144" s="243"/>
      <c r="K144" s="222"/>
      <c r="L144" s="222"/>
      <c r="M144" s="222"/>
      <c r="N144" s="222"/>
      <c r="O144" s="222"/>
      <c r="P144" s="222"/>
      <c r="Q144" s="222"/>
      <c r="R144" s="222"/>
      <c r="S144" s="222"/>
      <c r="T144" s="222"/>
      <c r="U144" s="222"/>
      <c r="V144" s="222"/>
      <c r="W144" s="222"/>
      <c r="X144" s="222"/>
    </row>
    <row r="145" ht="42.75" customHeight="1">
      <c r="A145" s="244">
        <v>136.0</v>
      </c>
      <c r="B145" s="245" t="s">
        <v>1023</v>
      </c>
      <c r="C145" s="245" t="s">
        <v>1024</v>
      </c>
      <c r="D145" s="246" t="s">
        <v>1405</v>
      </c>
      <c r="E145" s="247" t="s">
        <v>94</v>
      </c>
      <c r="F145" s="248">
        <v>46146.0</v>
      </c>
      <c r="G145" s="249" t="s">
        <v>2030</v>
      </c>
      <c r="H145" s="250" t="s">
        <v>16</v>
      </c>
      <c r="I145" s="251"/>
      <c r="J145" s="252"/>
      <c r="K145" s="222"/>
      <c r="L145" s="222"/>
      <c r="M145" s="222"/>
      <c r="N145" s="222"/>
      <c r="O145" s="222"/>
      <c r="P145" s="222"/>
      <c r="Q145" s="222"/>
      <c r="R145" s="222"/>
      <c r="S145" s="222"/>
      <c r="T145" s="222"/>
      <c r="U145" s="222"/>
      <c r="V145" s="222"/>
      <c r="W145" s="222"/>
      <c r="X145" s="222"/>
    </row>
    <row r="146" ht="42.75" customHeight="1">
      <c r="A146" s="236">
        <v>137.0</v>
      </c>
      <c r="B146" s="237" t="s">
        <v>1026</v>
      </c>
      <c r="C146" s="237" t="s">
        <v>1027</v>
      </c>
      <c r="D146" s="238" t="s">
        <v>1411</v>
      </c>
      <c r="E146" s="239" t="s">
        <v>94</v>
      </c>
      <c r="F146" s="240">
        <v>46146.0</v>
      </c>
      <c r="G146" s="241" t="s">
        <v>2035</v>
      </c>
      <c r="H146" s="173" t="s">
        <v>16</v>
      </c>
      <c r="I146" s="242"/>
      <c r="J146" s="243"/>
      <c r="K146" s="222"/>
      <c r="L146" s="222"/>
      <c r="M146" s="222"/>
      <c r="N146" s="222"/>
      <c r="O146" s="222"/>
      <c r="P146" s="222"/>
      <c r="Q146" s="222"/>
      <c r="R146" s="222"/>
      <c r="S146" s="222"/>
      <c r="T146" s="222"/>
      <c r="U146" s="222"/>
      <c r="V146" s="222"/>
      <c r="W146" s="222"/>
      <c r="X146" s="222"/>
    </row>
    <row r="147" ht="42.75" customHeight="1">
      <c r="A147" s="244">
        <v>138.0</v>
      </c>
      <c r="B147" s="245" t="s">
        <v>1028</v>
      </c>
      <c r="C147" s="245" t="s">
        <v>1029</v>
      </c>
      <c r="D147" s="246" t="s">
        <v>1411</v>
      </c>
      <c r="E147" s="247" t="s">
        <v>94</v>
      </c>
      <c r="F147" s="248">
        <v>46146.0</v>
      </c>
      <c r="G147" s="249" t="s">
        <v>2039</v>
      </c>
      <c r="H147" s="250" t="s">
        <v>16</v>
      </c>
      <c r="I147" s="251"/>
      <c r="J147" s="252"/>
      <c r="K147" s="222"/>
      <c r="L147" s="222"/>
      <c r="M147" s="222"/>
      <c r="N147" s="222"/>
      <c r="O147" s="222"/>
      <c r="P147" s="222"/>
      <c r="Q147" s="222"/>
      <c r="R147" s="222"/>
      <c r="S147" s="222"/>
      <c r="T147" s="222"/>
      <c r="U147" s="222"/>
      <c r="V147" s="222"/>
      <c r="W147" s="222"/>
      <c r="X147" s="222"/>
    </row>
    <row r="148" ht="42.75" customHeight="1">
      <c r="A148" s="236">
        <v>139.0</v>
      </c>
      <c r="B148" s="237" t="s">
        <v>1030</v>
      </c>
      <c r="C148" s="237" t="s">
        <v>1031</v>
      </c>
      <c r="D148" s="238" t="s">
        <v>1405</v>
      </c>
      <c r="E148" s="239" t="s">
        <v>94</v>
      </c>
      <c r="F148" s="240">
        <v>46146.0</v>
      </c>
      <c r="G148" s="241" t="s">
        <v>2043</v>
      </c>
      <c r="H148" s="173" t="s">
        <v>16</v>
      </c>
      <c r="I148" s="242"/>
      <c r="J148" s="243"/>
      <c r="K148" s="222"/>
      <c r="L148" s="222"/>
      <c r="M148" s="222"/>
      <c r="N148" s="222"/>
      <c r="O148" s="222"/>
      <c r="P148" s="222"/>
      <c r="Q148" s="222"/>
      <c r="R148" s="222"/>
      <c r="S148" s="222"/>
      <c r="T148" s="222"/>
      <c r="U148" s="222"/>
      <c r="V148" s="222"/>
      <c r="W148" s="222"/>
      <c r="X148" s="222"/>
    </row>
    <row r="149" ht="42.75" customHeight="1">
      <c r="A149" s="244">
        <v>140.0</v>
      </c>
      <c r="B149" s="245" t="s">
        <v>1033</v>
      </c>
      <c r="C149" s="245" t="s">
        <v>1034</v>
      </c>
      <c r="D149" s="246" t="s">
        <v>1405</v>
      </c>
      <c r="E149" s="247" t="s">
        <v>94</v>
      </c>
      <c r="F149" s="248">
        <v>46146.0</v>
      </c>
      <c r="G149" s="249" t="s">
        <v>2047</v>
      </c>
      <c r="H149" s="250" t="s">
        <v>16</v>
      </c>
      <c r="I149" s="251"/>
      <c r="J149" s="252"/>
      <c r="K149" s="222"/>
      <c r="L149" s="222"/>
      <c r="M149" s="222"/>
      <c r="N149" s="222"/>
      <c r="O149" s="222"/>
      <c r="P149" s="222"/>
      <c r="Q149" s="222"/>
      <c r="R149" s="222"/>
      <c r="S149" s="222"/>
      <c r="T149" s="222"/>
      <c r="U149" s="222"/>
      <c r="V149" s="222"/>
      <c r="W149" s="222"/>
      <c r="X149" s="222"/>
    </row>
    <row r="150" ht="42.75" customHeight="1">
      <c r="A150" s="236">
        <v>141.0</v>
      </c>
      <c r="B150" s="237" t="s">
        <v>1035</v>
      </c>
      <c r="C150" s="237" t="s">
        <v>1036</v>
      </c>
      <c r="D150" s="238" t="s">
        <v>1411</v>
      </c>
      <c r="E150" s="239" t="s">
        <v>94</v>
      </c>
      <c r="F150" s="240">
        <v>46146.0</v>
      </c>
      <c r="G150" s="241" t="s">
        <v>2052</v>
      </c>
      <c r="H150" s="173" t="s">
        <v>16</v>
      </c>
      <c r="I150" s="242"/>
      <c r="J150" s="241" t="s">
        <v>2053</v>
      </c>
      <c r="K150" s="222"/>
      <c r="L150" s="222"/>
      <c r="M150" s="222"/>
      <c r="N150" s="222"/>
      <c r="O150" s="222"/>
      <c r="P150" s="222"/>
      <c r="Q150" s="222"/>
      <c r="R150" s="222"/>
      <c r="S150" s="222"/>
      <c r="T150" s="222"/>
      <c r="U150" s="222"/>
      <c r="V150" s="222"/>
      <c r="W150" s="222"/>
      <c r="X150" s="222"/>
    </row>
    <row r="151" ht="42.75" customHeight="1">
      <c r="A151" s="244">
        <v>142.0</v>
      </c>
      <c r="B151" s="245" t="s">
        <v>1037</v>
      </c>
      <c r="C151" s="245" t="s">
        <v>1038</v>
      </c>
      <c r="D151" s="246" t="s">
        <v>1411</v>
      </c>
      <c r="E151" s="247" t="s">
        <v>94</v>
      </c>
      <c r="F151" s="248">
        <v>46146.0</v>
      </c>
      <c r="G151" s="249" t="s">
        <v>2052</v>
      </c>
      <c r="H151" s="250" t="s">
        <v>16</v>
      </c>
      <c r="I151" s="251"/>
      <c r="J151" s="249" t="s">
        <v>2058</v>
      </c>
      <c r="K151" s="222"/>
      <c r="L151" s="222"/>
      <c r="M151" s="222"/>
      <c r="N151" s="222"/>
      <c r="O151" s="222"/>
      <c r="P151" s="222"/>
      <c r="Q151" s="222"/>
      <c r="R151" s="222"/>
      <c r="S151" s="222"/>
      <c r="T151" s="222"/>
      <c r="U151" s="222"/>
      <c r="V151" s="222"/>
      <c r="W151" s="222"/>
      <c r="X151" s="222"/>
    </row>
    <row r="152" ht="42.75" customHeight="1">
      <c r="A152" s="236">
        <v>143.0</v>
      </c>
      <c r="B152" s="237" t="s">
        <v>1040</v>
      </c>
      <c r="C152" s="237" t="s">
        <v>1041</v>
      </c>
      <c r="D152" s="238" t="s">
        <v>1405</v>
      </c>
      <c r="E152" s="239" t="s">
        <v>94</v>
      </c>
      <c r="F152" s="240">
        <v>46146.0</v>
      </c>
      <c r="G152" s="241" t="s">
        <v>2062</v>
      </c>
      <c r="H152" s="173" t="s">
        <v>16</v>
      </c>
      <c r="I152" s="242"/>
      <c r="J152" s="243"/>
      <c r="K152" s="222"/>
      <c r="L152" s="222"/>
      <c r="M152" s="222"/>
      <c r="N152" s="222"/>
      <c r="O152" s="222"/>
      <c r="P152" s="222"/>
      <c r="Q152" s="222"/>
      <c r="R152" s="222"/>
      <c r="S152" s="222"/>
      <c r="T152" s="222"/>
      <c r="U152" s="222"/>
      <c r="V152" s="222"/>
      <c r="W152" s="222"/>
      <c r="X152" s="222"/>
    </row>
    <row r="153" ht="42.75" customHeight="1">
      <c r="A153" s="244">
        <v>144.0</v>
      </c>
      <c r="B153" s="245" t="s">
        <v>1042</v>
      </c>
      <c r="C153" s="245" t="s">
        <v>1043</v>
      </c>
      <c r="D153" s="246" t="s">
        <v>1405</v>
      </c>
      <c r="E153" s="247" t="s">
        <v>94</v>
      </c>
      <c r="F153" s="248">
        <v>46146.0</v>
      </c>
      <c r="G153" s="249" t="s">
        <v>2066</v>
      </c>
      <c r="H153" s="250" t="s">
        <v>16</v>
      </c>
      <c r="I153" s="251"/>
      <c r="J153" s="252"/>
      <c r="K153" s="222"/>
      <c r="L153" s="222"/>
      <c r="M153" s="222"/>
      <c r="N153" s="222"/>
      <c r="O153" s="222"/>
      <c r="P153" s="222"/>
      <c r="Q153" s="222"/>
      <c r="R153" s="222"/>
      <c r="S153" s="222"/>
      <c r="T153" s="222"/>
      <c r="U153" s="222"/>
      <c r="V153" s="222"/>
      <c r="W153" s="222"/>
      <c r="X153" s="222"/>
    </row>
    <row r="154" ht="42.75" customHeight="1">
      <c r="A154" s="236">
        <v>145.0</v>
      </c>
      <c r="B154" s="237" t="s">
        <v>1044</v>
      </c>
      <c r="C154" s="237" t="s">
        <v>1045</v>
      </c>
      <c r="D154" s="238" t="s">
        <v>1416</v>
      </c>
      <c r="E154" s="239" t="s">
        <v>94</v>
      </c>
      <c r="F154" s="240">
        <v>46146.0</v>
      </c>
      <c r="G154" s="241" t="s">
        <v>2070</v>
      </c>
      <c r="H154" s="173" t="s">
        <v>16</v>
      </c>
      <c r="I154" s="242"/>
      <c r="J154" s="243"/>
      <c r="K154" s="222"/>
      <c r="L154" s="222"/>
      <c r="M154" s="222"/>
      <c r="N154" s="222"/>
      <c r="O154" s="222"/>
      <c r="P154" s="222"/>
      <c r="Q154" s="222"/>
      <c r="R154" s="222"/>
      <c r="S154" s="222"/>
      <c r="T154" s="222"/>
      <c r="U154" s="222"/>
      <c r="V154" s="222"/>
      <c r="W154" s="222"/>
      <c r="X154" s="222"/>
    </row>
    <row r="155" ht="42.75" customHeight="1">
      <c r="A155" s="244">
        <v>146.0</v>
      </c>
      <c r="B155" s="245" t="s">
        <v>1047</v>
      </c>
      <c r="C155" s="245" t="s">
        <v>1048</v>
      </c>
      <c r="D155" s="246" t="s">
        <v>1411</v>
      </c>
      <c r="E155" s="247" t="s">
        <v>94</v>
      </c>
      <c r="F155" s="248">
        <v>46146.0</v>
      </c>
      <c r="G155" s="249" t="s">
        <v>2075</v>
      </c>
      <c r="H155" s="250" t="s">
        <v>11</v>
      </c>
      <c r="I155" s="256" t="s">
        <v>2076</v>
      </c>
      <c r="J155" s="252"/>
      <c r="K155" s="222"/>
      <c r="L155" s="222"/>
      <c r="M155" s="222"/>
      <c r="N155" s="222"/>
      <c r="O155" s="222"/>
      <c r="P155" s="222"/>
      <c r="Q155" s="222"/>
      <c r="R155" s="222"/>
      <c r="S155" s="222"/>
      <c r="T155" s="222"/>
      <c r="U155" s="222"/>
      <c r="V155" s="222"/>
      <c r="W155" s="222"/>
      <c r="X155" s="222"/>
    </row>
    <row r="156" ht="42.75" customHeight="1">
      <c r="A156" s="236">
        <v>147.0</v>
      </c>
      <c r="B156" s="237" t="s">
        <v>1049</v>
      </c>
      <c r="C156" s="237" t="s">
        <v>1050</v>
      </c>
      <c r="D156" s="238" t="s">
        <v>1416</v>
      </c>
      <c r="E156" s="239" t="s">
        <v>94</v>
      </c>
      <c r="F156" s="240">
        <v>46146.0</v>
      </c>
      <c r="G156" s="241" t="s">
        <v>2080</v>
      </c>
      <c r="H156" s="173" t="s">
        <v>16</v>
      </c>
      <c r="I156" s="242"/>
      <c r="J156" s="243"/>
      <c r="K156" s="222"/>
      <c r="L156" s="222"/>
      <c r="M156" s="222"/>
      <c r="N156" s="222"/>
      <c r="O156" s="222"/>
      <c r="P156" s="222"/>
      <c r="Q156" s="222"/>
      <c r="R156" s="222"/>
      <c r="S156" s="222"/>
      <c r="T156" s="222"/>
      <c r="U156" s="222"/>
      <c r="V156" s="222"/>
      <c r="W156" s="222"/>
      <c r="X156" s="222"/>
    </row>
    <row r="157" ht="42.75" customHeight="1">
      <c r="A157" s="244">
        <v>148.0</v>
      </c>
      <c r="B157" s="245" t="s">
        <v>1051</v>
      </c>
      <c r="C157" s="245" t="s">
        <v>1052</v>
      </c>
      <c r="D157" s="246" t="s">
        <v>1411</v>
      </c>
      <c r="E157" s="247" t="s">
        <v>94</v>
      </c>
      <c r="F157" s="248">
        <v>46146.0</v>
      </c>
      <c r="G157" s="249" t="s">
        <v>2084</v>
      </c>
      <c r="H157" s="250" t="s">
        <v>16</v>
      </c>
      <c r="I157" s="251"/>
      <c r="J157" s="252"/>
      <c r="K157" s="222"/>
      <c r="L157" s="222"/>
      <c r="M157" s="222"/>
      <c r="N157" s="222"/>
      <c r="O157" s="222"/>
      <c r="P157" s="222"/>
      <c r="Q157" s="222"/>
      <c r="R157" s="222"/>
      <c r="S157" s="222"/>
      <c r="T157" s="222"/>
      <c r="U157" s="222"/>
      <c r="V157" s="222"/>
      <c r="W157" s="222"/>
      <c r="X157" s="222"/>
    </row>
    <row r="158" ht="25.5" customHeight="1">
      <c r="A158" s="233" t="s">
        <v>3145</v>
      </c>
      <c r="B158" s="260"/>
      <c r="C158" s="260"/>
      <c r="D158" s="260"/>
      <c r="E158" s="260"/>
      <c r="F158" s="260"/>
      <c r="G158" s="260"/>
      <c r="H158" s="260"/>
      <c r="I158" s="260"/>
      <c r="J158" s="261"/>
      <c r="K158" s="222"/>
      <c r="L158" s="222"/>
      <c r="M158" s="222"/>
      <c r="N158" s="222"/>
      <c r="O158" s="222"/>
      <c r="P158" s="222"/>
      <c r="Q158" s="222"/>
      <c r="R158" s="222"/>
      <c r="S158" s="222"/>
      <c r="T158" s="222"/>
      <c r="U158" s="222"/>
      <c r="V158" s="222"/>
      <c r="W158" s="222"/>
      <c r="X158" s="222"/>
    </row>
    <row r="159" ht="42.75" customHeight="1">
      <c r="A159" s="244">
        <v>149.0</v>
      </c>
      <c r="B159" s="245" t="s">
        <v>1054</v>
      </c>
      <c r="C159" s="245" t="s">
        <v>1055</v>
      </c>
      <c r="D159" s="246" t="s">
        <v>1405</v>
      </c>
      <c r="E159" s="247" t="s">
        <v>90</v>
      </c>
      <c r="F159" s="248">
        <v>46146.0</v>
      </c>
      <c r="G159" s="249" t="s">
        <v>2089</v>
      </c>
      <c r="H159" s="250" t="s">
        <v>16</v>
      </c>
      <c r="I159" s="251"/>
      <c r="J159" s="252"/>
      <c r="K159" s="222"/>
      <c r="L159" s="222"/>
      <c r="M159" s="222"/>
      <c r="N159" s="222"/>
      <c r="O159" s="222"/>
      <c r="P159" s="222"/>
      <c r="Q159" s="222"/>
      <c r="R159" s="222"/>
      <c r="S159" s="222"/>
      <c r="T159" s="222"/>
      <c r="U159" s="222"/>
      <c r="V159" s="222"/>
      <c r="W159" s="222"/>
      <c r="X159" s="222"/>
    </row>
    <row r="160" ht="42.75" customHeight="1">
      <c r="A160" s="236">
        <v>150.0</v>
      </c>
      <c r="B160" s="237" t="s">
        <v>1056</v>
      </c>
      <c r="C160" s="237" t="s">
        <v>1057</v>
      </c>
      <c r="D160" s="238" t="s">
        <v>1405</v>
      </c>
      <c r="E160" s="239" t="s">
        <v>90</v>
      </c>
      <c r="F160" s="240">
        <v>46146.0</v>
      </c>
      <c r="G160" s="241" t="s">
        <v>2094</v>
      </c>
      <c r="H160" s="173" t="s">
        <v>16</v>
      </c>
      <c r="I160" s="242"/>
      <c r="J160" s="243"/>
      <c r="K160" s="222"/>
      <c r="L160" s="222"/>
      <c r="M160" s="222"/>
      <c r="N160" s="222"/>
      <c r="O160" s="222"/>
      <c r="P160" s="222"/>
      <c r="Q160" s="222"/>
      <c r="R160" s="222"/>
      <c r="S160" s="222"/>
      <c r="T160" s="222"/>
      <c r="U160" s="222"/>
      <c r="V160" s="222"/>
      <c r="W160" s="222"/>
      <c r="X160" s="222"/>
    </row>
    <row r="161" ht="42.75" customHeight="1">
      <c r="A161" s="244">
        <v>151.0</v>
      </c>
      <c r="B161" s="245" t="s">
        <v>1058</v>
      </c>
      <c r="C161" s="245" t="s">
        <v>1059</v>
      </c>
      <c r="D161" s="246" t="s">
        <v>1405</v>
      </c>
      <c r="E161" s="247" t="s">
        <v>90</v>
      </c>
      <c r="F161" s="248">
        <v>46146.0</v>
      </c>
      <c r="G161" s="249" t="s">
        <v>2097</v>
      </c>
      <c r="H161" s="250" t="s">
        <v>16</v>
      </c>
      <c r="I161" s="251"/>
      <c r="J161" s="252"/>
      <c r="K161" s="222"/>
      <c r="L161" s="222"/>
      <c r="M161" s="222"/>
      <c r="N161" s="222"/>
      <c r="O161" s="222"/>
      <c r="P161" s="222"/>
      <c r="Q161" s="222"/>
      <c r="R161" s="222"/>
      <c r="S161" s="222"/>
      <c r="T161" s="222"/>
      <c r="U161" s="222"/>
      <c r="V161" s="222"/>
      <c r="W161" s="222"/>
      <c r="X161" s="222"/>
    </row>
    <row r="162" ht="42.75" customHeight="1">
      <c r="A162" s="236">
        <v>152.0</v>
      </c>
      <c r="B162" s="237" t="s">
        <v>1061</v>
      </c>
      <c r="C162" s="237" t="s">
        <v>1062</v>
      </c>
      <c r="D162" s="238" t="s">
        <v>1405</v>
      </c>
      <c r="E162" s="239" t="s">
        <v>90</v>
      </c>
      <c r="F162" s="240">
        <v>46146.0</v>
      </c>
      <c r="G162" s="241" t="s">
        <v>2101</v>
      </c>
      <c r="H162" s="173" t="s">
        <v>16</v>
      </c>
      <c r="I162" s="242"/>
      <c r="J162" s="243"/>
      <c r="K162" s="222"/>
      <c r="L162" s="222"/>
      <c r="M162" s="222"/>
      <c r="N162" s="222"/>
      <c r="O162" s="222"/>
      <c r="P162" s="222"/>
      <c r="Q162" s="222"/>
      <c r="R162" s="222"/>
      <c r="S162" s="222"/>
      <c r="T162" s="222"/>
      <c r="U162" s="222"/>
      <c r="V162" s="222"/>
      <c r="W162" s="222"/>
      <c r="X162" s="222"/>
    </row>
    <row r="163" ht="42.75" customHeight="1">
      <c r="A163" s="244">
        <v>153.0</v>
      </c>
      <c r="B163" s="245" t="s">
        <v>1063</v>
      </c>
      <c r="C163" s="245" t="s">
        <v>1064</v>
      </c>
      <c r="D163" s="246" t="s">
        <v>1416</v>
      </c>
      <c r="E163" s="247" t="s">
        <v>90</v>
      </c>
      <c r="F163" s="248">
        <v>46146.0</v>
      </c>
      <c r="G163" s="249" t="s">
        <v>2101</v>
      </c>
      <c r="H163" s="250" t="s">
        <v>16</v>
      </c>
      <c r="I163" s="251"/>
      <c r="J163" s="252"/>
      <c r="K163" s="222"/>
      <c r="L163" s="222"/>
      <c r="M163" s="222"/>
      <c r="N163" s="222"/>
      <c r="O163" s="222"/>
      <c r="P163" s="222"/>
      <c r="Q163" s="222"/>
      <c r="R163" s="222"/>
      <c r="S163" s="222"/>
      <c r="T163" s="222"/>
      <c r="U163" s="222"/>
      <c r="V163" s="222"/>
      <c r="W163" s="222"/>
      <c r="X163" s="222"/>
    </row>
    <row r="164" ht="42.75" customHeight="1">
      <c r="A164" s="236">
        <v>154.0</v>
      </c>
      <c r="B164" s="237" t="s">
        <v>1066</v>
      </c>
      <c r="C164" s="237" t="s">
        <v>1067</v>
      </c>
      <c r="D164" s="238" t="s">
        <v>1405</v>
      </c>
      <c r="E164" s="239" t="s">
        <v>90</v>
      </c>
      <c r="F164" s="240">
        <v>46146.0</v>
      </c>
      <c r="G164" s="241" t="s">
        <v>2108</v>
      </c>
      <c r="H164" s="173" t="s">
        <v>16</v>
      </c>
      <c r="I164" s="242"/>
      <c r="J164" s="243"/>
      <c r="K164" s="222"/>
      <c r="L164" s="222"/>
      <c r="M164" s="222"/>
      <c r="N164" s="222"/>
      <c r="O164" s="222"/>
      <c r="P164" s="222"/>
      <c r="Q164" s="222"/>
      <c r="R164" s="222"/>
      <c r="S164" s="222"/>
      <c r="T164" s="222"/>
      <c r="U164" s="222"/>
      <c r="V164" s="222"/>
      <c r="W164" s="222"/>
      <c r="X164" s="222"/>
    </row>
    <row r="165" ht="42.75" customHeight="1">
      <c r="A165" s="244">
        <v>155.0</v>
      </c>
      <c r="B165" s="245" t="s">
        <v>1068</v>
      </c>
      <c r="C165" s="245" t="s">
        <v>1069</v>
      </c>
      <c r="D165" s="246" t="s">
        <v>1405</v>
      </c>
      <c r="E165" s="247" t="s">
        <v>90</v>
      </c>
      <c r="F165" s="248">
        <v>46146.0</v>
      </c>
      <c r="G165" s="249" t="s">
        <v>2112</v>
      </c>
      <c r="H165" s="250" t="s">
        <v>16</v>
      </c>
      <c r="I165" s="251"/>
      <c r="J165" s="252"/>
      <c r="K165" s="222"/>
      <c r="L165" s="222"/>
      <c r="M165" s="222"/>
      <c r="N165" s="222"/>
      <c r="O165" s="222"/>
      <c r="P165" s="222"/>
      <c r="Q165" s="222"/>
      <c r="R165" s="222"/>
      <c r="S165" s="222"/>
      <c r="T165" s="222"/>
      <c r="U165" s="222"/>
      <c r="V165" s="222"/>
      <c r="W165" s="222"/>
      <c r="X165" s="222"/>
    </row>
    <row r="166" ht="42.75" customHeight="1">
      <c r="A166" s="236">
        <v>156.0</v>
      </c>
      <c r="B166" s="237" t="s">
        <v>1070</v>
      </c>
      <c r="C166" s="237" t="s">
        <v>1071</v>
      </c>
      <c r="D166" s="238" t="s">
        <v>1405</v>
      </c>
      <c r="E166" s="239" t="s">
        <v>90</v>
      </c>
      <c r="F166" s="240">
        <v>46146.0</v>
      </c>
      <c r="G166" s="241" t="s">
        <v>2115</v>
      </c>
      <c r="H166" s="173" t="s">
        <v>16</v>
      </c>
      <c r="I166" s="242"/>
      <c r="J166" s="243"/>
      <c r="K166" s="222"/>
      <c r="L166" s="222"/>
      <c r="M166" s="222"/>
      <c r="N166" s="222"/>
      <c r="O166" s="222"/>
      <c r="P166" s="222"/>
      <c r="Q166" s="222"/>
      <c r="R166" s="222"/>
      <c r="S166" s="222"/>
      <c r="T166" s="222"/>
      <c r="U166" s="222"/>
      <c r="V166" s="222"/>
      <c r="W166" s="222"/>
      <c r="X166" s="222"/>
    </row>
    <row r="167" ht="42.75" customHeight="1">
      <c r="A167" s="244">
        <v>157.0</v>
      </c>
      <c r="B167" s="245" t="s">
        <v>1073</v>
      </c>
      <c r="C167" s="245" t="s">
        <v>1074</v>
      </c>
      <c r="D167" s="246" t="s">
        <v>1411</v>
      </c>
      <c r="E167" s="247" t="s">
        <v>90</v>
      </c>
      <c r="F167" s="248">
        <v>46146.0</v>
      </c>
      <c r="G167" s="249" t="s">
        <v>2118</v>
      </c>
      <c r="H167" s="250" t="s">
        <v>16</v>
      </c>
      <c r="I167" s="251"/>
      <c r="J167" s="252"/>
      <c r="K167" s="222"/>
      <c r="L167" s="222"/>
      <c r="M167" s="222"/>
      <c r="N167" s="222"/>
      <c r="O167" s="222"/>
      <c r="P167" s="222"/>
      <c r="Q167" s="222"/>
      <c r="R167" s="222"/>
      <c r="S167" s="222"/>
      <c r="T167" s="222"/>
      <c r="U167" s="222"/>
      <c r="V167" s="222"/>
      <c r="W167" s="222"/>
      <c r="X167" s="222"/>
    </row>
    <row r="168" ht="42.75" customHeight="1">
      <c r="A168" s="236">
        <v>158.0</v>
      </c>
      <c r="B168" s="237" t="s">
        <v>1075</v>
      </c>
      <c r="C168" s="237" t="s">
        <v>1076</v>
      </c>
      <c r="D168" s="238" t="s">
        <v>1405</v>
      </c>
      <c r="E168" s="239" t="s">
        <v>90</v>
      </c>
      <c r="F168" s="240">
        <v>46146.0</v>
      </c>
      <c r="G168" s="241" t="s">
        <v>2120</v>
      </c>
      <c r="H168" s="173" t="s">
        <v>16</v>
      </c>
      <c r="I168" s="242"/>
      <c r="J168" s="243"/>
      <c r="K168" s="222"/>
      <c r="L168" s="222"/>
      <c r="M168" s="222"/>
      <c r="N168" s="222"/>
      <c r="O168" s="222"/>
      <c r="P168" s="222"/>
      <c r="Q168" s="222"/>
      <c r="R168" s="222"/>
      <c r="S168" s="222"/>
      <c r="T168" s="222"/>
      <c r="U168" s="222"/>
      <c r="V168" s="222"/>
      <c r="W168" s="222"/>
      <c r="X168" s="222"/>
    </row>
    <row r="169" ht="42.75" customHeight="1">
      <c r="A169" s="244">
        <v>159.0</v>
      </c>
      <c r="B169" s="245" t="s">
        <v>1078</v>
      </c>
      <c r="C169" s="245" t="s">
        <v>1079</v>
      </c>
      <c r="D169" s="246" t="s">
        <v>1411</v>
      </c>
      <c r="E169" s="247" t="s">
        <v>90</v>
      </c>
      <c r="F169" s="248">
        <v>46146.0</v>
      </c>
      <c r="G169" s="249" t="s">
        <v>2124</v>
      </c>
      <c r="H169" s="250" t="s">
        <v>16</v>
      </c>
      <c r="I169" s="251"/>
      <c r="J169" s="252"/>
      <c r="K169" s="222"/>
      <c r="L169" s="222"/>
      <c r="M169" s="222"/>
      <c r="N169" s="222"/>
      <c r="O169" s="222"/>
      <c r="P169" s="222"/>
      <c r="Q169" s="222"/>
      <c r="R169" s="222"/>
      <c r="S169" s="222"/>
      <c r="T169" s="222"/>
      <c r="U169" s="222"/>
      <c r="V169" s="222"/>
      <c r="W169" s="222"/>
      <c r="X169" s="222"/>
    </row>
    <row r="170" ht="42.75" customHeight="1">
      <c r="A170" s="236">
        <v>160.0</v>
      </c>
      <c r="B170" s="237" t="s">
        <v>1080</v>
      </c>
      <c r="C170" s="237" t="s">
        <v>1081</v>
      </c>
      <c r="D170" s="238" t="s">
        <v>1411</v>
      </c>
      <c r="E170" s="239" t="s">
        <v>90</v>
      </c>
      <c r="F170" s="240">
        <v>46146.0</v>
      </c>
      <c r="G170" s="241" t="s">
        <v>2128</v>
      </c>
      <c r="H170" s="173" t="s">
        <v>16</v>
      </c>
      <c r="I170" s="242"/>
      <c r="J170" s="243"/>
      <c r="K170" s="222"/>
      <c r="L170" s="222"/>
      <c r="M170" s="222"/>
      <c r="N170" s="222"/>
      <c r="O170" s="222"/>
      <c r="P170" s="222"/>
      <c r="Q170" s="222"/>
      <c r="R170" s="222"/>
      <c r="S170" s="222"/>
      <c r="T170" s="222"/>
      <c r="U170" s="222"/>
      <c r="V170" s="222"/>
      <c r="W170" s="222"/>
      <c r="X170" s="222"/>
    </row>
    <row r="171" ht="42.75" customHeight="1">
      <c r="A171" s="244">
        <v>161.0</v>
      </c>
      <c r="B171" s="245" t="s">
        <v>1082</v>
      </c>
      <c r="C171" s="245" t="s">
        <v>1083</v>
      </c>
      <c r="D171" s="246" t="s">
        <v>1411</v>
      </c>
      <c r="E171" s="247" t="s">
        <v>90</v>
      </c>
      <c r="F171" s="248">
        <v>46146.0</v>
      </c>
      <c r="G171" s="249" t="s">
        <v>2132</v>
      </c>
      <c r="H171" s="250" t="s">
        <v>16</v>
      </c>
      <c r="I171" s="251"/>
      <c r="J171" s="252"/>
      <c r="K171" s="222"/>
      <c r="L171" s="222"/>
      <c r="M171" s="222"/>
      <c r="N171" s="222"/>
      <c r="O171" s="222"/>
      <c r="P171" s="222"/>
      <c r="Q171" s="222"/>
      <c r="R171" s="222"/>
      <c r="S171" s="222"/>
      <c r="T171" s="222"/>
      <c r="U171" s="222"/>
      <c r="V171" s="222"/>
      <c r="W171" s="222"/>
      <c r="X171" s="222"/>
    </row>
    <row r="172" ht="42.75" customHeight="1">
      <c r="A172" s="236">
        <v>162.0</v>
      </c>
      <c r="B172" s="237" t="s">
        <v>1085</v>
      </c>
      <c r="C172" s="237" t="s">
        <v>1086</v>
      </c>
      <c r="D172" s="238" t="s">
        <v>1405</v>
      </c>
      <c r="E172" s="239" t="s">
        <v>90</v>
      </c>
      <c r="F172" s="240">
        <v>46146.0</v>
      </c>
      <c r="G172" s="241" t="s">
        <v>2136</v>
      </c>
      <c r="H172" s="173" t="s">
        <v>16</v>
      </c>
      <c r="I172" s="242"/>
      <c r="J172" s="243"/>
      <c r="K172" s="222"/>
      <c r="L172" s="222"/>
      <c r="M172" s="222"/>
      <c r="N172" s="222"/>
      <c r="O172" s="222"/>
      <c r="P172" s="222"/>
      <c r="Q172" s="222"/>
      <c r="R172" s="222"/>
      <c r="S172" s="222"/>
      <c r="T172" s="222"/>
      <c r="U172" s="222"/>
      <c r="V172" s="222"/>
      <c r="W172" s="222"/>
      <c r="X172" s="222"/>
    </row>
    <row r="173" ht="42.75" customHeight="1">
      <c r="A173" s="244">
        <v>163.0</v>
      </c>
      <c r="B173" s="245" t="s">
        <v>1087</v>
      </c>
      <c r="C173" s="245" t="s">
        <v>1088</v>
      </c>
      <c r="D173" s="246" t="s">
        <v>1411</v>
      </c>
      <c r="E173" s="247" t="s">
        <v>90</v>
      </c>
      <c r="F173" s="248">
        <v>46146.0</v>
      </c>
      <c r="G173" s="249" t="s">
        <v>2140</v>
      </c>
      <c r="H173" s="250" t="s">
        <v>16</v>
      </c>
      <c r="I173" s="251"/>
      <c r="J173" s="252"/>
      <c r="K173" s="222"/>
      <c r="L173" s="222"/>
      <c r="M173" s="222"/>
      <c r="N173" s="222"/>
      <c r="O173" s="222"/>
      <c r="P173" s="222"/>
      <c r="Q173" s="222"/>
      <c r="R173" s="222"/>
      <c r="S173" s="222"/>
      <c r="T173" s="222"/>
      <c r="U173" s="222"/>
      <c r="V173" s="222"/>
      <c r="W173" s="222"/>
      <c r="X173" s="222"/>
    </row>
    <row r="174" ht="42.75" customHeight="1">
      <c r="A174" s="236">
        <v>164.0</v>
      </c>
      <c r="B174" s="237" t="s">
        <v>1089</v>
      </c>
      <c r="C174" s="237" t="s">
        <v>1090</v>
      </c>
      <c r="D174" s="238" t="s">
        <v>1416</v>
      </c>
      <c r="E174" s="239" t="s">
        <v>90</v>
      </c>
      <c r="F174" s="240">
        <v>46146.0</v>
      </c>
      <c r="G174" s="241" t="s">
        <v>2144</v>
      </c>
      <c r="H174" s="173" t="s">
        <v>16</v>
      </c>
      <c r="I174" s="242"/>
      <c r="J174" s="243"/>
      <c r="K174" s="222"/>
      <c r="L174" s="222"/>
      <c r="M174" s="222"/>
      <c r="N174" s="222"/>
      <c r="O174" s="222"/>
      <c r="P174" s="222"/>
      <c r="Q174" s="222"/>
      <c r="R174" s="222"/>
      <c r="S174" s="222"/>
      <c r="T174" s="222"/>
      <c r="U174" s="222"/>
      <c r="V174" s="222"/>
      <c r="W174" s="222"/>
      <c r="X174" s="222"/>
    </row>
    <row r="175" ht="42.75" customHeight="1">
      <c r="A175" s="244">
        <v>165.0</v>
      </c>
      <c r="B175" s="245" t="s">
        <v>1092</v>
      </c>
      <c r="C175" s="245" t="s">
        <v>1093</v>
      </c>
      <c r="D175" s="246" t="s">
        <v>1405</v>
      </c>
      <c r="E175" s="247" t="s">
        <v>90</v>
      </c>
      <c r="F175" s="248">
        <v>46146.0</v>
      </c>
      <c r="G175" s="249" t="s">
        <v>2148</v>
      </c>
      <c r="H175" s="250" t="s">
        <v>16</v>
      </c>
      <c r="I175" s="251"/>
      <c r="J175" s="252"/>
      <c r="K175" s="222"/>
      <c r="L175" s="222"/>
      <c r="M175" s="222"/>
      <c r="N175" s="222"/>
      <c r="O175" s="222"/>
      <c r="P175" s="222"/>
      <c r="Q175" s="222"/>
      <c r="R175" s="222"/>
      <c r="S175" s="222"/>
      <c r="T175" s="222"/>
      <c r="U175" s="222"/>
      <c r="V175" s="222"/>
      <c r="W175" s="222"/>
      <c r="X175" s="222"/>
    </row>
    <row r="176" ht="42.75" customHeight="1">
      <c r="A176" s="236">
        <v>166.0</v>
      </c>
      <c r="B176" s="237" t="s">
        <v>1094</v>
      </c>
      <c r="C176" s="237" t="s">
        <v>1095</v>
      </c>
      <c r="D176" s="238" t="s">
        <v>1405</v>
      </c>
      <c r="E176" s="239" t="s">
        <v>90</v>
      </c>
      <c r="F176" s="240">
        <v>46146.0</v>
      </c>
      <c r="G176" s="241" t="s">
        <v>2152</v>
      </c>
      <c r="H176" s="173" t="s">
        <v>16</v>
      </c>
      <c r="I176" s="242"/>
      <c r="J176" s="243"/>
      <c r="K176" s="222"/>
      <c r="L176" s="222"/>
      <c r="M176" s="222"/>
      <c r="N176" s="222"/>
      <c r="O176" s="222"/>
      <c r="P176" s="222"/>
      <c r="Q176" s="222"/>
      <c r="R176" s="222"/>
      <c r="S176" s="222"/>
      <c r="T176" s="222"/>
      <c r="U176" s="222"/>
      <c r="V176" s="222"/>
      <c r="W176" s="222"/>
      <c r="X176" s="222"/>
    </row>
    <row r="177" ht="42.75" customHeight="1">
      <c r="A177" s="244">
        <v>167.0</v>
      </c>
      <c r="B177" s="245" t="s">
        <v>1096</v>
      </c>
      <c r="C177" s="245" t="s">
        <v>1097</v>
      </c>
      <c r="D177" s="246" t="s">
        <v>1416</v>
      </c>
      <c r="E177" s="247" t="s">
        <v>90</v>
      </c>
      <c r="F177" s="248">
        <v>46146.0</v>
      </c>
      <c r="G177" s="249" t="s">
        <v>2156</v>
      </c>
      <c r="H177" s="250" t="s">
        <v>16</v>
      </c>
      <c r="I177" s="251"/>
      <c r="J177" s="252"/>
      <c r="K177" s="222"/>
      <c r="L177" s="222"/>
      <c r="M177" s="222"/>
      <c r="N177" s="222"/>
      <c r="O177" s="222"/>
      <c r="P177" s="222"/>
      <c r="Q177" s="222"/>
      <c r="R177" s="222"/>
      <c r="S177" s="222"/>
      <c r="T177" s="222"/>
      <c r="U177" s="222"/>
      <c r="V177" s="222"/>
      <c r="W177" s="222"/>
      <c r="X177" s="222"/>
    </row>
    <row r="178" ht="42.75" customHeight="1">
      <c r="A178" s="236">
        <v>168.0</v>
      </c>
      <c r="B178" s="237" t="s">
        <v>1099</v>
      </c>
      <c r="C178" s="237" t="s">
        <v>1100</v>
      </c>
      <c r="D178" s="238" t="s">
        <v>1411</v>
      </c>
      <c r="E178" s="239" t="s">
        <v>90</v>
      </c>
      <c r="F178" s="240">
        <v>46146.0</v>
      </c>
      <c r="G178" s="241" t="s">
        <v>2160</v>
      </c>
      <c r="H178" s="173" t="s">
        <v>16</v>
      </c>
      <c r="I178" s="242"/>
      <c r="J178" s="243"/>
      <c r="K178" s="222"/>
      <c r="L178" s="222"/>
      <c r="M178" s="222"/>
      <c r="N178" s="222"/>
      <c r="O178" s="222"/>
      <c r="P178" s="222"/>
      <c r="Q178" s="222"/>
      <c r="R178" s="222"/>
      <c r="S178" s="222"/>
      <c r="T178" s="222"/>
      <c r="U178" s="222"/>
      <c r="V178" s="222"/>
      <c r="W178" s="222"/>
      <c r="X178" s="222"/>
    </row>
    <row r="179" ht="42.75" customHeight="1">
      <c r="A179" s="244">
        <v>169.0</v>
      </c>
      <c r="B179" s="245" t="s">
        <v>1101</v>
      </c>
      <c r="C179" s="245" t="s">
        <v>1102</v>
      </c>
      <c r="D179" s="246" t="s">
        <v>1411</v>
      </c>
      <c r="E179" s="247" t="s">
        <v>90</v>
      </c>
      <c r="F179" s="248">
        <v>46146.0</v>
      </c>
      <c r="G179" s="249" t="s">
        <v>2132</v>
      </c>
      <c r="H179" s="250" t="s">
        <v>16</v>
      </c>
      <c r="I179" s="251"/>
      <c r="J179" s="252"/>
      <c r="K179" s="222"/>
      <c r="L179" s="222"/>
      <c r="M179" s="222"/>
      <c r="N179" s="222"/>
      <c r="O179" s="222"/>
      <c r="P179" s="222"/>
      <c r="Q179" s="222"/>
      <c r="R179" s="222"/>
      <c r="S179" s="222"/>
      <c r="T179" s="222"/>
      <c r="U179" s="222"/>
      <c r="V179" s="222"/>
      <c r="W179" s="222"/>
      <c r="X179" s="222"/>
    </row>
    <row r="180" ht="42.75" customHeight="1">
      <c r="A180" s="236">
        <v>170.0</v>
      </c>
      <c r="B180" s="237" t="s">
        <v>1104</v>
      </c>
      <c r="C180" s="237" t="s">
        <v>1105</v>
      </c>
      <c r="D180" s="238" t="s">
        <v>1405</v>
      </c>
      <c r="E180" s="239" t="s">
        <v>90</v>
      </c>
      <c r="F180" s="240">
        <v>46146.0</v>
      </c>
      <c r="G180" s="241" t="s">
        <v>2168</v>
      </c>
      <c r="H180" s="173" t="s">
        <v>16</v>
      </c>
      <c r="I180" s="242"/>
      <c r="J180" s="243"/>
      <c r="K180" s="222"/>
      <c r="L180" s="222"/>
      <c r="M180" s="222"/>
      <c r="N180" s="222"/>
      <c r="O180" s="222"/>
      <c r="P180" s="222"/>
      <c r="Q180" s="222"/>
      <c r="R180" s="222"/>
      <c r="S180" s="222"/>
      <c r="T180" s="222"/>
      <c r="U180" s="222"/>
      <c r="V180" s="222"/>
      <c r="W180" s="222"/>
      <c r="X180" s="222"/>
    </row>
    <row r="181" ht="42.75" customHeight="1">
      <c r="A181" s="244">
        <v>171.0</v>
      </c>
      <c r="B181" s="245" t="s">
        <v>1106</v>
      </c>
      <c r="C181" s="245" t="s">
        <v>1107</v>
      </c>
      <c r="D181" s="246" t="s">
        <v>1411</v>
      </c>
      <c r="E181" s="247" t="s">
        <v>90</v>
      </c>
      <c r="F181" s="248">
        <v>46146.0</v>
      </c>
      <c r="G181" s="249" t="s">
        <v>3146</v>
      </c>
      <c r="H181" s="250" t="s">
        <v>11</v>
      </c>
      <c r="I181" s="256" t="s">
        <v>2175</v>
      </c>
      <c r="J181" s="252"/>
      <c r="K181" s="222"/>
      <c r="L181" s="222"/>
      <c r="M181" s="222"/>
      <c r="N181" s="222"/>
      <c r="O181" s="222"/>
      <c r="P181" s="222"/>
      <c r="Q181" s="222"/>
      <c r="R181" s="222"/>
      <c r="S181" s="222"/>
      <c r="T181" s="222"/>
      <c r="U181" s="222"/>
      <c r="V181" s="222"/>
      <c r="W181" s="222"/>
      <c r="X181" s="222"/>
    </row>
    <row r="182" ht="42.75" customHeight="1">
      <c r="A182" s="236">
        <v>172.0</v>
      </c>
      <c r="B182" s="237" t="s">
        <v>1108</v>
      </c>
      <c r="C182" s="237" t="s">
        <v>945</v>
      </c>
      <c r="D182" s="238" t="s">
        <v>1405</v>
      </c>
      <c r="E182" s="239" t="s">
        <v>90</v>
      </c>
      <c r="F182" s="240">
        <v>46146.0</v>
      </c>
      <c r="G182" s="241" t="s">
        <v>2180</v>
      </c>
      <c r="H182" s="173" t="s">
        <v>16</v>
      </c>
      <c r="I182" s="242"/>
      <c r="J182" s="243"/>
      <c r="K182" s="222"/>
      <c r="L182" s="222"/>
      <c r="M182" s="222"/>
      <c r="N182" s="222"/>
      <c r="O182" s="222"/>
      <c r="P182" s="222"/>
      <c r="Q182" s="222"/>
      <c r="R182" s="222"/>
      <c r="S182" s="222"/>
      <c r="T182" s="222"/>
      <c r="U182" s="222"/>
      <c r="V182" s="222"/>
      <c r="W182" s="222"/>
      <c r="X182" s="222"/>
    </row>
    <row r="183" ht="26.25" customHeight="1">
      <c r="A183" s="233" t="s">
        <v>3147</v>
      </c>
      <c r="B183" s="234"/>
      <c r="C183" s="234"/>
      <c r="D183" s="234"/>
      <c r="E183" s="234"/>
      <c r="F183" s="234"/>
      <c r="G183" s="234"/>
      <c r="H183" s="234"/>
      <c r="I183" s="234"/>
      <c r="J183" s="235"/>
      <c r="K183" s="222"/>
      <c r="L183" s="222"/>
      <c r="M183" s="222"/>
      <c r="N183" s="222"/>
      <c r="O183" s="222"/>
      <c r="P183" s="222"/>
      <c r="Q183" s="222"/>
      <c r="R183" s="222"/>
      <c r="S183" s="222"/>
      <c r="T183" s="222"/>
      <c r="U183" s="222"/>
      <c r="V183" s="222"/>
      <c r="W183" s="222"/>
      <c r="X183" s="222"/>
    </row>
    <row r="184" ht="42.75" customHeight="1">
      <c r="A184" s="236">
        <v>173.0</v>
      </c>
      <c r="B184" s="237" t="s">
        <v>1110</v>
      </c>
      <c r="C184" s="237" t="s">
        <v>1111</v>
      </c>
      <c r="D184" s="238" t="s">
        <v>1405</v>
      </c>
      <c r="E184" s="239" t="s">
        <v>90</v>
      </c>
      <c r="F184" s="240">
        <v>46146.0</v>
      </c>
      <c r="G184" s="241" t="s">
        <v>2185</v>
      </c>
      <c r="H184" s="173" t="s">
        <v>16</v>
      </c>
      <c r="I184" s="242"/>
      <c r="J184" s="243"/>
      <c r="K184" s="222"/>
      <c r="L184" s="222"/>
      <c r="M184" s="222"/>
      <c r="N184" s="222"/>
      <c r="O184" s="222"/>
      <c r="P184" s="222"/>
      <c r="Q184" s="222"/>
      <c r="R184" s="222"/>
      <c r="S184" s="222"/>
      <c r="T184" s="222"/>
      <c r="U184" s="222"/>
      <c r="V184" s="222"/>
      <c r="W184" s="222"/>
      <c r="X184" s="222"/>
    </row>
    <row r="185" ht="42.75" customHeight="1">
      <c r="A185" s="244">
        <v>174.0</v>
      </c>
      <c r="B185" s="245" t="s">
        <v>1112</v>
      </c>
      <c r="C185" s="245" t="s">
        <v>1113</v>
      </c>
      <c r="D185" s="246" t="s">
        <v>1411</v>
      </c>
      <c r="E185" s="247" t="s">
        <v>90</v>
      </c>
      <c r="F185" s="248">
        <v>46146.0</v>
      </c>
      <c r="G185" s="249" t="s">
        <v>2190</v>
      </c>
      <c r="H185" s="250" t="s">
        <v>16</v>
      </c>
      <c r="I185" s="251"/>
      <c r="J185" s="252"/>
      <c r="K185" s="222"/>
      <c r="L185" s="222"/>
      <c r="M185" s="222"/>
      <c r="N185" s="222"/>
      <c r="O185" s="222"/>
      <c r="P185" s="222"/>
      <c r="Q185" s="222"/>
      <c r="R185" s="222"/>
      <c r="S185" s="222"/>
      <c r="T185" s="222"/>
      <c r="U185" s="222"/>
      <c r="V185" s="222"/>
      <c r="W185" s="222"/>
      <c r="X185" s="222"/>
    </row>
    <row r="186" ht="42.75" customHeight="1">
      <c r="A186" s="236">
        <v>175.0</v>
      </c>
      <c r="B186" s="237" t="s">
        <v>1115</v>
      </c>
      <c r="C186" s="237" t="s">
        <v>1116</v>
      </c>
      <c r="D186" s="238" t="s">
        <v>1405</v>
      </c>
      <c r="E186" s="239" t="s">
        <v>90</v>
      </c>
      <c r="F186" s="240">
        <v>46146.0</v>
      </c>
      <c r="G186" s="241" t="s">
        <v>2194</v>
      </c>
      <c r="H186" s="173" t="s">
        <v>16</v>
      </c>
      <c r="I186" s="242"/>
      <c r="J186" s="243"/>
      <c r="K186" s="222"/>
      <c r="L186" s="222"/>
      <c r="M186" s="222"/>
      <c r="N186" s="222"/>
      <c r="O186" s="222"/>
      <c r="P186" s="222"/>
      <c r="Q186" s="222"/>
      <c r="R186" s="222"/>
      <c r="S186" s="222"/>
      <c r="T186" s="222"/>
      <c r="U186" s="222"/>
      <c r="V186" s="222"/>
      <c r="W186" s="222"/>
      <c r="X186" s="222"/>
    </row>
    <row r="187" ht="42.75" customHeight="1">
      <c r="A187" s="244">
        <v>176.0</v>
      </c>
      <c r="B187" s="245" t="s">
        <v>1118</v>
      </c>
      <c r="C187" s="245" t="s">
        <v>1119</v>
      </c>
      <c r="D187" s="246" t="s">
        <v>1405</v>
      </c>
      <c r="E187" s="247" t="s">
        <v>90</v>
      </c>
      <c r="F187" s="248">
        <v>46146.0</v>
      </c>
      <c r="G187" s="249" t="s">
        <v>2198</v>
      </c>
      <c r="H187" s="250" t="s">
        <v>16</v>
      </c>
      <c r="I187" s="251"/>
      <c r="J187" s="252"/>
      <c r="K187" s="222"/>
      <c r="L187" s="222"/>
      <c r="M187" s="222"/>
      <c r="N187" s="222"/>
      <c r="O187" s="222"/>
      <c r="P187" s="222"/>
      <c r="Q187" s="222"/>
      <c r="R187" s="222"/>
      <c r="S187" s="222"/>
      <c r="T187" s="222"/>
      <c r="U187" s="222"/>
      <c r="V187" s="222"/>
      <c r="W187" s="222"/>
      <c r="X187" s="222"/>
    </row>
    <row r="188" ht="42.75" customHeight="1">
      <c r="A188" s="236">
        <v>177.0</v>
      </c>
      <c r="B188" s="237" t="s">
        <v>1120</v>
      </c>
      <c r="C188" s="237" t="s">
        <v>1121</v>
      </c>
      <c r="D188" s="238" t="s">
        <v>1405</v>
      </c>
      <c r="E188" s="239" t="s">
        <v>90</v>
      </c>
      <c r="F188" s="240">
        <v>46146.0</v>
      </c>
      <c r="G188" s="241" t="s">
        <v>2202</v>
      </c>
      <c r="H188" s="173" t="s">
        <v>16</v>
      </c>
      <c r="I188" s="242"/>
      <c r="J188" s="243"/>
      <c r="K188" s="222"/>
      <c r="L188" s="222"/>
      <c r="M188" s="222"/>
      <c r="N188" s="222"/>
      <c r="O188" s="222"/>
      <c r="P188" s="222"/>
      <c r="Q188" s="222"/>
      <c r="R188" s="222"/>
      <c r="S188" s="222"/>
      <c r="T188" s="222"/>
      <c r="U188" s="222"/>
      <c r="V188" s="222"/>
      <c r="W188" s="222"/>
      <c r="X188" s="222"/>
    </row>
    <row r="189" ht="42.75" customHeight="1">
      <c r="A189" s="244">
        <v>178.0</v>
      </c>
      <c r="B189" s="245" t="s">
        <v>1122</v>
      </c>
      <c r="C189" s="245" t="s">
        <v>1123</v>
      </c>
      <c r="D189" s="246" t="s">
        <v>1411</v>
      </c>
      <c r="E189" s="247" t="s">
        <v>90</v>
      </c>
      <c r="F189" s="248">
        <v>46146.0</v>
      </c>
      <c r="G189" s="249" t="s">
        <v>2206</v>
      </c>
      <c r="H189" s="250" t="s">
        <v>16</v>
      </c>
      <c r="I189" s="251"/>
      <c r="J189" s="252"/>
      <c r="K189" s="222"/>
      <c r="L189" s="222"/>
      <c r="M189" s="222"/>
      <c r="N189" s="222"/>
      <c r="O189" s="222"/>
      <c r="P189" s="222"/>
      <c r="Q189" s="222"/>
      <c r="R189" s="222"/>
      <c r="S189" s="222"/>
      <c r="T189" s="222"/>
      <c r="U189" s="222"/>
      <c r="V189" s="222"/>
      <c r="W189" s="222"/>
      <c r="X189" s="222"/>
    </row>
    <row r="190" ht="42.75" customHeight="1">
      <c r="A190" s="236">
        <v>179.0</v>
      </c>
      <c r="B190" s="237" t="s">
        <v>1125</v>
      </c>
      <c r="C190" s="237" t="s">
        <v>1126</v>
      </c>
      <c r="D190" s="238" t="s">
        <v>1411</v>
      </c>
      <c r="E190" s="239" t="s">
        <v>90</v>
      </c>
      <c r="F190" s="240">
        <v>46146.0</v>
      </c>
      <c r="G190" s="241" t="s">
        <v>2210</v>
      </c>
      <c r="H190" s="173" t="s">
        <v>16</v>
      </c>
      <c r="I190" s="242"/>
      <c r="J190" s="243"/>
      <c r="K190" s="222"/>
      <c r="L190" s="222"/>
      <c r="M190" s="222"/>
      <c r="N190" s="222"/>
      <c r="O190" s="222"/>
      <c r="P190" s="222"/>
      <c r="Q190" s="222"/>
      <c r="R190" s="222"/>
      <c r="S190" s="222"/>
      <c r="T190" s="222"/>
      <c r="U190" s="222"/>
      <c r="V190" s="222"/>
      <c r="W190" s="222"/>
      <c r="X190" s="222"/>
    </row>
    <row r="191" ht="42.75" customHeight="1">
      <c r="A191" s="244">
        <v>180.0</v>
      </c>
      <c r="B191" s="245" t="s">
        <v>1127</v>
      </c>
      <c r="C191" s="245" t="s">
        <v>1128</v>
      </c>
      <c r="D191" s="246" t="s">
        <v>1411</v>
      </c>
      <c r="E191" s="247" t="s">
        <v>90</v>
      </c>
      <c r="F191" s="248">
        <v>46146.0</v>
      </c>
      <c r="G191" s="249" t="s">
        <v>2212</v>
      </c>
      <c r="H191" s="250" t="s">
        <v>16</v>
      </c>
      <c r="I191" s="251"/>
      <c r="J191" s="252"/>
      <c r="K191" s="222"/>
      <c r="L191" s="222"/>
      <c r="M191" s="222"/>
      <c r="N191" s="222"/>
      <c r="O191" s="222"/>
      <c r="P191" s="222"/>
      <c r="Q191" s="222"/>
      <c r="R191" s="222"/>
      <c r="S191" s="222"/>
      <c r="T191" s="222"/>
      <c r="U191" s="222"/>
      <c r="V191" s="222"/>
      <c r="W191" s="222"/>
      <c r="X191" s="222"/>
    </row>
    <row r="192" ht="42.75" customHeight="1">
      <c r="A192" s="236">
        <v>181.0</v>
      </c>
      <c r="B192" s="237" t="s">
        <v>1129</v>
      </c>
      <c r="C192" s="237" t="s">
        <v>1130</v>
      </c>
      <c r="D192" s="238" t="s">
        <v>1405</v>
      </c>
      <c r="E192" s="239" t="s">
        <v>90</v>
      </c>
      <c r="F192" s="240">
        <v>46146.0</v>
      </c>
      <c r="G192" s="241" t="s">
        <v>2214</v>
      </c>
      <c r="H192" s="173" t="s">
        <v>16</v>
      </c>
      <c r="I192" s="242"/>
      <c r="J192" s="243"/>
      <c r="K192" s="222"/>
      <c r="L192" s="222"/>
      <c r="M192" s="222"/>
      <c r="N192" s="222"/>
      <c r="O192" s="222"/>
      <c r="P192" s="222"/>
      <c r="Q192" s="222"/>
      <c r="R192" s="222"/>
      <c r="S192" s="222"/>
      <c r="T192" s="222"/>
      <c r="U192" s="222"/>
      <c r="V192" s="222"/>
      <c r="W192" s="222"/>
      <c r="X192" s="222"/>
    </row>
    <row r="193" ht="42.75" customHeight="1">
      <c r="A193" s="244">
        <v>182.0</v>
      </c>
      <c r="B193" s="245" t="s">
        <v>1132</v>
      </c>
      <c r="C193" s="245" t="s">
        <v>1133</v>
      </c>
      <c r="D193" s="246" t="s">
        <v>1405</v>
      </c>
      <c r="E193" s="247" t="s">
        <v>90</v>
      </c>
      <c r="F193" s="248">
        <v>46146.0</v>
      </c>
      <c r="G193" s="249" t="s">
        <v>2219</v>
      </c>
      <c r="H193" s="250" t="s">
        <v>16</v>
      </c>
      <c r="I193" s="251"/>
      <c r="J193" s="252"/>
      <c r="K193" s="222"/>
      <c r="L193" s="222"/>
      <c r="M193" s="222"/>
      <c r="N193" s="222"/>
      <c r="O193" s="222"/>
      <c r="P193" s="222"/>
      <c r="Q193" s="222"/>
      <c r="R193" s="222"/>
      <c r="S193" s="222"/>
      <c r="T193" s="222"/>
      <c r="U193" s="222"/>
      <c r="V193" s="222"/>
      <c r="W193" s="222"/>
      <c r="X193" s="222"/>
    </row>
    <row r="194" ht="42.75" customHeight="1">
      <c r="A194" s="236">
        <v>183.0</v>
      </c>
      <c r="B194" s="237" t="s">
        <v>1134</v>
      </c>
      <c r="C194" s="237" t="s">
        <v>1135</v>
      </c>
      <c r="D194" s="238" t="s">
        <v>1416</v>
      </c>
      <c r="E194" s="239" t="s">
        <v>90</v>
      </c>
      <c r="F194" s="240">
        <v>46146.0</v>
      </c>
      <c r="G194" s="241" t="s">
        <v>2224</v>
      </c>
      <c r="H194" s="173" t="s">
        <v>16</v>
      </c>
      <c r="I194" s="242"/>
      <c r="J194" s="243"/>
      <c r="K194" s="222"/>
      <c r="L194" s="222"/>
      <c r="M194" s="222"/>
      <c r="N194" s="222"/>
      <c r="O194" s="222"/>
      <c r="P194" s="222"/>
      <c r="Q194" s="222"/>
      <c r="R194" s="222"/>
      <c r="S194" s="222"/>
      <c r="T194" s="222"/>
      <c r="U194" s="222"/>
      <c r="V194" s="222"/>
      <c r="W194" s="222"/>
      <c r="X194" s="222"/>
    </row>
    <row r="195" ht="42.75" customHeight="1">
      <c r="A195" s="244">
        <v>184.0</v>
      </c>
      <c r="B195" s="245" t="s">
        <v>1137</v>
      </c>
      <c r="C195" s="245" t="s">
        <v>1138</v>
      </c>
      <c r="D195" s="246" t="s">
        <v>1411</v>
      </c>
      <c r="E195" s="247" t="s">
        <v>90</v>
      </c>
      <c r="F195" s="248">
        <v>46146.0</v>
      </c>
      <c r="G195" s="249" t="s">
        <v>2228</v>
      </c>
      <c r="H195" s="250" t="s">
        <v>16</v>
      </c>
      <c r="I195" s="251"/>
      <c r="J195" s="252"/>
      <c r="K195" s="222"/>
      <c r="L195" s="222"/>
      <c r="M195" s="222"/>
      <c r="N195" s="222"/>
      <c r="O195" s="222"/>
      <c r="P195" s="222"/>
      <c r="Q195" s="222"/>
      <c r="R195" s="222"/>
      <c r="S195" s="222"/>
      <c r="T195" s="222"/>
      <c r="U195" s="222"/>
      <c r="V195" s="222"/>
      <c r="W195" s="222"/>
      <c r="X195" s="222"/>
    </row>
    <row r="196" ht="42.75" customHeight="1">
      <c r="A196" s="236">
        <v>185.0</v>
      </c>
      <c r="B196" s="237" t="s">
        <v>1139</v>
      </c>
      <c r="C196" s="237" t="s">
        <v>1140</v>
      </c>
      <c r="D196" s="238" t="s">
        <v>1405</v>
      </c>
      <c r="E196" s="239" t="s">
        <v>90</v>
      </c>
      <c r="F196" s="240">
        <v>46146.0</v>
      </c>
      <c r="G196" s="241" t="s">
        <v>2232</v>
      </c>
      <c r="H196" s="173" t="s">
        <v>16</v>
      </c>
      <c r="I196" s="242"/>
      <c r="J196" s="243"/>
      <c r="K196" s="222"/>
      <c r="L196" s="222"/>
      <c r="M196" s="222"/>
      <c r="N196" s="222"/>
      <c r="O196" s="222"/>
      <c r="P196" s="222"/>
      <c r="Q196" s="222"/>
      <c r="R196" s="222"/>
      <c r="S196" s="222"/>
      <c r="T196" s="222"/>
      <c r="U196" s="222"/>
      <c r="V196" s="222"/>
      <c r="W196" s="222"/>
      <c r="X196" s="222"/>
    </row>
    <row r="197" ht="42.75" customHeight="1">
      <c r="A197" s="244">
        <v>186.0</v>
      </c>
      <c r="B197" s="245" t="s">
        <v>1142</v>
      </c>
      <c r="C197" s="245" t="s">
        <v>1143</v>
      </c>
      <c r="D197" s="246" t="s">
        <v>1405</v>
      </c>
      <c r="E197" s="247" t="s">
        <v>90</v>
      </c>
      <c r="F197" s="248">
        <v>46146.0</v>
      </c>
      <c r="G197" s="249" t="s">
        <v>2237</v>
      </c>
      <c r="H197" s="250" t="s">
        <v>16</v>
      </c>
      <c r="I197" s="251"/>
      <c r="J197" s="252"/>
      <c r="K197" s="222"/>
      <c r="L197" s="222"/>
      <c r="M197" s="222"/>
      <c r="N197" s="222"/>
      <c r="O197" s="222"/>
      <c r="P197" s="222"/>
      <c r="Q197" s="222"/>
      <c r="R197" s="222"/>
      <c r="S197" s="222"/>
      <c r="T197" s="222"/>
      <c r="U197" s="222"/>
      <c r="V197" s="222"/>
      <c r="W197" s="222"/>
      <c r="X197" s="222"/>
    </row>
    <row r="198" ht="42.75" customHeight="1">
      <c r="A198" s="236">
        <v>187.0</v>
      </c>
      <c r="B198" s="237" t="s">
        <v>1144</v>
      </c>
      <c r="C198" s="237" t="s">
        <v>1145</v>
      </c>
      <c r="D198" s="238" t="s">
        <v>1411</v>
      </c>
      <c r="E198" s="239" t="s">
        <v>90</v>
      </c>
      <c r="F198" s="240">
        <v>46146.0</v>
      </c>
      <c r="G198" s="241" t="s">
        <v>2242</v>
      </c>
      <c r="H198" s="173" t="s">
        <v>16</v>
      </c>
      <c r="I198" s="242"/>
      <c r="J198" s="243"/>
      <c r="K198" s="222"/>
      <c r="L198" s="222"/>
      <c r="M198" s="222"/>
      <c r="N198" s="222"/>
      <c r="O198" s="222"/>
      <c r="P198" s="222"/>
      <c r="Q198" s="222"/>
      <c r="R198" s="222"/>
      <c r="S198" s="222"/>
      <c r="T198" s="222"/>
      <c r="U198" s="222"/>
      <c r="V198" s="222"/>
      <c r="W198" s="222"/>
      <c r="X198" s="222"/>
    </row>
    <row r="199" ht="42.75" customHeight="1">
      <c r="A199" s="244">
        <v>188.0</v>
      </c>
      <c r="B199" s="245" t="s">
        <v>1146</v>
      </c>
      <c r="C199" s="245" t="s">
        <v>1147</v>
      </c>
      <c r="D199" s="246" t="s">
        <v>1405</v>
      </c>
      <c r="E199" s="247" t="s">
        <v>90</v>
      </c>
      <c r="F199" s="248">
        <v>46146.0</v>
      </c>
      <c r="G199" s="249" t="s">
        <v>2247</v>
      </c>
      <c r="H199" s="250" t="s">
        <v>16</v>
      </c>
      <c r="I199" s="251"/>
      <c r="J199" s="252"/>
      <c r="K199" s="222"/>
      <c r="L199" s="222"/>
      <c r="M199" s="222"/>
      <c r="N199" s="222"/>
      <c r="O199" s="222"/>
      <c r="P199" s="222"/>
      <c r="Q199" s="222"/>
      <c r="R199" s="222"/>
      <c r="S199" s="222"/>
      <c r="T199" s="222"/>
      <c r="U199" s="222"/>
      <c r="V199" s="222"/>
      <c r="W199" s="222"/>
      <c r="X199" s="222"/>
    </row>
    <row r="200" ht="42.75" customHeight="1">
      <c r="A200" s="236">
        <v>189.0</v>
      </c>
      <c r="B200" s="237" t="s">
        <v>1149</v>
      </c>
      <c r="C200" s="237" t="s">
        <v>1150</v>
      </c>
      <c r="D200" s="238" t="s">
        <v>1411</v>
      </c>
      <c r="E200" s="239" t="s">
        <v>90</v>
      </c>
      <c r="F200" s="240">
        <v>46146.0</v>
      </c>
      <c r="G200" s="241" t="s">
        <v>2242</v>
      </c>
      <c r="H200" s="173" t="s">
        <v>16</v>
      </c>
      <c r="I200" s="242"/>
      <c r="J200" s="243"/>
      <c r="K200" s="222"/>
      <c r="L200" s="222"/>
      <c r="M200" s="222"/>
      <c r="N200" s="222"/>
      <c r="O200" s="222"/>
      <c r="P200" s="222"/>
      <c r="Q200" s="222"/>
      <c r="R200" s="222"/>
      <c r="S200" s="222"/>
      <c r="T200" s="222"/>
      <c r="U200" s="222"/>
      <c r="V200" s="222"/>
      <c r="W200" s="222"/>
      <c r="X200" s="222"/>
    </row>
    <row r="201" ht="42.75" customHeight="1">
      <c r="A201" s="244">
        <v>190.0</v>
      </c>
      <c r="B201" s="245" t="s">
        <v>1151</v>
      </c>
      <c r="C201" s="245" t="s">
        <v>1152</v>
      </c>
      <c r="D201" s="246" t="s">
        <v>1405</v>
      </c>
      <c r="E201" s="247" t="s">
        <v>90</v>
      </c>
      <c r="F201" s="248">
        <v>46146.0</v>
      </c>
      <c r="G201" s="249" t="s">
        <v>2237</v>
      </c>
      <c r="H201" s="250" t="s">
        <v>16</v>
      </c>
      <c r="I201" s="251"/>
      <c r="J201" s="252"/>
      <c r="K201" s="222"/>
      <c r="L201" s="222"/>
      <c r="M201" s="222"/>
      <c r="N201" s="222"/>
      <c r="O201" s="222"/>
      <c r="P201" s="222"/>
      <c r="Q201" s="222"/>
      <c r="R201" s="222"/>
      <c r="S201" s="222"/>
      <c r="T201" s="222"/>
      <c r="U201" s="222"/>
      <c r="V201" s="222"/>
      <c r="W201" s="222"/>
      <c r="X201" s="222"/>
    </row>
    <row r="202" ht="42.75" customHeight="1">
      <c r="A202" s="236">
        <v>191.0</v>
      </c>
      <c r="B202" s="237" t="s">
        <v>1154</v>
      </c>
      <c r="C202" s="237" t="s">
        <v>1155</v>
      </c>
      <c r="D202" s="238" t="s">
        <v>1405</v>
      </c>
      <c r="E202" s="239" t="s">
        <v>92</v>
      </c>
      <c r="F202" s="240">
        <v>46146.0</v>
      </c>
      <c r="G202" s="150" t="s">
        <v>2260</v>
      </c>
      <c r="H202" s="173" t="s">
        <v>16</v>
      </c>
      <c r="I202" s="242"/>
      <c r="J202" s="243"/>
      <c r="K202" s="222"/>
      <c r="L202" s="222"/>
      <c r="M202" s="222"/>
      <c r="N202" s="222"/>
      <c r="O202" s="222"/>
      <c r="P202" s="222"/>
      <c r="Q202" s="222"/>
      <c r="R202" s="222"/>
      <c r="S202" s="222"/>
      <c r="T202" s="222"/>
      <c r="U202" s="222"/>
      <c r="V202" s="222"/>
      <c r="W202" s="222"/>
      <c r="X202" s="222"/>
    </row>
    <row r="203" ht="42.75" customHeight="1">
      <c r="A203" s="244">
        <v>192.0</v>
      </c>
      <c r="B203" s="245" t="s">
        <v>1156</v>
      </c>
      <c r="C203" s="245" t="s">
        <v>1157</v>
      </c>
      <c r="D203" s="246" t="s">
        <v>1405</v>
      </c>
      <c r="E203" s="247" t="s">
        <v>92</v>
      </c>
      <c r="F203" s="248">
        <v>46146.0</v>
      </c>
      <c r="G203" s="262" t="s">
        <v>2266</v>
      </c>
      <c r="H203" s="250" t="s">
        <v>16</v>
      </c>
      <c r="I203" s="251"/>
      <c r="J203" s="252"/>
      <c r="K203" s="222"/>
      <c r="L203" s="222"/>
      <c r="M203" s="222"/>
      <c r="N203" s="222"/>
      <c r="O203" s="222"/>
      <c r="P203" s="222"/>
      <c r="Q203" s="222"/>
      <c r="R203" s="222"/>
      <c r="S203" s="222"/>
      <c r="T203" s="222"/>
      <c r="U203" s="222"/>
      <c r="V203" s="222"/>
      <c r="W203" s="222"/>
      <c r="X203" s="222"/>
    </row>
    <row r="204" ht="42.75" customHeight="1">
      <c r="A204" s="236">
        <v>193.0</v>
      </c>
      <c r="B204" s="237" t="s">
        <v>1159</v>
      </c>
      <c r="C204" s="237" t="s">
        <v>1160</v>
      </c>
      <c r="D204" s="238" t="s">
        <v>1405</v>
      </c>
      <c r="E204" s="239" t="s">
        <v>92</v>
      </c>
      <c r="F204" s="240">
        <v>46146.0</v>
      </c>
      <c r="G204" s="263" t="s">
        <v>2272</v>
      </c>
      <c r="H204" s="173" t="s">
        <v>16</v>
      </c>
      <c r="I204" s="242"/>
      <c r="J204" s="243"/>
      <c r="K204" s="222"/>
      <c r="L204" s="222"/>
      <c r="M204" s="222"/>
      <c r="N204" s="222"/>
      <c r="O204" s="222"/>
      <c r="P204" s="222"/>
      <c r="Q204" s="222"/>
      <c r="R204" s="222"/>
      <c r="S204" s="222"/>
      <c r="T204" s="222"/>
      <c r="U204" s="222"/>
      <c r="V204" s="222"/>
      <c r="W204" s="222"/>
      <c r="X204" s="222"/>
    </row>
    <row r="205" ht="42.75" customHeight="1">
      <c r="A205" s="244">
        <v>194.0</v>
      </c>
      <c r="B205" s="245" t="s">
        <v>1161</v>
      </c>
      <c r="C205" s="245" t="s">
        <v>1162</v>
      </c>
      <c r="D205" s="246" t="s">
        <v>1411</v>
      </c>
      <c r="E205" s="247" t="s">
        <v>92</v>
      </c>
      <c r="F205" s="248">
        <v>46146.0</v>
      </c>
      <c r="G205" s="262" t="s">
        <v>2278</v>
      </c>
      <c r="H205" s="250" t="s">
        <v>16</v>
      </c>
      <c r="I205" s="251"/>
      <c r="J205" s="252"/>
      <c r="K205" s="222"/>
      <c r="L205" s="222"/>
      <c r="M205" s="222"/>
      <c r="N205" s="222"/>
      <c r="O205" s="222"/>
      <c r="P205" s="222"/>
      <c r="Q205" s="222"/>
      <c r="R205" s="222"/>
      <c r="S205" s="222"/>
      <c r="T205" s="222"/>
      <c r="U205" s="222"/>
      <c r="V205" s="222"/>
      <c r="W205" s="222"/>
      <c r="X205" s="222"/>
    </row>
    <row r="206" ht="42.75" customHeight="1">
      <c r="A206" s="236">
        <v>195.0</v>
      </c>
      <c r="B206" s="237" t="s">
        <v>1163</v>
      </c>
      <c r="C206" s="237" t="s">
        <v>1164</v>
      </c>
      <c r="D206" s="238" t="s">
        <v>1405</v>
      </c>
      <c r="E206" s="239" t="s">
        <v>92</v>
      </c>
      <c r="F206" s="240">
        <v>46146.0</v>
      </c>
      <c r="G206" s="150" t="s">
        <v>2284</v>
      </c>
      <c r="H206" s="173" t="s">
        <v>16</v>
      </c>
      <c r="I206" s="242"/>
      <c r="J206" s="243"/>
      <c r="K206" s="222"/>
      <c r="L206" s="222"/>
      <c r="M206" s="222"/>
      <c r="N206" s="222"/>
      <c r="O206" s="222"/>
      <c r="P206" s="222"/>
      <c r="Q206" s="222"/>
      <c r="R206" s="222"/>
      <c r="S206" s="222"/>
      <c r="T206" s="222"/>
      <c r="U206" s="222"/>
      <c r="V206" s="222"/>
      <c r="W206" s="222"/>
      <c r="X206" s="222"/>
    </row>
    <row r="207" ht="42.75" customHeight="1">
      <c r="A207" s="244">
        <v>196.0</v>
      </c>
      <c r="B207" s="245" t="s">
        <v>1166</v>
      </c>
      <c r="C207" s="245" t="s">
        <v>1167</v>
      </c>
      <c r="D207" s="246" t="s">
        <v>1405</v>
      </c>
      <c r="E207" s="247" t="s">
        <v>92</v>
      </c>
      <c r="F207" s="248">
        <v>46146.0</v>
      </c>
      <c r="G207" s="264" t="s">
        <v>2290</v>
      </c>
      <c r="H207" s="250" t="s">
        <v>16</v>
      </c>
      <c r="I207" s="251"/>
      <c r="J207" s="252"/>
      <c r="K207" s="222"/>
      <c r="L207" s="222"/>
      <c r="M207" s="222"/>
      <c r="N207" s="222"/>
      <c r="O207" s="222"/>
      <c r="P207" s="222"/>
      <c r="Q207" s="222"/>
      <c r="R207" s="222"/>
      <c r="S207" s="222"/>
      <c r="T207" s="222"/>
      <c r="U207" s="222"/>
      <c r="V207" s="222"/>
      <c r="W207" s="222"/>
      <c r="X207" s="222"/>
    </row>
    <row r="208" ht="42.75" customHeight="1">
      <c r="A208" s="236">
        <v>197.0</v>
      </c>
      <c r="B208" s="237" t="s">
        <v>1168</v>
      </c>
      <c r="C208" s="237" t="s">
        <v>1169</v>
      </c>
      <c r="D208" s="238" t="s">
        <v>1411</v>
      </c>
      <c r="E208" s="239" t="s">
        <v>92</v>
      </c>
      <c r="F208" s="240">
        <v>46146.0</v>
      </c>
      <c r="G208" s="150" t="s">
        <v>2296</v>
      </c>
      <c r="H208" s="173" t="s">
        <v>16</v>
      </c>
      <c r="I208" s="242"/>
      <c r="J208" s="243"/>
      <c r="K208" s="222"/>
      <c r="L208" s="222"/>
      <c r="M208" s="222"/>
      <c r="N208" s="222"/>
      <c r="O208" s="222"/>
      <c r="P208" s="222"/>
      <c r="Q208" s="222"/>
      <c r="R208" s="222"/>
      <c r="S208" s="222"/>
      <c r="T208" s="222"/>
      <c r="U208" s="222"/>
      <c r="V208" s="222"/>
      <c r="W208" s="222"/>
      <c r="X208" s="222"/>
    </row>
    <row r="209" ht="42.75" customHeight="1">
      <c r="A209" s="244">
        <v>198.0</v>
      </c>
      <c r="B209" s="245" t="s">
        <v>1170</v>
      </c>
      <c r="C209" s="245" t="s">
        <v>1171</v>
      </c>
      <c r="D209" s="246" t="s">
        <v>1405</v>
      </c>
      <c r="E209" s="247" t="s">
        <v>92</v>
      </c>
      <c r="F209" s="248">
        <v>46146.0</v>
      </c>
      <c r="G209" s="262" t="s">
        <v>2301</v>
      </c>
      <c r="H209" s="250" t="s">
        <v>16</v>
      </c>
      <c r="I209" s="251"/>
      <c r="J209" s="252"/>
      <c r="K209" s="222"/>
      <c r="L209" s="222"/>
      <c r="M209" s="222"/>
      <c r="N209" s="222"/>
      <c r="O209" s="222"/>
      <c r="P209" s="222"/>
      <c r="Q209" s="222"/>
      <c r="R209" s="222"/>
      <c r="S209" s="222"/>
      <c r="T209" s="222"/>
      <c r="U209" s="222"/>
      <c r="V209" s="222"/>
      <c r="W209" s="222"/>
      <c r="X209" s="222"/>
    </row>
    <row r="210" ht="42.75" customHeight="1">
      <c r="A210" s="236">
        <v>199.0</v>
      </c>
      <c r="B210" s="237" t="s">
        <v>1173</v>
      </c>
      <c r="C210" s="237" t="s">
        <v>1174</v>
      </c>
      <c r="D210" s="238" t="s">
        <v>1405</v>
      </c>
      <c r="E210" s="239" t="s">
        <v>92</v>
      </c>
      <c r="F210" s="240">
        <v>46146.0</v>
      </c>
      <c r="G210" s="150" t="s">
        <v>2307</v>
      </c>
      <c r="H210" s="173" t="s">
        <v>16</v>
      </c>
      <c r="I210" s="242"/>
      <c r="J210" s="243"/>
      <c r="K210" s="222"/>
      <c r="L210" s="222"/>
      <c r="M210" s="222"/>
      <c r="N210" s="222"/>
      <c r="O210" s="222"/>
      <c r="P210" s="222"/>
      <c r="Q210" s="222"/>
      <c r="R210" s="222"/>
      <c r="S210" s="222"/>
      <c r="T210" s="222"/>
      <c r="U210" s="222"/>
      <c r="V210" s="222"/>
      <c r="W210" s="222"/>
      <c r="X210" s="222"/>
    </row>
    <row r="211" ht="42.75" customHeight="1">
      <c r="A211" s="244">
        <v>200.0</v>
      </c>
      <c r="B211" s="245" t="s">
        <v>1175</v>
      </c>
      <c r="C211" s="245" t="s">
        <v>1176</v>
      </c>
      <c r="D211" s="246" t="s">
        <v>1416</v>
      </c>
      <c r="E211" s="247" t="s">
        <v>92</v>
      </c>
      <c r="F211" s="248">
        <v>46146.0</v>
      </c>
      <c r="G211" s="262" t="s">
        <v>2313</v>
      </c>
      <c r="H211" s="250" t="s">
        <v>16</v>
      </c>
      <c r="I211" s="251"/>
      <c r="J211" s="252"/>
      <c r="K211" s="222"/>
      <c r="L211" s="222"/>
      <c r="M211" s="222"/>
      <c r="N211" s="222"/>
      <c r="O211" s="222"/>
      <c r="P211" s="222"/>
      <c r="Q211" s="222"/>
      <c r="R211" s="222"/>
      <c r="S211" s="222"/>
      <c r="T211" s="222"/>
      <c r="U211" s="222"/>
      <c r="V211" s="222"/>
      <c r="W211" s="222"/>
      <c r="X211" s="222"/>
    </row>
    <row r="212" ht="42.75" customHeight="1">
      <c r="A212" s="236">
        <v>201.0</v>
      </c>
      <c r="B212" s="237" t="s">
        <v>1178</v>
      </c>
      <c r="C212" s="237" t="s">
        <v>1179</v>
      </c>
      <c r="D212" s="238" t="s">
        <v>1405</v>
      </c>
      <c r="E212" s="239" t="s">
        <v>92</v>
      </c>
      <c r="F212" s="240">
        <v>46146.0</v>
      </c>
      <c r="G212" s="150" t="s">
        <v>2319</v>
      </c>
      <c r="H212" s="173" t="s">
        <v>16</v>
      </c>
      <c r="I212" s="242"/>
      <c r="J212" s="243"/>
      <c r="K212" s="222"/>
      <c r="L212" s="222"/>
      <c r="M212" s="222"/>
      <c r="N212" s="222"/>
      <c r="O212" s="222"/>
      <c r="P212" s="222"/>
      <c r="Q212" s="222"/>
      <c r="R212" s="222"/>
      <c r="S212" s="222"/>
      <c r="T212" s="222"/>
      <c r="U212" s="222"/>
      <c r="V212" s="222"/>
      <c r="W212" s="222"/>
      <c r="X212" s="222"/>
    </row>
    <row r="213" ht="42.75" customHeight="1">
      <c r="A213" s="244">
        <v>202.0</v>
      </c>
      <c r="B213" s="245" t="s">
        <v>1180</v>
      </c>
      <c r="C213" s="245" t="s">
        <v>1181</v>
      </c>
      <c r="D213" s="246" t="s">
        <v>1405</v>
      </c>
      <c r="E213" s="247" t="s">
        <v>92</v>
      </c>
      <c r="F213" s="248">
        <v>46146.0</v>
      </c>
      <c r="G213" s="262" t="s">
        <v>2325</v>
      </c>
      <c r="H213" s="250" t="s">
        <v>16</v>
      </c>
      <c r="I213" s="251"/>
      <c r="J213" s="252"/>
      <c r="K213" s="222"/>
      <c r="L213" s="222"/>
      <c r="M213" s="222"/>
      <c r="N213" s="222"/>
      <c r="O213" s="222"/>
      <c r="P213" s="222"/>
      <c r="Q213" s="222"/>
      <c r="R213" s="222"/>
      <c r="S213" s="222"/>
      <c r="T213" s="222"/>
      <c r="U213" s="222"/>
      <c r="V213" s="222"/>
      <c r="W213" s="222"/>
      <c r="X213" s="222"/>
    </row>
    <row r="214" ht="42.75" customHeight="1">
      <c r="A214" s="236">
        <v>203.0</v>
      </c>
      <c r="B214" s="237" t="s">
        <v>1183</v>
      </c>
      <c r="C214" s="237" t="s">
        <v>1184</v>
      </c>
      <c r="D214" s="238" t="s">
        <v>1405</v>
      </c>
      <c r="E214" s="239" t="s">
        <v>92</v>
      </c>
      <c r="F214" s="240">
        <v>46146.0</v>
      </c>
      <c r="G214" s="263" t="s">
        <v>2331</v>
      </c>
      <c r="H214" s="173" t="s">
        <v>16</v>
      </c>
      <c r="I214" s="242"/>
      <c r="J214" s="243"/>
      <c r="K214" s="222"/>
      <c r="L214" s="222"/>
      <c r="M214" s="222"/>
      <c r="N214" s="222"/>
      <c r="O214" s="222"/>
      <c r="P214" s="222"/>
      <c r="Q214" s="222"/>
      <c r="R214" s="222"/>
      <c r="S214" s="222"/>
      <c r="T214" s="222"/>
      <c r="U214" s="222"/>
      <c r="V214" s="222"/>
      <c r="W214" s="222"/>
      <c r="X214" s="222"/>
    </row>
    <row r="215" ht="42.75" customHeight="1">
      <c r="A215" s="244">
        <v>204.0</v>
      </c>
      <c r="B215" s="245" t="s">
        <v>1185</v>
      </c>
      <c r="C215" s="245" t="s">
        <v>1186</v>
      </c>
      <c r="D215" s="246" t="s">
        <v>1416</v>
      </c>
      <c r="E215" s="247" t="s">
        <v>92</v>
      </c>
      <c r="F215" s="248">
        <v>46146.0</v>
      </c>
      <c r="G215" s="262" t="s">
        <v>2337</v>
      </c>
      <c r="H215" s="250" t="s">
        <v>16</v>
      </c>
      <c r="I215" s="251"/>
      <c r="J215" s="252"/>
      <c r="K215" s="222"/>
      <c r="L215" s="222"/>
      <c r="M215" s="222"/>
      <c r="N215" s="222"/>
      <c r="O215" s="222"/>
      <c r="P215" s="222"/>
      <c r="Q215" s="222"/>
      <c r="R215" s="222"/>
      <c r="S215" s="222"/>
      <c r="T215" s="222"/>
      <c r="U215" s="222"/>
      <c r="V215" s="222"/>
      <c r="W215" s="222"/>
      <c r="X215" s="222"/>
    </row>
    <row r="216" ht="42.75" customHeight="1">
      <c r="A216" s="236">
        <v>205.0</v>
      </c>
      <c r="B216" s="237" t="s">
        <v>1188</v>
      </c>
      <c r="C216" s="237" t="s">
        <v>1189</v>
      </c>
      <c r="D216" s="238" t="s">
        <v>1411</v>
      </c>
      <c r="E216" s="239" t="s">
        <v>92</v>
      </c>
      <c r="F216" s="240">
        <v>46146.0</v>
      </c>
      <c r="G216" s="150" t="s">
        <v>2343</v>
      </c>
      <c r="H216" s="173" t="s">
        <v>16</v>
      </c>
      <c r="I216" s="242"/>
      <c r="J216" s="243"/>
      <c r="K216" s="222"/>
      <c r="L216" s="222"/>
      <c r="M216" s="222"/>
      <c r="N216" s="222"/>
      <c r="O216" s="222"/>
      <c r="P216" s="222"/>
      <c r="Q216" s="222"/>
      <c r="R216" s="222"/>
      <c r="S216" s="222"/>
      <c r="T216" s="222"/>
      <c r="U216" s="222"/>
      <c r="V216" s="222"/>
      <c r="W216" s="222"/>
      <c r="X216" s="222"/>
    </row>
    <row r="217" ht="42.75" customHeight="1">
      <c r="A217" s="244">
        <v>206.0</v>
      </c>
      <c r="B217" s="245" t="s">
        <v>1190</v>
      </c>
      <c r="C217" s="245" t="s">
        <v>1191</v>
      </c>
      <c r="D217" s="246" t="s">
        <v>1405</v>
      </c>
      <c r="E217" s="247" t="s">
        <v>92</v>
      </c>
      <c r="F217" s="248">
        <v>46146.0</v>
      </c>
      <c r="G217" s="264" t="s">
        <v>2349</v>
      </c>
      <c r="H217" s="250" t="s">
        <v>16</v>
      </c>
      <c r="I217" s="251"/>
      <c r="J217" s="252"/>
      <c r="K217" s="222"/>
      <c r="L217" s="222"/>
      <c r="M217" s="222"/>
      <c r="N217" s="222"/>
      <c r="O217" s="222"/>
      <c r="P217" s="222"/>
      <c r="Q217" s="222"/>
      <c r="R217" s="222"/>
      <c r="S217" s="222"/>
      <c r="T217" s="222"/>
      <c r="U217" s="222"/>
      <c r="V217" s="222"/>
      <c r="W217" s="222"/>
      <c r="X217" s="222"/>
    </row>
    <row r="218" ht="42.75" customHeight="1">
      <c r="A218" s="236">
        <v>207.0</v>
      </c>
      <c r="B218" s="237" t="s">
        <v>1192</v>
      </c>
      <c r="C218" s="237" t="s">
        <v>1193</v>
      </c>
      <c r="D218" s="238" t="s">
        <v>1416</v>
      </c>
      <c r="E218" s="239" t="s">
        <v>92</v>
      </c>
      <c r="F218" s="240">
        <v>46146.0</v>
      </c>
      <c r="G218" s="263" t="s">
        <v>2355</v>
      </c>
      <c r="H218" s="173" t="s">
        <v>16</v>
      </c>
      <c r="I218" s="242"/>
      <c r="J218" s="243"/>
      <c r="K218" s="222"/>
      <c r="L218" s="222"/>
      <c r="M218" s="222"/>
      <c r="N218" s="222"/>
      <c r="O218" s="222"/>
      <c r="P218" s="222"/>
      <c r="Q218" s="222"/>
      <c r="R218" s="222"/>
      <c r="S218" s="222"/>
      <c r="T218" s="222"/>
      <c r="U218" s="222"/>
      <c r="V218" s="222"/>
      <c r="W218" s="222"/>
      <c r="X218" s="222"/>
    </row>
    <row r="219" ht="42.75" customHeight="1">
      <c r="A219" s="244">
        <v>208.0</v>
      </c>
      <c r="B219" s="245" t="s">
        <v>1195</v>
      </c>
      <c r="C219" s="245" t="s">
        <v>1196</v>
      </c>
      <c r="D219" s="246" t="s">
        <v>1405</v>
      </c>
      <c r="E219" s="247" t="s">
        <v>92</v>
      </c>
      <c r="F219" s="248">
        <v>46146.0</v>
      </c>
      <c r="G219" s="264" t="s">
        <v>2361</v>
      </c>
      <c r="H219" s="250" t="s">
        <v>16</v>
      </c>
      <c r="I219" s="251"/>
      <c r="J219" s="252"/>
      <c r="K219" s="222"/>
      <c r="L219" s="222"/>
      <c r="M219" s="222"/>
      <c r="N219" s="222"/>
      <c r="O219" s="222"/>
      <c r="P219" s="222"/>
      <c r="Q219" s="222"/>
      <c r="R219" s="222"/>
      <c r="S219" s="222"/>
      <c r="T219" s="222"/>
      <c r="U219" s="222"/>
      <c r="V219" s="222"/>
      <c r="W219" s="222"/>
      <c r="X219" s="222"/>
    </row>
    <row r="220" ht="42.75" customHeight="1">
      <c r="A220" s="236">
        <v>209.0</v>
      </c>
      <c r="B220" s="237" t="s">
        <v>1197</v>
      </c>
      <c r="C220" s="237" t="s">
        <v>1198</v>
      </c>
      <c r="D220" s="238" t="s">
        <v>1416</v>
      </c>
      <c r="E220" s="239" t="s">
        <v>92</v>
      </c>
      <c r="F220" s="240">
        <v>46146.0</v>
      </c>
      <c r="G220" s="263" t="s">
        <v>2367</v>
      </c>
      <c r="H220" s="173" t="s">
        <v>16</v>
      </c>
      <c r="I220" s="242"/>
      <c r="J220" s="243"/>
      <c r="K220" s="222"/>
      <c r="L220" s="222"/>
      <c r="M220" s="222"/>
      <c r="N220" s="222"/>
      <c r="O220" s="222"/>
      <c r="P220" s="222"/>
      <c r="Q220" s="222"/>
      <c r="R220" s="222"/>
      <c r="S220" s="222"/>
      <c r="T220" s="222"/>
      <c r="U220" s="222"/>
      <c r="V220" s="222"/>
      <c r="W220" s="222"/>
      <c r="X220" s="222"/>
    </row>
    <row r="221" ht="42.75" customHeight="1">
      <c r="A221" s="244">
        <v>210.0</v>
      </c>
      <c r="B221" s="245" t="s">
        <v>1199</v>
      </c>
      <c r="C221" s="245" t="s">
        <v>1200</v>
      </c>
      <c r="D221" s="246" t="s">
        <v>1405</v>
      </c>
      <c r="E221" s="247" t="s">
        <v>88</v>
      </c>
      <c r="F221" s="248">
        <v>46146.0</v>
      </c>
      <c r="G221" s="264" t="s">
        <v>2372</v>
      </c>
      <c r="H221" s="250" t="s">
        <v>16</v>
      </c>
      <c r="I221" s="251"/>
      <c r="J221" s="252"/>
      <c r="K221" s="222"/>
      <c r="L221" s="222"/>
      <c r="M221" s="222"/>
      <c r="N221" s="222"/>
      <c r="O221" s="222"/>
      <c r="P221" s="222"/>
      <c r="Q221" s="222"/>
      <c r="R221" s="222"/>
      <c r="S221" s="222"/>
      <c r="T221" s="222"/>
      <c r="U221" s="222"/>
      <c r="V221" s="222"/>
      <c r="W221" s="222"/>
      <c r="X221" s="222"/>
    </row>
    <row r="222" ht="42.75" customHeight="1">
      <c r="A222" s="236">
        <v>211.0</v>
      </c>
      <c r="B222" s="237" t="s">
        <v>1201</v>
      </c>
      <c r="C222" s="237" t="s">
        <v>1202</v>
      </c>
      <c r="D222" s="238" t="s">
        <v>1416</v>
      </c>
      <c r="E222" s="239" t="s">
        <v>88</v>
      </c>
      <c r="F222" s="240">
        <v>46146.0</v>
      </c>
      <c r="G222" s="263" t="s">
        <v>2378</v>
      </c>
      <c r="H222" s="173" t="s">
        <v>16</v>
      </c>
      <c r="I222" s="242"/>
      <c r="J222" s="243"/>
      <c r="K222" s="222"/>
      <c r="L222" s="222"/>
      <c r="M222" s="222"/>
      <c r="N222" s="222"/>
      <c r="O222" s="222"/>
      <c r="P222" s="222"/>
      <c r="Q222" s="222"/>
      <c r="R222" s="222"/>
      <c r="S222" s="222"/>
      <c r="T222" s="222"/>
      <c r="U222" s="222"/>
      <c r="V222" s="222"/>
      <c r="W222" s="222"/>
      <c r="X222" s="222"/>
    </row>
    <row r="223" ht="42.75" customHeight="1">
      <c r="A223" s="244">
        <v>212.0</v>
      </c>
      <c r="B223" s="245" t="s">
        <v>1204</v>
      </c>
      <c r="C223" s="245" t="s">
        <v>1205</v>
      </c>
      <c r="D223" s="246" t="s">
        <v>1405</v>
      </c>
      <c r="E223" s="247" t="s">
        <v>88</v>
      </c>
      <c r="F223" s="248">
        <v>46146.0</v>
      </c>
      <c r="G223" s="264" t="s">
        <v>2384</v>
      </c>
      <c r="H223" s="250" t="s">
        <v>16</v>
      </c>
      <c r="I223" s="251"/>
      <c r="J223" s="252"/>
      <c r="K223" s="222"/>
      <c r="L223" s="222"/>
      <c r="M223" s="222"/>
      <c r="N223" s="222"/>
      <c r="O223" s="222"/>
      <c r="P223" s="222"/>
      <c r="Q223" s="222"/>
      <c r="R223" s="222"/>
      <c r="S223" s="222"/>
      <c r="T223" s="222"/>
      <c r="U223" s="222"/>
      <c r="V223" s="222"/>
      <c r="W223" s="222"/>
      <c r="X223" s="222"/>
    </row>
    <row r="224" ht="42.75" customHeight="1">
      <c r="A224" s="236">
        <v>213.0</v>
      </c>
      <c r="B224" s="237" t="s">
        <v>1206</v>
      </c>
      <c r="C224" s="237" t="s">
        <v>1207</v>
      </c>
      <c r="D224" s="238" t="s">
        <v>1411</v>
      </c>
      <c r="E224" s="239" t="s">
        <v>88</v>
      </c>
      <c r="F224" s="240">
        <v>46146.0</v>
      </c>
      <c r="G224" s="150" t="s">
        <v>2389</v>
      </c>
      <c r="H224" s="173" t="s">
        <v>16</v>
      </c>
      <c r="I224" s="242"/>
      <c r="J224" s="243"/>
      <c r="K224" s="222"/>
      <c r="L224" s="222"/>
      <c r="M224" s="222"/>
      <c r="N224" s="222"/>
      <c r="O224" s="222"/>
      <c r="P224" s="222"/>
      <c r="Q224" s="222"/>
      <c r="R224" s="222"/>
      <c r="S224" s="222"/>
      <c r="T224" s="222"/>
      <c r="U224" s="222"/>
      <c r="V224" s="222"/>
      <c r="W224" s="222"/>
      <c r="X224" s="222"/>
    </row>
    <row r="225" ht="42.75" customHeight="1">
      <c r="A225" s="244">
        <v>214.0</v>
      </c>
      <c r="B225" s="245" t="s">
        <v>1208</v>
      </c>
      <c r="C225" s="245" t="s">
        <v>1209</v>
      </c>
      <c r="D225" s="246" t="s">
        <v>1416</v>
      </c>
      <c r="E225" s="247" t="s">
        <v>88</v>
      </c>
      <c r="F225" s="248">
        <v>46146.0</v>
      </c>
      <c r="G225" s="264" t="s">
        <v>2395</v>
      </c>
      <c r="H225" s="250" t="s">
        <v>16</v>
      </c>
      <c r="I225" s="251"/>
      <c r="J225" s="252"/>
      <c r="K225" s="222"/>
      <c r="L225" s="222"/>
      <c r="M225" s="222"/>
      <c r="N225" s="222"/>
      <c r="O225" s="222"/>
      <c r="P225" s="222"/>
      <c r="Q225" s="222"/>
      <c r="R225" s="222"/>
      <c r="S225" s="222"/>
      <c r="T225" s="222"/>
      <c r="U225" s="222"/>
      <c r="V225" s="222"/>
      <c r="W225" s="222"/>
      <c r="X225" s="222"/>
    </row>
    <row r="226" ht="42.75" customHeight="1">
      <c r="A226" s="236">
        <v>215.0</v>
      </c>
      <c r="B226" s="237" t="s">
        <v>1211</v>
      </c>
      <c r="C226" s="237" t="s">
        <v>1212</v>
      </c>
      <c r="D226" s="238" t="s">
        <v>1405</v>
      </c>
      <c r="E226" s="239" t="s">
        <v>88</v>
      </c>
      <c r="F226" s="240">
        <v>46146.0</v>
      </c>
      <c r="G226" s="150" t="s">
        <v>2401</v>
      </c>
      <c r="H226" s="173" t="s">
        <v>16</v>
      </c>
      <c r="I226" s="242"/>
      <c r="J226" s="243"/>
      <c r="K226" s="222"/>
      <c r="L226" s="222"/>
      <c r="M226" s="222"/>
      <c r="N226" s="222"/>
      <c r="O226" s="222"/>
      <c r="P226" s="222"/>
      <c r="Q226" s="222"/>
      <c r="R226" s="222"/>
      <c r="S226" s="222"/>
      <c r="T226" s="222"/>
      <c r="U226" s="222"/>
      <c r="V226" s="222"/>
      <c r="W226" s="222"/>
      <c r="X226" s="222"/>
    </row>
    <row r="227" ht="42.75" customHeight="1">
      <c r="A227" s="244">
        <v>216.0</v>
      </c>
      <c r="B227" s="245" t="s">
        <v>1213</v>
      </c>
      <c r="C227" s="245" t="s">
        <v>1214</v>
      </c>
      <c r="D227" s="246" t="s">
        <v>1411</v>
      </c>
      <c r="E227" s="247" t="s">
        <v>88</v>
      </c>
      <c r="F227" s="248">
        <v>46146.0</v>
      </c>
      <c r="G227" s="264" t="s">
        <v>2406</v>
      </c>
      <c r="H227" s="250" t="s">
        <v>16</v>
      </c>
      <c r="I227" s="251"/>
      <c r="J227" s="252"/>
      <c r="K227" s="222"/>
      <c r="L227" s="222"/>
      <c r="M227" s="222"/>
      <c r="N227" s="222"/>
      <c r="O227" s="222"/>
      <c r="P227" s="222"/>
      <c r="Q227" s="222"/>
      <c r="R227" s="222"/>
      <c r="S227" s="222"/>
      <c r="T227" s="222"/>
      <c r="U227" s="222"/>
      <c r="V227" s="222"/>
      <c r="W227" s="222"/>
      <c r="X227" s="222"/>
    </row>
    <row r="228" ht="42.75" customHeight="1">
      <c r="A228" s="236">
        <v>217.0</v>
      </c>
      <c r="B228" s="237" t="s">
        <v>1215</v>
      </c>
      <c r="C228" s="237" t="s">
        <v>1216</v>
      </c>
      <c r="D228" s="238" t="s">
        <v>1405</v>
      </c>
      <c r="E228" s="239" t="s">
        <v>88</v>
      </c>
      <c r="F228" s="240">
        <v>46146.0</v>
      </c>
      <c r="G228" s="150" t="s">
        <v>2412</v>
      </c>
      <c r="H228" s="173" t="s">
        <v>16</v>
      </c>
      <c r="I228" s="242"/>
      <c r="J228" s="243"/>
      <c r="K228" s="222"/>
      <c r="L228" s="222"/>
      <c r="M228" s="222"/>
      <c r="N228" s="222"/>
      <c r="O228" s="222"/>
      <c r="P228" s="222"/>
      <c r="Q228" s="222"/>
      <c r="R228" s="222"/>
      <c r="S228" s="222"/>
      <c r="T228" s="222"/>
      <c r="U228" s="222"/>
      <c r="V228" s="222"/>
      <c r="W228" s="222"/>
      <c r="X228" s="222"/>
    </row>
    <row r="229" ht="42.75" customHeight="1">
      <c r="A229" s="244">
        <v>218.0</v>
      </c>
      <c r="B229" s="245" t="s">
        <v>1218</v>
      </c>
      <c r="C229" s="245" t="s">
        <v>1219</v>
      </c>
      <c r="D229" s="246" t="s">
        <v>1405</v>
      </c>
      <c r="E229" s="247" t="s">
        <v>88</v>
      </c>
      <c r="F229" s="248">
        <v>46146.0</v>
      </c>
      <c r="G229" s="262" t="s">
        <v>2418</v>
      </c>
      <c r="H229" s="250" t="s">
        <v>16</v>
      </c>
      <c r="I229" s="251"/>
      <c r="J229" s="252"/>
      <c r="K229" s="222"/>
      <c r="L229" s="222"/>
      <c r="M229" s="222"/>
      <c r="N229" s="222"/>
      <c r="O229" s="222"/>
      <c r="P229" s="222"/>
      <c r="Q229" s="222"/>
      <c r="R229" s="222"/>
      <c r="S229" s="222"/>
      <c r="T229" s="222"/>
      <c r="U229" s="222"/>
      <c r="V229" s="222"/>
      <c r="W229" s="222"/>
      <c r="X229" s="222"/>
    </row>
    <row r="230" ht="42.75" customHeight="1">
      <c r="A230" s="236">
        <v>219.0</v>
      </c>
      <c r="B230" s="237" t="s">
        <v>1220</v>
      </c>
      <c r="C230" s="237" t="s">
        <v>1221</v>
      </c>
      <c r="D230" s="238" t="s">
        <v>1416</v>
      </c>
      <c r="E230" s="239" t="s">
        <v>88</v>
      </c>
      <c r="F230" s="240">
        <v>46146.0</v>
      </c>
      <c r="G230" s="150" t="s">
        <v>2423</v>
      </c>
      <c r="H230" s="173" t="s">
        <v>16</v>
      </c>
      <c r="I230" s="242"/>
      <c r="J230" s="243"/>
      <c r="K230" s="222"/>
      <c r="L230" s="222"/>
      <c r="M230" s="222"/>
      <c r="N230" s="222"/>
      <c r="O230" s="222"/>
      <c r="P230" s="222"/>
      <c r="Q230" s="222"/>
      <c r="R230" s="222"/>
      <c r="S230" s="222"/>
      <c r="T230" s="222"/>
      <c r="U230" s="222"/>
      <c r="V230" s="222"/>
      <c r="W230" s="222"/>
      <c r="X230" s="222"/>
    </row>
    <row r="231" ht="42.75" customHeight="1">
      <c r="A231" s="244">
        <v>220.0</v>
      </c>
      <c r="B231" s="245" t="s">
        <v>1223</v>
      </c>
      <c r="C231" s="245" t="s">
        <v>1224</v>
      </c>
      <c r="D231" s="246" t="s">
        <v>1405</v>
      </c>
      <c r="E231" s="247" t="s">
        <v>88</v>
      </c>
      <c r="F231" s="248">
        <v>46146.0</v>
      </c>
      <c r="G231" s="264" t="s">
        <v>2429</v>
      </c>
      <c r="H231" s="250" t="s">
        <v>16</v>
      </c>
      <c r="I231" s="251"/>
      <c r="J231" s="252"/>
      <c r="K231" s="222"/>
      <c r="L231" s="222"/>
      <c r="M231" s="222"/>
      <c r="N231" s="222"/>
      <c r="O231" s="222"/>
      <c r="P231" s="222"/>
      <c r="Q231" s="222"/>
      <c r="R231" s="222"/>
      <c r="S231" s="222"/>
      <c r="T231" s="222"/>
      <c r="U231" s="222"/>
      <c r="V231" s="222"/>
      <c r="W231" s="222"/>
      <c r="X231" s="222"/>
    </row>
    <row r="232" ht="42.75" customHeight="1">
      <c r="A232" s="236">
        <v>221.0</v>
      </c>
      <c r="B232" s="237" t="s">
        <v>1225</v>
      </c>
      <c r="C232" s="237" t="s">
        <v>1226</v>
      </c>
      <c r="D232" s="238" t="s">
        <v>1411</v>
      </c>
      <c r="E232" s="239" t="s">
        <v>88</v>
      </c>
      <c r="F232" s="240">
        <v>46146.0</v>
      </c>
      <c r="G232" s="263" t="s">
        <v>2435</v>
      </c>
      <c r="H232" s="173" t="s">
        <v>16</v>
      </c>
      <c r="I232" s="242"/>
      <c r="J232" s="243"/>
      <c r="K232" s="222"/>
      <c r="L232" s="222"/>
      <c r="M232" s="222"/>
      <c r="N232" s="222"/>
      <c r="O232" s="222"/>
      <c r="P232" s="222"/>
      <c r="Q232" s="222"/>
      <c r="R232" s="222"/>
      <c r="S232" s="222"/>
      <c r="T232" s="222"/>
      <c r="U232" s="222"/>
      <c r="V232" s="222"/>
      <c r="W232" s="222"/>
      <c r="X232" s="222"/>
    </row>
    <row r="233" ht="42.75" customHeight="1">
      <c r="A233" s="244">
        <v>222.0</v>
      </c>
      <c r="B233" s="245" t="s">
        <v>1228</v>
      </c>
      <c r="C233" s="245" t="s">
        <v>1229</v>
      </c>
      <c r="D233" s="246" t="s">
        <v>1405</v>
      </c>
      <c r="E233" s="247" t="s">
        <v>88</v>
      </c>
      <c r="F233" s="248">
        <v>46146.0</v>
      </c>
      <c r="G233" s="264" t="s">
        <v>2440</v>
      </c>
      <c r="H233" s="250" t="s">
        <v>16</v>
      </c>
      <c r="I233" s="251"/>
      <c r="J233" s="252"/>
      <c r="K233" s="222"/>
      <c r="L233" s="222"/>
      <c r="M233" s="222"/>
      <c r="N233" s="222"/>
      <c r="O233" s="222"/>
      <c r="P233" s="222"/>
      <c r="Q233" s="222"/>
      <c r="R233" s="222"/>
      <c r="S233" s="222"/>
      <c r="T233" s="222"/>
      <c r="U233" s="222"/>
      <c r="V233" s="222"/>
      <c r="W233" s="222"/>
      <c r="X233" s="222"/>
    </row>
    <row r="234" ht="42.75" customHeight="1">
      <c r="A234" s="236">
        <v>223.0</v>
      </c>
      <c r="B234" s="237" t="s">
        <v>1230</v>
      </c>
      <c r="C234" s="237" t="s">
        <v>1231</v>
      </c>
      <c r="D234" s="238" t="s">
        <v>1411</v>
      </c>
      <c r="E234" s="239" t="s">
        <v>88</v>
      </c>
      <c r="F234" s="240">
        <v>46146.0</v>
      </c>
      <c r="G234" s="150" t="s">
        <v>2446</v>
      </c>
      <c r="H234" s="173" t="s">
        <v>16</v>
      </c>
      <c r="I234" s="242"/>
      <c r="J234" s="243"/>
      <c r="K234" s="222"/>
      <c r="L234" s="222"/>
      <c r="M234" s="222"/>
      <c r="N234" s="222"/>
      <c r="O234" s="222"/>
      <c r="P234" s="222"/>
      <c r="Q234" s="222"/>
      <c r="R234" s="222"/>
      <c r="S234" s="222"/>
      <c r="T234" s="222"/>
      <c r="U234" s="222"/>
      <c r="V234" s="222"/>
      <c r="W234" s="222"/>
      <c r="X234" s="222"/>
    </row>
    <row r="235" ht="42.75" customHeight="1">
      <c r="A235" s="244">
        <v>224.0</v>
      </c>
      <c r="B235" s="245" t="s">
        <v>1233</v>
      </c>
      <c r="C235" s="245" t="s">
        <v>1234</v>
      </c>
      <c r="D235" s="246" t="s">
        <v>1405</v>
      </c>
      <c r="E235" s="247" t="s">
        <v>88</v>
      </c>
      <c r="F235" s="248">
        <v>46146.0</v>
      </c>
      <c r="G235" s="264" t="s">
        <v>2452</v>
      </c>
      <c r="H235" s="250" t="s">
        <v>16</v>
      </c>
      <c r="I235" s="251"/>
      <c r="J235" s="252"/>
      <c r="K235" s="222"/>
      <c r="L235" s="222"/>
      <c r="M235" s="222"/>
      <c r="N235" s="222"/>
      <c r="O235" s="222"/>
      <c r="P235" s="222"/>
      <c r="Q235" s="222"/>
      <c r="R235" s="222"/>
      <c r="S235" s="222"/>
      <c r="T235" s="222"/>
      <c r="U235" s="222"/>
      <c r="V235" s="222"/>
      <c r="W235" s="222"/>
      <c r="X235" s="222"/>
    </row>
    <row r="236" ht="42.75" customHeight="1">
      <c r="A236" s="236">
        <v>225.0</v>
      </c>
      <c r="B236" s="237" t="s">
        <v>1235</v>
      </c>
      <c r="C236" s="237" t="s">
        <v>1236</v>
      </c>
      <c r="D236" s="238" t="s">
        <v>1405</v>
      </c>
      <c r="E236" s="239" t="s">
        <v>88</v>
      </c>
      <c r="F236" s="240">
        <v>46146.0</v>
      </c>
      <c r="G236" s="150" t="s">
        <v>2457</v>
      </c>
      <c r="H236" s="173" t="s">
        <v>16</v>
      </c>
      <c r="I236" s="242"/>
      <c r="J236" s="243"/>
      <c r="K236" s="222"/>
      <c r="L236" s="222"/>
      <c r="M236" s="222"/>
      <c r="N236" s="222"/>
      <c r="O236" s="222"/>
      <c r="P236" s="222"/>
      <c r="Q236" s="222"/>
      <c r="R236" s="222"/>
      <c r="S236" s="222"/>
      <c r="T236" s="222"/>
      <c r="U236" s="222"/>
      <c r="V236" s="222"/>
      <c r="W236" s="222"/>
      <c r="X236" s="222"/>
    </row>
    <row r="237" ht="42.75" customHeight="1">
      <c r="A237" s="244">
        <v>226.0</v>
      </c>
      <c r="B237" s="245" t="s">
        <v>1238</v>
      </c>
      <c r="C237" s="245" t="s">
        <v>1239</v>
      </c>
      <c r="D237" s="246" t="s">
        <v>1411</v>
      </c>
      <c r="E237" s="247" t="s">
        <v>88</v>
      </c>
      <c r="F237" s="248">
        <v>46146.0</v>
      </c>
      <c r="G237" s="264" t="s">
        <v>2462</v>
      </c>
      <c r="H237" s="250" t="s">
        <v>16</v>
      </c>
      <c r="I237" s="251"/>
      <c r="J237" s="252"/>
      <c r="K237" s="222"/>
      <c r="L237" s="222"/>
      <c r="M237" s="222"/>
      <c r="N237" s="222"/>
      <c r="O237" s="222"/>
      <c r="P237" s="222"/>
      <c r="Q237" s="222"/>
      <c r="R237" s="222"/>
      <c r="S237" s="222"/>
      <c r="T237" s="222"/>
      <c r="U237" s="222"/>
      <c r="V237" s="222"/>
      <c r="W237" s="222"/>
      <c r="X237" s="222"/>
    </row>
    <row r="238" ht="42.75" customHeight="1">
      <c r="A238" s="236">
        <v>227.0</v>
      </c>
      <c r="B238" s="237" t="s">
        <v>1240</v>
      </c>
      <c r="C238" s="237" t="s">
        <v>1241</v>
      </c>
      <c r="D238" s="238" t="s">
        <v>1411</v>
      </c>
      <c r="E238" s="239" t="s">
        <v>88</v>
      </c>
      <c r="F238" s="240">
        <v>46146.0</v>
      </c>
      <c r="G238" s="150" t="s">
        <v>2467</v>
      </c>
      <c r="H238" s="173" t="s">
        <v>16</v>
      </c>
      <c r="I238" s="242"/>
      <c r="J238" s="243"/>
      <c r="K238" s="222"/>
      <c r="L238" s="222"/>
      <c r="M238" s="222"/>
      <c r="N238" s="222"/>
      <c r="O238" s="222"/>
      <c r="P238" s="222"/>
      <c r="Q238" s="222"/>
      <c r="R238" s="222"/>
      <c r="S238" s="222"/>
      <c r="T238" s="222"/>
      <c r="U238" s="222"/>
      <c r="V238" s="222"/>
      <c r="W238" s="222"/>
      <c r="X238" s="222"/>
    </row>
    <row r="239" ht="42.75" customHeight="1">
      <c r="A239" s="244">
        <v>228.0</v>
      </c>
      <c r="B239" s="245" t="s">
        <v>1242</v>
      </c>
      <c r="C239" s="245" t="s">
        <v>1243</v>
      </c>
      <c r="D239" s="246" t="s">
        <v>1405</v>
      </c>
      <c r="E239" s="247" t="s">
        <v>88</v>
      </c>
      <c r="F239" s="248">
        <v>46146.0</v>
      </c>
      <c r="G239" s="264" t="s">
        <v>2472</v>
      </c>
      <c r="H239" s="250" t="s">
        <v>16</v>
      </c>
      <c r="I239" s="251"/>
      <c r="J239" s="252"/>
      <c r="K239" s="222"/>
      <c r="L239" s="222"/>
      <c r="M239" s="222"/>
      <c r="N239" s="222"/>
      <c r="O239" s="222"/>
      <c r="P239" s="222"/>
      <c r="Q239" s="222"/>
      <c r="R239" s="222"/>
      <c r="S239" s="222"/>
      <c r="T239" s="222"/>
      <c r="U239" s="222"/>
      <c r="V239" s="222"/>
      <c r="W239" s="222"/>
      <c r="X239" s="222"/>
    </row>
    <row r="240" ht="42.75" customHeight="1">
      <c r="A240" s="236">
        <v>229.0</v>
      </c>
      <c r="B240" s="237" t="s">
        <v>1245</v>
      </c>
      <c r="C240" s="237" t="s">
        <v>1246</v>
      </c>
      <c r="D240" s="238" t="s">
        <v>1405</v>
      </c>
      <c r="E240" s="239" t="s">
        <v>88</v>
      </c>
      <c r="F240" s="240">
        <v>46146.0</v>
      </c>
      <c r="G240" s="241" t="s">
        <v>2476</v>
      </c>
      <c r="H240" s="173" t="s">
        <v>16</v>
      </c>
      <c r="I240" s="242"/>
      <c r="J240" s="243"/>
      <c r="K240" s="222"/>
      <c r="L240" s="222"/>
      <c r="M240" s="222"/>
      <c r="N240" s="222"/>
      <c r="O240" s="222"/>
      <c r="P240" s="222"/>
      <c r="Q240" s="222"/>
      <c r="R240" s="222"/>
      <c r="S240" s="222"/>
      <c r="T240" s="222"/>
      <c r="U240" s="222"/>
      <c r="V240" s="222"/>
      <c r="W240" s="222"/>
      <c r="X240" s="222"/>
    </row>
    <row r="241" ht="42.75" customHeight="1">
      <c r="A241" s="244">
        <v>230.0</v>
      </c>
      <c r="B241" s="245" t="s">
        <v>1247</v>
      </c>
      <c r="C241" s="245" t="s">
        <v>1248</v>
      </c>
      <c r="D241" s="246" t="s">
        <v>1416</v>
      </c>
      <c r="E241" s="247" t="s">
        <v>88</v>
      </c>
      <c r="F241" s="248">
        <v>46146.0</v>
      </c>
      <c r="G241" s="249" t="s">
        <v>2481</v>
      </c>
      <c r="H241" s="250" t="s">
        <v>16</v>
      </c>
      <c r="I241" s="251"/>
      <c r="J241" s="252"/>
      <c r="K241" s="222"/>
      <c r="L241" s="222"/>
      <c r="M241" s="222"/>
      <c r="N241" s="222"/>
      <c r="O241" s="222"/>
      <c r="P241" s="222"/>
      <c r="Q241" s="222"/>
      <c r="R241" s="222"/>
      <c r="S241" s="222"/>
      <c r="T241" s="222"/>
      <c r="U241" s="222"/>
      <c r="V241" s="222"/>
      <c r="W241" s="222"/>
      <c r="X241" s="222"/>
    </row>
    <row r="242" ht="42.75" customHeight="1">
      <c r="A242" s="236">
        <v>231.0</v>
      </c>
      <c r="B242" s="237" t="s">
        <v>1249</v>
      </c>
      <c r="C242" s="237" t="s">
        <v>1250</v>
      </c>
      <c r="D242" s="238" t="s">
        <v>1405</v>
      </c>
      <c r="E242" s="239" t="s">
        <v>88</v>
      </c>
      <c r="F242" s="240">
        <v>46146.0</v>
      </c>
      <c r="G242" s="241" t="s">
        <v>2485</v>
      </c>
      <c r="H242" s="173" t="s">
        <v>16</v>
      </c>
      <c r="I242" s="242"/>
      <c r="J242" s="243"/>
      <c r="K242" s="222"/>
      <c r="L242" s="222"/>
      <c r="M242" s="222"/>
      <c r="N242" s="222"/>
      <c r="O242" s="222"/>
      <c r="P242" s="222"/>
      <c r="Q242" s="222"/>
      <c r="R242" s="222"/>
      <c r="S242" s="222"/>
      <c r="T242" s="222"/>
      <c r="U242" s="222"/>
      <c r="V242" s="222"/>
      <c r="W242" s="222"/>
      <c r="X242" s="222"/>
    </row>
    <row r="243" ht="42.75" customHeight="1">
      <c r="A243" s="244">
        <v>232.0</v>
      </c>
      <c r="B243" s="245" t="s">
        <v>1252</v>
      </c>
      <c r="C243" s="245" t="s">
        <v>1253</v>
      </c>
      <c r="D243" s="246" t="s">
        <v>1411</v>
      </c>
      <c r="E243" s="247" t="s">
        <v>88</v>
      </c>
      <c r="F243" s="248">
        <v>46146.0</v>
      </c>
      <c r="G243" s="249" t="s">
        <v>2489</v>
      </c>
      <c r="H243" s="250" t="s">
        <v>16</v>
      </c>
      <c r="I243" s="251"/>
      <c r="J243" s="252"/>
      <c r="K243" s="222"/>
      <c r="L243" s="222"/>
      <c r="M243" s="222"/>
      <c r="N243" s="222"/>
      <c r="O243" s="222"/>
      <c r="P243" s="222"/>
      <c r="Q243" s="222"/>
      <c r="R243" s="222"/>
      <c r="S243" s="222"/>
      <c r="T243" s="222"/>
      <c r="U243" s="222"/>
      <c r="V243" s="222"/>
      <c r="W243" s="222"/>
      <c r="X243" s="222"/>
    </row>
    <row r="244" ht="42.75" customHeight="1">
      <c r="A244" s="236">
        <v>233.0</v>
      </c>
      <c r="B244" s="237" t="s">
        <v>1254</v>
      </c>
      <c r="C244" s="237" t="s">
        <v>1255</v>
      </c>
      <c r="D244" s="238" t="s">
        <v>1411</v>
      </c>
      <c r="E244" s="239" t="s">
        <v>88</v>
      </c>
      <c r="F244" s="240">
        <v>46146.0</v>
      </c>
      <c r="G244" s="241" t="s">
        <v>2494</v>
      </c>
      <c r="H244" s="173" t="s">
        <v>16</v>
      </c>
      <c r="I244" s="242"/>
      <c r="J244" s="243"/>
      <c r="K244" s="222"/>
      <c r="L244" s="222"/>
      <c r="M244" s="222"/>
      <c r="N244" s="222"/>
      <c r="O244" s="222"/>
      <c r="P244" s="222"/>
      <c r="Q244" s="222"/>
      <c r="R244" s="222"/>
      <c r="S244" s="222"/>
      <c r="T244" s="222"/>
      <c r="U244" s="222"/>
      <c r="V244" s="222"/>
      <c r="W244" s="222"/>
      <c r="X244" s="222"/>
    </row>
    <row r="245" ht="42.75" customHeight="1">
      <c r="A245" s="244">
        <v>234.0</v>
      </c>
      <c r="B245" s="245" t="s">
        <v>1256</v>
      </c>
      <c r="C245" s="245" t="s">
        <v>1257</v>
      </c>
      <c r="D245" s="246" t="s">
        <v>1411</v>
      </c>
      <c r="E245" s="247" t="s">
        <v>88</v>
      </c>
      <c r="F245" s="248">
        <v>46146.0</v>
      </c>
      <c r="G245" s="249" t="s">
        <v>2499</v>
      </c>
      <c r="H245" s="250" t="s">
        <v>11</v>
      </c>
      <c r="I245" s="256" t="s">
        <v>2500</v>
      </c>
      <c r="J245" s="252"/>
      <c r="K245" s="222"/>
      <c r="L245" s="222"/>
      <c r="M245" s="222"/>
      <c r="N245" s="222"/>
      <c r="O245" s="222"/>
      <c r="P245" s="222"/>
      <c r="Q245" s="222"/>
      <c r="R245" s="222"/>
      <c r="S245" s="222"/>
      <c r="T245" s="222"/>
      <c r="U245" s="222"/>
      <c r="V245" s="222"/>
      <c r="W245" s="222"/>
      <c r="X245" s="222"/>
    </row>
    <row r="246" ht="42.75" customHeight="1">
      <c r="A246" s="236">
        <v>235.0</v>
      </c>
      <c r="B246" s="237" t="s">
        <v>1259</v>
      </c>
      <c r="C246" s="237" t="s">
        <v>1260</v>
      </c>
      <c r="D246" s="238" t="s">
        <v>1405</v>
      </c>
      <c r="E246" s="239" t="s">
        <v>88</v>
      </c>
      <c r="F246" s="240">
        <v>46146.0</v>
      </c>
      <c r="G246" s="241" t="s">
        <v>2504</v>
      </c>
      <c r="H246" s="173" t="s">
        <v>16</v>
      </c>
      <c r="I246" s="242"/>
      <c r="J246" s="243"/>
      <c r="K246" s="222"/>
      <c r="L246" s="222"/>
      <c r="M246" s="222"/>
      <c r="N246" s="222"/>
      <c r="O246" s="222"/>
      <c r="P246" s="222"/>
      <c r="Q246" s="222"/>
      <c r="R246" s="222"/>
      <c r="S246" s="222"/>
      <c r="T246" s="222"/>
      <c r="U246" s="222"/>
      <c r="V246" s="222"/>
      <c r="W246" s="222"/>
      <c r="X246" s="222"/>
    </row>
    <row r="247" ht="42.75" customHeight="1">
      <c r="A247" s="244">
        <v>236.0</v>
      </c>
      <c r="B247" s="245" t="s">
        <v>1261</v>
      </c>
      <c r="C247" s="245" t="s">
        <v>1262</v>
      </c>
      <c r="D247" s="246" t="s">
        <v>1405</v>
      </c>
      <c r="E247" s="247" t="s">
        <v>88</v>
      </c>
      <c r="F247" s="248">
        <v>46146.0</v>
      </c>
      <c r="G247" s="249" t="s">
        <v>2508</v>
      </c>
      <c r="H247" s="250" t="s">
        <v>16</v>
      </c>
      <c r="I247" s="251"/>
      <c r="J247" s="252"/>
      <c r="K247" s="222"/>
      <c r="L247" s="222"/>
      <c r="M247" s="222"/>
      <c r="N247" s="222"/>
      <c r="O247" s="222"/>
      <c r="P247" s="222"/>
      <c r="Q247" s="222"/>
      <c r="R247" s="222"/>
      <c r="S247" s="222"/>
      <c r="T247" s="222"/>
      <c r="U247" s="222"/>
      <c r="V247" s="222"/>
      <c r="W247" s="222"/>
      <c r="X247" s="222"/>
    </row>
    <row r="248" ht="42.75" customHeight="1">
      <c r="A248" s="236">
        <v>237.0</v>
      </c>
      <c r="B248" s="237" t="s">
        <v>1263</v>
      </c>
      <c r="C248" s="237" t="s">
        <v>1264</v>
      </c>
      <c r="D248" s="238" t="s">
        <v>1416</v>
      </c>
      <c r="E248" s="239" t="s">
        <v>88</v>
      </c>
      <c r="F248" s="240">
        <v>46146.0</v>
      </c>
      <c r="G248" s="241" t="s">
        <v>2511</v>
      </c>
      <c r="H248" s="173" t="s">
        <v>16</v>
      </c>
      <c r="I248" s="242"/>
      <c r="J248" s="243"/>
      <c r="K248" s="222"/>
      <c r="L248" s="222"/>
      <c r="M248" s="222"/>
      <c r="N248" s="222"/>
      <c r="O248" s="222"/>
      <c r="P248" s="222"/>
      <c r="Q248" s="222"/>
      <c r="R248" s="222"/>
      <c r="S248" s="222"/>
      <c r="T248" s="222"/>
      <c r="U248" s="222"/>
      <c r="V248" s="222"/>
      <c r="W248" s="222"/>
      <c r="X248" s="222"/>
    </row>
    <row r="249" ht="42.75" customHeight="1">
      <c r="A249" s="244">
        <v>238.0</v>
      </c>
      <c r="B249" s="245" t="s">
        <v>1266</v>
      </c>
      <c r="C249" s="245" t="s">
        <v>1267</v>
      </c>
      <c r="D249" s="246" t="s">
        <v>1405</v>
      </c>
      <c r="E249" s="247" t="s">
        <v>88</v>
      </c>
      <c r="F249" s="248">
        <v>46146.0</v>
      </c>
      <c r="G249" s="249" t="s">
        <v>2514</v>
      </c>
      <c r="H249" s="250" t="s">
        <v>16</v>
      </c>
      <c r="I249" s="251"/>
      <c r="J249" s="252"/>
      <c r="K249" s="222"/>
      <c r="L249" s="222"/>
      <c r="M249" s="222"/>
      <c r="N249" s="222"/>
      <c r="O249" s="222"/>
      <c r="P249" s="222"/>
      <c r="Q249" s="222"/>
      <c r="R249" s="222"/>
      <c r="S249" s="222"/>
      <c r="T249" s="222"/>
      <c r="U249" s="222"/>
      <c r="V249" s="222"/>
      <c r="W249" s="222"/>
      <c r="X249" s="222"/>
    </row>
    <row r="250" ht="42.75" customHeight="1">
      <c r="A250" s="236">
        <v>239.0</v>
      </c>
      <c r="B250" s="237" t="s">
        <v>1268</v>
      </c>
      <c r="C250" s="237" t="s">
        <v>1269</v>
      </c>
      <c r="D250" s="238" t="s">
        <v>1411</v>
      </c>
      <c r="E250" s="239" t="s">
        <v>88</v>
      </c>
      <c r="F250" s="240">
        <v>46146.0</v>
      </c>
      <c r="G250" s="241" t="s">
        <v>2518</v>
      </c>
      <c r="H250" s="173" t="s">
        <v>16</v>
      </c>
      <c r="I250" s="242"/>
      <c r="J250" s="243"/>
      <c r="K250" s="222"/>
      <c r="L250" s="222"/>
      <c r="M250" s="222"/>
      <c r="N250" s="222"/>
      <c r="O250" s="222"/>
      <c r="P250" s="222"/>
      <c r="Q250" s="222"/>
      <c r="R250" s="222"/>
      <c r="S250" s="222"/>
      <c r="T250" s="222"/>
      <c r="U250" s="222"/>
      <c r="V250" s="222"/>
      <c r="W250" s="222"/>
      <c r="X250" s="222"/>
    </row>
    <row r="251" ht="42.75" customHeight="1">
      <c r="A251" s="244">
        <v>240.0</v>
      </c>
      <c r="B251" s="245" t="s">
        <v>1271</v>
      </c>
      <c r="C251" s="245" t="s">
        <v>1272</v>
      </c>
      <c r="D251" s="246" t="s">
        <v>1411</v>
      </c>
      <c r="E251" s="247" t="s">
        <v>88</v>
      </c>
      <c r="F251" s="248">
        <v>46146.0</v>
      </c>
      <c r="G251" s="249" t="s">
        <v>2522</v>
      </c>
      <c r="H251" s="250" t="s">
        <v>16</v>
      </c>
      <c r="I251" s="251"/>
      <c r="J251" s="252"/>
      <c r="K251" s="222"/>
      <c r="L251" s="222"/>
      <c r="M251" s="222"/>
      <c r="N251" s="222"/>
      <c r="O251" s="222"/>
      <c r="P251" s="222"/>
      <c r="Q251" s="222"/>
      <c r="R251" s="222"/>
      <c r="S251" s="222"/>
      <c r="T251" s="222"/>
      <c r="U251" s="222"/>
      <c r="V251" s="222"/>
      <c r="W251" s="222"/>
      <c r="X251" s="222"/>
    </row>
    <row r="252" ht="42.75" customHeight="1">
      <c r="A252" s="236">
        <v>241.0</v>
      </c>
      <c r="B252" s="237" t="s">
        <v>1273</v>
      </c>
      <c r="C252" s="237" t="s">
        <v>1274</v>
      </c>
      <c r="D252" s="238" t="s">
        <v>1405</v>
      </c>
      <c r="E252" s="239" t="s">
        <v>88</v>
      </c>
      <c r="F252" s="240">
        <v>46146.0</v>
      </c>
      <c r="G252" s="241" t="s">
        <v>2526</v>
      </c>
      <c r="H252" s="173" t="s">
        <v>16</v>
      </c>
      <c r="I252" s="242"/>
      <c r="J252" s="243"/>
      <c r="K252" s="222"/>
      <c r="L252" s="222"/>
      <c r="M252" s="222"/>
      <c r="N252" s="222"/>
      <c r="O252" s="222"/>
      <c r="P252" s="222"/>
      <c r="Q252" s="222"/>
      <c r="R252" s="222"/>
      <c r="S252" s="222"/>
      <c r="T252" s="222"/>
      <c r="U252" s="222"/>
      <c r="V252" s="222"/>
      <c r="W252" s="222"/>
      <c r="X252" s="222"/>
    </row>
    <row r="253" ht="42.75" customHeight="1">
      <c r="A253" s="244">
        <v>242.0</v>
      </c>
      <c r="B253" s="245" t="s">
        <v>1276</v>
      </c>
      <c r="C253" s="245" t="s">
        <v>1277</v>
      </c>
      <c r="D253" s="246" t="s">
        <v>1411</v>
      </c>
      <c r="E253" s="247" t="s">
        <v>88</v>
      </c>
      <c r="F253" s="248">
        <v>46146.0</v>
      </c>
      <c r="G253" s="249" t="s">
        <v>2530</v>
      </c>
      <c r="H253" s="250" t="s">
        <v>16</v>
      </c>
      <c r="I253" s="251"/>
      <c r="J253" s="252"/>
      <c r="K253" s="222"/>
      <c r="L253" s="222"/>
      <c r="M253" s="222"/>
      <c r="N253" s="222"/>
      <c r="O253" s="222"/>
      <c r="P253" s="222"/>
      <c r="Q253" s="222"/>
      <c r="R253" s="222"/>
      <c r="S253" s="222"/>
      <c r="T253" s="222"/>
      <c r="U253" s="222"/>
      <c r="V253" s="222"/>
      <c r="W253" s="222"/>
      <c r="X253" s="222"/>
    </row>
    <row r="254" ht="42.75" customHeight="1">
      <c r="A254" s="236">
        <v>243.0</v>
      </c>
      <c r="B254" s="237" t="s">
        <v>1278</v>
      </c>
      <c r="C254" s="237" t="s">
        <v>1279</v>
      </c>
      <c r="D254" s="238" t="s">
        <v>1411</v>
      </c>
      <c r="E254" s="239" t="s">
        <v>88</v>
      </c>
      <c r="F254" s="240">
        <v>46146.0</v>
      </c>
      <c r="G254" s="241" t="s">
        <v>2534</v>
      </c>
      <c r="H254" s="173" t="s">
        <v>16</v>
      </c>
      <c r="I254" s="242"/>
      <c r="J254" s="243"/>
      <c r="K254" s="222"/>
      <c r="L254" s="222"/>
      <c r="M254" s="222"/>
      <c r="N254" s="222"/>
      <c r="O254" s="222"/>
      <c r="P254" s="222"/>
      <c r="Q254" s="222"/>
      <c r="R254" s="222"/>
      <c r="S254" s="222"/>
      <c r="T254" s="222"/>
      <c r="U254" s="222"/>
      <c r="V254" s="222"/>
      <c r="W254" s="222"/>
      <c r="X254" s="222"/>
    </row>
    <row r="255" ht="42.75" customHeight="1">
      <c r="A255" s="244">
        <v>244.0</v>
      </c>
      <c r="B255" s="245" t="s">
        <v>1280</v>
      </c>
      <c r="C255" s="245" t="s">
        <v>1281</v>
      </c>
      <c r="D255" s="246" t="s">
        <v>1405</v>
      </c>
      <c r="E255" s="247" t="s">
        <v>88</v>
      </c>
      <c r="F255" s="248">
        <v>46146.0</v>
      </c>
      <c r="G255" s="249" t="s">
        <v>2538</v>
      </c>
      <c r="H255" s="250" t="s">
        <v>16</v>
      </c>
      <c r="I255" s="251"/>
      <c r="J255" s="252"/>
      <c r="K255" s="222"/>
      <c r="L255" s="222"/>
      <c r="M255" s="222"/>
      <c r="N255" s="222"/>
      <c r="O255" s="222"/>
      <c r="P255" s="222"/>
      <c r="Q255" s="222"/>
      <c r="R255" s="222"/>
      <c r="S255" s="222"/>
      <c r="T255" s="222"/>
      <c r="U255" s="222"/>
      <c r="V255" s="222"/>
      <c r="W255" s="222"/>
      <c r="X255" s="222"/>
    </row>
    <row r="256" ht="42.75" customHeight="1">
      <c r="A256" s="236">
        <v>245.0</v>
      </c>
      <c r="B256" s="237" t="s">
        <v>1283</v>
      </c>
      <c r="C256" s="237" t="s">
        <v>1284</v>
      </c>
      <c r="D256" s="238" t="s">
        <v>1405</v>
      </c>
      <c r="E256" s="239" t="s">
        <v>94</v>
      </c>
      <c r="F256" s="240">
        <v>46146.0</v>
      </c>
      <c r="G256" s="241" t="s">
        <v>2542</v>
      </c>
      <c r="H256" s="173" t="s">
        <v>16</v>
      </c>
      <c r="I256" s="242"/>
      <c r="J256" s="243"/>
      <c r="K256" s="222"/>
      <c r="L256" s="222"/>
      <c r="M256" s="222"/>
      <c r="N256" s="222"/>
      <c r="O256" s="222"/>
      <c r="P256" s="222"/>
      <c r="Q256" s="222"/>
      <c r="R256" s="222"/>
      <c r="S256" s="222"/>
      <c r="T256" s="222"/>
      <c r="U256" s="222"/>
      <c r="V256" s="222"/>
      <c r="W256" s="222"/>
      <c r="X256" s="222"/>
    </row>
    <row r="257" ht="42.75" customHeight="1">
      <c r="A257" s="244">
        <v>246.0</v>
      </c>
      <c r="B257" s="245" t="s">
        <v>1285</v>
      </c>
      <c r="C257" s="245" t="s">
        <v>1286</v>
      </c>
      <c r="D257" s="246" t="s">
        <v>1416</v>
      </c>
      <c r="E257" s="247" t="s">
        <v>94</v>
      </c>
      <c r="F257" s="248">
        <v>46146.0</v>
      </c>
      <c r="G257" s="249" t="s">
        <v>2546</v>
      </c>
      <c r="H257" s="250" t="s">
        <v>16</v>
      </c>
      <c r="I257" s="251"/>
      <c r="J257" s="252"/>
      <c r="K257" s="222"/>
      <c r="L257" s="222"/>
      <c r="M257" s="222"/>
      <c r="N257" s="222"/>
      <c r="O257" s="222"/>
      <c r="P257" s="222"/>
      <c r="Q257" s="222"/>
      <c r="R257" s="222"/>
      <c r="S257" s="222"/>
      <c r="T257" s="222"/>
      <c r="U257" s="222"/>
      <c r="V257" s="222"/>
      <c r="W257" s="222"/>
      <c r="X257" s="222"/>
    </row>
    <row r="258" ht="42.75" customHeight="1">
      <c r="A258" s="236">
        <v>247.0</v>
      </c>
      <c r="B258" s="237" t="s">
        <v>1288</v>
      </c>
      <c r="C258" s="237" t="s">
        <v>1289</v>
      </c>
      <c r="D258" s="238" t="s">
        <v>1405</v>
      </c>
      <c r="E258" s="239" t="s">
        <v>94</v>
      </c>
      <c r="F258" s="240">
        <v>46146.0</v>
      </c>
      <c r="G258" s="241" t="s">
        <v>2550</v>
      </c>
      <c r="H258" s="173" t="s">
        <v>16</v>
      </c>
      <c r="I258" s="242"/>
      <c r="J258" s="243"/>
      <c r="K258" s="222"/>
      <c r="L258" s="222"/>
      <c r="M258" s="222"/>
      <c r="N258" s="222"/>
      <c r="O258" s="222"/>
      <c r="P258" s="222"/>
      <c r="Q258" s="222"/>
      <c r="R258" s="222"/>
      <c r="S258" s="222"/>
      <c r="T258" s="222"/>
      <c r="U258" s="222"/>
      <c r="V258" s="222"/>
      <c r="W258" s="222"/>
      <c r="X258" s="222"/>
    </row>
    <row r="259" ht="42.75" customHeight="1">
      <c r="A259" s="244">
        <v>248.0</v>
      </c>
      <c r="B259" s="245" t="s">
        <v>1290</v>
      </c>
      <c r="C259" s="245" t="s">
        <v>1291</v>
      </c>
      <c r="D259" s="246" t="s">
        <v>1416</v>
      </c>
      <c r="E259" s="247" t="s">
        <v>94</v>
      </c>
      <c r="F259" s="248">
        <v>46146.0</v>
      </c>
      <c r="G259" s="249" t="s">
        <v>2554</v>
      </c>
      <c r="H259" s="250" t="s">
        <v>16</v>
      </c>
      <c r="I259" s="251"/>
      <c r="J259" s="252"/>
      <c r="K259" s="222"/>
      <c r="L259" s="222"/>
      <c r="M259" s="222"/>
      <c r="N259" s="222"/>
      <c r="O259" s="222"/>
      <c r="P259" s="222"/>
      <c r="Q259" s="222"/>
      <c r="R259" s="222"/>
      <c r="S259" s="222"/>
      <c r="T259" s="222"/>
      <c r="U259" s="222"/>
      <c r="V259" s="222"/>
      <c r="W259" s="222"/>
      <c r="X259" s="222"/>
    </row>
    <row r="260" ht="42.75" customHeight="1">
      <c r="A260" s="236">
        <v>249.0</v>
      </c>
      <c r="B260" s="237" t="s">
        <v>1292</v>
      </c>
      <c r="C260" s="237" t="s">
        <v>1293</v>
      </c>
      <c r="D260" s="238" t="s">
        <v>1405</v>
      </c>
      <c r="E260" s="239" t="s">
        <v>94</v>
      </c>
      <c r="F260" s="240">
        <v>46146.0</v>
      </c>
      <c r="G260" s="241" t="s">
        <v>2558</v>
      </c>
      <c r="H260" s="173" t="s">
        <v>16</v>
      </c>
      <c r="I260" s="242"/>
      <c r="J260" s="243"/>
      <c r="K260" s="222"/>
      <c r="L260" s="222"/>
      <c r="M260" s="222"/>
      <c r="N260" s="222"/>
      <c r="O260" s="222"/>
      <c r="P260" s="222"/>
      <c r="Q260" s="222"/>
      <c r="R260" s="222"/>
      <c r="S260" s="222"/>
      <c r="T260" s="222"/>
      <c r="U260" s="222"/>
      <c r="V260" s="222"/>
      <c r="W260" s="222"/>
      <c r="X260" s="222"/>
    </row>
    <row r="261" ht="42.75" customHeight="1">
      <c r="A261" s="244">
        <v>250.0</v>
      </c>
      <c r="B261" s="245" t="s">
        <v>1295</v>
      </c>
      <c r="C261" s="245" t="s">
        <v>1296</v>
      </c>
      <c r="D261" s="246" t="s">
        <v>1411</v>
      </c>
      <c r="E261" s="247" t="s">
        <v>94</v>
      </c>
      <c r="F261" s="248">
        <v>46146.0</v>
      </c>
      <c r="G261" s="249" t="s">
        <v>2563</v>
      </c>
      <c r="H261" s="250" t="s">
        <v>11</v>
      </c>
      <c r="I261" s="256" t="s">
        <v>2564</v>
      </c>
      <c r="J261" s="249" t="s">
        <v>2565</v>
      </c>
      <c r="K261" s="222"/>
      <c r="L261" s="222"/>
      <c r="M261" s="222"/>
      <c r="N261" s="222"/>
      <c r="O261" s="222"/>
      <c r="P261" s="222"/>
      <c r="Q261" s="222"/>
      <c r="R261" s="222"/>
      <c r="S261" s="222"/>
      <c r="T261" s="222"/>
      <c r="U261" s="222"/>
      <c r="V261" s="222"/>
      <c r="W261" s="222"/>
      <c r="X261" s="222"/>
    </row>
    <row r="262" ht="42.75" customHeight="1">
      <c r="A262" s="236">
        <v>251.0</v>
      </c>
      <c r="B262" s="237" t="s">
        <v>1297</v>
      </c>
      <c r="C262" s="237" t="s">
        <v>1298</v>
      </c>
      <c r="D262" s="238" t="s">
        <v>1411</v>
      </c>
      <c r="E262" s="239" t="s">
        <v>94</v>
      </c>
      <c r="F262" s="240">
        <v>46146.0</v>
      </c>
      <c r="G262" s="241" t="s">
        <v>2570</v>
      </c>
      <c r="H262" s="173" t="s">
        <v>11</v>
      </c>
      <c r="I262" s="259" t="s">
        <v>2571</v>
      </c>
      <c r="J262" s="243"/>
      <c r="K262" s="222"/>
      <c r="L262" s="222"/>
      <c r="M262" s="222"/>
      <c r="N262" s="222"/>
      <c r="O262" s="222"/>
      <c r="P262" s="222"/>
      <c r="Q262" s="222"/>
      <c r="R262" s="222"/>
      <c r="S262" s="222"/>
      <c r="T262" s="222"/>
      <c r="U262" s="222"/>
      <c r="V262" s="222"/>
      <c r="W262" s="222"/>
      <c r="X262" s="222"/>
    </row>
    <row r="263" ht="42.75" customHeight="1">
      <c r="A263" s="244">
        <v>252.0</v>
      </c>
      <c r="B263" s="245" t="s">
        <v>1299</v>
      </c>
      <c r="C263" s="245" t="s">
        <v>1300</v>
      </c>
      <c r="D263" s="246" t="s">
        <v>1411</v>
      </c>
      <c r="E263" s="247" t="s">
        <v>94</v>
      </c>
      <c r="F263" s="248">
        <v>46146.0</v>
      </c>
      <c r="G263" s="249" t="s">
        <v>2563</v>
      </c>
      <c r="H263" s="250" t="s">
        <v>11</v>
      </c>
      <c r="I263" s="256" t="s">
        <v>2576</v>
      </c>
      <c r="J263" s="249" t="s">
        <v>2565</v>
      </c>
      <c r="K263" s="222"/>
      <c r="L263" s="222"/>
      <c r="M263" s="222"/>
      <c r="N263" s="222"/>
      <c r="O263" s="222"/>
      <c r="P263" s="222"/>
      <c r="Q263" s="222"/>
      <c r="R263" s="222"/>
      <c r="S263" s="222"/>
      <c r="T263" s="222"/>
      <c r="U263" s="222"/>
      <c r="V263" s="222"/>
      <c r="W263" s="222"/>
      <c r="X263" s="222"/>
    </row>
    <row r="264" ht="42.75" customHeight="1">
      <c r="A264" s="236">
        <v>253.0</v>
      </c>
      <c r="B264" s="237" t="s">
        <v>1302</v>
      </c>
      <c r="C264" s="237" t="s">
        <v>1303</v>
      </c>
      <c r="D264" s="238" t="s">
        <v>1405</v>
      </c>
      <c r="E264" s="239" t="s">
        <v>94</v>
      </c>
      <c r="F264" s="240">
        <v>46146.0</v>
      </c>
      <c r="G264" s="241" t="s">
        <v>2580</v>
      </c>
      <c r="H264" s="173" t="s">
        <v>16</v>
      </c>
      <c r="I264" s="242"/>
      <c r="J264" s="243"/>
      <c r="K264" s="222"/>
      <c r="L264" s="222"/>
      <c r="M264" s="222"/>
      <c r="N264" s="222"/>
      <c r="O264" s="222"/>
      <c r="P264" s="222"/>
      <c r="Q264" s="222"/>
      <c r="R264" s="222"/>
      <c r="S264" s="222"/>
      <c r="T264" s="222"/>
      <c r="U264" s="222"/>
      <c r="V264" s="222"/>
      <c r="W264" s="222"/>
      <c r="X264" s="222"/>
    </row>
    <row r="265" ht="42.75" customHeight="1">
      <c r="A265" s="244">
        <v>254.0</v>
      </c>
      <c r="B265" s="245" t="s">
        <v>1304</v>
      </c>
      <c r="C265" s="245" t="s">
        <v>1305</v>
      </c>
      <c r="D265" s="246" t="s">
        <v>1405</v>
      </c>
      <c r="E265" s="247" t="s">
        <v>94</v>
      </c>
      <c r="F265" s="248">
        <v>46146.0</v>
      </c>
      <c r="G265" s="249" t="s">
        <v>2584</v>
      </c>
      <c r="H265" s="250" t="s">
        <v>16</v>
      </c>
      <c r="I265" s="251"/>
      <c r="J265" s="252"/>
      <c r="K265" s="222"/>
      <c r="L265" s="222"/>
      <c r="M265" s="222"/>
      <c r="N265" s="222"/>
      <c r="O265" s="222"/>
      <c r="P265" s="222"/>
      <c r="Q265" s="222"/>
      <c r="R265" s="222"/>
      <c r="S265" s="222"/>
      <c r="T265" s="222"/>
      <c r="U265" s="222"/>
      <c r="V265" s="222"/>
      <c r="W265" s="222"/>
      <c r="X265" s="222"/>
    </row>
    <row r="266" ht="42.75" customHeight="1">
      <c r="A266" s="236">
        <v>255.0</v>
      </c>
      <c r="B266" s="237" t="s">
        <v>1307</v>
      </c>
      <c r="C266" s="237" t="s">
        <v>1308</v>
      </c>
      <c r="D266" s="238" t="s">
        <v>1405</v>
      </c>
      <c r="E266" s="239" t="s">
        <v>94</v>
      </c>
      <c r="F266" s="240">
        <v>46146.0</v>
      </c>
      <c r="G266" s="241" t="s">
        <v>2588</v>
      </c>
      <c r="H266" s="173" t="s">
        <v>16</v>
      </c>
      <c r="I266" s="242"/>
      <c r="J266" s="243"/>
      <c r="K266" s="222"/>
      <c r="L266" s="222"/>
      <c r="M266" s="222"/>
      <c r="N266" s="222"/>
      <c r="O266" s="222"/>
      <c r="P266" s="222"/>
      <c r="Q266" s="222"/>
      <c r="R266" s="222"/>
      <c r="S266" s="222"/>
      <c r="T266" s="222"/>
      <c r="U266" s="222"/>
      <c r="V266" s="222"/>
      <c r="W266" s="222"/>
      <c r="X266" s="222"/>
    </row>
    <row r="267" ht="42.75" customHeight="1">
      <c r="A267" s="244">
        <v>256.0</v>
      </c>
      <c r="B267" s="245" t="s">
        <v>1309</v>
      </c>
      <c r="C267" s="245" t="s">
        <v>1310</v>
      </c>
      <c r="D267" s="246" t="s">
        <v>1411</v>
      </c>
      <c r="E267" s="247" t="s">
        <v>94</v>
      </c>
      <c r="F267" s="248">
        <v>46146.0</v>
      </c>
      <c r="G267" s="249" t="s">
        <v>2592</v>
      </c>
      <c r="H267" s="250" t="s">
        <v>16</v>
      </c>
      <c r="I267" s="251"/>
      <c r="J267" s="252"/>
      <c r="K267" s="222"/>
      <c r="L267" s="222"/>
      <c r="M267" s="222"/>
      <c r="N267" s="222"/>
      <c r="O267" s="222"/>
      <c r="P267" s="222"/>
      <c r="Q267" s="222"/>
      <c r="R267" s="222"/>
      <c r="S267" s="222"/>
      <c r="T267" s="222"/>
      <c r="U267" s="222"/>
      <c r="V267" s="222"/>
      <c r="W267" s="222"/>
      <c r="X267" s="222"/>
    </row>
    <row r="268" ht="42.75" customHeight="1">
      <c r="A268" s="236">
        <v>257.0</v>
      </c>
      <c r="B268" s="237" t="s">
        <v>1311</v>
      </c>
      <c r="C268" s="237" t="s">
        <v>1312</v>
      </c>
      <c r="D268" s="238" t="s">
        <v>1405</v>
      </c>
      <c r="E268" s="239" t="s">
        <v>94</v>
      </c>
      <c r="F268" s="240">
        <v>46146.0</v>
      </c>
      <c r="G268" s="241" t="s">
        <v>2596</v>
      </c>
      <c r="H268" s="173" t="s">
        <v>16</v>
      </c>
      <c r="I268" s="242"/>
      <c r="J268" s="243"/>
      <c r="K268" s="222"/>
      <c r="L268" s="222"/>
      <c r="M268" s="222"/>
      <c r="N268" s="222"/>
      <c r="O268" s="222"/>
      <c r="P268" s="222"/>
      <c r="Q268" s="222"/>
      <c r="R268" s="222"/>
      <c r="S268" s="222"/>
      <c r="T268" s="222"/>
      <c r="U268" s="222"/>
      <c r="V268" s="222"/>
      <c r="W268" s="222"/>
      <c r="X268" s="222"/>
    </row>
    <row r="269" ht="42.75" customHeight="1">
      <c r="A269" s="244">
        <v>258.0</v>
      </c>
      <c r="B269" s="245" t="s">
        <v>1314</v>
      </c>
      <c r="C269" s="245" t="s">
        <v>1315</v>
      </c>
      <c r="D269" s="246" t="s">
        <v>1405</v>
      </c>
      <c r="E269" s="247" t="s">
        <v>94</v>
      </c>
      <c r="F269" s="248">
        <v>46146.0</v>
      </c>
      <c r="G269" s="249" t="s">
        <v>2600</v>
      </c>
      <c r="H269" s="250" t="s">
        <v>16</v>
      </c>
      <c r="I269" s="251"/>
      <c r="J269" s="252"/>
      <c r="K269" s="222"/>
      <c r="L269" s="222"/>
      <c r="M269" s="222"/>
      <c r="N269" s="222"/>
      <c r="O269" s="222"/>
      <c r="P269" s="222"/>
      <c r="Q269" s="222"/>
      <c r="R269" s="222"/>
      <c r="S269" s="222"/>
      <c r="T269" s="222"/>
      <c r="U269" s="222"/>
      <c r="V269" s="222"/>
      <c r="W269" s="222"/>
      <c r="X269" s="222"/>
    </row>
    <row r="270" ht="42.75" customHeight="1">
      <c r="A270" s="236">
        <v>259.0</v>
      </c>
      <c r="B270" s="237" t="s">
        <v>1316</v>
      </c>
      <c r="C270" s="237" t="s">
        <v>1317</v>
      </c>
      <c r="D270" s="238" t="s">
        <v>1411</v>
      </c>
      <c r="E270" s="239" t="s">
        <v>94</v>
      </c>
      <c r="F270" s="240">
        <v>46146.0</v>
      </c>
      <c r="G270" s="241" t="s">
        <v>2605</v>
      </c>
      <c r="H270" s="173" t="s">
        <v>16</v>
      </c>
      <c r="I270" s="242"/>
      <c r="J270" s="243"/>
      <c r="K270" s="222"/>
      <c r="L270" s="222"/>
      <c r="M270" s="222"/>
      <c r="N270" s="222"/>
      <c r="O270" s="222"/>
      <c r="P270" s="222"/>
      <c r="Q270" s="222"/>
      <c r="R270" s="222"/>
      <c r="S270" s="222"/>
      <c r="T270" s="222"/>
      <c r="U270" s="222"/>
      <c r="V270" s="222"/>
      <c r="W270" s="222"/>
      <c r="X270" s="222"/>
    </row>
    <row r="271" ht="42.75" customHeight="1">
      <c r="A271" s="244">
        <v>260.0</v>
      </c>
      <c r="B271" s="245" t="s">
        <v>1319</v>
      </c>
      <c r="C271" s="245" t="s">
        <v>1320</v>
      </c>
      <c r="D271" s="246" t="s">
        <v>1405</v>
      </c>
      <c r="E271" s="247" t="s">
        <v>94</v>
      </c>
      <c r="F271" s="248">
        <v>46146.0</v>
      </c>
      <c r="G271" s="249" t="s">
        <v>2609</v>
      </c>
      <c r="H271" s="250" t="s">
        <v>16</v>
      </c>
      <c r="I271" s="251"/>
      <c r="J271" s="252"/>
      <c r="K271" s="222"/>
      <c r="L271" s="222"/>
      <c r="M271" s="222"/>
      <c r="N271" s="222"/>
      <c r="O271" s="222"/>
      <c r="P271" s="222"/>
      <c r="Q271" s="222"/>
      <c r="R271" s="222"/>
      <c r="S271" s="222"/>
      <c r="T271" s="222"/>
      <c r="U271" s="222"/>
      <c r="V271" s="222"/>
      <c r="W271" s="222"/>
      <c r="X271" s="222"/>
    </row>
    <row r="272" ht="42.75" customHeight="1">
      <c r="A272" s="236">
        <v>261.0</v>
      </c>
      <c r="B272" s="237" t="s">
        <v>1321</v>
      </c>
      <c r="C272" s="237" t="s">
        <v>1322</v>
      </c>
      <c r="D272" s="238" t="s">
        <v>1405</v>
      </c>
      <c r="E272" s="239" t="s">
        <v>94</v>
      </c>
      <c r="F272" s="240">
        <v>46146.0</v>
      </c>
      <c r="G272" s="241" t="s">
        <v>2613</v>
      </c>
      <c r="H272" s="173" t="s">
        <v>16</v>
      </c>
      <c r="I272" s="242"/>
      <c r="J272" s="243"/>
      <c r="K272" s="222"/>
      <c r="L272" s="222"/>
      <c r="M272" s="222"/>
      <c r="N272" s="222"/>
      <c r="O272" s="222"/>
      <c r="P272" s="222"/>
      <c r="Q272" s="222"/>
      <c r="R272" s="222"/>
      <c r="S272" s="222"/>
      <c r="T272" s="222"/>
      <c r="U272" s="222"/>
      <c r="V272" s="222"/>
      <c r="W272" s="222"/>
      <c r="X272" s="222"/>
    </row>
    <row r="273" ht="42.75" customHeight="1">
      <c r="A273" s="244">
        <v>262.0</v>
      </c>
      <c r="B273" s="245" t="s">
        <v>1323</v>
      </c>
      <c r="C273" s="245" t="s">
        <v>1324</v>
      </c>
      <c r="D273" s="246" t="s">
        <v>1416</v>
      </c>
      <c r="E273" s="247" t="s">
        <v>94</v>
      </c>
      <c r="F273" s="248">
        <v>46146.0</v>
      </c>
      <c r="G273" s="249" t="s">
        <v>2617</v>
      </c>
      <c r="H273" s="250" t="s">
        <v>16</v>
      </c>
      <c r="I273" s="251"/>
      <c r="J273" s="252"/>
      <c r="K273" s="222"/>
      <c r="L273" s="222"/>
      <c r="M273" s="222"/>
      <c r="N273" s="222"/>
      <c r="O273" s="222"/>
      <c r="P273" s="222"/>
      <c r="Q273" s="222"/>
      <c r="R273" s="222"/>
      <c r="S273" s="222"/>
      <c r="T273" s="222"/>
      <c r="U273" s="222"/>
      <c r="V273" s="222"/>
      <c r="W273" s="222"/>
      <c r="X273" s="222"/>
    </row>
    <row r="274" ht="42.75" customHeight="1">
      <c r="A274" s="236">
        <v>263.0</v>
      </c>
      <c r="B274" s="237" t="s">
        <v>1326</v>
      </c>
      <c r="C274" s="237" t="s">
        <v>1327</v>
      </c>
      <c r="D274" s="238" t="s">
        <v>1405</v>
      </c>
      <c r="E274" s="239" t="s">
        <v>94</v>
      </c>
      <c r="F274" s="240">
        <v>46146.0</v>
      </c>
      <c r="G274" s="90" t="s">
        <v>2622</v>
      </c>
      <c r="H274" s="173" t="s">
        <v>11</v>
      </c>
      <c r="I274" s="259" t="s">
        <v>2623</v>
      </c>
      <c r="J274" s="243"/>
      <c r="K274" s="222"/>
      <c r="L274" s="222"/>
      <c r="M274" s="222"/>
      <c r="N274" s="222"/>
      <c r="O274" s="222"/>
      <c r="P274" s="222"/>
      <c r="Q274" s="222"/>
      <c r="R274" s="222"/>
      <c r="S274" s="222"/>
      <c r="T274" s="222"/>
      <c r="U274" s="222"/>
      <c r="V274" s="222"/>
      <c r="W274" s="222"/>
      <c r="X274" s="222"/>
    </row>
    <row r="275" ht="42.75" customHeight="1">
      <c r="A275" s="244">
        <v>264.0</v>
      </c>
      <c r="B275" s="245" t="s">
        <v>1328</v>
      </c>
      <c r="C275" s="245" t="s">
        <v>3096</v>
      </c>
      <c r="D275" s="246" t="s">
        <v>1411</v>
      </c>
      <c r="E275" s="247" t="s">
        <v>94</v>
      </c>
      <c r="F275" s="248">
        <v>46146.0</v>
      </c>
      <c r="G275" s="265" t="s">
        <v>2627</v>
      </c>
      <c r="H275" s="250" t="s">
        <v>16</v>
      </c>
      <c r="I275" s="266"/>
      <c r="J275" s="252"/>
      <c r="K275" s="222"/>
      <c r="L275" s="222"/>
      <c r="M275" s="222"/>
      <c r="N275" s="222"/>
      <c r="O275" s="222"/>
      <c r="P275" s="222"/>
      <c r="Q275" s="222"/>
      <c r="R275" s="222"/>
      <c r="S275" s="222"/>
      <c r="T275" s="222"/>
      <c r="U275" s="222"/>
      <c r="V275" s="222"/>
      <c r="W275" s="222"/>
      <c r="X275" s="222"/>
    </row>
    <row r="276" ht="42.75" customHeight="1">
      <c r="A276" s="236">
        <v>265.0</v>
      </c>
      <c r="B276" s="237" t="s">
        <v>1330</v>
      </c>
      <c r="C276" s="237" t="s">
        <v>3098</v>
      </c>
      <c r="D276" s="238" t="s">
        <v>1411</v>
      </c>
      <c r="E276" s="239" t="s">
        <v>94</v>
      </c>
      <c r="F276" s="240">
        <v>46146.0</v>
      </c>
      <c r="G276" s="90" t="s">
        <v>2631</v>
      </c>
      <c r="H276" s="173" t="s">
        <v>16</v>
      </c>
      <c r="I276" s="267"/>
      <c r="J276" s="243"/>
      <c r="K276" s="222"/>
      <c r="L276" s="222"/>
      <c r="M276" s="222"/>
      <c r="N276" s="222"/>
      <c r="O276" s="222"/>
      <c r="P276" s="222"/>
      <c r="Q276" s="222"/>
      <c r="R276" s="222"/>
      <c r="S276" s="222"/>
      <c r="T276" s="222"/>
      <c r="U276" s="222"/>
      <c r="V276" s="222"/>
      <c r="W276" s="222"/>
      <c r="X276" s="222"/>
    </row>
    <row r="277" ht="42.75" customHeight="1">
      <c r="A277" s="244">
        <v>266.0</v>
      </c>
      <c r="B277" s="245" t="s">
        <v>1333</v>
      </c>
      <c r="C277" s="245" t="s">
        <v>1334</v>
      </c>
      <c r="D277" s="246" t="s">
        <v>1405</v>
      </c>
      <c r="E277" s="247" t="s">
        <v>94</v>
      </c>
      <c r="F277" s="248">
        <v>46146.0</v>
      </c>
      <c r="G277" s="249" t="s">
        <v>2635</v>
      </c>
      <c r="H277" s="250" t="s">
        <v>16</v>
      </c>
      <c r="I277" s="251"/>
      <c r="J277" s="252"/>
      <c r="K277" s="222"/>
      <c r="L277" s="222"/>
      <c r="M277" s="222"/>
      <c r="N277" s="222"/>
      <c r="O277" s="222"/>
      <c r="P277" s="222"/>
      <c r="Q277" s="222"/>
      <c r="R277" s="222"/>
      <c r="S277" s="222"/>
      <c r="T277" s="222"/>
      <c r="U277" s="222"/>
      <c r="V277" s="222"/>
      <c r="W277" s="222"/>
      <c r="X277" s="222"/>
    </row>
    <row r="278" ht="42.75" customHeight="1">
      <c r="A278" s="236">
        <v>267.0</v>
      </c>
      <c r="B278" s="237" t="s">
        <v>1335</v>
      </c>
      <c r="C278" s="237" t="s">
        <v>1336</v>
      </c>
      <c r="D278" s="238" t="s">
        <v>1416</v>
      </c>
      <c r="E278" s="239" t="s">
        <v>94</v>
      </c>
      <c r="F278" s="240">
        <v>46146.0</v>
      </c>
      <c r="G278" s="241" t="s">
        <v>2639</v>
      </c>
      <c r="H278" s="173" t="s">
        <v>16</v>
      </c>
      <c r="I278" s="242"/>
      <c r="J278" s="243"/>
      <c r="K278" s="222"/>
      <c r="L278" s="222"/>
      <c r="M278" s="222"/>
      <c r="N278" s="222"/>
      <c r="O278" s="222"/>
      <c r="P278" s="222"/>
      <c r="Q278" s="222"/>
      <c r="R278" s="222"/>
      <c r="S278" s="222"/>
      <c r="T278" s="222"/>
      <c r="U278" s="222"/>
      <c r="V278" s="222"/>
      <c r="W278" s="222"/>
      <c r="X278" s="222"/>
    </row>
    <row r="279" ht="42.75" customHeight="1">
      <c r="A279" s="244">
        <v>268.0</v>
      </c>
      <c r="B279" s="245" t="s">
        <v>1337</v>
      </c>
      <c r="C279" s="245" t="s">
        <v>1338</v>
      </c>
      <c r="D279" s="246" t="s">
        <v>1416</v>
      </c>
      <c r="E279" s="247" t="s">
        <v>94</v>
      </c>
      <c r="F279" s="248">
        <v>46146.0</v>
      </c>
      <c r="G279" s="249" t="s">
        <v>2643</v>
      </c>
      <c r="H279" s="250" t="s">
        <v>16</v>
      </c>
      <c r="I279" s="251"/>
      <c r="J279" s="252"/>
      <c r="K279" s="222"/>
      <c r="L279" s="222"/>
      <c r="M279" s="222"/>
      <c r="N279" s="222"/>
      <c r="O279" s="222"/>
      <c r="P279" s="222"/>
      <c r="Q279" s="222"/>
      <c r="R279" s="222"/>
      <c r="S279" s="222"/>
      <c r="T279" s="222"/>
      <c r="U279" s="222"/>
      <c r="V279" s="222"/>
      <c r="W279" s="222"/>
      <c r="X279" s="222"/>
    </row>
    <row r="280" ht="42.75" customHeight="1">
      <c r="A280" s="236">
        <v>269.0</v>
      </c>
      <c r="B280" s="237" t="s">
        <v>1340</v>
      </c>
      <c r="C280" s="237" t="s">
        <v>1341</v>
      </c>
      <c r="D280" s="238" t="s">
        <v>1411</v>
      </c>
      <c r="E280" s="239" t="s">
        <v>94</v>
      </c>
      <c r="F280" s="240">
        <v>46146.0</v>
      </c>
      <c r="G280" s="241" t="s">
        <v>2648</v>
      </c>
      <c r="H280" s="173" t="s">
        <v>11</v>
      </c>
      <c r="I280" s="259" t="s">
        <v>2649</v>
      </c>
      <c r="J280" s="243"/>
      <c r="K280" s="222"/>
      <c r="L280" s="222"/>
      <c r="M280" s="222"/>
      <c r="N280" s="222"/>
      <c r="O280" s="222"/>
      <c r="P280" s="222"/>
      <c r="Q280" s="222"/>
      <c r="R280" s="222"/>
      <c r="S280" s="222"/>
      <c r="T280" s="222"/>
      <c r="U280" s="222"/>
      <c r="V280" s="222"/>
      <c r="W280" s="222"/>
      <c r="X280" s="222"/>
    </row>
    <row r="281" ht="42.75" customHeight="1">
      <c r="A281" s="244">
        <v>270.0</v>
      </c>
      <c r="B281" s="245" t="s">
        <v>1342</v>
      </c>
      <c r="C281" s="245" t="s">
        <v>1343</v>
      </c>
      <c r="D281" s="246" t="s">
        <v>1416</v>
      </c>
      <c r="E281" s="247" t="s">
        <v>94</v>
      </c>
      <c r="F281" s="248">
        <v>46146.0</v>
      </c>
      <c r="G281" s="249" t="s">
        <v>3148</v>
      </c>
      <c r="H281" s="250" t="s">
        <v>11</v>
      </c>
      <c r="I281" s="256" t="s">
        <v>2656</v>
      </c>
      <c r="J281" s="252"/>
      <c r="K281" s="222"/>
      <c r="L281" s="222"/>
      <c r="M281" s="222"/>
      <c r="N281" s="222"/>
      <c r="O281" s="222"/>
      <c r="P281" s="222"/>
      <c r="Q281" s="222"/>
      <c r="R281" s="222"/>
      <c r="S281" s="222"/>
      <c r="T281" s="222"/>
      <c r="U281" s="222"/>
      <c r="V281" s="222"/>
      <c r="W281" s="222"/>
      <c r="X281" s="222"/>
    </row>
    <row r="282" ht="42.75" customHeight="1">
      <c r="A282" s="236">
        <v>271.0</v>
      </c>
      <c r="B282" s="237" t="s">
        <v>1345</v>
      </c>
      <c r="C282" s="237" t="s">
        <v>1346</v>
      </c>
      <c r="D282" s="238" t="s">
        <v>1405</v>
      </c>
      <c r="E282" s="239" t="s">
        <v>94</v>
      </c>
      <c r="F282" s="240">
        <v>46146.0</v>
      </c>
      <c r="G282" s="241" t="s">
        <v>2660</v>
      </c>
      <c r="H282" s="173" t="s">
        <v>16</v>
      </c>
      <c r="I282" s="242"/>
      <c r="J282" s="243"/>
      <c r="K282" s="222"/>
      <c r="L282" s="222"/>
      <c r="M282" s="222"/>
      <c r="N282" s="222"/>
      <c r="O282" s="222"/>
      <c r="P282" s="222"/>
      <c r="Q282" s="222"/>
      <c r="R282" s="222"/>
      <c r="S282" s="222"/>
      <c r="T282" s="222"/>
      <c r="U282" s="222"/>
      <c r="V282" s="222"/>
      <c r="W282" s="222"/>
      <c r="X282" s="222"/>
    </row>
    <row r="283" ht="42.75" customHeight="1">
      <c r="A283" s="244">
        <v>272.0</v>
      </c>
      <c r="B283" s="245" t="s">
        <v>1347</v>
      </c>
      <c r="C283" s="245" t="s">
        <v>1348</v>
      </c>
      <c r="D283" s="246" t="s">
        <v>1411</v>
      </c>
      <c r="E283" s="247" t="s">
        <v>94</v>
      </c>
      <c r="F283" s="248">
        <v>46146.0</v>
      </c>
      <c r="G283" s="249" t="s">
        <v>2664</v>
      </c>
      <c r="H283" s="250" t="s">
        <v>16</v>
      </c>
      <c r="I283" s="251"/>
      <c r="J283" s="252"/>
      <c r="K283" s="222"/>
      <c r="L283" s="222"/>
      <c r="M283" s="222"/>
      <c r="N283" s="222"/>
      <c r="O283" s="222"/>
      <c r="P283" s="222"/>
      <c r="Q283" s="222"/>
      <c r="R283" s="222"/>
      <c r="S283" s="222"/>
      <c r="T283" s="222"/>
      <c r="U283" s="222"/>
      <c r="V283" s="222"/>
      <c r="W283" s="222"/>
      <c r="X283" s="222"/>
    </row>
    <row r="284" ht="42.75" customHeight="1">
      <c r="A284" s="236">
        <v>273.0</v>
      </c>
      <c r="B284" s="237" t="s">
        <v>1350</v>
      </c>
      <c r="C284" s="237" t="s">
        <v>1351</v>
      </c>
      <c r="D284" s="238" t="s">
        <v>1405</v>
      </c>
      <c r="E284" s="239" t="s">
        <v>94</v>
      </c>
      <c r="F284" s="240">
        <v>46146.0</v>
      </c>
      <c r="G284" s="241" t="s">
        <v>2668</v>
      </c>
      <c r="H284" s="173" t="s">
        <v>16</v>
      </c>
      <c r="I284" s="242"/>
      <c r="J284" s="243"/>
      <c r="K284" s="222"/>
      <c r="L284" s="222"/>
      <c r="M284" s="222"/>
      <c r="N284" s="222"/>
      <c r="O284" s="222"/>
      <c r="P284" s="222"/>
      <c r="Q284" s="222"/>
      <c r="R284" s="222"/>
      <c r="S284" s="222"/>
      <c r="T284" s="222"/>
      <c r="U284" s="222"/>
      <c r="V284" s="222"/>
      <c r="W284" s="222"/>
      <c r="X284" s="222"/>
    </row>
    <row r="285" ht="42.75" customHeight="1">
      <c r="A285" s="244">
        <v>274.0</v>
      </c>
      <c r="B285" s="245" t="s">
        <v>1352</v>
      </c>
      <c r="C285" s="245" t="s">
        <v>1353</v>
      </c>
      <c r="D285" s="246" t="s">
        <v>1405</v>
      </c>
      <c r="E285" s="247" t="s">
        <v>94</v>
      </c>
      <c r="F285" s="248">
        <v>46146.0</v>
      </c>
      <c r="G285" s="249" t="s">
        <v>2672</v>
      </c>
      <c r="H285" s="250" t="s">
        <v>16</v>
      </c>
      <c r="I285" s="251"/>
      <c r="J285" s="252"/>
      <c r="K285" s="222"/>
      <c r="L285" s="222"/>
      <c r="M285" s="222"/>
      <c r="N285" s="222"/>
      <c r="O285" s="222"/>
      <c r="P285" s="222"/>
      <c r="Q285" s="222"/>
      <c r="R285" s="222"/>
      <c r="S285" s="222"/>
      <c r="T285" s="222"/>
      <c r="U285" s="222"/>
      <c r="V285" s="222"/>
      <c r="W285" s="222"/>
      <c r="X285" s="222"/>
    </row>
    <row r="286" ht="42.75" customHeight="1">
      <c r="A286" s="236">
        <v>275.0</v>
      </c>
      <c r="B286" s="237" t="s">
        <v>1354</v>
      </c>
      <c r="C286" s="237" t="s">
        <v>1355</v>
      </c>
      <c r="D286" s="238" t="s">
        <v>1405</v>
      </c>
      <c r="E286" s="239" t="s">
        <v>94</v>
      </c>
      <c r="F286" s="240">
        <v>46146.0</v>
      </c>
      <c r="G286" s="241" t="s">
        <v>2676</v>
      </c>
      <c r="H286" s="173" t="s">
        <v>16</v>
      </c>
      <c r="I286" s="242"/>
      <c r="J286" s="243"/>
      <c r="K286" s="222"/>
      <c r="L286" s="222"/>
      <c r="M286" s="222"/>
      <c r="N286" s="222"/>
      <c r="O286" s="222"/>
      <c r="P286" s="222"/>
      <c r="Q286" s="222"/>
      <c r="R286" s="222"/>
      <c r="S286" s="222"/>
      <c r="T286" s="222"/>
      <c r="U286" s="222"/>
      <c r="V286" s="222"/>
      <c r="W286" s="222"/>
      <c r="X286" s="222"/>
    </row>
    <row r="287" ht="42.75" customHeight="1">
      <c r="A287" s="244">
        <v>276.0</v>
      </c>
      <c r="B287" s="245" t="s">
        <v>1357</v>
      </c>
      <c r="C287" s="245" t="s">
        <v>3111</v>
      </c>
      <c r="D287" s="246" t="s">
        <v>1411</v>
      </c>
      <c r="E287" s="247" t="s">
        <v>94</v>
      </c>
      <c r="F287" s="248">
        <v>46146.0</v>
      </c>
      <c r="G287" s="249" t="s">
        <v>2680</v>
      </c>
      <c r="H287" s="250" t="s">
        <v>16</v>
      </c>
      <c r="I287" s="251"/>
      <c r="J287" s="252"/>
      <c r="K287" s="222"/>
      <c r="L287" s="222"/>
      <c r="M287" s="222"/>
      <c r="N287" s="222"/>
      <c r="O287" s="222"/>
      <c r="P287" s="222"/>
      <c r="Q287" s="222"/>
      <c r="R287" s="222"/>
      <c r="S287" s="222"/>
      <c r="T287" s="222"/>
      <c r="U287" s="222"/>
      <c r="V287" s="222"/>
      <c r="W287" s="222"/>
      <c r="X287" s="222"/>
    </row>
    <row r="288" ht="42.75" customHeight="1">
      <c r="A288" s="236">
        <v>277.0</v>
      </c>
      <c r="B288" s="237" t="s">
        <v>1359</v>
      </c>
      <c r="C288" s="237" t="s">
        <v>1360</v>
      </c>
      <c r="D288" s="238" t="s">
        <v>1411</v>
      </c>
      <c r="E288" s="239" t="s">
        <v>94</v>
      </c>
      <c r="F288" s="240">
        <v>46146.0</v>
      </c>
      <c r="G288" s="241" t="s">
        <v>2684</v>
      </c>
      <c r="H288" s="173" t="s">
        <v>16</v>
      </c>
      <c r="I288" s="242"/>
      <c r="J288" s="243"/>
      <c r="K288" s="222"/>
      <c r="L288" s="222"/>
      <c r="M288" s="222"/>
      <c r="N288" s="222"/>
      <c r="O288" s="222"/>
      <c r="P288" s="222"/>
      <c r="Q288" s="222"/>
      <c r="R288" s="222"/>
      <c r="S288" s="222"/>
      <c r="T288" s="222"/>
      <c r="U288" s="222"/>
      <c r="V288" s="222"/>
      <c r="W288" s="222"/>
      <c r="X288" s="222"/>
    </row>
    <row r="289" ht="42.75" customHeight="1">
      <c r="A289" s="244">
        <v>278.0</v>
      </c>
      <c r="B289" s="245" t="s">
        <v>1362</v>
      </c>
      <c r="C289" s="245" t="s">
        <v>1363</v>
      </c>
      <c r="D289" s="246" t="s">
        <v>1405</v>
      </c>
      <c r="E289" s="247" t="s">
        <v>94</v>
      </c>
      <c r="F289" s="248">
        <v>46146.0</v>
      </c>
      <c r="G289" s="249" t="s">
        <v>2688</v>
      </c>
      <c r="H289" s="250" t="s">
        <v>16</v>
      </c>
      <c r="I289" s="251"/>
      <c r="J289" s="252"/>
      <c r="K289" s="222"/>
      <c r="L289" s="222"/>
      <c r="M289" s="222"/>
      <c r="N289" s="222"/>
      <c r="O289" s="222"/>
      <c r="P289" s="222"/>
      <c r="Q289" s="222"/>
      <c r="R289" s="222"/>
      <c r="S289" s="222"/>
      <c r="T289" s="222"/>
      <c r="U289" s="222"/>
      <c r="V289" s="222"/>
      <c r="W289" s="222"/>
      <c r="X289" s="222"/>
    </row>
    <row r="290" ht="42.75" customHeight="1">
      <c r="A290" s="236">
        <v>279.0</v>
      </c>
      <c r="B290" s="237" t="s">
        <v>1364</v>
      </c>
      <c r="C290" s="237" t="s">
        <v>1365</v>
      </c>
      <c r="D290" s="238" t="s">
        <v>1405</v>
      </c>
      <c r="E290" s="239" t="s">
        <v>94</v>
      </c>
      <c r="F290" s="240">
        <v>46146.0</v>
      </c>
      <c r="G290" s="241" t="s">
        <v>2692</v>
      </c>
      <c r="H290" s="173" t="s">
        <v>16</v>
      </c>
      <c r="I290" s="242"/>
      <c r="J290" s="243"/>
      <c r="K290" s="222"/>
      <c r="L290" s="222"/>
      <c r="M290" s="222"/>
      <c r="N290" s="222"/>
      <c r="O290" s="222"/>
      <c r="P290" s="222"/>
      <c r="Q290" s="222"/>
      <c r="R290" s="222"/>
      <c r="S290" s="222"/>
      <c r="T290" s="222"/>
      <c r="U290" s="222"/>
      <c r="V290" s="222"/>
      <c r="W290" s="222"/>
      <c r="X290" s="222"/>
    </row>
    <row r="291" ht="42.75" customHeight="1">
      <c r="A291" s="244">
        <v>280.0</v>
      </c>
      <c r="B291" s="245" t="s">
        <v>1367</v>
      </c>
      <c r="C291" s="245" t="s">
        <v>3117</v>
      </c>
      <c r="D291" s="246" t="s">
        <v>1411</v>
      </c>
      <c r="E291" s="247" t="s">
        <v>94</v>
      </c>
      <c r="F291" s="248">
        <v>46146.0</v>
      </c>
      <c r="G291" s="249" t="s">
        <v>2697</v>
      </c>
      <c r="H291" s="250" t="s">
        <v>16</v>
      </c>
      <c r="I291" s="251"/>
      <c r="J291" s="252"/>
      <c r="K291" s="222"/>
      <c r="L291" s="222"/>
      <c r="M291" s="222"/>
      <c r="N291" s="222"/>
      <c r="O291" s="222"/>
      <c r="P291" s="222"/>
      <c r="Q291" s="222"/>
      <c r="R291" s="222"/>
      <c r="S291" s="222"/>
      <c r="T291" s="222"/>
      <c r="U291" s="222"/>
      <c r="V291" s="222"/>
      <c r="W291" s="222"/>
      <c r="X291" s="222"/>
    </row>
    <row r="292" ht="42.75" customHeight="1">
      <c r="A292" s="236">
        <v>281.0</v>
      </c>
      <c r="B292" s="237" t="s">
        <v>1369</v>
      </c>
      <c r="C292" s="237" t="s">
        <v>3119</v>
      </c>
      <c r="D292" s="238" t="s">
        <v>1411</v>
      </c>
      <c r="E292" s="239" t="s">
        <v>94</v>
      </c>
      <c r="F292" s="240">
        <v>46146.0</v>
      </c>
      <c r="G292" s="241" t="s">
        <v>2701</v>
      </c>
      <c r="H292" s="173" t="s">
        <v>11</v>
      </c>
      <c r="I292" s="259" t="s">
        <v>2702</v>
      </c>
      <c r="J292" s="243"/>
      <c r="K292" s="222"/>
      <c r="L292" s="222"/>
      <c r="M292" s="222"/>
      <c r="N292" s="222"/>
      <c r="O292" s="222"/>
      <c r="P292" s="222"/>
      <c r="Q292" s="222"/>
      <c r="R292" s="222"/>
      <c r="S292" s="222"/>
      <c r="T292" s="222"/>
      <c r="U292" s="222"/>
      <c r="V292" s="222"/>
      <c r="W292" s="222"/>
      <c r="X292" s="222"/>
    </row>
    <row r="293" ht="42.75" customHeight="1">
      <c r="A293" s="244">
        <v>282.0</v>
      </c>
      <c r="B293" s="245" t="s">
        <v>1372</v>
      </c>
      <c r="C293" s="245" t="s">
        <v>1373</v>
      </c>
      <c r="D293" s="246" t="s">
        <v>1405</v>
      </c>
      <c r="E293" s="247" t="s">
        <v>94</v>
      </c>
      <c r="F293" s="248">
        <v>46146.0</v>
      </c>
      <c r="G293" s="249" t="s">
        <v>2706</v>
      </c>
      <c r="H293" s="250" t="s">
        <v>16</v>
      </c>
      <c r="I293" s="251"/>
      <c r="J293" s="252"/>
      <c r="K293" s="222"/>
      <c r="L293" s="222"/>
      <c r="M293" s="222"/>
      <c r="N293" s="222"/>
      <c r="O293" s="222"/>
      <c r="P293" s="222"/>
      <c r="Q293" s="222"/>
      <c r="R293" s="222"/>
      <c r="S293" s="222"/>
      <c r="T293" s="222"/>
      <c r="U293" s="222"/>
      <c r="V293" s="222"/>
      <c r="W293" s="222"/>
      <c r="X293" s="222"/>
    </row>
    <row r="294" ht="42.75" customHeight="1">
      <c r="A294" s="236">
        <v>283.0</v>
      </c>
      <c r="B294" s="237" t="s">
        <v>1374</v>
      </c>
      <c r="C294" s="237" t="s">
        <v>1375</v>
      </c>
      <c r="D294" s="238" t="s">
        <v>1411</v>
      </c>
      <c r="E294" s="239" t="s">
        <v>94</v>
      </c>
      <c r="F294" s="240">
        <v>46146.0</v>
      </c>
      <c r="G294" s="241" t="s">
        <v>2709</v>
      </c>
      <c r="H294" s="173" t="s">
        <v>16</v>
      </c>
      <c r="I294" s="242"/>
      <c r="J294" s="243"/>
      <c r="K294" s="222"/>
      <c r="L294" s="222"/>
      <c r="M294" s="222"/>
      <c r="N294" s="222"/>
      <c r="O294" s="222"/>
      <c r="P294" s="222"/>
      <c r="Q294" s="222"/>
      <c r="R294" s="222"/>
      <c r="S294" s="222"/>
      <c r="T294" s="222"/>
      <c r="U294" s="222"/>
      <c r="V294" s="222"/>
      <c r="W294" s="222"/>
      <c r="X294" s="222"/>
    </row>
    <row r="295" ht="42.75" customHeight="1">
      <c r="A295" s="244">
        <v>284.0</v>
      </c>
      <c r="B295" s="245" t="s">
        <v>1376</v>
      </c>
      <c r="C295" s="245" t="s">
        <v>1377</v>
      </c>
      <c r="D295" s="246" t="s">
        <v>1405</v>
      </c>
      <c r="E295" s="247" t="s">
        <v>94</v>
      </c>
      <c r="F295" s="248">
        <v>46146.0</v>
      </c>
      <c r="G295" s="249" t="s">
        <v>2713</v>
      </c>
      <c r="H295" s="250" t="s">
        <v>16</v>
      </c>
      <c r="I295" s="251"/>
      <c r="J295" s="252"/>
      <c r="K295" s="222"/>
      <c r="L295" s="222"/>
      <c r="M295" s="222"/>
      <c r="N295" s="222"/>
      <c r="O295" s="222"/>
      <c r="P295" s="222"/>
      <c r="Q295" s="222"/>
      <c r="R295" s="222"/>
      <c r="S295" s="222"/>
      <c r="T295" s="222"/>
      <c r="U295" s="222"/>
      <c r="V295" s="222"/>
      <c r="W295" s="222"/>
      <c r="X295" s="222"/>
    </row>
    <row r="296" ht="42.75" customHeight="1">
      <c r="A296" s="236">
        <v>285.0</v>
      </c>
      <c r="B296" s="237" t="s">
        <v>1379</v>
      </c>
      <c r="C296" s="237" t="s">
        <v>1380</v>
      </c>
      <c r="D296" s="238" t="s">
        <v>1411</v>
      </c>
      <c r="E296" s="239" t="s">
        <v>94</v>
      </c>
      <c r="F296" s="240">
        <v>46146.0</v>
      </c>
      <c r="G296" s="241" t="s">
        <v>2718</v>
      </c>
      <c r="H296" s="173" t="s">
        <v>11</v>
      </c>
      <c r="I296" s="259" t="s">
        <v>2719</v>
      </c>
      <c r="J296" s="243"/>
      <c r="K296" s="222"/>
      <c r="L296" s="222"/>
      <c r="M296" s="222"/>
      <c r="N296" s="222"/>
      <c r="O296" s="222"/>
      <c r="P296" s="222"/>
      <c r="Q296" s="222"/>
      <c r="R296" s="222"/>
      <c r="S296" s="222"/>
      <c r="T296" s="222"/>
      <c r="U296" s="222"/>
      <c r="V296" s="222"/>
      <c r="W296" s="222"/>
      <c r="X296" s="222"/>
    </row>
    <row r="297" ht="42.75" customHeight="1">
      <c r="A297" s="244">
        <v>286.0</v>
      </c>
      <c r="B297" s="245" t="s">
        <v>1381</v>
      </c>
      <c r="C297" s="245" t="s">
        <v>1382</v>
      </c>
      <c r="D297" s="246" t="s">
        <v>1405</v>
      </c>
      <c r="E297" s="247" t="s">
        <v>94</v>
      </c>
      <c r="F297" s="248">
        <v>46146.0</v>
      </c>
      <c r="G297" s="249" t="s">
        <v>2723</v>
      </c>
      <c r="H297" s="250" t="s">
        <v>16</v>
      </c>
      <c r="I297" s="251"/>
      <c r="J297" s="252"/>
      <c r="K297" s="222"/>
      <c r="L297" s="222"/>
      <c r="M297" s="222"/>
      <c r="N297" s="222"/>
      <c r="O297" s="222"/>
      <c r="P297" s="222"/>
      <c r="Q297" s="222"/>
      <c r="R297" s="222"/>
      <c r="S297" s="222"/>
      <c r="T297" s="222"/>
      <c r="U297" s="222"/>
      <c r="V297" s="222"/>
      <c r="W297" s="222"/>
      <c r="X297" s="222"/>
    </row>
    <row r="298">
      <c r="A298" s="198"/>
      <c r="B298" s="198"/>
      <c r="C298" s="198"/>
      <c r="D298" s="198"/>
      <c r="E298" s="198"/>
      <c r="F298" s="198"/>
      <c r="G298" s="198"/>
      <c r="H298" s="198"/>
      <c r="I298" s="268"/>
      <c r="J298" s="198"/>
      <c r="K298" s="198"/>
      <c r="L298" s="198"/>
      <c r="M298" s="198"/>
      <c r="N298" s="198"/>
      <c r="O298" s="198"/>
      <c r="P298" s="198"/>
      <c r="Q298" s="198"/>
      <c r="R298" s="198"/>
      <c r="S298" s="198"/>
      <c r="T298" s="198"/>
      <c r="U298" s="198"/>
      <c r="V298" s="198"/>
      <c r="W298" s="198"/>
      <c r="X298" s="198"/>
    </row>
    <row r="299">
      <c r="A299" s="198"/>
      <c r="B299" s="198"/>
      <c r="C299" s="198"/>
      <c r="D299" s="198"/>
      <c r="E299" s="198"/>
      <c r="F299" s="198"/>
      <c r="G299" s="198"/>
      <c r="H299" s="198"/>
      <c r="I299" s="268"/>
      <c r="J299" s="198"/>
      <c r="K299" s="198"/>
      <c r="L299" s="198"/>
      <c r="M299" s="198"/>
      <c r="N299" s="198"/>
      <c r="O299" s="198"/>
      <c r="P299" s="198"/>
      <c r="Q299" s="198"/>
      <c r="R299" s="198"/>
      <c r="S299" s="198"/>
      <c r="T299" s="198"/>
      <c r="U299" s="198"/>
      <c r="V299" s="198"/>
      <c r="W299" s="198"/>
      <c r="X299" s="198"/>
    </row>
    <row r="300">
      <c r="A300" s="198"/>
      <c r="B300" s="198"/>
      <c r="C300" s="198"/>
      <c r="D300" s="198"/>
      <c r="E300" s="198"/>
      <c r="F300" s="198"/>
      <c r="G300" s="198"/>
      <c r="H300" s="198"/>
      <c r="I300" s="268"/>
      <c r="J300" s="198"/>
      <c r="K300" s="198"/>
      <c r="L300" s="198"/>
      <c r="M300" s="198"/>
      <c r="N300" s="198"/>
      <c r="O300" s="198"/>
      <c r="P300" s="198"/>
      <c r="Q300" s="198"/>
      <c r="R300" s="198"/>
      <c r="S300" s="198"/>
      <c r="T300" s="198"/>
      <c r="U300" s="198"/>
      <c r="V300" s="198"/>
      <c r="W300" s="198"/>
      <c r="X300" s="198"/>
    </row>
    <row r="301">
      <c r="A301" s="198"/>
      <c r="B301" s="198"/>
      <c r="C301" s="198"/>
      <c r="D301" s="198"/>
      <c r="E301" s="198"/>
      <c r="F301" s="198"/>
      <c r="G301" s="198"/>
      <c r="H301" s="198"/>
      <c r="I301" s="268"/>
      <c r="J301" s="198"/>
      <c r="K301" s="198"/>
      <c r="L301" s="198"/>
      <c r="M301" s="198"/>
      <c r="N301" s="198"/>
      <c r="O301" s="198"/>
      <c r="P301" s="198"/>
      <c r="Q301" s="198"/>
      <c r="R301" s="198"/>
      <c r="S301" s="198"/>
      <c r="T301" s="198"/>
      <c r="U301" s="198"/>
      <c r="V301" s="198"/>
      <c r="W301" s="198"/>
      <c r="X301" s="198"/>
    </row>
    <row r="302">
      <c r="A302" s="198"/>
      <c r="B302" s="198"/>
      <c r="C302" s="198"/>
      <c r="D302" s="198"/>
      <c r="E302" s="198"/>
      <c r="F302" s="198"/>
      <c r="G302" s="198"/>
      <c r="H302" s="198"/>
      <c r="I302" s="268"/>
      <c r="J302" s="198"/>
      <c r="K302" s="198"/>
      <c r="L302" s="198"/>
      <c r="M302" s="198"/>
      <c r="N302" s="198"/>
      <c r="O302" s="198"/>
      <c r="P302" s="198"/>
      <c r="Q302" s="198"/>
      <c r="R302" s="198"/>
      <c r="S302" s="198"/>
      <c r="T302" s="198"/>
      <c r="U302" s="198"/>
      <c r="V302" s="198"/>
      <c r="W302" s="198"/>
      <c r="X302" s="198"/>
    </row>
    <row r="303">
      <c r="A303" s="198"/>
      <c r="B303" s="198"/>
      <c r="C303" s="198"/>
      <c r="D303" s="198"/>
      <c r="E303" s="198"/>
      <c r="F303" s="198"/>
      <c r="G303" s="198"/>
      <c r="H303" s="198"/>
      <c r="I303" s="268"/>
      <c r="J303" s="198"/>
      <c r="K303" s="198"/>
      <c r="L303" s="198"/>
      <c r="M303" s="198"/>
      <c r="N303" s="198"/>
      <c r="O303" s="198"/>
      <c r="P303" s="198"/>
      <c r="Q303" s="198"/>
      <c r="R303" s="198"/>
      <c r="S303" s="198"/>
      <c r="T303" s="198"/>
      <c r="U303" s="198"/>
      <c r="V303" s="198"/>
      <c r="W303" s="198"/>
      <c r="X303" s="198"/>
    </row>
    <row r="304">
      <c r="A304" s="198"/>
      <c r="B304" s="198"/>
      <c r="C304" s="198"/>
      <c r="D304" s="198"/>
      <c r="E304" s="198"/>
      <c r="F304" s="198"/>
      <c r="G304" s="198"/>
      <c r="H304" s="198"/>
      <c r="I304" s="268"/>
      <c r="J304" s="198"/>
      <c r="K304" s="198"/>
      <c r="L304" s="198"/>
      <c r="M304" s="198"/>
      <c r="N304" s="198"/>
      <c r="O304" s="198"/>
      <c r="P304" s="198"/>
      <c r="Q304" s="198"/>
      <c r="R304" s="198"/>
      <c r="S304" s="198"/>
      <c r="T304" s="198"/>
      <c r="U304" s="198"/>
      <c r="V304" s="198"/>
      <c r="W304" s="198"/>
      <c r="X304" s="198"/>
    </row>
    <row r="305">
      <c r="A305" s="198"/>
      <c r="B305" s="198"/>
      <c r="C305" s="198"/>
      <c r="D305" s="198"/>
      <c r="E305" s="198"/>
      <c r="F305" s="198"/>
      <c r="G305" s="198"/>
      <c r="H305" s="198"/>
      <c r="I305" s="268"/>
      <c r="J305" s="198"/>
      <c r="K305" s="198"/>
      <c r="L305" s="198"/>
      <c r="M305" s="198"/>
      <c r="N305" s="198"/>
      <c r="O305" s="198"/>
      <c r="P305" s="198"/>
      <c r="Q305" s="198"/>
      <c r="R305" s="198"/>
      <c r="S305" s="198"/>
      <c r="T305" s="198"/>
      <c r="U305" s="198"/>
      <c r="V305" s="198"/>
      <c r="W305" s="198"/>
      <c r="X305" s="198"/>
    </row>
    <row r="306">
      <c r="A306" s="198"/>
      <c r="B306" s="198"/>
      <c r="C306" s="198"/>
      <c r="D306" s="198"/>
      <c r="E306" s="198"/>
      <c r="F306" s="198"/>
      <c r="G306" s="198"/>
      <c r="H306" s="198"/>
      <c r="I306" s="268"/>
      <c r="J306" s="198"/>
      <c r="K306" s="198"/>
      <c r="L306" s="198"/>
      <c r="M306" s="198"/>
      <c r="N306" s="198"/>
      <c r="O306" s="198"/>
      <c r="P306" s="198"/>
      <c r="Q306" s="198"/>
      <c r="R306" s="198"/>
      <c r="S306" s="198"/>
      <c r="T306" s="198"/>
      <c r="U306" s="198"/>
      <c r="V306" s="198"/>
      <c r="W306" s="198"/>
      <c r="X306" s="198"/>
    </row>
    <row r="307">
      <c r="A307" s="198"/>
      <c r="B307" s="198"/>
      <c r="C307" s="198"/>
      <c r="D307" s="198"/>
      <c r="E307" s="198"/>
      <c r="F307" s="198"/>
      <c r="G307" s="198"/>
      <c r="H307" s="198"/>
      <c r="I307" s="268"/>
      <c r="J307" s="198"/>
      <c r="K307" s="198"/>
      <c r="L307" s="198"/>
      <c r="M307" s="198"/>
      <c r="N307" s="198"/>
      <c r="O307" s="198"/>
      <c r="P307" s="198"/>
      <c r="Q307" s="198"/>
      <c r="R307" s="198"/>
      <c r="S307" s="198"/>
      <c r="T307" s="198"/>
      <c r="U307" s="198"/>
      <c r="V307" s="198"/>
      <c r="W307" s="198"/>
      <c r="X307" s="198"/>
    </row>
    <row r="308">
      <c r="A308" s="198"/>
      <c r="B308" s="198"/>
      <c r="C308" s="198"/>
      <c r="D308" s="198"/>
      <c r="E308" s="198"/>
      <c r="F308" s="198"/>
      <c r="G308" s="198"/>
      <c r="H308" s="198"/>
      <c r="I308" s="268"/>
      <c r="J308" s="198"/>
      <c r="K308" s="198"/>
      <c r="L308" s="198"/>
      <c r="M308" s="198"/>
      <c r="N308" s="198"/>
      <c r="O308" s="198"/>
      <c r="P308" s="198"/>
      <c r="Q308" s="198"/>
      <c r="R308" s="198"/>
      <c r="S308" s="198"/>
      <c r="T308" s="198"/>
      <c r="U308" s="198"/>
      <c r="V308" s="198"/>
      <c r="W308" s="198"/>
      <c r="X308" s="198"/>
    </row>
    <row r="309">
      <c r="A309" s="198"/>
      <c r="B309" s="198"/>
      <c r="C309" s="198"/>
      <c r="D309" s="198"/>
      <c r="E309" s="198"/>
      <c r="F309" s="198"/>
      <c r="G309" s="198"/>
      <c r="H309" s="198"/>
      <c r="I309" s="268"/>
      <c r="J309" s="198"/>
      <c r="K309" s="198"/>
      <c r="L309" s="198"/>
      <c r="M309" s="198"/>
      <c r="N309" s="198"/>
      <c r="O309" s="198"/>
      <c r="P309" s="198"/>
      <c r="Q309" s="198"/>
      <c r="R309" s="198"/>
      <c r="S309" s="198"/>
      <c r="T309" s="198"/>
      <c r="U309" s="198"/>
      <c r="V309" s="198"/>
      <c r="W309" s="198"/>
      <c r="X309" s="198"/>
    </row>
    <row r="310">
      <c r="A310" s="198"/>
      <c r="B310" s="198"/>
      <c r="C310" s="198"/>
      <c r="D310" s="198"/>
      <c r="E310" s="198"/>
      <c r="F310" s="198"/>
      <c r="G310" s="198"/>
      <c r="H310" s="198"/>
      <c r="I310" s="268"/>
      <c r="J310" s="198"/>
      <c r="K310" s="198"/>
      <c r="L310" s="198"/>
      <c r="M310" s="198"/>
      <c r="N310" s="198"/>
      <c r="O310" s="198"/>
      <c r="P310" s="198"/>
      <c r="Q310" s="198"/>
      <c r="R310" s="198"/>
      <c r="S310" s="198"/>
      <c r="T310" s="198"/>
      <c r="U310" s="198"/>
      <c r="V310" s="198"/>
      <c r="W310" s="198"/>
      <c r="X310" s="198"/>
    </row>
    <row r="311">
      <c r="A311" s="198"/>
      <c r="B311" s="198"/>
      <c r="C311" s="198"/>
      <c r="D311" s="198"/>
      <c r="E311" s="198"/>
      <c r="F311" s="198"/>
      <c r="G311" s="198"/>
      <c r="H311" s="198"/>
      <c r="I311" s="268"/>
      <c r="J311" s="198"/>
      <c r="K311" s="198"/>
      <c r="L311" s="198"/>
      <c r="M311" s="198"/>
      <c r="N311" s="198"/>
      <c r="O311" s="198"/>
      <c r="P311" s="198"/>
      <c r="Q311" s="198"/>
      <c r="R311" s="198"/>
      <c r="S311" s="198"/>
      <c r="T311" s="198"/>
      <c r="U311" s="198"/>
      <c r="V311" s="198"/>
      <c r="W311" s="198"/>
      <c r="X311" s="198"/>
    </row>
    <row r="312">
      <c r="A312" s="198"/>
      <c r="B312" s="198"/>
      <c r="C312" s="198"/>
      <c r="D312" s="198"/>
      <c r="E312" s="198"/>
      <c r="F312" s="198"/>
      <c r="G312" s="198"/>
      <c r="H312" s="198"/>
      <c r="I312" s="268"/>
      <c r="J312" s="198"/>
      <c r="K312" s="198"/>
      <c r="L312" s="198"/>
      <c r="M312" s="198"/>
      <c r="N312" s="198"/>
      <c r="O312" s="198"/>
      <c r="P312" s="198"/>
      <c r="Q312" s="198"/>
      <c r="R312" s="198"/>
      <c r="S312" s="198"/>
      <c r="T312" s="198"/>
      <c r="U312" s="198"/>
      <c r="V312" s="198"/>
      <c r="W312" s="198"/>
      <c r="X312" s="198"/>
    </row>
    <row r="313">
      <c r="A313" s="198"/>
      <c r="B313" s="198"/>
      <c r="C313" s="198"/>
      <c r="D313" s="198"/>
      <c r="E313" s="198"/>
      <c r="F313" s="198"/>
      <c r="G313" s="198"/>
      <c r="H313" s="198"/>
      <c r="I313" s="268"/>
      <c r="J313" s="198"/>
      <c r="K313" s="198"/>
      <c r="L313" s="198"/>
      <c r="M313" s="198"/>
      <c r="N313" s="198"/>
      <c r="O313" s="198"/>
      <c r="P313" s="198"/>
      <c r="Q313" s="198"/>
      <c r="R313" s="198"/>
      <c r="S313" s="198"/>
      <c r="T313" s="198"/>
      <c r="U313" s="198"/>
      <c r="V313" s="198"/>
      <c r="W313" s="198"/>
      <c r="X313" s="198"/>
    </row>
    <row r="314">
      <c r="A314" s="198"/>
      <c r="B314" s="198"/>
      <c r="C314" s="198"/>
      <c r="D314" s="198"/>
      <c r="E314" s="198"/>
      <c r="F314" s="198"/>
      <c r="G314" s="198"/>
      <c r="H314" s="198"/>
      <c r="I314" s="268"/>
      <c r="J314" s="198"/>
      <c r="K314" s="198"/>
      <c r="L314" s="198"/>
      <c r="M314" s="198"/>
      <c r="N314" s="198"/>
      <c r="O314" s="198"/>
      <c r="P314" s="198"/>
      <c r="Q314" s="198"/>
      <c r="R314" s="198"/>
      <c r="S314" s="198"/>
      <c r="T314" s="198"/>
      <c r="U314" s="198"/>
      <c r="V314" s="198"/>
      <c r="W314" s="198"/>
      <c r="X314" s="198"/>
    </row>
    <row r="315">
      <c r="A315" s="198"/>
      <c r="B315" s="198"/>
      <c r="C315" s="198"/>
      <c r="D315" s="198"/>
      <c r="E315" s="198"/>
      <c r="F315" s="198"/>
      <c r="G315" s="198"/>
      <c r="H315" s="198"/>
      <c r="I315" s="268"/>
      <c r="J315" s="198"/>
      <c r="K315" s="198"/>
      <c r="L315" s="198"/>
      <c r="M315" s="198"/>
      <c r="N315" s="198"/>
      <c r="O315" s="198"/>
      <c r="P315" s="198"/>
      <c r="Q315" s="198"/>
      <c r="R315" s="198"/>
      <c r="S315" s="198"/>
      <c r="T315" s="198"/>
      <c r="U315" s="198"/>
      <c r="V315" s="198"/>
      <c r="W315" s="198"/>
      <c r="X315" s="198"/>
    </row>
    <row r="316">
      <c r="A316" s="198"/>
      <c r="B316" s="198"/>
      <c r="C316" s="198"/>
      <c r="D316" s="198"/>
      <c r="E316" s="198"/>
      <c r="F316" s="198"/>
      <c r="G316" s="198"/>
      <c r="H316" s="198"/>
      <c r="I316" s="268"/>
      <c r="J316" s="198"/>
      <c r="K316" s="198"/>
      <c r="L316" s="198"/>
      <c r="M316" s="198"/>
      <c r="N316" s="198"/>
      <c r="O316" s="198"/>
      <c r="P316" s="198"/>
      <c r="Q316" s="198"/>
      <c r="R316" s="198"/>
      <c r="S316" s="198"/>
      <c r="T316" s="198"/>
      <c r="U316" s="198"/>
      <c r="V316" s="198"/>
      <c r="W316" s="198"/>
      <c r="X316" s="198"/>
    </row>
    <row r="317">
      <c r="A317" s="198"/>
      <c r="B317" s="198"/>
      <c r="C317" s="198"/>
      <c r="D317" s="198"/>
      <c r="E317" s="198"/>
      <c r="F317" s="198"/>
      <c r="G317" s="198"/>
      <c r="H317" s="198"/>
      <c r="I317" s="268"/>
      <c r="J317" s="198"/>
      <c r="K317" s="198"/>
      <c r="L317" s="198"/>
      <c r="M317" s="198"/>
      <c r="N317" s="198"/>
      <c r="O317" s="198"/>
      <c r="P317" s="198"/>
      <c r="Q317" s="198"/>
      <c r="R317" s="198"/>
      <c r="S317" s="198"/>
      <c r="T317" s="198"/>
      <c r="U317" s="198"/>
      <c r="V317" s="198"/>
      <c r="W317" s="198"/>
      <c r="X317" s="198"/>
    </row>
    <row r="318">
      <c r="A318" s="198"/>
      <c r="B318" s="198"/>
      <c r="C318" s="198"/>
      <c r="D318" s="198"/>
      <c r="E318" s="198"/>
      <c r="F318" s="198"/>
      <c r="G318" s="198"/>
      <c r="H318" s="198"/>
      <c r="I318" s="268"/>
      <c r="J318" s="198"/>
      <c r="K318" s="198"/>
      <c r="L318" s="198"/>
      <c r="M318" s="198"/>
      <c r="N318" s="198"/>
      <c r="O318" s="198"/>
      <c r="P318" s="198"/>
      <c r="Q318" s="198"/>
      <c r="R318" s="198"/>
      <c r="S318" s="198"/>
      <c r="T318" s="198"/>
      <c r="U318" s="198"/>
      <c r="V318" s="198"/>
      <c r="W318" s="198"/>
      <c r="X318" s="198"/>
    </row>
    <row r="319">
      <c r="A319" s="198"/>
      <c r="B319" s="198"/>
      <c r="C319" s="198"/>
      <c r="D319" s="198"/>
      <c r="E319" s="198"/>
      <c r="F319" s="198"/>
      <c r="G319" s="198"/>
      <c r="H319" s="198"/>
      <c r="I319" s="268"/>
      <c r="J319" s="198"/>
      <c r="K319" s="198"/>
      <c r="L319" s="198"/>
      <c r="M319" s="198"/>
      <c r="N319" s="198"/>
      <c r="O319" s="198"/>
      <c r="P319" s="198"/>
      <c r="Q319" s="198"/>
      <c r="R319" s="198"/>
      <c r="S319" s="198"/>
      <c r="T319" s="198"/>
      <c r="U319" s="198"/>
      <c r="V319" s="198"/>
      <c r="W319" s="198"/>
      <c r="X319" s="198"/>
    </row>
    <row r="320">
      <c r="A320" s="198"/>
      <c r="B320" s="198"/>
      <c r="C320" s="198"/>
      <c r="D320" s="198"/>
      <c r="E320" s="198"/>
      <c r="F320" s="198"/>
      <c r="G320" s="198"/>
      <c r="H320" s="198"/>
      <c r="I320" s="268"/>
      <c r="J320" s="198"/>
      <c r="K320" s="198"/>
      <c r="L320" s="198"/>
      <c r="M320" s="198"/>
      <c r="N320" s="198"/>
      <c r="O320" s="198"/>
      <c r="P320" s="198"/>
      <c r="Q320" s="198"/>
      <c r="R320" s="198"/>
      <c r="S320" s="198"/>
      <c r="T320" s="198"/>
      <c r="U320" s="198"/>
      <c r="V320" s="198"/>
      <c r="W320" s="198"/>
      <c r="X320" s="198"/>
    </row>
    <row r="321">
      <c r="A321" s="198"/>
      <c r="B321" s="198"/>
      <c r="C321" s="198"/>
      <c r="D321" s="198"/>
      <c r="E321" s="198"/>
      <c r="F321" s="198"/>
      <c r="G321" s="198"/>
      <c r="H321" s="198"/>
      <c r="I321" s="268"/>
      <c r="J321" s="198"/>
      <c r="K321" s="198"/>
      <c r="L321" s="198"/>
      <c r="M321" s="198"/>
      <c r="N321" s="198"/>
      <c r="O321" s="198"/>
      <c r="P321" s="198"/>
      <c r="Q321" s="198"/>
      <c r="R321" s="198"/>
      <c r="S321" s="198"/>
      <c r="T321" s="198"/>
      <c r="U321" s="198"/>
      <c r="V321" s="198"/>
      <c r="W321" s="198"/>
      <c r="X321" s="198"/>
    </row>
    <row r="322">
      <c r="A322" s="198"/>
      <c r="B322" s="198"/>
      <c r="C322" s="198"/>
      <c r="D322" s="198"/>
      <c r="E322" s="198"/>
      <c r="F322" s="198"/>
      <c r="G322" s="198"/>
      <c r="H322" s="198"/>
      <c r="I322" s="268"/>
      <c r="J322" s="198"/>
      <c r="K322" s="198"/>
      <c r="L322" s="198"/>
      <c r="M322" s="198"/>
      <c r="N322" s="198"/>
      <c r="O322" s="198"/>
      <c r="P322" s="198"/>
      <c r="Q322" s="198"/>
      <c r="R322" s="198"/>
      <c r="S322" s="198"/>
      <c r="T322" s="198"/>
      <c r="U322" s="198"/>
      <c r="V322" s="198"/>
      <c r="W322" s="198"/>
      <c r="X322" s="198"/>
    </row>
    <row r="323">
      <c r="A323" s="198"/>
      <c r="B323" s="198"/>
      <c r="C323" s="198"/>
      <c r="D323" s="198"/>
      <c r="E323" s="198"/>
      <c r="F323" s="198"/>
      <c r="G323" s="198"/>
      <c r="H323" s="198"/>
      <c r="I323" s="268"/>
      <c r="J323" s="198"/>
      <c r="K323" s="198"/>
      <c r="L323" s="198"/>
      <c r="M323" s="198"/>
      <c r="N323" s="198"/>
      <c r="O323" s="198"/>
      <c r="P323" s="198"/>
      <c r="Q323" s="198"/>
      <c r="R323" s="198"/>
      <c r="S323" s="198"/>
      <c r="T323" s="198"/>
      <c r="U323" s="198"/>
      <c r="V323" s="198"/>
      <c r="W323" s="198"/>
      <c r="X323" s="198"/>
    </row>
    <row r="324">
      <c r="A324" s="198"/>
      <c r="B324" s="198"/>
      <c r="C324" s="198"/>
      <c r="D324" s="198"/>
      <c r="E324" s="198"/>
      <c r="F324" s="198"/>
      <c r="G324" s="198"/>
      <c r="H324" s="198"/>
      <c r="I324" s="268"/>
      <c r="J324" s="198"/>
      <c r="K324" s="198"/>
      <c r="L324" s="198"/>
      <c r="M324" s="198"/>
      <c r="N324" s="198"/>
      <c r="O324" s="198"/>
      <c r="P324" s="198"/>
      <c r="Q324" s="198"/>
      <c r="R324" s="198"/>
      <c r="S324" s="198"/>
      <c r="T324" s="198"/>
      <c r="U324" s="198"/>
      <c r="V324" s="198"/>
      <c r="W324" s="198"/>
      <c r="X324" s="198"/>
    </row>
    <row r="325">
      <c r="A325" s="198"/>
      <c r="B325" s="198"/>
      <c r="C325" s="198"/>
      <c r="D325" s="198"/>
      <c r="E325" s="198"/>
      <c r="F325" s="198"/>
      <c r="G325" s="198"/>
      <c r="H325" s="198"/>
      <c r="I325" s="268"/>
      <c r="J325" s="198"/>
      <c r="K325" s="198"/>
      <c r="L325" s="198"/>
      <c r="M325" s="198"/>
      <c r="N325" s="198"/>
      <c r="O325" s="198"/>
      <c r="P325" s="198"/>
      <c r="Q325" s="198"/>
      <c r="R325" s="198"/>
      <c r="S325" s="198"/>
      <c r="T325" s="198"/>
      <c r="U325" s="198"/>
      <c r="V325" s="198"/>
      <c r="W325" s="198"/>
      <c r="X325" s="198"/>
    </row>
    <row r="326">
      <c r="A326" s="198"/>
      <c r="B326" s="198"/>
      <c r="C326" s="198"/>
      <c r="D326" s="198"/>
      <c r="E326" s="198"/>
      <c r="F326" s="198"/>
      <c r="G326" s="198"/>
      <c r="H326" s="198"/>
      <c r="I326" s="268"/>
      <c r="J326" s="198"/>
      <c r="K326" s="198"/>
      <c r="L326" s="198"/>
      <c r="M326" s="198"/>
      <c r="N326" s="198"/>
      <c r="O326" s="198"/>
      <c r="P326" s="198"/>
      <c r="Q326" s="198"/>
      <c r="R326" s="198"/>
      <c r="S326" s="198"/>
      <c r="T326" s="198"/>
      <c r="U326" s="198"/>
      <c r="V326" s="198"/>
      <c r="W326" s="198"/>
      <c r="X326" s="198"/>
    </row>
    <row r="327">
      <c r="A327" s="198"/>
      <c r="B327" s="198"/>
      <c r="C327" s="198"/>
      <c r="D327" s="198"/>
      <c r="E327" s="198"/>
      <c r="F327" s="198"/>
      <c r="G327" s="198"/>
      <c r="H327" s="198"/>
      <c r="I327" s="268"/>
      <c r="J327" s="198"/>
      <c r="K327" s="198"/>
      <c r="L327" s="198"/>
      <c r="M327" s="198"/>
      <c r="N327" s="198"/>
      <c r="O327" s="198"/>
      <c r="P327" s="198"/>
      <c r="Q327" s="198"/>
      <c r="R327" s="198"/>
      <c r="S327" s="198"/>
      <c r="T327" s="198"/>
      <c r="U327" s="198"/>
      <c r="V327" s="198"/>
      <c r="W327" s="198"/>
      <c r="X327" s="198"/>
    </row>
    <row r="328">
      <c r="A328" s="198"/>
      <c r="B328" s="198"/>
      <c r="C328" s="198"/>
      <c r="D328" s="198"/>
      <c r="E328" s="198"/>
      <c r="F328" s="198"/>
      <c r="G328" s="198"/>
      <c r="H328" s="198"/>
      <c r="I328" s="268"/>
      <c r="J328" s="198"/>
      <c r="K328" s="198"/>
      <c r="L328" s="198"/>
      <c r="M328" s="198"/>
      <c r="N328" s="198"/>
      <c r="O328" s="198"/>
      <c r="P328" s="198"/>
      <c r="Q328" s="198"/>
      <c r="R328" s="198"/>
      <c r="S328" s="198"/>
      <c r="T328" s="198"/>
      <c r="U328" s="198"/>
      <c r="V328" s="198"/>
      <c r="W328" s="198"/>
      <c r="X328" s="198"/>
    </row>
    <row r="329">
      <c r="A329" s="198"/>
      <c r="B329" s="198"/>
      <c r="C329" s="198"/>
      <c r="D329" s="198"/>
      <c r="E329" s="198"/>
      <c r="F329" s="198"/>
      <c r="G329" s="198"/>
      <c r="H329" s="198"/>
      <c r="I329" s="268"/>
      <c r="J329" s="198"/>
      <c r="K329" s="198"/>
      <c r="L329" s="198"/>
      <c r="M329" s="198"/>
      <c r="N329" s="198"/>
      <c r="O329" s="198"/>
      <c r="P329" s="198"/>
      <c r="Q329" s="198"/>
      <c r="R329" s="198"/>
      <c r="S329" s="198"/>
      <c r="T329" s="198"/>
      <c r="U329" s="198"/>
      <c r="V329" s="198"/>
      <c r="W329" s="198"/>
      <c r="X329" s="198"/>
    </row>
    <row r="330">
      <c r="A330" s="198"/>
      <c r="B330" s="198"/>
      <c r="C330" s="198"/>
      <c r="D330" s="198"/>
      <c r="E330" s="198"/>
      <c r="F330" s="198"/>
      <c r="G330" s="198"/>
      <c r="H330" s="198"/>
      <c r="I330" s="268"/>
      <c r="J330" s="198"/>
      <c r="K330" s="198"/>
      <c r="L330" s="198"/>
      <c r="M330" s="198"/>
      <c r="N330" s="198"/>
      <c r="O330" s="198"/>
      <c r="P330" s="198"/>
      <c r="Q330" s="198"/>
      <c r="R330" s="198"/>
      <c r="S330" s="198"/>
      <c r="T330" s="198"/>
      <c r="U330" s="198"/>
      <c r="V330" s="198"/>
      <c r="W330" s="198"/>
      <c r="X330" s="198"/>
    </row>
    <row r="331">
      <c r="A331" s="198"/>
      <c r="B331" s="198"/>
      <c r="C331" s="198"/>
      <c r="D331" s="198"/>
      <c r="E331" s="198"/>
      <c r="F331" s="198"/>
      <c r="G331" s="198"/>
      <c r="H331" s="198"/>
      <c r="I331" s="268"/>
      <c r="J331" s="198"/>
      <c r="K331" s="198"/>
      <c r="L331" s="198"/>
      <c r="M331" s="198"/>
      <c r="N331" s="198"/>
      <c r="O331" s="198"/>
      <c r="P331" s="198"/>
      <c r="Q331" s="198"/>
      <c r="R331" s="198"/>
      <c r="S331" s="198"/>
      <c r="T331" s="198"/>
      <c r="U331" s="198"/>
      <c r="V331" s="198"/>
      <c r="W331" s="198"/>
      <c r="X331" s="198"/>
    </row>
    <row r="332">
      <c r="A332" s="198"/>
      <c r="B332" s="198"/>
      <c r="C332" s="198"/>
      <c r="D332" s="198"/>
      <c r="E332" s="198"/>
      <c r="F332" s="198"/>
      <c r="G332" s="198"/>
      <c r="H332" s="198"/>
      <c r="I332" s="268"/>
      <c r="J332" s="198"/>
      <c r="K332" s="198"/>
      <c r="L332" s="198"/>
      <c r="M332" s="198"/>
      <c r="N332" s="198"/>
      <c r="O332" s="198"/>
      <c r="P332" s="198"/>
      <c r="Q332" s="198"/>
      <c r="R332" s="198"/>
      <c r="S332" s="198"/>
      <c r="T332" s="198"/>
      <c r="U332" s="198"/>
      <c r="V332" s="198"/>
      <c r="W332" s="198"/>
      <c r="X332" s="198"/>
    </row>
    <row r="333">
      <c r="A333" s="198"/>
      <c r="B333" s="198"/>
      <c r="C333" s="198"/>
      <c r="D333" s="198"/>
      <c r="E333" s="198"/>
      <c r="F333" s="198"/>
      <c r="G333" s="198"/>
      <c r="H333" s="198"/>
      <c r="I333" s="268"/>
      <c r="J333" s="198"/>
      <c r="K333" s="198"/>
      <c r="L333" s="198"/>
      <c r="M333" s="198"/>
      <c r="N333" s="198"/>
      <c r="O333" s="198"/>
      <c r="P333" s="198"/>
      <c r="Q333" s="198"/>
      <c r="R333" s="198"/>
      <c r="S333" s="198"/>
      <c r="T333" s="198"/>
      <c r="U333" s="198"/>
      <c r="V333" s="198"/>
      <c r="W333" s="198"/>
      <c r="X333" s="198"/>
    </row>
    <row r="334">
      <c r="A334" s="198"/>
      <c r="B334" s="198"/>
      <c r="C334" s="198"/>
      <c r="D334" s="198"/>
      <c r="E334" s="198"/>
      <c r="F334" s="198"/>
      <c r="G334" s="198"/>
      <c r="H334" s="198"/>
      <c r="I334" s="268"/>
      <c r="J334" s="198"/>
      <c r="K334" s="198"/>
      <c r="L334" s="198"/>
      <c r="M334" s="198"/>
      <c r="N334" s="198"/>
      <c r="O334" s="198"/>
      <c r="P334" s="198"/>
      <c r="Q334" s="198"/>
      <c r="R334" s="198"/>
      <c r="S334" s="198"/>
      <c r="T334" s="198"/>
      <c r="U334" s="198"/>
      <c r="V334" s="198"/>
      <c r="W334" s="198"/>
      <c r="X334" s="198"/>
    </row>
    <row r="335">
      <c r="A335" s="198"/>
      <c r="B335" s="198"/>
      <c r="C335" s="198"/>
      <c r="D335" s="198"/>
      <c r="E335" s="198"/>
      <c r="F335" s="198"/>
      <c r="G335" s="198"/>
      <c r="H335" s="198"/>
      <c r="I335" s="268"/>
      <c r="J335" s="198"/>
      <c r="K335" s="198"/>
      <c r="L335" s="198"/>
      <c r="M335" s="198"/>
      <c r="N335" s="198"/>
      <c r="O335" s="198"/>
      <c r="P335" s="198"/>
      <c r="Q335" s="198"/>
      <c r="R335" s="198"/>
      <c r="S335" s="198"/>
      <c r="T335" s="198"/>
      <c r="U335" s="198"/>
      <c r="V335" s="198"/>
      <c r="W335" s="198"/>
      <c r="X335" s="198"/>
    </row>
    <row r="336">
      <c r="A336" s="198"/>
      <c r="B336" s="198"/>
      <c r="C336" s="198"/>
      <c r="D336" s="198"/>
      <c r="E336" s="198"/>
      <c r="F336" s="198"/>
      <c r="G336" s="198"/>
      <c r="H336" s="198"/>
      <c r="I336" s="268"/>
      <c r="J336" s="198"/>
      <c r="K336" s="198"/>
      <c r="L336" s="198"/>
      <c r="M336" s="198"/>
      <c r="N336" s="198"/>
      <c r="O336" s="198"/>
      <c r="P336" s="198"/>
      <c r="Q336" s="198"/>
      <c r="R336" s="198"/>
      <c r="S336" s="198"/>
      <c r="T336" s="198"/>
      <c r="U336" s="198"/>
      <c r="V336" s="198"/>
      <c r="W336" s="198"/>
      <c r="X336" s="198"/>
    </row>
    <row r="337">
      <c r="A337" s="198"/>
      <c r="B337" s="198"/>
      <c r="C337" s="198"/>
      <c r="D337" s="198"/>
      <c r="E337" s="198"/>
      <c r="F337" s="198"/>
      <c r="G337" s="198"/>
      <c r="H337" s="198"/>
      <c r="I337" s="268"/>
      <c r="J337" s="198"/>
      <c r="K337" s="198"/>
      <c r="L337" s="198"/>
      <c r="M337" s="198"/>
      <c r="N337" s="198"/>
      <c r="O337" s="198"/>
      <c r="P337" s="198"/>
      <c r="Q337" s="198"/>
      <c r="R337" s="198"/>
      <c r="S337" s="198"/>
      <c r="T337" s="198"/>
      <c r="U337" s="198"/>
      <c r="V337" s="198"/>
      <c r="W337" s="198"/>
      <c r="X337" s="198"/>
    </row>
    <row r="338">
      <c r="A338" s="198"/>
      <c r="B338" s="198"/>
      <c r="C338" s="198"/>
      <c r="D338" s="198"/>
      <c r="E338" s="198"/>
      <c r="F338" s="198"/>
      <c r="G338" s="198"/>
      <c r="H338" s="198"/>
      <c r="I338" s="268"/>
      <c r="J338" s="198"/>
      <c r="K338" s="198"/>
      <c r="L338" s="198"/>
      <c r="M338" s="198"/>
      <c r="N338" s="198"/>
      <c r="O338" s="198"/>
      <c r="P338" s="198"/>
      <c r="Q338" s="198"/>
      <c r="R338" s="198"/>
      <c r="S338" s="198"/>
      <c r="T338" s="198"/>
      <c r="U338" s="198"/>
      <c r="V338" s="198"/>
      <c r="W338" s="198"/>
      <c r="X338" s="198"/>
    </row>
    <row r="339">
      <c r="A339" s="198"/>
      <c r="B339" s="198"/>
      <c r="C339" s="198"/>
      <c r="D339" s="198"/>
      <c r="E339" s="198"/>
      <c r="F339" s="198"/>
      <c r="G339" s="198"/>
      <c r="H339" s="198"/>
      <c r="I339" s="268"/>
      <c r="J339" s="198"/>
      <c r="K339" s="198"/>
      <c r="L339" s="198"/>
      <c r="M339" s="198"/>
      <c r="N339" s="198"/>
      <c r="O339" s="198"/>
      <c r="P339" s="198"/>
      <c r="Q339" s="198"/>
      <c r="R339" s="198"/>
      <c r="S339" s="198"/>
      <c r="T339" s="198"/>
      <c r="U339" s="198"/>
      <c r="V339" s="198"/>
      <c r="W339" s="198"/>
      <c r="X339" s="198"/>
    </row>
    <row r="340">
      <c r="A340" s="198"/>
      <c r="B340" s="198"/>
      <c r="C340" s="198"/>
      <c r="D340" s="198"/>
      <c r="E340" s="198"/>
      <c r="F340" s="198"/>
      <c r="G340" s="198"/>
      <c r="H340" s="198"/>
      <c r="I340" s="268"/>
      <c r="J340" s="198"/>
      <c r="K340" s="198"/>
      <c r="L340" s="198"/>
      <c r="M340" s="198"/>
      <c r="N340" s="198"/>
      <c r="O340" s="198"/>
      <c r="P340" s="198"/>
      <c r="Q340" s="198"/>
      <c r="R340" s="198"/>
      <c r="S340" s="198"/>
      <c r="T340" s="198"/>
      <c r="U340" s="198"/>
      <c r="V340" s="198"/>
      <c r="W340" s="198"/>
      <c r="X340" s="198"/>
    </row>
    <row r="341">
      <c r="A341" s="198"/>
      <c r="B341" s="198"/>
      <c r="C341" s="198"/>
      <c r="D341" s="198"/>
      <c r="E341" s="198"/>
      <c r="F341" s="198"/>
      <c r="G341" s="198"/>
      <c r="H341" s="198"/>
      <c r="I341" s="268"/>
      <c r="J341" s="198"/>
      <c r="K341" s="198"/>
      <c r="L341" s="198"/>
      <c r="M341" s="198"/>
      <c r="N341" s="198"/>
      <c r="O341" s="198"/>
      <c r="P341" s="198"/>
      <c r="Q341" s="198"/>
      <c r="R341" s="198"/>
      <c r="S341" s="198"/>
      <c r="T341" s="198"/>
      <c r="U341" s="198"/>
      <c r="V341" s="198"/>
      <c r="W341" s="198"/>
      <c r="X341" s="198"/>
    </row>
    <row r="342">
      <c r="A342" s="198"/>
      <c r="B342" s="198"/>
      <c r="C342" s="198"/>
      <c r="D342" s="198"/>
      <c r="E342" s="198"/>
      <c r="F342" s="198"/>
      <c r="G342" s="198"/>
      <c r="H342" s="198"/>
      <c r="I342" s="268"/>
      <c r="J342" s="198"/>
      <c r="K342" s="198"/>
      <c r="L342" s="198"/>
      <c r="M342" s="198"/>
      <c r="N342" s="198"/>
      <c r="O342" s="198"/>
      <c r="P342" s="198"/>
      <c r="Q342" s="198"/>
      <c r="R342" s="198"/>
      <c r="S342" s="198"/>
      <c r="T342" s="198"/>
      <c r="U342" s="198"/>
      <c r="V342" s="198"/>
      <c r="W342" s="198"/>
      <c r="X342" s="198"/>
    </row>
    <row r="343">
      <c r="A343" s="198"/>
      <c r="B343" s="198"/>
      <c r="C343" s="198"/>
      <c r="D343" s="198"/>
      <c r="E343" s="198"/>
      <c r="F343" s="198"/>
      <c r="G343" s="198"/>
      <c r="H343" s="198"/>
      <c r="I343" s="268"/>
      <c r="J343" s="198"/>
      <c r="K343" s="198"/>
      <c r="L343" s="198"/>
      <c r="M343" s="198"/>
      <c r="N343" s="198"/>
      <c r="O343" s="198"/>
      <c r="P343" s="198"/>
      <c r="Q343" s="198"/>
      <c r="R343" s="198"/>
      <c r="S343" s="198"/>
      <c r="T343" s="198"/>
      <c r="U343" s="198"/>
      <c r="V343" s="198"/>
      <c r="W343" s="198"/>
      <c r="X343" s="198"/>
    </row>
    <row r="344">
      <c r="A344" s="198"/>
      <c r="B344" s="198"/>
      <c r="C344" s="198"/>
      <c r="D344" s="198"/>
      <c r="E344" s="198"/>
      <c r="F344" s="198"/>
      <c r="G344" s="198"/>
      <c r="H344" s="198"/>
      <c r="I344" s="268"/>
      <c r="J344" s="198"/>
      <c r="K344" s="198"/>
      <c r="L344" s="198"/>
      <c r="M344" s="198"/>
      <c r="N344" s="198"/>
      <c r="O344" s="198"/>
      <c r="P344" s="198"/>
      <c r="Q344" s="198"/>
      <c r="R344" s="198"/>
      <c r="S344" s="198"/>
      <c r="T344" s="198"/>
      <c r="U344" s="198"/>
      <c r="V344" s="198"/>
      <c r="W344" s="198"/>
      <c r="X344" s="198"/>
    </row>
    <row r="345">
      <c r="A345" s="198"/>
      <c r="B345" s="198"/>
      <c r="C345" s="198"/>
      <c r="D345" s="198"/>
      <c r="E345" s="198"/>
      <c r="F345" s="198"/>
      <c r="G345" s="198"/>
      <c r="H345" s="198"/>
      <c r="I345" s="268"/>
      <c r="J345" s="198"/>
      <c r="K345" s="198"/>
      <c r="L345" s="198"/>
      <c r="M345" s="198"/>
      <c r="N345" s="198"/>
      <c r="O345" s="198"/>
      <c r="P345" s="198"/>
      <c r="Q345" s="198"/>
      <c r="R345" s="198"/>
      <c r="S345" s="198"/>
      <c r="T345" s="198"/>
      <c r="U345" s="198"/>
      <c r="V345" s="198"/>
      <c r="W345" s="198"/>
      <c r="X345" s="198"/>
    </row>
    <row r="346">
      <c r="A346" s="198"/>
      <c r="B346" s="198"/>
      <c r="C346" s="198"/>
      <c r="D346" s="198"/>
      <c r="E346" s="198"/>
      <c r="F346" s="198"/>
      <c r="G346" s="198"/>
      <c r="H346" s="198"/>
      <c r="I346" s="268"/>
      <c r="J346" s="198"/>
      <c r="K346" s="198"/>
      <c r="L346" s="198"/>
      <c r="M346" s="198"/>
      <c r="N346" s="198"/>
      <c r="O346" s="198"/>
      <c r="P346" s="198"/>
      <c r="Q346" s="198"/>
      <c r="R346" s="198"/>
      <c r="S346" s="198"/>
      <c r="T346" s="198"/>
      <c r="U346" s="198"/>
      <c r="V346" s="198"/>
      <c r="W346" s="198"/>
      <c r="X346" s="198"/>
    </row>
    <row r="347">
      <c r="A347" s="198"/>
      <c r="B347" s="198"/>
      <c r="C347" s="198"/>
      <c r="D347" s="198"/>
      <c r="E347" s="198"/>
      <c r="F347" s="198"/>
      <c r="G347" s="198"/>
      <c r="H347" s="198"/>
      <c r="I347" s="268"/>
      <c r="J347" s="198"/>
      <c r="K347" s="198"/>
      <c r="L347" s="198"/>
      <c r="M347" s="198"/>
      <c r="N347" s="198"/>
      <c r="O347" s="198"/>
      <c r="P347" s="198"/>
      <c r="Q347" s="198"/>
      <c r="R347" s="198"/>
      <c r="S347" s="198"/>
      <c r="T347" s="198"/>
      <c r="U347" s="198"/>
      <c r="V347" s="198"/>
      <c r="W347" s="198"/>
      <c r="X347" s="198"/>
    </row>
    <row r="348">
      <c r="A348" s="198"/>
      <c r="B348" s="198"/>
      <c r="C348" s="198"/>
      <c r="D348" s="198"/>
      <c r="E348" s="198"/>
      <c r="F348" s="198"/>
      <c r="G348" s="198"/>
      <c r="H348" s="198"/>
      <c r="I348" s="268"/>
      <c r="J348" s="198"/>
      <c r="K348" s="198"/>
      <c r="L348" s="198"/>
      <c r="M348" s="198"/>
      <c r="N348" s="198"/>
      <c r="O348" s="198"/>
      <c r="P348" s="198"/>
      <c r="Q348" s="198"/>
      <c r="R348" s="198"/>
      <c r="S348" s="198"/>
      <c r="T348" s="198"/>
      <c r="U348" s="198"/>
      <c r="V348" s="198"/>
      <c r="W348" s="198"/>
      <c r="X348" s="198"/>
    </row>
    <row r="349">
      <c r="A349" s="198"/>
      <c r="B349" s="198"/>
      <c r="C349" s="198"/>
      <c r="D349" s="198"/>
      <c r="E349" s="198"/>
      <c r="F349" s="198"/>
      <c r="G349" s="198"/>
      <c r="H349" s="198"/>
      <c r="I349" s="268"/>
      <c r="J349" s="198"/>
      <c r="K349" s="198"/>
      <c r="L349" s="198"/>
      <c r="M349" s="198"/>
      <c r="N349" s="198"/>
      <c r="O349" s="198"/>
      <c r="P349" s="198"/>
      <c r="Q349" s="198"/>
      <c r="R349" s="198"/>
      <c r="S349" s="198"/>
      <c r="T349" s="198"/>
      <c r="U349" s="198"/>
      <c r="V349" s="198"/>
      <c r="W349" s="198"/>
      <c r="X349" s="198"/>
    </row>
    <row r="350">
      <c r="A350" s="198"/>
      <c r="B350" s="198"/>
      <c r="C350" s="198"/>
      <c r="D350" s="198"/>
      <c r="E350" s="198"/>
      <c r="F350" s="198"/>
      <c r="G350" s="198"/>
      <c r="H350" s="198"/>
      <c r="I350" s="268"/>
      <c r="J350" s="198"/>
      <c r="K350" s="198"/>
      <c r="L350" s="198"/>
      <c r="M350" s="198"/>
      <c r="N350" s="198"/>
      <c r="O350" s="198"/>
      <c r="P350" s="198"/>
      <c r="Q350" s="198"/>
      <c r="R350" s="198"/>
      <c r="S350" s="198"/>
      <c r="T350" s="198"/>
      <c r="U350" s="198"/>
      <c r="V350" s="198"/>
      <c r="W350" s="198"/>
      <c r="X350" s="198"/>
    </row>
    <row r="351">
      <c r="A351" s="198"/>
      <c r="B351" s="198"/>
      <c r="C351" s="198"/>
      <c r="D351" s="198"/>
      <c r="E351" s="198"/>
      <c r="F351" s="198"/>
      <c r="G351" s="198"/>
      <c r="H351" s="198"/>
      <c r="I351" s="268"/>
      <c r="J351" s="198"/>
      <c r="K351" s="198"/>
      <c r="L351" s="198"/>
      <c r="M351" s="198"/>
      <c r="N351" s="198"/>
      <c r="O351" s="198"/>
      <c r="P351" s="198"/>
      <c r="Q351" s="198"/>
      <c r="R351" s="198"/>
      <c r="S351" s="198"/>
      <c r="T351" s="198"/>
      <c r="U351" s="198"/>
      <c r="V351" s="198"/>
      <c r="W351" s="198"/>
      <c r="X351" s="198"/>
    </row>
    <row r="352">
      <c r="A352" s="198"/>
      <c r="B352" s="198"/>
      <c r="C352" s="198"/>
      <c r="D352" s="198"/>
      <c r="E352" s="198"/>
      <c r="F352" s="198"/>
      <c r="G352" s="198"/>
      <c r="H352" s="198"/>
      <c r="I352" s="268"/>
      <c r="J352" s="198"/>
      <c r="K352" s="198"/>
      <c r="L352" s="198"/>
      <c r="M352" s="198"/>
      <c r="N352" s="198"/>
      <c r="O352" s="198"/>
      <c r="P352" s="198"/>
      <c r="Q352" s="198"/>
      <c r="R352" s="198"/>
      <c r="S352" s="198"/>
      <c r="T352" s="198"/>
      <c r="U352" s="198"/>
      <c r="V352" s="198"/>
      <c r="W352" s="198"/>
      <c r="X352" s="198"/>
    </row>
    <row r="353">
      <c r="A353" s="198"/>
      <c r="B353" s="198"/>
      <c r="C353" s="198"/>
      <c r="D353" s="198"/>
      <c r="E353" s="198"/>
      <c r="F353" s="198"/>
      <c r="G353" s="198"/>
      <c r="H353" s="198"/>
      <c r="I353" s="268"/>
      <c r="J353" s="198"/>
      <c r="K353" s="198"/>
      <c r="L353" s="198"/>
      <c r="M353" s="198"/>
      <c r="N353" s="198"/>
      <c r="O353" s="198"/>
      <c r="P353" s="198"/>
      <c r="Q353" s="198"/>
      <c r="R353" s="198"/>
      <c r="S353" s="198"/>
      <c r="T353" s="198"/>
      <c r="U353" s="198"/>
      <c r="V353" s="198"/>
      <c r="W353" s="198"/>
      <c r="X353" s="198"/>
    </row>
    <row r="354">
      <c r="A354" s="198"/>
      <c r="B354" s="198"/>
      <c r="C354" s="198"/>
      <c r="D354" s="198"/>
      <c r="E354" s="198"/>
      <c r="F354" s="198"/>
      <c r="G354" s="198"/>
      <c r="H354" s="198"/>
      <c r="I354" s="268"/>
      <c r="J354" s="198"/>
      <c r="K354" s="198"/>
      <c r="L354" s="198"/>
      <c r="M354" s="198"/>
      <c r="N354" s="198"/>
      <c r="O354" s="198"/>
      <c r="P354" s="198"/>
      <c r="Q354" s="198"/>
      <c r="R354" s="198"/>
      <c r="S354" s="198"/>
      <c r="T354" s="198"/>
      <c r="U354" s="198"/>
      <c r="V354" s="198"/>
      <c r="W354" s="198"/>
      <c r="X354" s="198"/>
    </row>
    <row r="355">
      <c r="A355" s="198"/>
      <c r="B355" s="198"/>
      <c r="C355" s="198"/>
      <c r="D355" s="198"/>
      <c r="E355" s="198"/>
      <c r="F355" s="198"/>
      <c r="G355" s="198"/>
      <c r="H355" s="198"/>
      <c r="I355" s="268"/>
      <c r="J355" s="198"/>
      <c r="K355" s="198"/>
      <c r="L355" s="198"/>
      <c r="M355" s="198"/>
      <c r="N355" s="198"/>
      <c r="O355" s="198"/>
      <c r="P355" s="198"/>
      <c r="Q355" s="198"/>
      <c r="R355" s="198"/>
      <c r="S355" s="198"/>
      <c r="T355" s="198"/>
      <c r="U355" s="198"/>
      <c r="V355" s="198"/>
      <c r="W355" s="198"/>
      <c r="X355" s="198"/>
    </row>
    <row r="356">
      <c r="A356" s="198"/>
      <c r="B356" s="198"/>
      <c r="C356" s="198"/>
      <c r="D356" s="198"/>
      <c r="E356" s="198"/>
      <c r="F356" s="198"/>
      <c r="G356" s="198"/>
      <c r="H356" s="198"/>
      <c r="I356" s="268"/>
      <c r="J356" s="198"/>
      <c r="K356" s="198"/>
      <c r="L356" s="198"/>
      <c r="M356" s="198"/>
      <c r="N356" s="198"/>
      <c r="O356" s="198"/>
      <c r="P356" s="198"/>
      <c r="Q356" s="198"/>
      <c r="R356" s="198"/>
      <c r="S356" s="198"/>
      <c r="T356" s="198"/>
      <c r="U356" s="198"/>
      <c r="V356" s="198"/>
      <c r="W356" s="198"/>
      <c r="X356" s="198"/>
    </row>
    <row r="357">
      <c r="A357" s="198"/>
      <c r="B357" s="198"/>
      <c r="C357" s="198"/>
      <c r="D357" s="198"/>
      <c r="E357" s="198"/>
      <c r="F357" s="198"/>
      <c r="G357" s="198"/>
      <c r="H357" s="198"/>
      <c r="I357" s="268"/>
      <c r="J357" s="198"/>
      <c r="K357" s="198"/>
      <c r="L357" s="198"/>
      <c r="M357" s="198"/>
      <c r="N357" s="198"/>
      <c r="O357" s="198"/>
      <c r="P357" s="198"/>
      <c r="Q357" s="198"/>
      <c r="R357" s="198"/>
      <c r="S357" s="198"/>
      <c r="T357" s="198"/>
      <c r="U357" s="198"/>
      <c r="V357" s="198"/>
      <c r="W357" s="198"/>
      <c r="X357" s="198"/>
    </row>
    <row r="358">
      <c r="A358" s="198"/>
      <c r="B358" s="198"/>
      <c r="C358" s="198"/>
      <c r="D358" s="198"/>
      <c r="E358" s="198"/>
      <c r="F358" s="198"/>
      <c r="G358" s="198"/>
      <c r="H358" s="198"/>
      <c r="I358" s="268"/>
      <c r="J358" s="198"/>
      <c r="K358" s="198"/>
      <c r="L358" s="198"/>
      <c r="M358" s="198"/>
      <c r="N358" s="198"/>
      <c r="O358" s="198"/>
      <c r="P358" s="198"/>
      <c r="Q358" s="198"/>
      <c r="R358" s="198"/>
      <c r="S358" s="198"/>
      <c r="T358" s="198"/>
      <c r="U358" s="198"/>
      <c r="V358" s="198"/>
      <c r="W358" s="198"/>
      <c r="X358" s="198"/>
    </row>
    <row r="359">
      <c r="A359" s="198"/>
      <c r="B359" s="198"/>
      <c r="C359" s="198"/>
      <c r="D359" s="198"/>
      <c r="E359" s="198"/>
      <c r="F359" s="198"/>
      <c r="G359" s="198"/>
      <c r="H359" s="198"/>
      <c r="I359" s="268"/>
      <c r="J359" s="198"/>
      <c r="K359" s="198"/>
      <c r="L359" s="198"/>
      <c r="M359" s="198"/>
      <c r="N359" s="198"/>
      <c r="O359" s="198"/>
      <c r="P359" s="198"/>
      <c r="Q359" s="198"/>
      <c r="R359" s="198"/>
      <c r="S359" s="198"/>
      <c r="T359" s="198"/>
      <c r="U359" s="198"/>
      <c r="V359" s="198"/>
      <c r="W359" s="198"/>
      <c r="X359" s="198"/>
    </row>
    <row r="360">
      <c r="A360" s="198"/>
      <c r="B360" s="198"/>
      <c r="C360" s="198"/>
      <c r="D360" s="198"/>
      <c r="E360" s="198"/>
      <c r="F360" s="198"/>
      <c r="G360" s="198"/>
      <c r="H360" s="198"/>
      <c r="I360" s="268"/>
      <c r="J360" s="198"/>
      <c r="K360" s="198"/>
      <c r="L360" s="198"/>
      <c r="M360" s="198"/>
      <c r="N360" s="198"/>
      <c r="O360" s="198"/>
      <c r="P360" s="198"/>
      <c r="Q360" s="198"/>
      <c r="R360" s="198"/>
      <c r="S360" s="198"/>
      <c r="T360" s="198"/>
      <c r="U360" s="198"/>
      <c r="V360" s="198"/>
      <c r="W360" s="198"/>
      <c r="X360" s="198"/>
    </row>
    <row r="361">
      <c r="A361" s="198"/>
      <c r="B361" s="198"/>
      <c r="C361" s="198"/>
      <c r="D361" s="198"/>
      <c r="E361" s="198"/>
      <c r="F361" s="198"/>
      <c r="G361" s="198"/>
      <c r="H361" s="198"/>
      <c r="I361" s="268"/>
      <c r="J361" s="198"/>
      <c r="K361" s="198"/>
      <c r="L361" s="198"/>
      <c r="M361" s="198"/>
      <c r="N361" s="198"/>
      <c r="O361" s="198"/>
      <c r="P361" s="198"/>
      <c r="Q361" s="198"/>
      <c r="R361" s="198"/>
      <c r="S361" s="198"/>
      <c r="T361" s="198"/>
      <c r="U361" s="198"/>
      <c r="V361" s="198"/>
      <c r="W361" s="198"/>
      <c r="X361" s="198"/>
    </row>
    <row r="362">
      <c r="A362" s="198"/>
      <c r="B362" s="198"/>
      <c r="C362" s="198"/>
      <c r="D362" s="198"/>
      <c r="E362" s="198"/>
      <c r="F362" s="198"/>
      <c r="G362" s="198"/>
      <c r="H362" s="198"/>
      <c r="I362" s="268"/>
      <c r="J362" s="198"/>
      <c r="K362" s="198"/>
      <c r="L362" s="198"/>
      <c r="M362" s="198"/>
      <c r="N362" s="198"/>
      <c r="O362" s="198"/>
      <c r="P362" s="198"/>
      <c r="Q362" s="198"/>
      <c r="R362" s="198"/>
      <c r="S362" s="198"/>
      <c r="T362" s="198"/>
      <c r="U362" s="198"/>
      <c r="V362" s="198"/>
      <c r="W362" s="198"/>
      <c r="X362" s="198"/>
    </row>
    <row r="363">
      <c r="A363" s="198"/>
      <c r="B363" s="198"/>
      <c r="C363" s="198"/>
      <c r="D363" s="198"/>
      <c r="E363" s="198"/>
      <c r="F363" s="198"/>
      <c r="G363" s="198"/>
      <c r="H363" s="198"/>
      <c r="I363" s="268"/>
      <c r="J363" s="198"/>
      <c r="K363" s="198"/>
      <c r="L363" s="198"/>
      <c r="M363" s="198"/>
      <c r="N363" s="198"/>
      <c r="O363" s="198"/>
      <c r="P363" s="198"/>
      <c r="Q363" s="198"/>
      <c r="R363" s="198"/>
      <c r="S363" s="198"/>
      <c r="T363" s="198"/>
      <c r="U363" s="198"/>
      <c r="V363" s="198"/>
      <c r="W363" s="198"/>
      <c r="X363" s="198"/>
    </row>
    <row r="364">
      <c r="A364" s="198"/>
      <c r="B364" s="198"/>
      <c r="C364" s="198"/>
      <c r="D364" s="198"/>
      <c r="E364" s="198"/>
      <c r="F364" s="198"/>
      <c r="G364" s="198"/>
      <c r="H364" s="198"/>
      <c r="I364" s="268"/>
      <c r="J364" s="198"/>
      <c r="K364" s="198"/>
      <c r="L364" s="198"/>
      <c r="M364" s="198"/>
      <c r="N364" s="198"/>
      <c r="O364" s="198"/>
      <c r="P364" s="198"/>
      <c r="Q364" s="198"/>
      <c r="R364" s="198"/>
      <c r="S364" s="198"/>
      <c r="T364" s="198"/>
      <c r="U364" s="198"/>
      <c r="V364" s="198"/>
      <c r="W364" s="198"/>
      <c r="X364" s="198"/>
    </row>
    <row r="365">
      <c r="A365" s="198"/>
      <c r="B365" s="198"/>
      <c r="C365" s="198"/>
      <c r="D365" s="198"/>
      <c r="E365" s="198"/>
      <c r="F365" s="198"/>
      <c r="G365" s="198"/>
      <c r="H365" s="198"/>
      <c r="I365" s="268"/>
      <c r="J365" s="198"/>
      <c r="K365" s="198"/>
      <c r="L365" s="198"/>
      <c r="M365" s="198"/>
      <c r="N365" s="198"/>
      <c r="O365" s="198"/>
      <c r="P365" s="198"/>
      <c r="Q365" s="198"/>
      <c r="R365" s="198"/>
      <c r="S365" s="198"/>
      <c r="T365" s="198"/>
      <c r="U365" s="198"/>
      <c r="V365" s="198"/>
      <c r="W365" s="198"/>
      <c r="X365" s="198"/>
    </row>
    <row r="366">
      <c r="A366" s="198"/>
      <c r="B366" s="198"/>
      <c r="C366" s="198"/>
      <c r="D366" s="198"/>
      <c r="E366" s="198"/>
      <c r="F366" s="198"/>
      <c r="G366" s="198"/>
      <c r="H366" s="198"/>
      <c r="I366" s="268"/>
      <c r="J366" s="198"/>
      <c r="K366" s="198"/>
      <c r="L366" s="198"/>
      <c r="M366" s="198"/>
      <c r="N366" s="198"/>
      <c r="O366" s="198"/>
      <c r="P366" s="198"/>
      <c r="Q366" s="198"/>
      <c r="R366" s="198"/>
      <c r="S366" s="198"/>
      <c r="T366" s="198"/>
      <c r="U366" s="198"/>
      <c r="V366" s="198"/>
      <c r="W366" s="198"/>
      <c r="X366" s="198"/>
    </row>
    <row r="367">
      <c r="A367" s="198"/>
      <c r="B367" s="198"/>
      <c r="C367" s="198"/>
      <c r="D367" s="198"/>
      <c r="E367" s="198"/>
      <c r="F367" s="198"/>
      <c r="G367" s="198"/>
      <c r="H367" s="198"/>
      <c r="I367" s="268"/>
      <c r="J367" s="198"/>
      <c r="K367" s="198"/>
      <c r="L367" s="198"/>
      <c r="M367" s="198"/>
      <c r="N367" s="198"/>
      <c r="O367" s="198"/>
      <c r="P367" s="198"/>
      <c r="Q367" s="198"/>
      <c r="R367" s="198"/>
      <c r="S367" s="198"/>
      <c r="T367" s="198"/>
      <c r="U367" s="198"/>
      <c r="V367" s="198"/>
      <c r="W367" s="198"/>
      <c r="X367" s="198"/>
    </row>
    <row r="368">
      <c r="A368" s="198"/>
      <c r="B368" s="198"/>
      <c r="C368" s="198"/>
      <c r="D368" s="198"/>
      <c r="E368" s="198"/>
      <c r="F368" s="198"/>
      <c r="G368" s="198"/>
      <c r="H368" s="198"/>
      <c r="I368" s="268"/>
      <c r="J368" s="198"/>
      <c r="K368" s="198"/>
      <c r="L368" s="198"/>
      <c r="M368" s="198"/>
      <c r="N368" s="198"/>
      <c r="O368" s="198"/>
      <c r="P368" s="198"/>
      <c r="Q368" s="198"/>
      <c r="R368" s="198"/>
      <c r="S368" s="198"/>
      <c r="T368" s="198"/>
      <c r="U368" s="198"/>
      <c r="V368" s="198"/>
      <c r="W368" s="198"/>
      <c r="X368" s="198"/>
    </row>
    <row r="369">
      <c r="A369" s="198"/>
      <c r="B369" s="198"/>
      <c r="C369" s="198"/>
      <c r="D369" s="198"/>
      <c r="E369" s="198"/>
      <c r="F369" s="198"/>
      <c r="G369" s="198"/>
      <c r="H369" s="198"/>
      <c r="I369" s="268"/>
      <c r="J369" s="198"/>
      <c r="K369" s="198"/>
      <c r="L369" s="198"/>
      <c r="M369" s="198"/>
      <c r="N369" s="198"/>
      <c r="O369" s="198"/>
      <c r="P369" s="198"/>
      <c r="Q369" s="198"/>
      <c r="R369" s="198"/>
      <c r="S369" s="198"/>
      <c r="T369" s="198"/>
      <c r="U369" s="198"/>
      <c r="V369" s="198"/>
      <c r="W369" s="198"/>
      <c r="X369" s="198"/>
    </row>
    <row r="370">
      <c r="A370" s="198"/>
      <c r="B370" s="198"/>
      <c r="C370" s="198"/>
      <c r="D370" s="198"/>
      <c r="E370" s="198"/>
      <c r="F370" s="198"/>
      <c r="G370" s="198"/>
      <c r="H370" s="198"/>
      <c r="I370" s="268"/>
      <c r="J370" s="198"/>
      <c r="K370" s="198"/>
      <c r="L370" s="198"/>
      <c r="M370" s="198"/>
      <c r="N370" s="198"/>
      <c r="O370" s="198"/>
      <c r="P370" s="198"/>
      <c r="Q370" s="198"/>
      <c r="R370" s="198"/>
      <c r="S370" s="198"/>
      <c r="T370" s="198"/>
      <c r="U370" s="198"/>
      <c r="V370" s="198"/>
      <c r="W370" s="198"/>
      <c r="X370" s="198"/>
    </row>
    <row r="371">
      <c r="A371" s="198"/>
      <c r="B371" s="198"/>
      <c r="C371" s="198"/>
      <c r="D371" s="198"/>
      <c r="E371" s="198"/>
      <c r="F371" s="198"/>
      <c r="G371" s="198"/>
      <c r="H371" s="198"/>
      <c r="I371" s="268"/>
      <c r="J371" s="198"/>
      <c r="K371" s="198"/>
      <c r="L371" s="198"/>
      <c r="M371" s="198"/>
      <c r="N371" s="198"/>
      <c r="O371" s="198"/>
      <c r="P371" s="198"/>
      <c r="Q371" s="198"/>
      <c r="R371" s="198"/>
      <c r="S371" s="198"/>
      <c r="T371" s="198"/>
      <c r="U371" s="198"/>
      <c r="V371" s="198"/>
      <c r="W371" s="198"/>
      <c r="X371" s="198"/>
    </row>
    <row r="372">
      <c r="A372" s="198"/>
      <c r="B372" s="198"/>
      <c r="C372" s="198"/>
      <c r="D372" s="198"/>
      <c r="E372" s="198"/>
      <c r="F372" s="198"/>
      <c r="G372" s="198"/>
      <c r="H372" s="198"/>
      <c r="I372" s="268"/>
      <c r="J372" s="198"/>
      <c r="K372" s="198"/>
      <c r="L372" s="198"/>
      <c r="M372" s="198"/>
      <c r="N372" s="198"/>
      <c r="O372" s="198"/>
      <c r="P372" s="198"/>
      <c r="Q372" s="198"/>
      <c r="R372" s="198"/>
      <c r="S372" s="198"/>
      <c r="T372" s="198"/>
      <c r="U372" s="198"/>
      <c r="V372" s="198"/>
      <c r="W372" s="198"/>
      <c r="X372" s="198"/>
    </row>
    <row r="373">
      <c r="A373" s="198"/>
      <c r="B373" s="198"/>
      <c r="C373" s="198"/>
      <c r="D373" s="198"/>
      <c r="E373" s="198"/>
      <c r="F373" s="198"/>
      <c r="G373" s="198"/>
      <c r="H373" s="198"/>
      <c r="I373" s="268"/>
      <c r="J373" s="198"/>
      <c r="K373" s="198"/>
      <c r="L373" s="198"/>
      <c r="M373" s="198"/>
      <c r="N373" s="198"/>
      <c r="O373" s="198"/>
      <c r="P373" s="198"/>
      <c r="Q373" s="198"/>
      <c r="R373" s="198"/>
      <c r="S373" s="198"/>
      <c r="T373" s="198"/>
      <c r="U373" s="198"/>
      <c r="V373" s="198"/>
      <c r="W373" s="198"/>
      <c r="X373" s="198"/>
    </row>
    <row r="374">
      <c r="A374" s="198"/>
      <c r="B374" s="198"/>
      <c r="C374" s="198"/>
      <c r="D374" s="198"/>
      <c r="E374" s="198"/>
      <c r="F374" s="198"/>
      <c r="G374" s="198"/>
      <c r="H374" s="198"/>
      <c r="I374" s="268"/>
      <c r="J374" s="198"/>
      <c r="K374" s="198"/>
      <c r="L374" s="198"/>
      <c r="M374" s="198"/>
      <c r="N374" s="198"/>
      <c r="O374" s="198"/>
      <c r="P374" s="198"/>
      <c r="Q374" s="198"/>
      <c r="R374" s="198"/>
      <c r="S374" s="198"/>
      <c r="T374" s="198"/>
      <c r="U374" s="198"/>
      <c r="V374" s="198"/>
      <c r="W374" s="198"/>
      <c r="X374" s="198"/>
    </row>
    <row r="375">
      <c r="A375" s="198"/>
      <c r="B375" s="198"/>
      <c r="C375" s="198"/>
      <c r="D375" s="198"/>
      <c r="E375" s="198"/>
      <c r="F375" s="198"/>
      <c r="G375" s="198"/>
      <c r="H375" s="198"/>
      <c r="I375" s="268"/>
      <c r="J375" s="198"/>
      <c r="K375" s="198"/>
      <c r="L375" s="198"/>
      <c r="M375" s="198"/>
      <c r="N375" s="198"/>
      <c r="O375" s="198"/>
      <c r="P375" s="198"/>
      <c r="Q375" s="198"/>
      <c r="R375" s="198"/>
      <c r="S375" s="198"/>
      <c r="T375" s="198"/>
      <c r="U375" s="198"/>
      <c r="V375" s="198"/>
      <c r="W375" s="198"/>
      <c r="X375" s="198"/>
    </row>
    <row r="376">
      <c r="A376" s="198"/>
      <c r="B376" s="198"/>
      <c r="C376" s="198"/>
      <c r="D376" s="198"/>
      <c r="E376" s="198"/>
      <c r="F376" s="198"/>
      <c r="G376" s="198"/>
      <c r="H376" s="198"/>
      <c r="I376" s="268"/>
      <c r="J376" s="198"/>
      <c r="K376" s="198"/>
      <c r="L376" s="198"/>
      <c r="M376" s="198"/>
      <c r="N376" s="198"/>
      <c r="O376" s="198"/>
      <c r="P376" s="198"/>
      <c r="Q376" s="198"/>
      <c r="R376" s="198"/>
      <c r="S376" s="198"/>
      <c r="T376" s="198"/>
      <c r="U376" s="198"/>
      <c r="V376" s="198"/>
      <c r="W376" s="198"/>
      <c r="X376" s="198"/>
    </row>
    <row r="377">
      <c r="A377" s="198"/>
      <c r="B377" s="198"/>
      <c r="C377" s="198"/>
      <c r="D377" s="198"/>
      <c r="E377" s="198"/>
      <c r="F377" s="198"/>
      <c r="G377" s="198"/>
      <c r="H377" s="198"/>
      <c r="I377" s="268"/>
      <c r="J377" s="198"/>
      <c r="K377" s="198"/>
      <c r="L377" s="198"/>
      <c r="M377" s="198"/>
      <c r="N377" s="198"/>
      <c r="O377" s="198"/>
      <c r="P377" s="198"/>
      <c r="Q377" s="198"/>
      <c r="R377" s="198"/>
      <c r="S377" s="198"/>
      <c r="T377" s="198"/>
      <c r="U377" s="198"/>
      <c r="V377" s="198"/>
      <c r="W377" s="198"/>
      <c r="X377" s="198"/>
    </row>
    <row r="378">
      <c r="A378" s="198"/>
      <c r="B378" s="198"/>
      <c r="C378" s="198"/>
      <c r="D378" s="198"/>
      <c r="E378" s="198"/>
      <c r="F378" s="198"/>
      <c r="G378" s="198"/>
      <c r="H378" s="198"/>
      <c r="I378" s="268"/>
      <c r="J378" s="198"/>
      <c r="K378" s="198"/>
      <c r="L378" s="198"/>
      <c r="M378" s="198"/>
      <c r="N378" s="198"/>
      <c r="O378" s="198"/>
      <c r="P378" s="198"/>
      <c r="Q378" s="198"/>
      <c r="R378" s="198"/>
      <c r="S378" s="198"/>
      <c r="T378" s="198"/>
      <c r="U378" s="198"/>
      <c r="V378" s="198"/>
      <c r="W378" s="198"/>
      <c r="X378" s="198"/>
    </row>
    <row r="379">
      <c r="A379" s="198"/>
      <c r="B379" s="198"/>
      <c r="C379" s="198"/>
      <c r="D379" s="198"/>
      <c r="E379" s="198"/>
      <c r="F379" s="198"/>
      <c r="G379" s="198"/>
      <c r="H379" s="198"/>
      <c r="I379" s="268"/>
      <c r="J379" s="198"/>
      <c r="K379" s="198"/>
      <c r="L379" s="198"/>
      <c r="M379" s="198"/>
      <c r="N379" s="198"/>
      <c r="O379" s="198"/>
      <c r="P379" s="198"/>
      <c r="Q379" s="198"/>
      <c r="R379" s="198"/>
      <c r="S379" s="198"/>
      <c r="T379" s="198"/>
      <c r="U379" s="198"/>
      <c r="V379" s="198"/>
      <c r="W379" s="198"/>
      <c r="X379" s="198"/>
    </row>
    <row r="380">
      <c r="A380" s="198"/>
      <c r="B380" s="198"/>
      <c r="C380" s="198"/>
      <c r="D380" s="198"/>
      <c r="E380" s="198"/>
      <c r="F380" s="198"/>
      <c r="G380" s="198"/>
      <c r="H380" s="198"/>
      <c r="I380" s="268"/>
      <c r="J380" s="198"/>
      <c r="K380" s="198"/>
      <c r="L380" s="198"/>
      <c r="M380" s="198"/>
      <c r="N380" s="198"/>
      <c r="O380" s="198"/>
      <c r="P380" s="198"/>
      <c r="Q380" s="198"/>
      <c r="R380" s="198"/>
      <c r="S380" s="198"/>
      <c r="T380" s="198"/>
      <c r="U380" s="198"/>
      <c r="V380" s="198"/>
      <c r="W380" s="198"/>
      <c r="X380" s="198"/>
    </row>
    <row r="381">
      <c r="A381" s="198"/>
      <c r="B381" s="198"/>
      <c r="C381" s="198"/>
      <c r="D381" s="198"/>
      <c r="E381" s="198"/>
      <c r="F381" s="198"/>
      <c r="G381" s="198"/>
      <c r="H381" s="198"/>
      <c r="I381" s="268"/>
      <c r="J381" s="198"/>
      <c r="K381" s="198"/>
      <c r="L381" s="198"/>
      <c r="M381" s="198"/>
      <c r="N381" s="198"/>
      <c r="O381" s="198"/>
      <c r="P381" s="198"/>
      <c r="Q381" s="198"/>
      <c r="R381" s="198"/>
      <c r="S381" s="198"/>
      <c r="T381" s="198"/>
      <c r="U381" s="198"/>
      <c r="V381" s="198"/>
      <c r="W381" s="198"/>
      <c r="X381" s="198"/>
    </row>
    <row r="382">
      <c r="A382" s="198"/>
      <c r="B382" s="198"/>
      <c r="C382" s="198"/>
      <c r="D382" s="198"/>
      <c r="E382" s="198"/>
      <c r="F382" s="198"/>
      <c r="G382" s="198"/>
      <c r="H382" s="198"/>
      <c r="I382" s="268"/>
      <c r="J382" s="198"/>
      <c r="K382" s="198"/>
      <c r="L382" s="198"/>
      <c r="M382" s="198"/>
      <c r="N382" s="198"/>
      <c r="O382" s="198"/>
      <c r="P382" s="198"/>
      <c r="Q382" s="198"/>
      <c r="R382" s="198"/>
      <c r="S382" s="198"/>
      <c r="T382" s="198"/>
      <c r="U382" s="198"/>
      <c r="V382" s="198"/>
      <c r="W382" s="198"/>
      <c r="X382" s="198"/>
    </row>
    <row r="383">
      <c r="A383" s="198"/>
      <c r="B383" s="198"/>
      <c r="C383" s="198"/>
      <c r="D383" s="198"/>
      <c r="E383" s="198"/>
      <c r="F383" s="198"/>
      <c r="G383" s="198"/>
      <c r="H383" s="198"/>
      <c r="I383" s="268"/>
      <c r="J383" s="198"/>
      <c r="K383" s="198"/>
      <c r="L383" s="198"/>
      <c r="M383" s="198"/>
      <c r="N383" s="198"/>
      <c r="O383" s="198"/>
      <c r="P383" s="198"/>
      <c r="Q383" s="198"/>
      <c r="R383" s="198"/>
      <c r="S383" s="198"/>
      <c r="T383" s="198"/>
      <c r="U383" s="198"/>
      <c r="V383" s="198"/>
      <c r="W383" s="198"/>
      <c r="X383" s="198"/>
    </row>
    <row r="384">
      <c r="A384" s="198"/>
      <c r="B384" s="198"/>
      <c r="C384" s="198"/>
      <c r="D384" s="198"/>
      <c r="E384" s="198"/>
      <c r="F384" s="198"/>
      <c r="G384" s="198"/>
      <c r="H384" s="198"/>
      <c r="I384" s="268"/>
      <c r="J384" s="198"/>
      <c r="K384" s="198"/>
      <c r="L384" s="198"/>
      <c r="M384" s="198"/>
      <c r="N384" s="198"/>
      <c r="O384" s="198"/>
      <c r="P384" s="198"/>
      <c r="Q384" s="198"/>
      <c r="R384" s="198"/>
      <c r="S384" s="198"/>
      <c r="T384" s="198"/>
      <c r="U384" s="198"/>
      <c r="V384" s="198"/>
      <c r="W384" s="198"/>
      <c r="X384" s="198"/>
    </row>
    <row r="385">
      <c r="A385" s="198"/>
      <c r="B385" s="198"/>
      <c r="C385" s="198"/>
      <c r="D385" s="198"/>
      <c r="E385" s="198"/>
      <c r="F385" s="198"/>
      <c r="G385" s="198"/>
      <c r="H385" s="198"/>
      <c r="I385" s="268"/>
      <c r="J385" s="198"/>
      <c r="K385" s="198"/>
      <c r="L385" s="198"/>
      <c r="M385" s="198"/>
      <c r="N385" s="198"/>
      <c r="O385" s="198"/>
      <c r="P385" s="198"/>
      <c r="Q385" s="198"/>
      <c r="R385" s="198"/>
      <c r="S385" s="198"/>
      <c r="T385" s="198"/>
      <c r="U385" s="198"/>
      <c r="V385" s="198"/>
      <c r="W385" s="198"/>
      <c r="X385" s="198"/>
    </row>
    <row r="386">
      <c r="A386" s="198"/>
      <c r="B386" s="198"/>
      <c r="C386" s="198"/>
      <c r="D386" s="198"/>
      <c r="E386" s="198"/>
      <c r="F386" s="198"/>
      <c r="G386" s="198"/>
      <c r="H386" s="198"/>
      <c r="I386" s="268"/>
      <c r="J386" s="198"/>
      <c r="K386" s="198"/>
      <c r="L386" s="198"/>
      <c r="M386" s="198"/>
      <c r="N386" s="198"/>
      <c r="O386" s="198"/>
      <c r="P386" s="198"/>
      <c r="Q386" s="198"/>
      <c r="R386" s="198"/>
      <c r="S386" s="198"/>
      <c r="T386" s="198"/>
      <c r="U386" s="198"/>
      <c r="V386" s="198"/>
      <c r="W386" s="198"/>
      <c r="X386" s="198"/>
    </row>
    <row r="387">
      <c r="A387" s="198"/>
      <c r="B387" s="198"/>
      <c r="C387" s="198"/>
      <c r="D387" s="198"/>
      <c r="E387" s="198"/>
      <c r="F387" s="198"/>
      <c r="G387" s="198"/>
      <c r="H387" s="198"/>
      <c r="I387" s="268"/>
      <c r="J387" s="198"/>
      <c r="K387" s="198"/>
      <c r="L387" s="198"/>
      <c r="M387" s="198"/>
      <c r="N387" s="198"/>
      <c r="O387" s="198"/>
      <c r="P387" s="198"/>
      <c r="Q387" s="198"/>
      <c r="R387" s="198"/>
      <c r="S387" s="198"/>
      <c r="T387" s="198"/>
      <c r="U387" s="198"/>
      <c r="V387" s="198"/>
      <c r="W387" s="198"/>
      <c r="X387" s="198"/>
    </row>
    <row r="388">
      <c r="A388" s="198"/>
      <c r="B388" s="198"/>
      <c r="C388" s="198"/>
      <c r="D388" s="198"/>
      <c r="E388" s="198"/>
      <c r="F388" s="198"/>
      <c r="G388" s="198"/>
      <c r="H388" s="198"/>
      <c r="I388" s="268"/>
      <c r="J388" s="198"/>
      <c r="K388" s="198"/>
      <c r="L388" s="198"/>
      <c r="M388" s="198"/>
      <c r="N388" s="198"/>
      <c r="O388" s="198"/>
      <c r="P388" s="198"/>
      <c r="Q388" s="198"/>
      <c r="R388" s="198"/>
      <c r="S388" s="198"/>
      <c r="T388" s="198"/>
      <c r="U388" s="198"/>
      <c r="V388" s="198"/>
      <c r="W388" s="198"/>
      <c r="X388" s="198"/>
    </row>
    <row r="389">
      <c r="A389" s="198"/>
      <c r="B389" s="198"/>
      <c r="C389" s="198"/>
      <c r="D389" s="198"/>
      <c r="E389" s="198"/>
      <c r="F389" s="198"/>
      <c r="G389" s="198"/>
      <c r="H389" s="198"/>
      <c r="I389" s="268"/>
      <c r="J389" s="198"/>
      <c r="K389" s="198"/>
      <c r="L389" s="198"/>
      <c r="M389" s="198"/>
      <c r="N389" s="198"/>
      <c r="O389" s="198"/>
      <c r="P389" s="198"/>
      <c r="Q389" s="198"/>
      <c r="R389" s="198"/>
      <c r="S389" s="198"/>
      <c r="T389" s="198"/>
      <c r="U389" s="198"/>
      <c r="V389" s="198"/>
      <c r="W389" s="198"/>
      <c r="X389" s="198"/>
    </row>
    <row r="390">
      <c r="A390" s="198"/>
      <c r="B390" s="198"/>
      <c r="C390" s="198"/>
      <c r="D390" s="198"/>
      <c r="E390" s="198"/>
      <c r="F390" s="198"/>
      <c r="G390" s="198"/>
      <c r="H390" s="198"/>
      <c r="I390" s="268"/>
      <c r="J390" s="198"/>
      <c r="K390" s="198"/>
      <c r="L390" s="198"/>
      <c r="M390" s="198"/>
      <c r="N390" s="198"/>
      <c r="O390" s="198"/>
      <c r="P390" s="198"/>
      <c r="Q390" s="198"/>
      <c r="R390" s="198"/>
      <c r="S390" s="198"/>
      <c r="T390" s="198"/>
      <c r="U390" s="198"/>
      <c r="V390" s="198"/>
      <c r="W390" s="198"/>
      <c r="X390" s="198"/>
    </row>
    <row r="391">
      <c r="A391" s="198"/>
      <c r="B391" s="198"/>
      <c r="C391" s="198"/>
      <c r="D391" s="198"/>
      <c r="E391" s="198"/>
      <c r="F391" s="198"/>
      <c r="G391" s="198"/>
      <c r="H391" s="198"/>
      <c r="I391" s="268"/>
      <c r="J391" s="198"/>
      <c r="K391" s="198"/>
      <c r="L391" s="198"/>
      <c r="M391" s="198"/>
      <c r="N391" s="198"/>
      <c r="O391" s="198"/>
      <c r="P391" s="198"/>
      <c r="Q391" s="198"/>
      <c r="R391" s="198"/>
      <c r="S391" s="198"/>
      <c r="T391" s="198"/>
      <c r="U391" s="198"/>
      <c r="V391" s="198"/>
      <c r="W391" s="198"/>
      <c r="X391" s="198"/>
    </row>
    <row r="392">
      <c r="A392" s="198"/>
      <c r="B392" s="198"/>
      <c r="C392" s="198"/>
      <c r="D392" s="198"/>
      <c r="E392" s="198"/>
      <c r="F392" s="198"/>
      <c r="G392" s="198"/>
      <c r="H392" s="198"/>
      <c r="I392" s="268"/>
      <c r="J392" s="198"/>
      <c r="K392" s="198"/>
      <c r="L392" s="198"/>
      <c r="M392" s="198"/>
      <c r="N392" s="198"/>
      <c r="O392" s="198"/>
      <c r="P392" s="198"/>
      <c r="Q392" s="198"/>
      <c r="R392" s="198"/>
      <c r="S392" s="198"/>
      <c r="T392" s="198"/>
      <c r="U392" s="198"/>
      <c r="V392" s="198"/>
      <c r="W392" s="198"/>
      <c r="X392" s="198"/>
    </row>
    <row r="393">
      <c r="A393" s="198"/>
      <c r="B393" s="198"/>
      <c r="C393" s="198"/>
      <c r="D393" s="198"/>
      <c r="E393" s="198"/>
      <c r="F393" s="198"/>
      <c r="G393" s="198"/>
      <c r="H393" s="198"/>
      <c r="I393" s="268"/>
      <c r="J393" s="198"/>
      <c r="K393" s="198"/>
      <c r="L393" s="198"/>
      <c r="M393" s="198"/>
      <c r="N393" s="198"/>
      <c r="O393" s="198"/>
      <c r="P393" s="198"/>
      <c r="Q393" s="198"/>
      <c r="R393" s="198"/>
      <c r="S393" s="198"/>
      <c r="T393" s="198"/>
      <c r="U393" s="198"/>
      <c r="V393" s="198"/>
      <c r="W393" s="198"/>
      <c r="X393" s="198"/>
    </row>
    <row r="394">
      <c r="A394" s="198"/>
      <c r="B394" s="198"/>
      <c r="C394" s="198"/>
      <c r="D394" s="198"/>
      <c r="E394" s="198"/>
      <c r="F394" s="198"/>
      <c r="G394" s="198"/>
      <c r="H394" s="198"/>
      <c r="I394" s="268"/>
      <c r="J394" s="198"/>
      <c r="K394" s="198"/>
      <c r="L394" s="198"/>
      <c r="M394" s="198"/>
      <c r="N394" s="198"/>
      <c r="O394" s="198"/>
      <c r="P394" s="198"/>
      <c r="Q394" s="198"/>
      <c r="R394" s="198"/>
      <c r="S394" s="198"/>
      <c r="T394" s="198"/>
      <c r="U394" s="198"/>
      <c r="V394" s="198"/>
      <c r="W394" s="198"/>
      <c r="X394" s="198"/>
    </row>
    <row r="395">
      <c r="A395" s="198"/>
      <c r="B395" s="198"/>
      <c r="C395" s="198"/>
      <c r="D395" s="198"/>
      <c r="E395" s="198"/>
      <c r="F395" s="198"/>
      <c r="G395" s="198"/>
      <c r="H395" s="198"/>
      <c r="I395" s="268"/>
      <c r="J395" s="198"/>
      <c r="K395" s="198"/>
      <c r="L395" s="198"/>
      <c r="M395" s="198"/>
      <c r="N395" s="198"/>
      <c r="O395" s="198"/>
      <c r="P395" s="198"/>
      <c r="Q395" s="198"/>
      <c r="R395" s="198"/>
      <c r="S395" s="198"/>
      <c r="T395" s="198"/>
      <c r="U395" s="198"/>
      <c r="V395" s="198"/>
      <c r="W395" s="198"/>
      <c r="X395" s="198"/>
    </row>
    <row r="396">
      <c r="A396" s="198"/>
      <c r="B396" s="198"/>
      <c r="C396" s="198"/>
      <c r="D396" s="198"/>
      <c r="E396" s="198"/>
      <c r="F396" s="198"/>
      <c r="G396" s="198"/>
      <c r="H396" s="198"/>
      <c r="I396" s="268"/>
      <c r="J396" s="198"/>
      <c r="K396" s="198"/>
      <c r="L396" s="198"/>
      <c r="M396" s="198"/>
      <c r="N396" s="198"/>
      <c r="O396" s="198"/>
      <c r="P396" s="198"/>
      <c r="Q396" s="198"/>
      <c r="R396" s="198"/>
      <c r="S396" s="198"/>
      <c r="T396" s="198"/>
      <c r="U396" s="198"/>
      <c r="V396" s="198"/>
      <c r="W396" s="198"/>
      <c r="X396" s="198"/>
    </row>
    <row r="397">
      <c r="A397" s="198"/>
      <c r="B397" s="198"/>
      <c r="C397" s="198"/>
      <c r="D397" s="198"/>
      <c r="E397" s="198"/>
      <c r="F397" s="198"/>
      <c r="G397" s="198"/>
      <c r="H397" s="198"/>
      <c r="I397" s="268"/>
      <c r="J397" s="198"/>
      <c r="K397" s="198"/>
      <c r="L397" s="198"/>
      <c r="M397" s="198"/>
      <c r="N397" s="198"/>
      <c r="O397" s="198"/>
      <c r="P397" s="198"/>
      <c r="Q397" s="198"/>
      <c r="R397" s="198"/>
      <c r="S397" s="198"/>
      <c r="T397" s="198"/>
      <c r="U397" s="198"/>
      <c r="V397" s="198"/>
      <c r="W397" s="198"/>
      <c r="X397" s="198"/>
    </row>
    <row r="398">
      <c r="A398" s="198"/>
      <c r="B398" s="198"/>
      <c r="C398" s="198"/>
      <c r="D398" s="198"/>
      <c r="E398" s="198"/>
      <c r="F398" s="198"/>
      <c r="G398" s="198"/>
      <c r="H398" s="198"/>
      <c r="I398" s="268"/>
      <c r="J398" s="198"/>
      <c r="K398" s="198"/>
      <c r="L398" s="198"/>
      <c r="M398" s="198"/>
      <c r="N398" s="198"/>
      <c r="O398" s="198"/>
      <c r="P398" s="198"/>
      <c r="Q398" s="198"/>
      <c r="R398" s="198"/>
      <c r="S398" s="198"/>
      <c r="T398" s="198"/>
      <c r="U398" s="198"/>
      <c r="V398" s="198"/>
      <c r="W398" s="198"/>
      <c r="X398" s="198"/>
    </row>
    <row r="399">
      <c r="A399" s="198"/>
      <c r="B399" s="198"/>
      <c r="C399" s="198"/>
      <c r="D399" s="198"/>
      <c r="E399" s="198"/>
      <c r="F399" s="198"/>
      <c r="G399" s="198"/>
      <c r="H399" s="198"/>
      <c r="I399" s="268"/>
      <c r="J399" s="198"/>
      <c r="K399" s="198"/>
      <c r="L399" s="198"/>
      <c r="M399" s="198"/>
      <c r="N399" s="198"/>
      <c r="O399" s="198"/>
      <c r="P399" s="198"/>
      <c r="Q399" s="198"/>
      <c r="R399" s="198"/>
      <c r="S399" s="198"/>
      <c r="T399" s="198"/>
      <c r="U399" s="198"/>
      <c r="V399" s="198"/>
      <c r="W399" s="198"/>
      <c r="X399" s="198"/>
    </row>
    <row r="400">
      <c r="A400" s="198"/>
      <c r="B400" s="198"/>
      <c r="C400" s="198"/>
      <c r="D400" s="198"/>
      <c r="E400" s="198"/>
      <c r="F400" s="198"/>
      <c r="G400" s="198"/>
      <c r="H400" s="198"/>
      <c r="I400" s="268"/>
      <c r="J400" s="198"/>
      <c r="K400" s="198"/>
      <c r="L400" s="198"/>
      <c r="M400" s="198"/>
      <c r="N400" s="198"/>
      <c r="O400" s="198"/>
      <c r="P400" s="198"/>
      <c r="Q400" s="198"/>
      <c r="R400" s="198"/>
      <c r="S400" s="198"/>
      <c r="T400" s="198"/>
      <c r="U400" s="198"/>
      <c r="V400" s="198"/>
      <c r="W400" s="198"/>
      <c r="X400" s="198"/>
    </row>
    <row r="401">
      <c r="A401" s="198"/>
      <c r="B401" s="198"/>
      <c r="C401" s="198"/>
      <c r="D401" s="198"/>
      <c r="E401" s="198"/>
      <c r="F401" s="198"/>
      <c r="G401" s="198"/>
      <c r="H401" s="198"/>
      <c r="I401" s="268"/>
      <c r="J401" s="198"/>
      <c r="K401" s="198"/>
      <c r="L401" s="198"/>
      <c r="M401" s="198"/>
      <c r="N401" s="198"/>
      <c r="O401" s="198"/>
      <c r="P401" s="198"/>
      <c r="Q401" s="198"/>
      <c r="R401" s="198"/>
      <c r="S401" s="198"/>
      <c r="T401" s="198"/>
      <c r="U401" s="198"/>
      <c r="V401" s="198"/>
      <c r="W401" s="198"/>
      <c r="X401" s="198"/>
    </row>
    <row r="402">
      <c r="A402" s="198"/>
      <c r="B402" s="198"/>
      <c r="C402" s="198"/>
      <c r="D402" s="198"/>
      <c r="E402" s="198"/>
      <c r="F402" s="198"/>
      <c r="G402" s="198"/>
      <c r="H402" s="198"/>
      <c r="I402" s="268"/>
      <c r="J402" s="198"/>
      <c r="K402" s="198"/>
      <c r="L402" s="198"/>
      <c r="M402" s="198"/>
      <c r="N402" s="198"/>
      <c r="O402" s="198"/>
      <c r="P402" s="198"/>
      <c r="Q402" s="198"/>
      <c r="R402" s="198"/>
      <c r="S402" s="198"/>
      <c r="T402" s="198"/>
      <c r="U402" s="198"/>
      <c r="V402" s="198"/>
      <c r="W402" s="198"/>
      <c r="X402" s="198"/>
    </row>
    <row r="403">
      <c r="A403" s="198"/>
      <c r="B403" s="198"/>
      <c r="C403" s="198"/>
      <c r="D403" s="198"/>
      <c r="E403" s="198"/>
      <c r="F403" s="198"/>
      <c r="G403" s="198"/>
      <c r="H403" s="198"/>
      <c r="I403" s="268"/>
      <c r="J403" s="198"/>
      <c r="K403" s="198"/>
      <c r="L403" s="198"/>
      <c r="M403" s="198"/>
      <c r="N403" s="198"/>
      <c r="O403" s="198"/>
      <c r="P403" s="198"/>
      <c r="Q403" s="198"/>
      <c r="R403" s="198"/>
      <c r="S403" s="198"/>
      <c r="T403" s="198"/>
      <c r="U403" s="198"/>
      <c r="V403" s="198"/>
      <c r="W403" s="198"/>
      <c r="X403" s="198"/>
    </row>
    <row r="404">
      <c r="A404" s="198"/>
      <c r="B404" s="198"/>
      <c r="C404" s="198"/>
      <c r="D404" s="198"/>
      <c r="E404" s="198"/>
      <c r="F404" s="198"/>
      <c r="G404" s="198"/>
      <c r="H404" s="198"/>
      <c r="I404" s="268"/>
      <c r="J404" s="198"/>
      <c r="K404" s="198"/>
      <c r="L404" s="198"/>
      <c r="M404" s="198"/>
      <c r="N404" s="198"/>
      <c r="O404" s="198"/>
      <c r="P404" s="198"/>
      <c r="Q404" s="198"/>
      <c r="R404" s="198"/>
      <c r="S404" s="198"/>
      <c r="T404" s="198"/>
      <c r="U404" s="198"/>
      <c r="V404" s="198"/>
      <c r="W404" s="198"/>
      <c r="X404" s="198"/>
    </row>
    <row r="405">
      <c r="A405" s="198"/>
      <c r="B405" s="198"/>
      <c r="C405" s="198"/>
      <c r="D405" s="198"/>
      <c r="E405" s="198"/>
      <c r="F405" s="198"/>
      <c r="G405" s="198"/>
      <c r="H405" s="198"/>
      <c r="I405" s="268"/>
      <c r="J405" s="198"/>
      <c r="K405" s="198"/>
      <c r="L405" s="198"/>
      <c r="M405" s="198"/>
      <c r="N405" s="198"/>
      <c r="O405" s="198"/>
      <c r="P405" s="198"/>
      <c r="Q405" s="198"/>
      <c r="R405" s="198"/>
      <c r="S405" s="198"/>
      <c r="T405" s="198"/>
      <c r="U405" s="198"/>
      <c r="V405" s="198"/>
      <c r="W405" s="198"/>
      <c r="X405" s="198"/>
    </row>
    <row r="406">
      <c r="A406" s="198"/>
      <c r="B406" s="198"/>
      <c r="C406" s="198"/>
      <c r="D406" s="198"/>
      <c r="E406" s="198"/>
      <c r="F406" s="198"/>
      <c r="G406" s="198"/>
      <c r="H406" s="198"/>
      <c r="I406" s="268"/>
      <c r="J406" s="198"/>
      <c r="K406" s="198"/>
      <c r="L406" s="198"/>
      <c r="M406" s="198"/>
      <c r="N406" s="198"/>
      <c r="O406" s="198"/>
      <c r="P406" s="198"/>
      <c r="Q406" s="198"/>
      <c r="R406" s="198"/>
      <c r="S406" s="198"/>
      <c r="T406" s="198"/>
      <c r="U406" s="198"/>
      <c r="V406" s="198"/>
      <c r="W406" s="198"/>
      <c r="X406" s="198"/>
    </row>
    <row r="407">
      <c r="A407" s="198"/>
      <c r="B407" s="198"/>
      <c r="C407" s="198"/>
      <c r="D407" s="198"/>
      <c r="E407" s="198"/>
      <c r="F407" s="198"/>
      <c r="G407" s="198"/>
      <c r="H407" s="198"/>
      <c r="I407" s="268"/>
      <c r="J407" s="198"/>
      <c r="K407" s="198"/>
      <c r="L407" s="198"/>
      <c r="M407" s="198"/>
      <c r="N407" s="198"/>
      <c r="O407" s="198"/>
      <c r="P407" s="198"/>
      <c r="Q407" s="198"/>
      <c r="R407" s="198"/>
      <c r="S407" s="198"/>
      <c r="T407" s="198"/>
      <c r="U407" s="198"/>
      <c r="V407" s="198"/>
      <c r="W407" s="198"/>
      <c r="X407" s="198"/>
    </row>
    <row r="408">
      <c r="A408" s="198"/>
      <c r="B408" s="198"/>
      <c r="C408" s="198"/>
      <c r="D408" s="198"/>
      <c r="E408" s="198"/>
      <c r="F408" s="198"/>
      <c r="G408" s="198"/>
      <c r="H408" s="198"/>
      <c r="I408" s="268"/>
      <c r="J408" s="198"/>
      <c r="K408" s="198"/>
      <c r="L408" s="198"/>
      <c r="M408" s="198"/>
      <c r="N408" s="198"/>
      <c r="O408" s="198"/>
      <c r="P408" s="198"/>
      <c r="Q408" s="198"/>
      <c r="R408" s="198"/>
      <c r="S408" s="198"/>
      <c r="T408" s="198"/>
      <c r="U408" s="198"/>
      <c r="V408" s="198"/>
      <c r="W408" s="198"/>
      <c r="X408" s="198"/>
    </row>
    <row r="409">
      <c r="A409" s="198"/>
      <c r="B409" s="198"/>
      <c r="C409" s="198"/>
      <c r="D409" s="198"/>
      <c r="E409" s="198"/>
      <c r="F409" s="198"/>
      <c r="G409" s="198"/>
      <c r="H409" s="198"/>
      <c r="I409" s="268"/>
      <c r="J409" s="198"/>
      <c r="K409" s="198"/>
      <c r="L409" s="198"/>
      <c r="M409" s="198"/>
      <c r="N409" s="198"/>
      <c r="O409" s="198"/>
      <c r="P409" s="198"/>
      <c r="Q409" s="198"/>
      <c r="R409" s="198"/>
      <c r="S409" s="198"/>
      <c r="T409" s="198"/>
      <c r="U409" s="198"/>
      <c r="V409" s="198"/>
      <c r="W409" s="198"/>
      <c r="X409" s="198"/>
    </row>
    <row r="410">
      <c r="A410" s="198"/>
      <c r="B410" s="198"/>
      <c r="C410" s="198"/>
      <c r="D410" s="198"/>
      <c r="E410" s="198"/>
      <c r="F410" s="198"/>
      <c r="G410" s="198"/>
      <c r="H410" s="198"/>
      <c r="I410" s="268"/>
      <c r="J410" s="198"/>
      <c r="K410" s="198"/>
      <c r="L410" s="198"/>
      <c r="M410" s="198"/>
      <c r="N410" s="198"/>
      <c r="O410" s="198"/>
      <c r="P410" s="198"/>
      <c r="Q410" s="198"/>
      <c r="R410" s="198"/>
      <c r="S410" s="198"/>
      <c r="T410" s="198"/>
      <c r="U410" s="198"/>
      <c r="V410" s="198"/>
      <c r="W410" s="198"/>
      <c r="X410" s="198"/>
    </row>
    <row r="411">
      <c r="A411" s="198"/>
      <c r="B411" s="198"/>
      <c r="C411" s="198"/>
      <c r="D411" s="198"/>
      <c r="E411" s="198"/>
      <c r="F411" s="198"/>
      <c r="G411" s="198"/>
      <c r="H411" s="198"/>
      <c r="I411" s="268"/>
      <c r="J411" s="198"/>
      <c r="K411" s="198"/>
      <c r="L411" s="198"/>
      <c r="M411" s="198"/>
      <c r="N411" s="198"/>
      <c r="O411" s="198"/>
      <c r="P411" s="198"/>
      <c r="Q411" s="198"/>
      <c r="R411" s="198"/>
      <c r="S411" s="198"/>
      <c r="T411" s="198"/>
      <c r="U411" s="198"/>
      <c r="V411" s="198"/>
      <c r="W411" s="198"/>
      <c r="X411" s="198"/>
    </row>
    <row r="412">
      <c r="A412" s="198"/>
      <c r="B412" s="198"/>
      <c r="C412" s="198"/>
      <c r="D412" s="198"/>
      <c r="E412" s="198"/>
      <c r="F412" s="198"/>
      <c r="G412" s="198"/>
      <c r="H412" s="198"/>
      <c r="I412" s="268"/>
      <c r="J412" s="198"/>
      <c r="K412" s="198"/>
      <c r="L412" s="198"/>
      <c r="M412" s="198"/>
      <c r="N412" s="198"/>
      <c r="O412" s="198"/>
      <c r="P412" s="198"/>
      <c r="Q412" s="198"/>
      <c r="R412" s="198"/>
      <c r="S412" s="198"/>
      <c r="T412" s="198"/>
      <c r="U412" s="198"/>
      <c r="V412" s="198"/>
      <c r="W412" s="198"/>
      <c r="X412" s="198"/>
    </row>
    <row r="413">
      <c r="A413" s="198"/>
      <c r="B413" s="198"/>
      <c r="C413" s="198"/>
      <c r="D413" s="198"/>
      <c r="E413" s="198"/>
      <c r="F413" s="198"/>
      <c r="G413" s="198"/>
      <c r="H413" s="198"/>
      <c r="I413" s="268"/>
      <c r="J413" s="198"/>
      <c r="K413" s="198"/>
      <c r="L413" s="198"/>
      <c r="M413" s="198"/>
      <c r="N413" s="198"/>
      <c r="O413" s="198"/>
      <c r="P413" s="198"/>
      <c r="Q413" s="198"/>
      <c r="R413" s="198"/>
      <c r="S413" s="198"/>
      <c r="T413" s="198"/>
      <c r="U413" s="198"/>
      <c r="V413" s="198"/>
      <c r="W413" s="198"/>
      <c r="X413" s="198"/>
    </row>
    <row r="414">
      <c r="A414" s="198"/>
      <c r="B414" s="198"/>
      <c r="C414" s="198"/>
      <c r="D414" s="198"/>
      <c r="E414" s="198"/>
      <c r="F414" s="198"/>
      <c r="G414" s="198"/>
      <c r="H414" s="198"/>
      <c r="I414" s="268"/>
      <c r="J414" s="198"/>
      <c r="K414" s="198"/>
      <c r="L414" s="198"/>
      <c r="M414" s="198"/>
      <c r="N414" s="198"/>
      <c r="O414" s="198"/>
      <c r="P414" s="198"/>
      <c r="Q414" s="198"/>
      <c r="R414" s="198"/>
      <c r="S414" s="198"/>
      <c r="T414" s="198"/>
      <c r="U414" s="198"/>
      <c r="V414" s="198"/>
      <c r="W414" s="198"/>
      <c r="X414" s="198"/>
    </row>
    <row r="415">
      <c r="A415" s="198"/>
      <c r="B415" s="198"/>
      <c r="C415" s="198"/>
      <c r="D415" s="198"/>
      <c r="E415" s="198"/>
      <c r="F415" s="198"/>
      <c r="G415" s="198"/>
      <c r="H415" s="198"/>
      <c r="I415" s="268"/>
      <c r="J415" s="198"/>
      <c r="K415" s="198"/>
      <c r="L415" s="198"/>
      <c r="M415" s="198"/>
      <c r="N415" s="198"/>
      <c r="O415" s="198"/>
      <c r="P415" s="198"/>
      <c r="Q415" s="198"/>
      <c r="R415" s="198"/>
      <c r="S415" s="198"/>
      <c r="T415" s="198"/>
      <c r="U415" s="198"/>
      <c r="V415" s="198"/>
      <c r="W415" s="198"/>
      <c r="X415" s="198"/>
    </row>
    <row r="416">
      <c r="A416" s="198"/>
      <c r="B416" s="198"/>
      <c r="C416" s="198"/>
      <c r="D416" s="198"/>
      <c r="E416" s="198"/>
      <c r="F416" s="198"/>
      <c r="G416" s="198"/>
      <c r="H416" s="198"/>
      <c r="I416" s="268"/>
      <c r="J416" s="198"/>
      <c r="K416" s="198"/>
      <c r="L416" s="198"/>
      <c r="M416" s="198"/>
      <c r="N416" s="198"/>
      <c r="O416" s="198"/>
      <c r="P416" s="198"/>
      <c r="Q416" s="198"/>
      <c r="R416" s="198"/>
      <c r="S416" s="198"/>
      <c r="T416" s="198"/>
      <c r="U416" s="198"/>
      <c r="V416" s="198"/>
      <c r="W416" s="198"/>
      <c r="X416" s="198"/>
    </row>
    <row r="417">
      <c r="A417" s="198"/>
      <c r="B417" s="198"/>
      <c r="C417" s="198"/>
      <c r="D417" s="198"/>
      <c r="E417" s="198"/>
      <c r="F417" s="198"/>
      <c r="G417" s="198"/>
      <c r="H417" s="198"/>
      <c r="I417" s="268"/>
      <c r="J417" s="198"/>
      <c r="K417" s="198"/>
      <c r="L417" s="198"/>
      <c r="M417" s="198"/>
      <c r="N417" s="198"/>
      <c r="O417" s="198"/>
      <c r="P417" s="198"/>
      <c r="Q417" s="198"/>
      <c r="R417" s="198"/>
      <c r="S417" s="198"/>
      <c r="T417" s="198"/>
      <c r="U417" s="198"/>
      <c r="V417" s="198"/>
      <c r="W417" s="198"/>
      <c r="X417" s="198"/>
    </row>
    <row r="418">
      <c r="A418" s="198"/>
      <c r="B418" s="198"/>
      <c r="C418" s="198"/>
      <c r="D418" s="198"/>
      <c r="E418" s="198"/>
      <c r="F418" s="198"/>
      <c r="G418" s="198"/>
      <c r="H418" s="198"/>
      <c r="I418" s="268"/>
      <c r="J418" s="198"/>
      <c r="K418" s="198"/>
      <c r="L418" s="198"/>
      <c r="M418" s="198"/>
      <c r="N418" s="198"/>
      <c r="O418" s="198"/>
      <c r="P418" s="198"/>
      <c r="Q418" s="198"/>
      <c r="R418" s="198"/>
      <c r="S418" s="198"/>
      <c r="T418" s="198"/>
      <c r="U418" s="198"/>
      <c r="V418" s="198"/>
      <c r="W418" s="198"/>
      <c r="X418" s="198"/>
    </row>
    <row r="419">
      <c r="A419" s="198"/>
      <c r="B419" s="198"/>
      <c r="C419" s="198"/>
      <c r="D419" s="198"/>
      <c r="E419" s="198"/>
      <c r="F419" s="198"/>
      <c r="G419" s="198"/>
      <c r="H419" s="198"/>
      <c r="I419" s="268"/>
      <c r="J419" s="198"/>
      <c r="K419" s="198"/>
      <c r="L419" s="198"/>
      <c r="M419" s="198"/>
      <c r="N419" s="198"/>
      <c r="O419" s="198"/>
      <c r="P419" s="198"/>
      <c r="Q419" s="198"/>
      <c r="R419" s="198"/>
      <c r="S419" s="198"/>
      <c r="T419" s="198"/>
      <c r="U419" s="198"/>
      <c r="V419" s="198"/>
      <c r="W419" s="198"/>
      <c r="X419" s="198"/>
    </row>
    <row r="420">
      <c r="A420" s="198"/>
      <c r="B420" s="198"/>
      <c r="C420" s="198"/>
      <c r="D420" s="198"/>
      <c r="E420" s="198"/>
      <c r="F420" s="198"/>
      <c r="G420" s="198"/>
      <c r="H420" s="198"/>
      <c r="I420" s="268"/>
      <c r="J420" s="198"/>
      <c r="K420" s="198"/>
      <c r="L420" s="198"/>
      <c r="M420" s="198"/>
      <c r="N420" s="198"/>
      <c r="O420" s="198"/>
      <c r="P420" s="198"/>
      <c r="Q420" s="198"/>
      <c r="R420" s="198"/>
      <c r="S420" s="198"/>
      <c r="T420" s="198"/>
      <c r="U420" s="198"/>
      <c r="V420" s="198"/>
      <c r="W420" s="198"/>
      <c r="X420" s="198"/>
    </row>
    <row r="421">
      <c r="A421" s="198"/>
      <c r="B421" s="198"/>
      <c r="C421" s="198"/>
      <c r="D421" s="198"/>
      <c r="E421" s="198"/>
      <c r="F421" s="198"/>
      <c r="G421" s="198"/>
      <c r="H421" s="198"/>
      <c r="I421" s="268"/>
      <c r="J421" s="198"/>
      <c r="K421" s="198"/>
      <c r="L421" s="198"/>
      <c r="M421" s="198"/>
      <c r="N421" s="198"/>
      <c r="O421" s="198"/>
      <c r="P421" s="198"/>
      <c r="Q421" s="198"/>
      <c r="R421" s="198"/>
      <c r="S421" s="198"/>
      <c r="T421" s="198"/>
      <c r="U421" s="198"/>
      <c r="V421" s="198"/>
      <c r="W421" s="198"/>
      <c r="X421" s="198"/>
    </row>
    <row r="422">
      <c r="A422" s="198"/>
      <c r="B422" s="198"/>
      <c r="C422" s="198"/>
      <c r="D422" s="198"/>
      <c r="E422" s="198"/>
      <c r="F422" s="198"/>
      <c r="G422" s="198"/>
      <c r="H422" s="198"/>
      <c r="I422" s="268"/>
      <c r="J422" s="198"/>
      <c r="K422" s="198"/>
      <c r="L422" s="198"/>
      <c r="M422" s="198"/>
      <c r="N422" s="198"/>
      <c r="O422" s="198"/>
      <c r="P422" s="198"/>
      <c r="Q422" s="198"/>
      <c r="R422" s="198"/>
      <c r="S422" s="198"/>
      <c r="T422" s="198"/>
      <c r="U422" s="198"/>
      <c r="V422" s="198"/>
      <c r="W422" s="198"/>
      <c r="X422" s="198"/>
    </row>
    <row r="423">
      <c r="A423" s="198"/>
      <c r="B423" s="198"/>
      <c r="C423" s="198"/>
      <c r="D423" s="198"/>
      <c r="E423" s="198"/>
      <c r="F423" s="198"/>
      <c r="G423" s="198"/>
      <c r="H423" s="198"/>
      <c r="I423" s="268"/>
      <c r="J423" s="198"/>
      <c r="K423" s="198"/>
      <c r="L423" s="198"/>
      <c r="M423" s="198"/>
      <c r="N423" s="198"/>
      <c r="O423" s="198"/>
      <c r="P423" s="198"/>
      <c r="Q423" s="198"/>
      <c r="R423" s="198"/>
      <c r="S423" s="198"/>
      <c r="T423" s="198"/>
      <c r="U423" s="198"/>
      <c r="V423" s="198"/>
      <c r="W423" s="198"/>
      <c r="X423" s="198"/>
    </row>
    <row r="424">
      <c r="A424" s="198"/>
      <c r="B424" s="198"/>
      <c r="C424" s="198"/>
      <c r="D424" s="198"/>
      <c r="E424" s="198"/>
      <c r="F424" s="198"/>
      <c r="G424" s="198"/>
      <c r="H424" s="198"/>
      <c r="I424" s="268"/>
      <c r="J424" s="198"/>
      <c r="K424" s="198"/>
      <c r="L424" s="198"/>
      <c r="M424" s="198"/>
      <c r="N424" s="198"/>
      <c r="O424" s="198"/>
      <c r="P424" s="198"/>
      <c r="Q424" s="198"/>
      <c r="R424" s="198"/>
      <c r="S424" s="198"/>
      <c r="T424" s="198"/>
      <c r="U424" s="198"/>
      <c r="V424" s="198"/>
      <c r="W424" s="198"/>
      <c r="X424" s="198"/>
    </row>
    <row r="425">
      <c r="A425" s="198"/>
      <c r="B425" s="198"/>
      <c r="C425" s="198"/>
      <c r="D425" s="198"/>
      <c r="E425" s="198"/>
      <c r="F425" s="198"/>
      <c r="G425" s="198"/>
      <c r="H425" s="198"/>
      <c r="I425" s="268"/>
      <c r="J425" s="198"/>
      <c r="K425" s="198"/>
      <c r="L425" s="198"/>
      <c r="M425" s="198"/>
      <c r="N425" s="198"/>
      <c r="O425" s="198"/>
      <c r="P425" s="198"/>
      <c r="Q425" s="198"/>
      <c r="R425" s="198"/>
      <c r="S425" s="198"/>
      <c r="T425" s="198"/>
      <c r="U425" s="198"/>
      <c r="V425" s="198"/>
      <c r="W425" s="198"/>
      <c r="X425" s="198"/>
    </row>
    <row r="426">
      <c r="A426" s="198"/>
      <c r="B426" s="198"/>
      <c r="C426" s="198"/>
      <c r="D426" s="198"/>
      <c r="E426" s="198"/>
      <c r="F426" s="198"/>
      <c r="G426" s="198"/>
      <c r="H426" s="198"/>
      <c r="I426" s="268"/>
      <c r="J426" s="198"/>
      <c r="K426" s="198"/>
      <c r="L426" s="198"/>
      <c r="M426" s="198"/>
      <c r="N426" s="198"/>
      <c r="O426" s="198"/>
      <c r="P426" s="198"/>
      <c r="Q426" s="198"/>
      <c r="R426" s="198"/>
      <c r="S426" s="198"/>
      <c r="T426" s="198"/>
      <c r="U426" s="198"/>
      <c r="V426" s="198"/>
      <c r="W426" s="198"/>
      <c r="X426" s="198"/>
    </row>
    <row r="427">
      <c r="A427" s="198"/>
      <c r="B427" s="198"/>
      <c r="C427" s="198"/>
      <c r="D427" s="198"/>
      <c r="E427" s="198"/>
      <c r="F427" s="198"/>
      <c r="G427" s="198"/>
      <c r="H427" s="198"/>
      <c r="I427" s="268"/>
      <c r="J427" s="198"/>
      <c r="K427" s="198"/>
      <c r="L427" s="198"/>
      <c r="M427" s="198"/>
      <c r="N427" s="198"/>
      <c r="O427" s="198"/>
      <c r="P427" s="198"/>
      <c r="Q427" s="198"/>
      <c r="R427" s="198"/>
      <c r="S427" s="198"/>
      <c r="T427" s="198"/>
      <c r="U427" s="198"/>
      <c r="V427" s="198"/>
      <c r="W427" s="198"/>
      <c r="X427" s="198"/>
    </row>
    <row r="428">
      <c r="A428" s="198"/>
      <c r="B428" s="198"/>
      <c r="C428" s="198"/>
      <c r="D428" s="198"/>
      <c r="E428" s="198"/>
      <c r="F428" s="198"/>
      <c r="G428" s="198"/>
      <c r="H428" s="198"/>
      <c r="I428" s="268"/>
      <c r="J428" s="198"/>
      <c r="K428" s="198"/>
      <c r="L428" s="198"/>
      <c r="M428" s="198"/>
      <c r="N428" s="198"/>
      <c r="O428" s="198"/>
      <c r="P428" s="198"/>
      <c r="Q428" s="198"/>
      <c r="R428" s="198"/>
      <c r="S428" s="198"/>
      <c r="T428" s="198"/>
      <c r="U428" s="198"/>
      <c r="V428" s="198"/>
      <c r="W428" s="198"/>
      <c r="X428" s="198"/>
    </row>
    <row r="429">
      <c r="A429" s="198"/>
      <c r="B429" s="198"/>
      <c r="C429" s="198"/>
      <c r="D429" s="198"/>
      <c r="E429" s="198"/>
      <c r="F429" s="198"/>
      <c r="G429" s="198"/>
      <c r="H429" s="198"/>
      <c r="I429" s="268"/>
      <c r="J429" s="198"/>
      <c r="K429" s="198"/>
      <c r="L429" s="198"/>
      <c r="M429" s="198"/>
      <c r="N429" s="198"/>
      <c r="O429" s="198"/>
      <c r="P429" s="198"/>
      <c r="Q429" s="198"/>
      <c r="R429" s="198"/>
      <c r="S429" s="198"/>
      <c r="T429" s="198"/>
      <c r="U429" s="198"/>
      <c r="V429" s="198"/>
      <c r="W429" s="198"/>
      <c r="X429" s="198"/>
    </row>
    <row r="430">
      <c r="A430" s="198"/>
      <c r="B430" s="198"/>
      <c r="C430" s="198"/>
      <c r="D430" s="198"/>
      <c r="E430" s="198"/>
      <c r="F430" s="198"/>
      <c r="G430" s="198"/>
      <c r="H430" s="198"/>
      <c r="I430" s="268"/>
      <c r="J430" s="198"/>
      <c r="K430" s="198"/>
      <c r="L430" s="198"/>
      <c r="M430" s="198"/>
      <c r="N430" s="198"/>
      <c r="O430" s="198"/>
      <c r="P430" s="198"/>
      <c r="Q430" s="198"/>
      <c r="R430" s="198"/>
      <c r="S430" s="198"/>
      <c r="T430" s="198"/>
      <c r="U430" s="198"/>
      <c r="V430" s="198"/>
      <c r="W430" s="198"/>
      <c r="X430" s="198"/>
    </row>
    <row r="431">
      <c r="A431" s="198"/>
      <c r="B431" s="198"/>
      <c r="C431" s="198"/>
      <c r="D431" s="198"/>
      <c r="E431" s="198"/>
      <c r="F431" s="198"/>
      <c r="G431" s="198"/>
      <c r="H431" s="198"/>
      <c r="I431" s="268"/>
      <c r="J431" s="198"/>
      <c r="K431" s="198"/>
      <c r="L431" s="198"/>
      <c r="M431" s="198"/>
      <c r="N431" s="198"/>
      <c r="O431" s="198"/>
      <c r="P431" s="198"/>
      <c r="Q431" s="198"/>
      <c r="R431" s="198"/>
      <c r="S431" s="198"/>
      <c r="T431" s="198"/>
      <c r="U431" s="198"/>
      <c r="V431" s="198"/>
      <c r="W431" s="198"/>
      <c r="X431" s="198"/>
    </row>
    <row r="432">
      <c r="A432" s="198"/>
      <c r="B432" s="198"/>
      <c r="C432" s="198"/>
      <c r="D432" s="198"/>
      <c r="E432" s="198"/>
      <c r="F432" s="198"/>
      <c r="G432" s="198"/>
      <c r="H432" s="198"/>
      <c r="I432" s="268"/>
      <c r="J432" s="198"/>
      <c r="K432" s="198"/>
      <c r="L432" s="198"/>
      <c r="M432" s="198"/>
      <c r="N432" s="198"/>
      <c r="O432" s="198"/>
      <c r="P432" s="198"/>
      <c r="Q432" s="198"/>
      <c r="R432" s="198"/>
      <c r="S432" s="198"/>
      <c r="T432" s="198"/>
      <c r="U432" s="198"/>
      <c r="V432" s="198"/>
      <c r="W432" s="198"/>
      <c r="X432" s="198"/>
    </row>
    <row r="433">
      <c r="A433" s="198"/>
      <c r="B433" s="198"/>
      <c r="C433" s="198"/>
      <c r="D433" s="198"/>
      <c r="E433" s="198"/>
      <c r="F433" s="198"/>
      <c r="G433" s="198"/>
      <c r="H433" s="198"/>
      <c r="I433" s="268"/>
      <c r="J433" s="198"/>
      <c r="K433" s="198"/>
      <c r="L433" s="198"/>
      <c r="M433" s="198"/>
      <c r="N433" s="198"/>
      <c r="O433" s="198"/>
      <c r="P433" s="198"/>
      <c r="Q433" s="198"/>
      <c r="R433" s="198"/>
      <c r="S433" s="198"/>
      <c r="T433" s="198"/>
      <c r="U433" s="198"/>
      <c r="V433" s="198"/>
      <c r="W433" s="198"/>
      <c r="X433" s="198"/>
    </row>
    <row r="434">
      <c r="A434" s="198"/>
      <c r="B434" s="198"/>
      <c r="C434" s="198"/>
      <c r="D434" s="198"/>
      <c r="E434" s="198"/>
      <c r="F434" s="198"/>
      <c r="G434" s="198"/>
      <c r="H434" s="198"/>
      <c r="I434" s="268"/>
      <c r="J434" s="198"/>
      <c r="K434" s="198"/>
      <c r="L434" s="198"/>
      <c r="M434" s="198"/>
      <c r="N434" s="198"/>
      <c r="O434" s="198"/>
      <c r="P434" s="198"/>
      <c r="Q434" s="198"/>
      <c r="R434" s="198"/>
      <c r="S434" s="198"/>
      <c r="T434" s="198"/>
      <c r="U434" s="198"/>
      <c r="V434" s="198"/>
      <c r="W434" s="198"/>
      <c r="X434" s="198"/>
    </row>
    <row r="435">
      <c r="A435" s="198"/>
      <c r="B435" s="198"/>
      <c r="C435" s="198"/>
      <c r="D435" s="198"/>
      <c r="E435" s="198"/>
      <c r="F435" s="198"/>
      <c r="G435" s="198"/>
      <c r="H435" s="198"/>
      <c r="I435" s="268"/>
      <c r="J435" s="198"/>
      <c r="K435" s="198"/>
      <c r="L435" s="198"/>
      <c r="M435" s="198"/>
      <c r="N435" s="198"/>
      <c r="O435" s="198"/>
      <c r="P435" s="198"/>
      <c r="Q435" s="198"/>
      <c r="R435" s="198"/>
      <c r="S435" s="198"/>
      <c r="T435" s="198"/>
      <c r="U435" s="198"/>
      <c r="V435" s="198"/>
      <c r="W435" s="198"/>
      <c r="X435" s="198"/>
    </row>
    <row r="436">
      <c r="A436" s="198"/>
      <c r="B436" s="198"/>
      <c r="C436" s="198"/>
      <c r="D436" s="198"/>
      <c r="E436" s="198"/>
      <c r="F436" s="198"/>
      <c r="G436" s="198"/>
      <c r="H436" s="198"/>
      <c r="I436" s="268"/>
      <c r="J436" s="198"/>
      <c r="K436" s="198"/>
      <c r="L436" s="198"/>
      <c r="M436" s="198"/>
      <c r="N436" s="198"/>
      <c r="O436" s="198"/>
      <c r="P436" s="198"/>
      <c r="Q436" s="198"/>
      <c r="R436" s="198"/>
      <c r="S436" s="198"/>
      <c r="T436" s="198"/>
      <c r="U436" s="198"/>
      <c r="V436" s="198"/>
      <c r="W436" s="198"/>
      <c r="X436" s="198"/>
    </row>
    <row r="437">
      <c r="A437" s="198"/>
      <c r="B437" s="198"/>
      <c r="C437" s="198"/>
      <c r="D437" s="198"/>
      <c r="E437" s="198"/>
      <c r="F437" s="198"/>
      <c r="G437" s="198"/>
      <c r="H437" s="198"/>
      <c r="I437" s="268"/>
      <c r="J437" s="198"/>
      <c r="K437" s="198"/>
      <c r="L437" s="198"/>
      <c r="M437" s="198"/>
      <c r="N437" s="198"/>
      <c r="O437" s="198"/>
      <c r="P437" s="198"/>
      <c r="Q437" s="198"/>
      <c r="R437" s="198"/>
      <c r="S437" s="198"/>
      <c r="T437" s="198"/>
      <c r="U437" s="198"/>
      <c r="V437" s="198"/>
      <c r="W437" s="198"/>
      <c r="X437" s="198"/>
    </row>
    <row r="438">
      <c r="A438" s="198"/>
      <c r="B438" s="198"/>
      <c r="C438" s="198"/>
      <c r="D438" s="198"/>
      <c r="E438" s="198"/>
      <c r="F438" s="198"/>
      <c r="G438" s="198"/>
      <c r="H438" s="198"/>
      <c r="I438" s="268"/>
      <c r="J438" s="198"/>
      <c r="K438" s="198"/>
      <c r="L438" s="198"/>
      <c r="M438" s="198"/>
      <c r="N438" s="198"/>
      <c r="O438" s="198"/>
      <c r="P438" s="198"/>
      <c r="Q438" s="198"/>
      <c r="R438" s="198"/>
      <c r="S438" s="198"/>
      <c r="T438" s="198"/>
      <c r="U438" s="198"/>
      <c r="V438" s="198"/>
      <c r="W438" s="198"/>
      <c r="X438" s="198"/>
    </row>
    <row r="439">
      <c r="A439" s="198"/>
      <c r="B439" s="198"/>
      <c r="C439" s="198"/>
      <c r="D439" s="198"/>
      <c r="E439" s="198"/>
      <c r="F439" s="198"/>
      <c r="G439" s="198"/>
      <c r="H439" s="198"/>
      <c r="I439" s="268"/>
      <c r="J439" s="198"/>
      <c r="K439" s="198"/>
      <c r="L439" s="198"/>
      <c r="M439" s="198"/>
      <c r="N439" s="198"/>
      <c r="O439" s="198"/>
      <c r="P439" s="198"/>
      <c r="Q439" s="198"/>
      <c r="R439" s="198"/>
      <c r="S439" s="198"/>
      <c r="T439" s="198"/>
      <c r="U439" s="198"/>
      <c r="V439" s="198"/>
      <c r="W439" s="198"/>
      <c r="X439" s="198"/>
    </row>
    <row r="440">
      <c r="A440" s="198"/>
      <c r="B440" s="198"/>
      <c r="C440" s="198"/>
      <c r="D440" s="198"/>
      <c r="E440" s="198"/>
      <c r="F440" s="198"/>
      <c r="G440" s="198"/>
      <c r="H440" s="198"/>
      <c r="I440" s="268"/>
      <c r="J440" s="198"/>
      <c r="K440" s="198"/>
      <c r="L440" s="198"/>
      <c r="M440" s="198"/>
      <c r="N440" s="198"/>
      <c r="O440" s="198"/>
      <c r="P440" s="198"/>
      <c r="Q440" s="198"/>
      <c r="R440" s="198"/>
      <c r="S440" s="198"/>
      <c r="T440" s="198"/>
      <c r="U440" s="198"/>
      <c r="V440" s="198"/>
      <c r="W440" s="198"/>
      <c r="X440" s="198"/>
    </row>
    <row r="441">
      <c r="A441" s="198"/>
      <c r="B441" s="198"/>
      <c r="C441" s="198"/>
      <c r="D441" s="198"/>
      <c r="E441" s="198"/>
      <c r="F441" s="198"/>
      <c r="G441" s="198"/>
      <c r="H441" s="198"/>
      <c r="I441" s="268"/>
      <c r="J441" s="198"/>
      <c r="K441" s="198"/>
      <c r="L441" s="198"/>
      <c r="M441" s="198"/>
      <c r="N441" s="198"/>
      <c r="O441" s="198"/>
      <c r="P441" s="198"/>
      <c r="Q441" s="198"/>
      <c r="R441" s="198"/>
      <c r="S441" s="198"/>
      <c r="T441" s="198"/>
      <c r="U441" s="198"/>
      <c r="V441" s="198"/>
      <c r="W441" s="198"/>
      <c r="X441" s="198"/>
    </row>
    <row r="442">
      <c r="A442" s="198"/>
      <c r="B442" s="198"/>
      <c r="C442" s="198"/>
      <c r="D442" s="198"/>
      <c r="E442" s="198"/>
      <c r="F442" s="198"/>
      <c r="G442" s="198"/>
      <c r="H442" s="198"/>
      <c r="I442" s="268"/>
      <c r="J442" s="198"/>
      <c r="K442" s="198"/>
      <c r="L442" s="198"/>
      <c r="M442" s="198"/>
      <c r="N442" s="198"/>
      <c r="O442" s="198"/>
      <c r="P442" s="198"/>
      <c r="Q442" s="198"/>
      <c r="R442" s="198"/>
      <c r="S442" s="198"/>
      <c r="T442" s="198"/>
      <c r="U442" s="198"/>
      <c r="V442" s="198"/>
      <c r="W442" s="198"/>
      <c r="X442" s="198"/>
    </row>
    <row r="443">
      <c r="A443" s="198"/>
      <c r="B443" s="198"/>
      <c r="C443" s="198"/>
      <c r="D443" s="198"/>
      <c r="E443" s="198"/>
      <c r="F443" s="198"/>
      <c r="G443" s="198"/>
      <c r="H443" s="198"/>
      <c r="I443" s="268"/>
      <c r="J443" s="198"/>
      <c r="K443" s="198"/>
      <c r="L443" s="198"/>
      <c r="M443" s="198"/>
      <c r="N443" s="198"/>
      <c r="O443" s="198"/>
      <c r="P443" s="198"/>
      <c r="Q443" s="198"/>
      <c r="R443" s="198"/>
      <c r="S443" s="198"/>
      <c r="T443" s="198"/>
      <c r="U443" s="198"/>
      <c r="V443" s="198"/>
      <c r="W443" s="198"/>
      <c r="X443" s="198"/>
    </row>
    <row r="444">
      <c r="A444" s="198"/>
      <c r="B444" s="198"/>
      <c r="C444" s="198"/>
      <c r="D444" s="198"/>
      <c r="E444" s="198"/>
      <c r="F444" s="198"/>
      <c r="G444" s="198"/>
      <c r="H444" s="198"/>
      <c r="I444" s="268"/>
      <c r="J444" s="198"/>
      <c r="K444" s="198"/>
      <c r="L444" s="198"/>
      <c r="M444" s="198"/>
      <c r="N444" s="198"/>
      <c r="O444" s="198"/>
      <c r="P444" s="198"/>
      <c r="Q444" s="198"/>
      <c r="R444" s="198"/>
      <c r="S444" s="198"/>
      <c r="T444" s="198"/>
      <c r="U444" s="198"/>
      <c r="V444" s="198"/>
      <c r="W444" s="198"/>
      <c r="X444" s="198"/>
    </row>
    <row r="445">
      <c r="A445" s="198"/>
      <c r="B445" s="198"/>
      <c r="C445" s="198"/>
      <c r="D445" s="198"/>
      <c r="E445" s="198"/>
      <c r="F445" s="198"/>
      <c r="G445" s="198"/>
      <c r="H445" s="198"/>
      <c r="I445" s="268"/>
      <c r="J445" s="198"/>
      <c r="K445" s="198"/>
      <c r="L445" s="198"/>
      <c r="M445" s="198"/>
      <c r="N445" s="198"/>
      <c r="O445" s="198"/>
      <c r="P445" s="198"/>
      <c r="Q445" s="198"/>
      <c r="R445" s="198"/>
      <c r="S445" s="198"/>
      <c r="T445" s="198"/>
      <c r="U445" s="198"/>
      <c r="V445" s="198"/>
      <c r="W445" s="198"/>
      <c r="X445" s="198"/>
    </row>
    <row r="446">
      <c r="A446" s="198"/>
      <c r="B446" s="198"/>
      <c r="C446" s="198"/>
      <c r="D446" s="198"/>
      <c r="E446" s="198"/>
      <c r="F446" s="198"/>
      <c r="G446" s="198"/>
      <c r="H446" s="198"/>
      <c r="I446" s="268"/>
      <c r="J446" s="198"/>
      <c r="K446" s="198"/>
      <c r="L446" s="198"/>
      <c r="M446" s="198"/>
      <c r="N446" s="198"/>
      <c r="O446" s="198"/>
      <c r="P446" s="198"/>
      <c r="Q446" s="198"/>
      <c r="R446" s="198"/>
      <c r="S446" s="198"/>
      <c r="T446" s="198"/>
      <c r="U446" s="198"/>
      <c r="V446" s="198"/>
      <c r="W446" s="198"/>
      <c r="X446" s="198"/>
    </row>
    <row r="447">
      <c r="A447" s="198"/>
      <c r="B447" s="198"/>
      <c r="C447" s="198"/>
      <c r="D447" s="198"/>
      <c r="E447" s="198"/>
      <c r="F447" s="198"/>
      <c r="G447" s="198"/>
      <c r="H447" s="198"/>
      <c r="I447" s="268"/>
      <c r="J447" s="198"/>
      <c r="K447" s="198"/>
      <c r="L447" s="198"/>
      <c r="M447" s="198"/>
      <c r="N447" s="198"/>
      <c r="O447" s="198"/>
      <c r="P447" s="198"/>
      <c r="Q447" s="198"/>
      <c r="R447" s="198"/>
      <c r="S447" s="198"/>
      <c r="T447" s="198"/>
      <c r="U447" s="198"/>
      <c r="V447" s="198"/>
      <c r="W447" s="198"/>
      <c r="X447" s="198"/>
    </row>
    <row r="448">
      <c r="A448" s="198"/>
      <c r="B448" s="198"/>
      <c r="C448" s="198"/>
      <c r="D448" s="198"/>
      <c r="E448" s="198"/>
      <c r="F448" s="198"/>
      <c r="G448" s="198"/>
      <c r="H448" s="198"/>
      <c r="I448" s="268"/>
      <c r="J448" s="198"/>
      <c r="K448" s="198"/>
      <c r="L448" s="198"/>
      <c r="M448" s="198"/>
      <c r="N448" s="198"/>
      <c r="O448" s="198"/>
      <c r="P448" s="198"/>
      <c r="Q448" s="198"/>
      <c r="R448" s="198"/>
      <c r="S448" s="198"/>
      <c r="T448" s="198"/>
      <c r="U448" s="198"/>
      <c r="V448" s="198"/>
      <c r="W448" s="198"/>
      <c r="X448" s="198"/>
    </row>
    <row r="449">
      <c r="A449" s="198"/>
      <c r="B449" s="198"/>
      <c r="C449" s="198"/>
      <c r="D449" s="198"/>
      <c r="E449" s="198"/>
      <c r="F449" s="198"/>
      <c r="G449" s="198"/>
      <c r="H449" s="198"/>
      <c r="I449" s="268"/>
      <c r="J449" s="198"/>
      <c r="K449" s="198"/>
      <c r="L449" s="198"/>
      <c r="M449" s="198"/>
      <c r="N449" s="198"/>
      <c r="O449" s="198"/>
      <c r="P449" s="198"/>
      <c r="Q449" s="198"/>
      <c r="R449" s="198"/>
      <c r="S449" s="198"/>
      <c r="T449" s="198"/>
      <c r="U449" s="198"/>
      <c r="V449" s="198"/>
      <c r="W449" s="198"/>
      <c r="X449" s="198"/>
    </row>
    <row r="450">
      <c r="A450" s="198"/>
      <c r="B450" s="198"/>
      <c r="C450" s="198"/>
      <c r="D450" s="198"/>
      <c r="E450" s="198"/>
      <c r="F450" s="198"/>
      <c r="G450" s="198"/>
      <c r="H450" s="198"/>
      <c r="I450" s="268"/>
      <c r="J450" s="198"/>
      <c r="K450" s="198"/>
      <c r="L450" s="198"/>
      <c r="M450" s="198"/>
      <c r="N450" s="198"/>
      <c r="O450" s="198"/>
      <c r="P450" s="198"/>
      <c r="Q450" s="198"/>
      <c r="R450" s="198"/>
      <c r="S450" s="198"/>
      <c r="T450" s="198"/>
      <c r="U450" s="198"/>
      <c r="V450" s="198"/>
      <c r="W450" s="198"/>
      <c r="X450" s="198"/>
    </row>
    <row r="451">
      <c r="A451" s="198"/>
      <c r="B451" s="198"/>
      <c r="C451" s="198"/>
      <c r="D451" s="198"/>
      <c r="E451" s="198"/>
      <c r="F451" s="198"/>
      <c r="G451" s="198"/>
      <c r="H451" s="198"/>
      <c r="I451" s="268"/>
      <c r="J451" s="198"/>
      <c r="K451" s="198"/>
      <c r="L451" s="198"/>
      <c r="M451" s="198"/>
      <c r="N451" s="198"/>
      <c r="O451" s="198"/>
      <c r="P451" s="198"/>
      <c r="Q451" s="198"/>
      <c r="R451" s="198"/>
      <c r="S451" s="198"/>
      <c r="T451" s="198"/>
      <c r="U451" s="198"/>
      <c r="V451" s="198"/>
      <c r="W451" s="198"/>
      <c r="X451" s="198"/>
    </row>
    <row r="452">
      <c r="A452" s="198"/>
      <c r="B452" s="198"/>
      <c r="C452" s="198"/>
      <c r="D452" s="198"/>
      <c r="E452" s="198"/>
      <c r="F452" s="198"/>
      <c r="G452" s="198"/>
      <c r="H452" s="198"/>
      <c r="I452" s="268"/>
      <c r="J452" s="198"/>
      <c r="K452" s="198"/>
      <c r="L452" s="198"/>
      <c r="M452" s="198"/>
      <c r="N452" s="198"/>
      <c r="O452" s="198"/>
      <c r="P452" s="198"/>
      <c r="Q452" s="198"/>
      <c r="R452" s="198"/>
      <c r="S452" s="198"/>
      <c r="T452" s="198"/>
      <c r="U452" s="198"/>
      <c r="V452" s="198"/>
      <c r="W452" s="198"/>
      <c r="X452" s="198"/>
    </row>
    <row r="453">
      <c r="A453" s="198"/>
      <c r="B453" s="198"/>
      <c r="C453" s="198"/>
      <c r="D453" s="198"/>
      <c r="E453" s="198"/>
      <c r="F453" s="198"/>
      <c r="G453" s="198"/>
      <c r="H453" s="198"/>
      <c r="I453" s="268"/>
      <c r="J453" s="198"/>
      <c r="K453" s="198"/>
      <c r="L453" s="198"/>
      <c r="M453" s="198"/>
      <c r="N453" s="198"/>
      <c r="O453" s="198"/>
      <c r="P453" s="198"/>
      <c r="Q453" s="198"/>
      <c r="R453" s="198"/>
      <c r="S453" s="198"/>
      <c r="T453" s="198"/>
      <c r="U453" s="198"/>
      <c r="V453" s="198"/>
      <c r="W453" s="198"/>
      <c r="X453" s="198"/>
    </row>
    <row r="454">
      <c r="A454" s="198"/>
      <c r="B454" s="198"/>
      <c r="C454" s="198"/>
      <c r="D454" s="198"/>
      <c r="E454" s="198"/>
      <c r="F454" s="198"/>
      <c r="G454" s="198"/>
      <c r="H454" s="198"/>
      <c r="I454" s="268"/>
      <c r="J454" s="198"/>
      <c r="K454" s="198"/>
      <c r="L454" s="198"/>
      <c r="M454" s="198"/>
      <c r="N454" s="198"/>
      <c r="O454" s="198"/>
      <c r="P454" s="198"/>
      <c r="Q454" s="198"/>
      <c r="R454" s="198"/>
      <c r="S454" s="198"/>
      <c r="T454" s="198"/>
      <c r="U454" s="198"/>
      <c r="V454" s="198"/>
      <c r="W454" s="198"/>
      <c r="X454" s="198"/>
    </row>
    <row r="455">
      <c r="A455" s="198"/>
      <c r="B455" s="198"/>
      <c r="C455" s="198"/>
      <c r="D455" s="198"/>
      <c r="E455" s="198"/>
      <c r="F455" s="198"/>
      <c r="G455" s="198"/>
      <c r="H455" s="198"/>
      <c r="I455" s="268"/>
      <c r="J455" s="198"/>
      <c r="K455" s="198"/>
      <c r="L455" s="198"/>
      <c r="M455" s="198"/>
      <c r="N455" s="198"/>
      <c r="O455" s="198"/>
      <c r="P455" s="198"/>
      <c r="Q455" s="198"/>
      <c r="R455" s="198"/>
      <c r="S455" s="198"/>
      <c r="T455" s="198"/>
      <c r="U455" s="198"/>
      <c r="V455" s="198"/>
      <c r="W455" s="198"/>
      <c r="X455" s="198"/>
    </row>
    <row r="456">
      <c r="A456" s="198"/>
      <c r="B456" s="198"/>
      <c r="C456" s="198"/>
      <c r="D456" s="198"/>
      <c r="E456" s="198"/>
      <c r="F456" s="198"/>
      <c r="G456" s="198"/>
      <c r="H456" s="198"/>
      <c r="I456" s="268"/>
      <c r="J456" s="198"/>
      <c r="K456" s="198"/>
      <c r="L456" s="198"/>
      <c r="M456" s="198"/>
      <c r="N456" s="198"/>
      <c r="O456" s="198"/>
      <c r="P456" s="198"/>
      <c r="Q456" s="198"/>
      <c r="R456" s="198"/>
      <c r="S456" s="198"/>
      <c r="T456" s="198"/>
      <c r="U456" s="198"/>
      <c r="V456" s="198"/>
      <c r="W456" s="198"/>
      <c r="X456" s="198"/>
    </row>
    <row r="457">
      <c r="A457" s="198"/>
      <c r="B457" s="198"/>
      <c r="C457" s="198"/>
      <c r="D457" s="198"/>
      <c r="E457" s="198"/>
      <c r="F457" s="198"/>
      <c r="G457" s="198"/>
      <c r="H457" s="198"/>
      <c r="I457" s="268"/>
      <c r="J457" s="198"/>
      <c r="K457" s="198"/>
      <c r="L457" s="198"/>
      <c r="M457" s="198"/>
      <c r="N457" s="198"/>
      <c r="O457" s="198"/>
      <c r="P457" s="198"/>
      <c r="Q457" s="198"/>
      <c r="R457" s="198"/>
      <c r="S457" s="198"/>
      <c r="T457" s="198"/>
      <c r="U457" s="198"/>
      <c r="V457" s="198"/>
      <c r="W457" s="198"/>
      <c r="X457" s="198"/>
    </row>
    <row r="458">
      <c r="A458" s="198"/>
      <c r="B458" s="198"/>
      <c r="C458" s="198"/>
      <c r="D458" s="198"/>
      <c r="E458" s="198"/>
      <c r="F458" s="198"/>
      <c r="G458" s="198"/>
      <c r="H458" s="198"/>
      <c r="I458" s="268"/>
      <c r="J458" s="198"/>
      <c r="K458" s="198"/>
      <c r="L458" s="198"/>
      <c r="M458" s="198"/>
      <c r="N458" s="198"/>
      <c r="O458" s="198"/>
      <c r="P458" s="198"/>
      <c r="Q458" s="198"/>
      <c r="R458" s="198"/>
      <c r="S458" s="198"/>
      <c r="T458" s="198"/>
      <c r="U458" s="198"/>
      <c r="V458" s="198"/>
      <c r="W458" s="198"/>
      <c r="X458" s="198"/>
    </row>
    <row r="459">
      <c r="A459" s="198"/>
      <c r="B459" s="198"/>
      <c r="C459" s="198"/>
      <c r="D459" s="198"/>
      <c r="E459" s="198"/>
      <c r="F459" s="198"/>
      <c r="G459" s="198"/>
      <c r="H459" s="198"/>
      <c r="I459" s="268"/>
      <c r="J459" s="198"/>
      <c r="K459" s="198"/>
      <c r="L459" s="198"/>
      <c r="M459" s="198"/>
      <c r="N459" s="198"/>
      <c r="O459" s="198"/>
      <c r="P459" s="198"/>
      <c r="Q459" s="198"/>
      <c r="R459" s="198"/>
      <c r="S459" s="198"/>
      <c r="T459" s="198"/>
      <c r="U459" s="198"/>
      <c r="V459" s="198"/>
      <c r="W459" s="198"/>
      <c r="X459" s="198"/>
    </row>
    <row r="460">
      <c r="A460" s="198"/>
      <c r="B460" s="198"/>
      <c r="C460" s="198"/>
      <c r="D460" s="198"/>
      <c r="E460" s="198"/>
      <c r="F460" s="198"/>
      <c r="G460" s="198"/>
      <c r="H460" s="198"/>
      <c r="I460" s="268"/>
      <c r="J460" s="198"/>
      <c r="K460" s="198"/>
      <c r="L460" s="198"/>
      <c r="M460" s="198"/>
      <c r="N460" s="198"/>
      <c r="O460" s="198"/>
      <c r="P460" s="198"/>
      <c r="Q460" s="198"/>
      <c r="R460" s="198"/>
      <c r="S460" s="198"/>
      <c r="T460" s="198"/>
      <c r="U460" s="198"/>
      <c r="V460" s="198"/>
      <c r="W460" s="198"/>
      <c r="X460" s="198"/>
    </row>
    <row r="461">
      <c r="A461" s="198"/>
      <c r="B461" s="198"/>
      <c r="C461" s="198"/>
      <c r="D461" s="198"/>
      <c r="E461" s="198"/>
      <c r="F461" s="198"/>
      <c r="G461" s="198"/>
      <c r="H461" s="198"/>
      <c r="I461" s="268"/>
      <c r="J461" s="198"/>
      <c r="K461" s="198"/>
      <c r="L461" s="198"/>
      <c r="M461" s="198"/>
      <c r="N461" s="198"/>
      <c r="O461" s="198"/>
      <c r="P461" s="198"/>
      <c r="Q461" s="198"/>
      <c r="R461" s="198"/>
      <c r="S461" s="198"/>
      <c r="T461" s="198"/>
      <c r="U461" s="198"/>
      <c r="V461" s="198"/>
      <c r="W461" s="198"/>
      <c r="X461" s="198"/>
    </row>
    <row r="462">
      <c r="A462" s="198"/>
      <c r="B462" s="198"/>
      <c r="C462" s="198"/>
      <c r="D462" s="198"/>
      <c r="E462" s="198"/>
      <c r="F462" s="198"/>
      <c r="G462" s="198"/>
      <c r="H462" s="198"/>
      <c r="I462" s="268"/>
      <c r="J462" s="198"/>
      <c r="K462" s="198"/>
      <c r="L462" s="198"/>
      <c r="M462" s="198"/>
      <c r="N462" s="198"/>
      <c r="O462" s="198"/>
      <c r="P462" s="198"/>
      <c r="Q462" s="198"/>
      <c r="R462" s="198"/>
      <c r="S462" s="198"/>
      <c r="T462" s="198"/>
      <c r="U462" s="198"/>
      <c r="V462" s="198"/>
      <c r="W462" s="198"/>
      <c r="X462" s="198"/>
    </row>
    <row r="463">
      <c r="A463" s="198"/>
      <c r="B463" s="198"/>
      <c r="C463" s="198"/>
      <c r="D463" s="198"/>
      <c r="E463" s="198"/>
      <c r="F463" s="198"/>
      <c r="G463" s="198"/>
      <c r="H463" s="198"/>
      <c r="I463" s="268"/>
      <c r="J463" s="198"/>
      <c r="K463" s="198"/>
      <c r="L463" s="198"/>
      <c r="M463" s="198"/>
      <c r="N463" s="198"/>
      <c r="O463" s="198"/>
      <c r="P463" s="198"/>
      <c r="Q463" s="198"/>
      <c r="R463" s="198"/>
      <c r="S463" s="198"/>
      <c r="T463" s="198"/>
      <c r="U463" s="198"/>
      <c r="V463" s="198"/>
      <c r="W463" s="198"/>
      <c r="X463" s="198"/>
    </row>
    <row r="464">
      <c r="A464" s="198"/>
      <c r="B464" s="198"/>
      <c r="C464" s="198"/>
      <c r="D464" s="198"/>
      <c r="E464" s="198"/>
      <c r="F464" s="198"/>
      <c r="G464" s="198"/>
      <c r="H464" s="198"/>
      <c r="I464" s="268"/>
      <c r="J464" s="198"/>
      <c r="K464" s="198"/>
      <c r="L464" s="198"/>
      <c r="M464" s="198"/>
      <c r="N464" s="198"/>
      <c r="O464" s="198"/>
      <c r="P464" s="198"/>
      <c r="Q464" s="198"/>
      <c r="R464" s="198"/>
      <c r="S464" s="198"/>
      <c r="T464" s="198"/>
      <c r="U464" s="198"/>
      <c r="V464" s="198"/>
      <c r="W464" s="198"/>
      <c r="X464" s="198"/>
    </row>
    <row r="465">
      <c r="A465" s="198"/>
      <c r="B465" s="198"/>
      <c r="C465" s="198"/>
      <c r="D465" s="198"/>
      <c r="E465" s="198"/>
      <c r="F465" s="198"/>
      <c r="G465" s="198"/>
      <c r="H465" s="198"/>
      <c r="I465" s="268"/>
      <c r="J465" s="198"/>
      <c r="K465" s="198"/>
      <c r="L465" s="198"/>
      <c r="M465" s="198"/>
      <c r="N465" s="198"/>
      <c r="O465" s="198"/>
      <c r="P465" s="198"/>
      <c r="Q465" s="198"/>
      <c r="R465" s="198"/>
      <c r="S465" s="198"/>
      <c r="T465" s="198"/>
      <c r="U465" s="198"/>
      <c r="V465" s="198"/>
      <c r="W465" s="198"/>
      <c r="X465" s="198"/>
    </row>
    <row r="466">
      <c r="A466" s="198"/>
      <c r="B466" s="198"/>
      <c r="C466" s="198"/>
      <c r="D466" s="198"/>
      <c r="E466" s="198"/>
      <c r="F466" s="198"/>
      <c r="G466" s="198"/>
      <c r="H466" s="198"/>
      <c r="I466" s="268"/>
      <c r="J466" s="198"/>
      <c r="K466" s="198"/>
      <c r="L466" s="198"/>
      <c r="M466" s="198"/>
      <c r="N466" s="198"/>
      <c r="O466" s="198"/>
      <c r="P466" s="198"/>
      <c r="Q466" s="198"/>
      <c r="R466" s="198"/>
      <c r="S466" s="198"/>
      <c r="T466" s="198"/>
      <c r="U466" s="198"/>
      <c r="V466" s="198"/>
      <c r="W466" s="198"/>
      <c r="X466" s="198"/>
    </row>
    <row r="467">
      <c r="A467" s="198"/>
      <c r="B467" s="198"/>
      <c r="C467" s="198"/>
      <c r="D467" s="198"/>
      <c r="E467" s="198"/>
      <c r="F467" s="198"/>
      <c r="G467" s="198"/>
      <c r="H467" s="198"/>
      <c r="I467" s="268"/>
      <c r="J467" s="198"/>
      <c r="K467" s="198"/>
      <c r="L467" s="198"/>
      <c r="M467" s="198"/>
      <c r="N467" s="198"/>
      <c r="O467" s="198"/>
      <c r="P467" s="198"/>
      <c r="Q467" s="198"/>
      <c r="R467" s="198"/>
      <c r="S467" s="198"/>
      <c r="T467" s="198"/>
      <c r="U467" s="198"/>
      <c r="V467" s="198"/>
      <c r="W467" s="198"/>
      <c r="X467" s="198"/>
    </row>
    <row r="468">
      <c r="A468" s="198"/>
      <c r="B468" s="198"/>
      <c r="C468" s="198"/>
      <c r="D468" s="198"/>
      <c r="E468" s="198"/>
      <c r="F468" s="198"/>
      <c r="G468" s="198"/>
      <c r="H468" s="198"/>
      <c r="I468" s="268"/>
      <c r="J468" s="198"/>
      <c r="K468" s="198"/>
      <c r="L468" s="198"/>
      <c r="M468" s="198"/>
      <c r="N468" s="198"/>
      <c r="O468" s="198"/>
      <c r="P468" s="198"/>
      <c r="Q468" s="198"/>
      <c r="R468" s="198"/>
      <c r="S468" s="198"/>
      <c r="T468" s="198"/>
      <c r="U468" s="198"/>
      <c r="V468" s="198"/>
      <c r="W468" s="198"/>
      <c r="X468" s="198"/>
    </row>
    <row r="469">
      <c r="A469" s="198"/>
      <c r="B469" s="198"/>
      <c r="C469" s="198"/>
      <c r="D469" s="198"/>
      <c r="E469" s="198"/>
      <c r="F469" s="198"/>
      <c r="G469" s="198"/>
      <c r="H469" s="198"/>
      <c r="I469" s="268"/>
      <c r="J469" s="198"/>
      <c r="K469" s="198"/>
      <c r="L469" s="198"/>
      <c r="M469" s="198"/>
      <c r="N469" s="198"/>
      <c r="O469" s="198"/>
      <c r="P469" s="198"/>
      <c r="Q469" s="198"/>
      <c r="R469" s="198"/>
      <c r="S469" s="198"/>
      <c r="T469" s="198"/>
      <c r="U469" s="198"/>
      <c r="V469" s="198"/>
      <c r="W469" s="198"/>
      <c r="X469" s="198"/>
    </row>
    <row r="470">
      <c r="A470" s="198"/>
      <c r="B470" s="198"/>
      <c r="C470" s="198"/>
      <c r="D470" s="198"/>
      <c r="E470" s="198"/>
      <c r="F470" s="198"/>
      <c r="G470" s="198"/>
      <c r="H470" s="198"/>
      <c r="I470" s="268"/>
      <c r="J470" s="198"/>
      <c r="K470" s="198"/>
      <c r="L470" s="198"/>
      <c r="M470" s="198"/>
      <c r="N470" s="198"/>
      <c r="O470" s="198"/>
      <c r="P470" s="198"/>
      <c r="Q470" s="198"/>
      <c r="R470" s="198"/>
      <c r="S470" s="198"/>
      <c r="T470" s="198"/>
      <c r="U470" s="198"/>
      <c r="V470" s="198"/>
      <c r="W470" s="198"/>
      <c r="X470" s="198"/>
    </row>
    <row r="471">
      <c r="A471" s="198"/>
      <c r="B471" s="198"/>
      <c r="C471" s="198"/>
      <c r="D471" s="198"/>
      <c r="E471" s="198"/>
      <c r="F471" s="198"/>
      <c r="G471" s="198"/>
      <c r="H471" s="198"/>
      <c r="I471" s="268"/>
      <c r="J471" s="198"/>
      <c r="K471" s="198"/>
      <c r="L471" s="198"/>
      <c r="M471" s="198"/>
      <c r="N471" s="198"/>
      <c r="O471" s="198"/>
      <c r="P471" s="198"/>
      <c r="Q471" s="198"/>
      <c r="R471" s="198"/>
      <c r="S471" s="198"/>
      <c r="T471" s="198"/>
      <c r="U471" s="198"/>
      <c r="V471" s="198"/>
      <c r="W471" s="198"/>
      <c r="X471" s="198"/>
    </row>
    <row r="472">
      <c r="A472" s="198"/>
      <c r="B472" s="198"/>
      <c r="C472" s="198"/>
      <c r="D472" s="198"/>
      <c r="E472" s="198"/>
      <c r="F472" s="198"/>
      <c r="G472" s="198"/>
      <c r="H472" s="198"/>
      <c r="I472" s="268"/>
      <c r="J472" s="198"/>
      <c r="K472" s="198"/>
      <c r="L472" s="198"/>
      <c r="M472" s="198"/>
      <c r="N472" s="198"/>
      <c r="O472" s="198"/>
      <c r="P472" s="198"/>
      <c r="Q472" s="198"/>
      <c r="R472" s="198"/>
      <c r="S472" s="198"/>
      <c r="T472" s="198"/>
      <c r="U472" s="198"/>
      <c r="V472" s="198"/>
      <c r="W472" s="198"/>
      <c r="X472" s="198"/>
    </row>
    <row r="473">
      <c r="A473" s="198"/>
      <c r="B473" s="198"/>
      <c r="C473" s="198"/>
      <c r="D473" s="198"/>
      <c r="E473" s="198"/>
      <c r="F473" s="198"/>
      <c r="G473" s="198"/>
      <c r="H473" s="198"/>
      <c r="I473" s="268"/>
      <c r="J473" s="198"/>
      <c r="K473" s="198"/>
      <c r="L473" s="198"/>
      <c r="M473" s="198"/>
      <c r="N473" s="198"/>
      <c r="O473" s="198"/>
      <c r="P473" s="198"/>
      <c r="Q473" s="198"/>
      <c r="R473" s="198"/>
      <c r="S473" s="198"/>
      <c r="T473" s="198"/>
      <c r="U473" s="198"/>
      <c r="V473" s="198"/>
      <c r="W473" s="198"/>
      <c r="X473" s="198"/>
    </row>
    <row r="474">
      <c r="A474" s="198"/>
      <c r="B474" s="198"/>
      <c r="C474" s="198"/>
      <c r="D474" s="198"/>
      <c r="E474" s="198"/>
      <c r="F474" s="198"/>
      <c r="G474" s="198"/>
      <c r="H474" s="198"/>
      <c r="I474" s="268"/>
      <c r="J474" s="198"/>
      <c r="K474" s="198"/>
      <c r="L474" s="198"/>
      <c r="M474" s="198"/>
      <c r="N474" s="198"/>
      <c r="O474" s="198"/>
      <c r="P474" s="198"/>
      <c r="Q474" s="198"/>
      <c r="R474" s="198"/>
      <c r="S474" s="198"/>
      <c r="T474" s="198"/>
      <c r="U474" s="198"/>
      <c r="V474" s="198"/>
      <c r="W474" s="198"/>
      <c r="X474" s="198"/>
    </row>
    <row r="475">
      <c r="A475" s="198"/>
      <c r="B475" s="198"/>
      <c r="C475" s="198"/>
      <c r="D475" s="198"/>
      <c r="E475" s="198"/>
      <c r="F475" s="198"/>
      <c r="G475" s="198"/>
      <c r="H475" s="198"/>
      <c r="I475" s="268"/>
      <c r="J475" s="198"/>
      <c r="K475" s="198"/>
      <c r="L475" s="198"/>
      <c r="M475" s="198"/>
      <c r="N475" s="198"/>
      <c r="O475" s="198"/>
      <c r="P475" s="198"/>
      <c r="Q475" s="198"/>
      <c r="R475" s="198"/>
      <c r="S475" s="198"/>
      <c r="T475" s="198"/>
      <c r="U475" s="198"/>
      <c r="V475" s="198"/>
      <c r="W475" s="198"/>
      <c r="X475" s="198"/>
    </row>
    <row r="476">
      <c r="A476" s="198"/>
      <c r="B476" s="198"/>
      <c r="C476" s="198"/>
      <c r="D476" s="198"/>
      <c r="E476" s="198"/>
      <c r="F476" s="198"/>
      <c r="G476" s="198"/>
      <c r="H476" s="198"/>
      <c r="I476" s="268"/>
      <c r="J476" s="198"/>
      <c r="K476" s="198"/>
      <c r="L476" s="198"/>
      <c r="M476" s="198"/>
      <c r="N476" s="198"/>
      <c r="O476" s="198"/>
      <c r="P476" s="198"/>
      <c r="Q476" s="198"/>
      <c r="R476" s="198"/>
      <c r="S476" s="198"/>
      <c r="T476" s="198"/>
      <c r="U476" s="198"/>
      <c r="V476" s="198"/>
      <c r="W476" s="198"/>
      <c r="X476" s="198"/>
    </row>
    <row r="477">
      <c r="A477" s="198"/>
      <c r="B477" s="198"/>
      <c r="C477" s="198"/>
      <c r="D477" s="198"/>
      <c r="E477" s="198"/>
      <c r="F477" s="198"/>
      <c r="G477" s="198"/>
      <c r="H477" s="198"/>
      <c r="I477" s="268"/>
      <c r="J477" s="198"/>
      <c r="K477" s="198"/>
      <c r="L477" s="198"/>
      <c r="M477" s="198"/>
      <c r="N477" s="198"/>
      <c r="O477" s="198"/>
      <c r="P477" s="198"/>
      <c r="Q477" s="198"/>
      <c r="R477" s="198"/>
      <c r="S477" s="198"/>
      <c r="T477" s="198"/>
      <c r="U477" s="198"/>
      <c r="V477" s="198"/>
      <c r="W477" s="198"/>
      <c r="X477" s="198"/>
    </row>
    <row r="478">
      <c r="A478" s="198"/>
      <c r="B478" s="198"/>
      <c r="C478" s="198"/>
      <c r="D478" s="198"/>
      <c r="E478" s="198"/>
      <c r="F478" s="198"/>
      <c r="G478" s="198"/>
      <c r="H478" s="198"/>
      <c r="I478" s="268"/>
      <c r="J478" s="198"/>
      <c r="K478" s="198"/>
      <c r="L478" s="198"/>
      <c r="M478" s="198"/>
      <c r="N478" s="198"/>
      <c r="O478" s="198"/>
      <c r="P478" s="198"/>
      <c r="Q478" s="198"/>
      <c r="R478" s="198"/>
      <c r="S478" s="198"/>
      <c r="T478" s="198"/>
      <c r="U478" s="198"/>
      <c r="V478" s="198"/>
      <c r="W478" s="198"/>
      <c r="X478" s="198"/>
    </row>
    <row r="479">
      <c r="A479" s="198"/>
      <c r="B479" s="198"/>
      <c r="C479" s="198"/>
      <c r="D479" s="198"/>
      <c r="E479" s="198"/>
      <c r="F479" s="198"/>
      <c r="G479" s="198"/>
      <c r="H479" s="198"/>
      <c r="I479" s="268"/>
      <c r="J479" s="198"/>
      <c r="K479" s="198"/>
      <c r="L479" s="198"/>
      <c r="M479" s="198"/>
      <c r="N479" s="198"/>
      <c r="O479" s="198"/>
      <c r="P479" s="198"/>
      <c r="Q479" s="198"/>
      <c r="R479" s="198"/>
      <c r="S479" s="198"/>
      <c r="T479" s="198"/>
      <c r="U479" s="198"/>
      <c r="V479" s="198"/>
      <c r="W479" s="198"/>
      <c r="X479" s="198"/>
    </row>
    <row r="480">
      <c r="A480" s="198"/>
      <c r="B480" s="198"/>
      <c r="C480" s="198"/>
      <c r="D480" s="198"/>
      <c r="E480" s="198"/>
      <c r="F480" s="198"/>
      <c r="G480" s="198"/>
      <c r="H480" s="198"/>
      <c r="I480" s="268"/>
      <c r="J480" s="198"/>
      <c r="K480" s="198"/>
      <c r="L480" s="198"/>
      <c r="M480" s="198"/>
      <c r="N480" s="198"/>
      <c r="O480" s="198"/>
      <c r="P480" s="198"/>
      <c r="Q480" s="198"/>
      <c r="R480" s="198"/>
      <c r="S480" s="198"/>
      <c r="T480" s="198"/>
      <c r="U480" s="198"/>
      <c r="V480" s="198"/>
      <c r="W480" s="198"/>
      <c r="X480" s="198"/>
    </row>
    <row r="481">
      <c r="A481" s="198"/>
      <c r="B481" s="198"/>
      <c r="C481" s="198"/>
      <c r="D481" s="198"/>
      <c r="E481" s="198"/>
      <c r="F481" s="198"/>
      <c r="G481" s="198"/>
      <c r="H481" s="198"/>
      <c r="I481" s="268"/>
      <c r="J481" s="198"/>
      <c r="K481" s="198"/>
      <c r="L481" s="198"/>
      <c r="M481" s="198"/>
      <c r="N481" s="198"/>
      <c r="O481" s="198"/>
      <c r="P481" s="198"/>
      <c r="Q481" s="198"/>
      <c r="R481" s="198"/>
      <c r="S481" s="198"/>
      <c r="T481" s="198"/>
      <c r="U481" s="198"/>
      <c r="V481" s="198"/>
      <c r="W481" s="198"/>
      <c r="X481" s="198"/>
    </row>
    <row r="482">
      <c r="A482" s="198"/>
      <c r="B482" s="198"/>
      <c r="C482" s="198"/>
      <c r="D482" s="198"/>
      <c r="E482" s="198"/>
      <c r="F482" s="198"/>
      <c r="G482" s="198"/>
      <c r="H482" s="198"/>
      <c r="I482" s="268"/>
      <c r="J482" s="198"/>
      <c r="K482" s="198"/>
      <c r="L482" s="198"/>
      <c r="M482" s="198"/>
      <c r="N482" s="198"/>
      <c r="O482" s="198"/>
      <c r="P482" s="198"/>
      <c r="Q482" s="198"/>
      <c r="R482" s="198"/>
      <c r="S482" s="198"/>
      <c r="T482" s="198"/>
      <c r="U482" s="198"/>
      <c r="V482" s="198"/>
      <c r="W482" s="198"/>
      <c r="X482" s="198"/>
    </row>
    <row r="483">
      <c r="A483" s="198"/>
      <c r="B483" s="198"/>
      <c r="C483" s="198"/>
      <c r="D483" s="198"/>
      <c r="E483" s="198"/>
      <c r="F483" s="198"/>
      <c r="G483" s="198"/>
      <c r="H483" s="198"/>
      <c r="I483" s="268"/>
      <c r="J483" s="198"/>
      <c r="K483" s="198"/>
      <c r="L483" s="198"/>
      <c r="M483" s="198"/>
      <c r="N483" s="198"/>
      <c r="O483" s="198"/>
      <c r="P483" s="198"/>
      <c r="Q483" s="198"/>
      <c r="R483" s="198"/>
      <c r="S483" s="198"/>
      <c r="T483" s="198"/>
      <c r="U483" s="198"/>
      <c r="V483" s="198"/>
      <c r="W483" s="198"/>
      <c r="X483" s="198"/>
    </row>
    <row r="484">
      <c r="A484" s="198"/>
      <c r="B484" s="198"/>
      <c r="C484" s="198"/>
      <c r="D484" s="198"/>
      <c r="E484" s="198"/>
      <c r="F484" s="198"/>
      <c r="G484" s="198"/>
      <c r="H484" s="198"/>
      <c r="I484" s="268"/>
      <c r="J484" s="198"/>
      <c r="K484" s="198"/>
      <c r="L484" s="198"/>
      <c r="M484" s="198"/>
      <c r="N484" s="198"/>
      <c r="O484" s="198"/>
      <c r="P484" s="198"/>
      <c r="Q484" s="198"/>
      <c r="R484" s="198"/>
      <c r="S484" s="198"/>
      <c r="T484" s="198"/>
      <c r="U484" s="198"/>
      <c r="V484" s="198"/>
      <c r="W484" s="198"/>
      <c r="X484" s="198"/>
    </row>
    <row r="485">
      <c r="A485" s="198"/>
      <c r="B485" s="198"/>
      <c r="C485" s="198"/>
      <c r="D485" s="198"/>
      <c r="E485" s="198"/>
      <c r="F485" s="198"/>
      <c r="G485" s="198"/>
      <c r="H485" s="198"/>
      <c r="I485" s="268"/>
      <c r="J485" s="198"/>
      <c r="K485" s="198"/>
      <c r="L485" s="198"/>
      <c r="M485" s="198"/>
      <c r="N485" s="198"/>
      <c r="O485" s="198"/>
      <c r="P485" s="198"/>
      <c r="Q485" s="198"/>
      <c r="R485" s="198"/>
      <c r="S485" s="198"/>
      <c r="T485" s="198"/>
      <c r="U485" s="198"/>
      <c r="V485" s="198"/>
      <c r="W485" s="198"/>
      <c r="X485" s="198"/>
    </row>
    <row r="486">
      <c r="A486" s="198"/>
      <c r="B486" s="198"/>
      <c r="C486" s="198"/>
      <c r="D486" s="198"/>
      <c r="E486" s="198"/>
      <c r="F486" s="198"/>
      <c r="G486" s="198"/>
      <c r="H486" s="198"/>
      <c r="I486" s="268"/>
      <c r="J486" s="198"/>
      <c r="K486" s="198"/>
      <c r="L486" s="198"/>
      <c r="M486" s="198"/>
      <c r="N486" s="198"/>
      <c r="O486" s="198"/>
      <c r="P486" s="198"/>
      <c r="Q486" s="198"/>
      <c r="R486" s="198"/>
      <c r="S486" s="198"/>
      <c r="T486" s="198"/>
      <c r="U486" s="198"/>
      <c r="V486" s="198"/>
      <c r="W486" s="198"/>
      <c r="X486" s="198"/>
    </row>
    <row r="487">
      <c r="A487" s="198"/>
      <c r="B487" s="198"/>
      <c r="C487" s="198"/>
      <c r="D487" s="198"/>
      <c r="E487" s="198"/>
      <c r="F487" s="198"/>
      <c r="G487" s="198"/>
      <c r="H487" s="198"/>
      <c r="I487" s="268"/>
      <c r="J487" s="198"/>
      <c r="K487" s="198"/>
      <c r="L487" s="198"/>
      <c r="M487" s="198"/>
      <c r="N487" s="198"/>
      <c r="O487" s="198"/>
      <c r="P487" s="198"/>
      <c r="Q487" s="198"/>
      <c r="R487" s="198"/>
      <c r="S487" s="198"/>
      <c r="T487" s="198"/>
      <c r="U487" s="198"/>
      <c r="V487" s="198"/>
      <c r="W487" s="198"/>
      <c r="X487" s="198"/>
    </row>
    <row r="488">
      <c r="A488" s="198"/>
      <c r="B488" s="198"/>
      <c r="C488" s="198"/>
      <c r="D488" s="198"/>
      <c r="E488" s="198"/>
      <c r="F488" s="198"/>
      <c r="G488" s="198"/>
      <c r="H488" s="198"/>
      <c r="I488" s="268"/>
      <c r="J488" s="198"/>
      <c r="K488" s="198"/>
      <c r="L488" s="198"/>
      <c r="M488" s="198"/>
      <c r="N488" s="198"/>
      <c r="O488" s="198"/>
      <c r="P488" s="198"/>
      <c r="Q488" s="198"/>
      <c r="R488" s="198"/>
      <c r="S488" s="198"/>
      <c r="T488" s="198"/>
      <c r="U488" s="198"/>
      <c r="V488" s="198"/>
      <c r="W488" s="198"/>
      <c r="X488" s="198"/>
    </row>
    <row r="489">
      <c r="A489" s="198"/>
      <c r="B489" s="198"/>
      <c r="C489" s="198"/>
      <c r="D489" s="198"/>
      <c r="E489" s="198"/>
      <c r="F489" s="198"/>
      <c r="G489" s="198"/>
      <c r="H489" s="198"/>
      <c r="I489" s="268"/>
      <c r="J489" s="198"/>
      <c r="K489" s="198"/>
      <c r="L489" s="198"/>
      <c r="M489" s="198"/>
      <c r="N489" s="198"/>
      <c r="O489" s="198"/>
      <c r="P489" s="198"/>
      <c r="Q489" s="198"/>
      <c r="R489" s="198"/>
      <c r="S489" s="198"/>
      <c r="T489" s="198"/>
      <c r="U489" s="198"/>
      <c r="V489" s="198"/>
      <c r="W489" s="198"/>
      <c r="X489" s="198"/>
    </row>
    <row r="490">
      <c r="A490" s="198"/>
      <c r="B490" s="198"/>
      <c r="C490" s="198"/>
      <c r="D490" s="198"/>
      <c r="E490" s="198"/>
      <c r="F490" s="198"/>
      <c r="G490" s="198"/>
      <c r="H490" s="198"/>
      <c r="I490" s="268"/>
      <c r="J490" s="198"/>
      <c r="K490" s="198"/>
      <c r="L490" s="198"/>
      <c r="M490" s="198"/>
      <c r="N490" s="198"/>
      <c r="O490" s="198"/>
      <c r="P490" s="198"/>
      <c r="Q490" s="198"/>
      <c r="R490" s="198"/>
      <c r="S490" s="198"/>
      <c r="T490" s="198"/>
      <c r="U490" s="198"/>
      <c r="V490" s="198"/>
      <c r="W490" s="198"/>
      <c r="X490" s="198"/>
    </row>
    <row r="491">
      <c r="A491" s="198"/>
      <c r="B491" s="198"/>
      <c r="C491" s="198"/>
      <c r="D491" s="198"/>
      <c r="E491" s="198"/>
      <c r="F491" s="198"/>
      <c r="G491" s="198"/>
      <c r="H491" s="198"/>
      <c r="I491" s="268"/>
      <c r="J491" s="198"/>
      <c r="K491" s="198"/>
      <c r="L491" s="198"/>
      <c r="M491" s="198"/>
      <c r="N491" s="198"/>
      <c r="O491" s="198"/>
      <c r="P491" s="198"/>
      <c r="Q491" s="198"/>
      <c r="R491" s="198"/>
      <c r="S491" s="198"/>
      <c r="T491" s="198"/>
      <c r="U491" s="198"/>
      <c r="V491" s="198"/>
      <c r="W491" s="198"/>
      <c r="X491" s="198"/>
    </row>
    <row r="492">
      <c r="A492" s="198"/>
      <c r="B492" s="198"/>
      <c r="C492" s="198"/>
      <c r="D492" s="198"/>
      <c r="E492" s="198"/>
      <c r="F492" s="198"/>
      <c r="G492" s="198"/>
      <c r="H492" s="198"/>
      <c r="I492" s="268"/>
      <c r="J492" s="198"/>
      <c r="K492" s="198"/>
      <c r="L492" s="198"/>
      <c r="M492" s="198"/>
      <c r="N492" s="198"/>
      <c r="O492" s="198"/>
      <c r="P492" s="198"/>
      <c r="Q492" s="198"/>
      <c r="R492" s="198"/>
      <c r="S492" s="198"/>
      <c r="T492" s="198"/>
      <c r="U492" s="198"/>
      <c r="V492" s="198"/>
      <c r="W492" s="198"/>
      <c r="X492" s="198"/>
    </row>
    <row r="493">
      <c r="A493" s="198"/>
      <c r="B493" s="198"/>
      <c r="C493" s="198"/>
      <c r="D493" s="198"/>
      <c r="E493" s="198"/>
      <c r="F493" s="198"/>
      <c r="G493" s="198"/>
      <c r="H493" s="198"/>
      <c r="I493" s="268"/>
      <c r="J493" s="198"/>
      <c r="K493" s="198"/>
      <c r="L493" s="198"/>
      <c r="M493" s="198"/>
      <c r="N493" s="198"/>
      <c r="O493" s="198"/>
      <c r="P493" s="198"/>
      <c r="Q493" s="198"/>
      <c r="R493" s="198"/>
      <c r="S493" s="198"/>
      <c r="T493" s="198"/>
      <c r="U493" s="198"/>
      <c r="V493" s="198"/>
      <c r="W493" s="198"/>
      <c r="X493" s="198"/>
    </row>
    <row r="494">
      <c r="A494" s="198"/>
      <c r="B494" s="198"/>
      <c r="C494" s="198"/>
      <c r="D494" s="198"/>
      <c r="E494" s="198"/>
      <c r="F494" s="198"/>
      <c r="G494" s="198"/>
      <c r="H494" s="198"/>
      <c r="I494" s="268"/>
      <c r="J494" s="198"/>
      <c r="K494" s="198"/>
      <c r="L494" s="198"/>
      <c r="M494" s="198"/>
      <c r="N494" s="198"/>
      <c r="O494" s="198"/>
      <c r="P494" s="198"/>
      <c r="Q494" s="198"/>
      <c r="R494" s="198"/>
      <c r="S494" s="198"/>
      <c r="T494" s="198"/>
      <c r="U494" s="198"/>
      <c r="V494" s="198"/>
      <c r="W494" s="198"/>
      <c r="X494" s="198"/>
    </row>
    <row r="495">
      <c r="A495" s="198"/>
      <c r="B495" s="198"/>
      <c r="C495" s="198"/>
      <c r="D495" s="198"/>
      <c r="E495" s="198"/>
      <c r="F495" s="198"/>
      <c r="G495" s="198"/>
      <c r="H495" s="198"/>
      <c r="I495" s="268"/>
      <c r="J495" s="198"/>
      <c r="K495" s="198"/>
      <c r="L495" s="198"/>
      <c r="M495" s="198"/>
      <c r="N495" s="198"/>
      <c r="O495" s="198"/>
      <c r="P495" s="198"/>
      <c r="Q495" s="198"/>
      <c r="R495" s="198"/>
      <c r="S495" s="198"/>
      <c r="T495" s="198"/>
      <c r="U495" s="198"/>
      <c r="V495" s="198"/>
      <c r="W495" s="198"/>
      <c r="X495" s="198"/>
    </row>
    <row r="496">
      <c r="A496" s="198"/>
      <c r="B496" s="198"/>
      <c r="C496" s="198"/>
      <c r="D496" s="198"/>
      <c r="E496" s="198"/>
      <c r="F496" s="198"/>
      <c r="G496" s="198"/>
      <c r="H496" s="198"/>
      <c r="I496" s="268"/>
      <c r="J496" s="198"/>
      <c r="K496" s="198"/>
      <c r="L496" s="198"/>
      <c r="M496" s="198"/>
      <c r="N496" s="198"/>
      <c r="O496" s="198"/>
      <c r="P496" s="198"/>
      <c r="Q496" s="198"/>
      <c r="R496" s="198"/>
      <c r="S496" s="198"/>
      <c r="T496" s="198"/>
      <c r="U496" s="198"/>
      <c r="V496" s="198"/>
      <c r="W496" s="198"/>
      <c r="X496" s="198"/>
    </row>
    <row r="497">
      <c r="A497" s="198"/>
      <c r="B497" s="198"/>
      <c r="C497" s="198"/>
      <c r="D497" s="198"/>
      <c r="E497" s="198"/>
      <c r="F497" s="198"/>
      <c r="G497" s="198"/>
      <c r="H497" s="198"/>
      <c r="I497" s="268"/>
      <c r="J497" s="198"/>
      <c r="K497" s="198"/>
      <c r="L497" s="198"/>
      <c r="M497" s="198"/>
      <c r="N497" s="198"/>
      <c r="O497" s="198"/>
      <c r="P497" s="198"/>
      <c r="Q497" s="198"/>
      <c r="R497" s="198"/>
      <c r="S497" s="198"/>
      <c r="T497" s="198"/>
      <c r="U497" s="198"/>
      <c r="V497" s="198"/>
      <c r="W497" s="198"/>
      <c r="X497" s="198"/>
    </row>
    <row r="498">
      <c r="A498" s="198"/>
      <c r="B498" s="198"/>
      <c r="C498" s="198"/>
      <c r="D498" s="198"/>
      <c r="E498" s="198"/>
      <c r="F498" s="198"/>
      <c r="G498" s="198"/>
      <c r="H498" s="198"/>
      <c r="I498" s="268"/>
      <c r="J498" s="198"/>
      <c r="K498" s="198"/>
      <c r="L498" s="198"/>
      <c r="M498" s="198"/>
      <c r="N498" s="198"/>
      <c r="O498" s="198"/>
      <c r="P498" s="198"/>
      <c r="Q498" s="198"/>
      <c r="R498" s="198"/>
      <c r="S498" s="198"/>
      <c r="T498" s="198"/>
      <c r="U498" s="198"/>
      <c r="V498" s="198"/>
      <c r="W498" s="198"/>
      <c r="X498" s="198"/>
    </row>
    <row r="499">
      <c r="A499" s="198"/>
      <c r="B499" s="198"/>
      <c r="C499" s="198"/>
      <c r="D499" s="198"/>
      <c r="E499" s="198"/>
      <c r="F499" s="198"/>
      <c r="G499" s="198"/>
      <c r="H499" s="198"/>
      <c r="I499" s="268"/>
      <c r="J499" s="198"/>
      <c r="K499" s="198"/>
      <c r="L499" s="198"/>
      <c r="M499" s="198"/>
      <c r="N499" s="198"/>
      <c r="O499" s="198"/>
      <c r="P499" s="198"/>
      <c r="Q499" s="198"/>
      <c r="R499" s="198"/>
      <c r="S499" s="198"/>
      <c r="T499" s="198"/>
      <c r="U499" s="198"/>
      <c r="V499" s="198"/>
      <c r="W499" s="198"/>
      <c r="X499" s="198"/>
    </row>
    <row r="500">
      <c r="A500" s="198"/>
      <c r="B500" s="198"/>
      <c r="C500" s="198"/>
      <c r="D500" s="198"/>
      <c r="E500" s="198"/>
      <c r="F500" s="198"/>
      <c r="G500" s="198"/>
      <c r="H500" s="198"/>
      <c r="I500" s="268"/>
      <c r="J500" s="198"/>
      <c r="K500" s="198"/>
      <c r="L500" s="198"/>
      <c r="M500" s="198"/>
      <c r="N500" s="198"/>
      <c r="O500" s="198"/>
      <c r="P500" s="198"/>
      <c r="Q500" s="198"/>
      <c r="R500" s="198"/>
      <c r="S500" s="198"/>
      <c r="T500" s="198"/>
      <c r="U500" s="198"/>
      <c r="V500" s="198"/>
      <c r="W500" s="198"/>
      <c r="X500" s="198"/>
    </row>
    <row r="501">
      <c r="A501" s="198"/>
      <c r="B501" s="198"/>
      <c r="C501" s="198"/>
      <c r="D501" s="198"/>
      <c r="E501" s="198"/>
      <c r="F501" s="198"/>
      <c r="G501" s="198"/>
      <c r="H501" s="198"/>
      <c r="I501" s="268"/>
      <c r="J501" s="198"/>
      <c r="K501" s="198"/>
      <c r="L501" s="198"/>
      <c r="M501" s="198"/>
      <c r="N501" s="198"/>
      <c r="O501" s="198"/>
      <c r="P501" s="198"/>
      <c r="Q501" s="198"/>
      <c r="R501" s="198"/>
      <c r="S501" s="198"/>
      <c r="T501" s="198"/>
      <c r="U501" s="198"/>
      <c r="V501" s="198"/>
      <c r="W501" s="198"/>
      <c r="X501" s="198"/>
    </row>
    <row r="502">
      <c r="A502" s="198"/>
      <c r="B502" s="198"/>
      <c r="C502" s="198"/>
      <c r="D502" s="198"/>
      <c r="E502" s="198"/>
      <c r="F502" s="198"/>
      <c r="G502" s="198"/>
      <c r="H502" s="198"/>
      <c r="I502" s="268"/>
      <c r="J502" s="198"/>
      <c r="K502" s="198"/>
      <c r="L502" s="198"/>
      <c r="M502" s="198"/>
      <c r="N502" s="198"/>
      <c r="O502" s="198"/>
      <c r="P502" s="198"/>
      <c r="Q502" s="198"/>
      <c r="R502" s="198"/>
      <c r="S502" s="198"/>
      <c r="T502" s="198"/>
      <c r="U502" s="198"/>
      <c r="V502" s="198"/>
      <c r="W502" s="198"/>
      <c r="X502" s="198"/>
    </row>
    <row r="503">
      <c r="A503" s="198"/>
      <c r="B503" s="198"/>
      <c r="C503" s="198"/>
      <c r="D503" s="198"/>
      <c r="E503" s="198"/>
      <c r="F503" s="198"/>
      <c r="G503" s="198"/>
      <c r="H503" s="198"/>
      <c r="I503" s="268"/>
      <c r="J503" s="198"/>
      <c r="K503" s="198"/>
      <c r="L503" s="198"/>
      <c r="M503" s="198"/>
      <c r="N503" s="198"/>
      <c r="O503" s="198"/>
      <c r="P503" s="198"/>
      <c r="Q503" s="198"/>
      <c r="R503" s="198"/>
      <c r="S503" s="198"/>
      <c r="T503" s="198"/>
      <c r="U503" s="198"/>
      <c r="V503" s="198"/>
      <c r="W503" s="198"/>
      <c r="X503" s="198"/>
    </row>
    <row r="504">
      <c r="A504" s="198"/>
      <c r="B504" s="198"/>
      <c r="C504" s="198"/>
      <c r="D504" s="198"/>
      <c r="E504" s="198"/>
      <c r="F504" s="198"/>
      <c r="G504" s="198"/>
      <c r="H504" s="198"/>
      <c r="I504" s="268"/>
      <c r="J504" s="198"/>
      <c r="K504" s="198"/>
      <c r="L504" s="198"/>
      <c r="M504" s="198"/>
      <c r="N504" s="198"/>
      <c r="O504" s="198"/>
      <c r="P504" s="198"/>
      <c r="Q504" s="198"/>
      <c r="R504" s="198"/>
      <c r="S504" s="198"/>
      <c r="T504" s="198"/>
      <c r="U504" s="198"/>
      <c r="V504" s="198"/>
      <c r="W504" s="198"/>
      <c r="X504" s="198"/>
    </row>
    <row r="505">
      <c r="A505" s="198"/>
      <c r="B505" s="198"/>
      <c r="C505" s="198"/>
      <c r="D505" s="198"/>
      <c r="E505" s="198"/>
      <c r="F505" s="198"/>
      <c r="G505" s="198"/>
      <c r="H505" s="198"/>
      <c r="I505" s="268"/>
      <c r="J505" s="198"/>
      <c r="K505" s="198"/>
      <c r="L505" s="198"/>
      <c r="M505" s="198"/>
      <c r="N505" s="198"/>
      <c r="O505" s="198"/>
      <c r="P505" s="198"/>
      <c r="Q505" s="198"/>
      <c r="R505" s="198"/>
      <c r="S505" s="198"/>
      <c r="T505" s="198"/>
      <c r="U505" s="198"/>
      <c r="V505" s="198"/>
      <c r="W505" s="198"/>
      <c r="X505" s="198"/>
    </row>
    <row r="506">
      <c r="A506" s="198"/>
      <c r="B506" s="198"/>
      <c r="C506" s="198"/>
      <c r="D506" s="198"/>
      <c r="E506" s="198"/>
      <c r="F506" s="198"/>
      <c r="G506" s="198"/>
      <c r="H506" s="198"/>
      <c r="I506" s="268"/>
      <c r="J506" s="198"/>
      <c r="K506" s="198"/>
      <c r="L506" s="198"/>
      <c r="M506" s="198"/>
      <c r="N506" s="198"/>
      <c r="O506" s="198"/>
      <c r="P506" s="198"/>
      <c r="Q506" s="198"/>
      <c r="R506" s="198"/>
      <c r="S506" s="198"/>
      <c r="T506" s="198"/>
      <c r="U506" s="198"/>
      <c r="V506" s="198"/>
      <c r="W506" s="198"/>
      <c r="X506" s="198"/>
    </row>
    <row r="507">
      <c r="A507" s="198"/>
      <c r="B507" s="198"/>
      <c r="C507" s="198"/>
      <c r="D507" s="198"/>
      <c r="E507" s="198"/>
      <c r="F507" s="198"/>
      <c r="G507" s="198"/>
      <c r="H507" s="198"/>
      <c r="I507" s="268"/>
      <c r="J507" s="198"/>
      <c r="K507" s="198"/>
      <c r="L507" s="198"/>
      <c r="M507" s="198"/>
      <c r="N507" s="198"/>
      <c r="O507" s="198"/>
      <c r="P507" s="198"/>
      <c r="Q507" s="198"/>
      <c r="R507" s="198"/>
      <c r="S507" s="198"/>
      <c r="T507" s="198"/>
      <c r="U507" s="198"/>
      <c r="V507" s="198"/>
      <c r="W507" s="198"/>
      <c r="X507" s="198"/>
    </row>
    <row r="508">
      <c r="A508" s="198"/>
      <c r="B508" s="198"/>
      <c r="C508" s="198"/>
      <c r="D508" s="198"/>
      <c r="E508" s="198"/>
      <c r="F508" s="198"/>
      <c r="G508" s="198"/>
      <c r="H508" s="198"/>
      <c r="I508" s="268"/>
      <c r="J508" s="198"/>
      <c r="K508" s="198"/>
      <c r="L508" s="198"/>
      <c r="M508" s="198"/>
      <c r="N508" s="198"/>
      <c r="O508" s="198"/>
      <c r="P508" s="198"/>
      <c r="Q508" s="198"/>
      <c r="R508" s="198"/>
      <c r="S508" s="198"/>
      <c r="T508" s="198"/>
      <c r="U508" s="198"/>
      <c r="V508" s="198"/>
      <c r="W508" s="198"/>
      <c r="X508" s="198"/>
    </row>
    <row r="509">
      <c r="A509" s="198"/>
      <c r="B509" s="198"/>
      <c r="C509" s="198"/>
      <c r="D509" s="198"/>
      <c r="E509" s="198"/>
      <c r="F509" s="198"/>
      <c r="G509" s="198"/>
      <c r="H509" s="198"/>
      <c r="I509" s="268"/>
      <c r="J509" s="198"/>
      <c r="K509" s="198"/>
      <c r="L509" s="198"/>
      <c r="M509" s="198"/>
      <c r="N509" s="198"/>
      <c r="O509" s="198"/>
      <c r="P509" s="198"/>
      <c r="Q509" s="198"/>
      <c r="R509" s="198"/>
      <c r="S509" s="198"/>
      <c r="T509" s="198"/>
      <c r="U509" s="198"/>
      <c r="V509" s="198"/>
      <c r="W509" s="198"/>
      <c r="X509" s="198"/>
    </row>
    <row r="510">
      <c r="A510" s="198"/>
      <c r="B510" s="198"/>
      <c r="C510" s="198"/>
      <c r="D510" s="198"/>
      <c r="E510" s="198"/>
      <c r="F510" s="198"/>
      <c r="G510" s="198"/>
      <c r="H510" s="198"/>
      <c r="I510" s="268"/>
      <c r="J510" s="198"/>
      <c r="K510" s="198"/>
      <c r="L510" s="198"/>
      <c r="M510" s="198"/>
      <c r="N510" s="198"/>
      <c r="O510" s="198"/>
      <c r="P510" s="198"/>
      <c r="Q510" s="198"/>
      <c r="R510" s="198"/>
      <c r="S510" s="198"/>
      <c r="T510" s="198"/>
      <c r="U510" s="198"/>
      <c r="V510" s="198"/>
      <c r="W510" s="198"/>
      <c r="X510" s="198"/>
    </row>
    <row r="511">
      <c r="A511" s="198"/>
      <c r="B511" s="198"/>
      <c r="C511" s="198"/>
      <c r="D511" s="198"/>
      <c r="E511" s="198"/>
      <c r="F511" s="198"/>
      <c r="G511" s="198"/>
      <c r="H511" s="198"/>
      <c r="I511" s="268"/>
      <c r="J511" s="198"/>
      <c r="K511" s="198"/>
      <c r="L511" s="198"/>
      <c r="M511" s="198"/>
      <c r="N511" s="198"/>
      <c r="O511" s="198"/>
      <c r="P511" s="198"/>
      <c r="Q511" s="198"/>
      <c r="R511" s="198"/>
      <c r="S511" s="198"/>
      <c r="T511" s="198"/>
      <c r="U511" s="198"/>
      <c r="V511" s="198"/>
      <c r="W511" s="198"/>
      <c r="X511" s="198"/>
    </row>
    <row r="512">
      <c r="A512" s="198"/>
      <c r="B512" s="198"/>
      <c r="C512" s="198"/>
      <c r="D512" s="198"/>
      <c r="E512" s="198"/>
      <c r="F512" s="198"/>
      <c r="G512" s="198"/>
      <c r="H512" s="198"/>
      <c r="I512" s="268"/>
      <c r="J512" s="198"/>
      <c r="K512" s="198"/>
      <c r="L512" s="198"/>
      <c r="M512" s="198"/>
      <c r="N512" s="198"/>
      <c r="O512" s="198"/>
      <c r="P512" s="198"/>
      <c r="Q512" s="198"/>
      <c r="R512" s="198"/>
      <c r="S512" s="198"/>
      <c r="T512" s="198"/>
      <c r="U512" s="198"/>
      <c r="V512" s="198"/>
      <c r="W512" s="198"/>
      <c r="X512" s="198"/>
    </row>
    <row r="513">
      <c r="A513" s="198"/>
      <c r="B513" s="198"/>
      <c r="C513" s="198"/>
      <c r="D513" s="198"/>
      <c r="E513" s="198"/>
      <c r="F513" s="198"/>
      <c r="G513" s="198"/>
      <c r="H513" s="198"/>
      <c r="I513" s="268"/>
      <c r="J513" s="198"/>
      <c r="K513" s="198"/>
      <c r="L513" s="198"/>
      <c r="M513" s="198"/>
      <c r="N513" s="198"/>
      <c r="O513" s="198"/>
      <c r="P513" s="198"/>
      <c r="Q513" s="198"/>
      <c r="R513" s="198"/>
      <c r="S513" s="198"/>
      <c r="T513" s="198"/>
      <c r="U513" s="198"/>
      <c r="V513" s="198"/>
      <c r="W513" s="198"/>
      <c r="X513" s="198"/>
    </row>
    <row r="514">
      <c r="A514" s="198"/>
      <c r="B514" s="198"/>
      <c r="C514" s="198"/>
      <c r="D514" s="198"/>
      <c r="E514" s="198"/>
      <c r="F514" s="198"/>
      <c r="G514" s="198"/>
      <c r="H514" s="198"/>
      <c r="I514" s="268"/>
      <c r="J514" s="198"/>
      <c r="K514" s="198"/>
      <c r="L514" s="198"/>
      <c r="M514" s="198"/>
      <c r="N514" s="198"/>
      <c r="O514" s="198"/>
      <c r="P514" s="198"/>
      <c r="Q514" s="198"/>
      <c r="R514" s="198"/>
      <c r="S514" s="198"/>
      <c r="T514" s="198"/>
      <c r="U514" s="198"/>
      <c r="V514" s="198"/>
      <c r="W514" s="198"/>
      <c r="X514" s="198"/>
    </row>
    <row r="515">
      <c r="A515" s="198"/>
      <c r="B515" s="198"/>
      <c r="C515" s="198"/>
      <c r="D515" s="198"/>
      <c r="E515" s="198"/>
      <c r="F515" s="198"/>
      <c r="G515" s="198"/>
      <c r="H515" s="198"/>
      <c r="I515" s="268"/>
      <c r="J515" s="198"/>
      <c r="K515" s="198"/>
      <c r="L515" s="198"/>
      <c r="M515" s="198"/>
      <c r="N515" s="198"/>
      <c r="O515" s="198"/>
      <c r="P515" s="198"/>
      <c r="Q515" s="198"/>
      <c r="R515" s="198"/>
      <c r="S515" s="198"/>
      <c r="T515" s="198"/>
      <c r="U515" s="198"/>
      <c r="V515" s="198"/>
      <c r="W515" s="198"/>
      <c r="X515" s="198"/>
    </row>
    <row r="516">
      <c r="A516" s="198"/>
      <c r="B516" s="198"/>
      <c r="C516" s="198"/>
      <c r="D516" s="198"/>
      <c r="E516" s="198"/>
      <c r="F516" s="198"/>
      <c r="G516" s="198"/>
      <c r="H516" s="198"/>
      <c r="I516" s="268"/>
      <c r="J516" s="198"/>
      <c r="K516" s="198"/>
      <c r="L516" s="198"/>
      <c r="M516" s="198"/>
      <c r="N516" s="198"/>
      <c r="O516" s="198"/>
      <c r="P516" s="198"/>
      <c r="Q516" s="198"/>
      <c r="R516" s="198"/>
      <c r="S516" s="198"/>
      <c r="T516" s="198"/>
      <c r="U516" s="198"/>
      <c r="V516" s="198"/>
      <c r="W516" s="198"/>
      <c r="X516" s="198"/>
    </row>
    <row r="517">
      <c r="A517" s="198"/>
      <c r="B517" s="198"/>
      <c r="C517" s="198"/>
      <c r="D517" s="198"/>
      <c r="E517" s="198"/>
      <c r="F517" s="198"/>
      <c r="G517" s="198"/>
      <c r="H517" s="198"/>
      <c r="I517" s="268"/>
      <c r="J517" s="198"/>
      <c r="K517" s="198"/>
      <c r="L517" s="198"/>
      <c r="M517" s="198"/>
      <c r="N517" s="198"/>
      <c r="O517" s="198"/>
      <c r="P517" s="198"/>
      <c r="Q517" s="198"/>
      <c r="R517" s="198"/>
      <c r="S517" s="198"/>
      <c r="T517" s="198"/>
      <c r="U517" s="198"/>
      <c r="V517" s="198"/>
      <c r="W517" s="198"/>
      <c r="X517" s="198"/>
    </row>
    <row r="518">
      <c r="A518" s="198"/>
      <c r="B518" s="198"/>
      <c r="C518" s="198"/>
      <c r="D518" s="198"/>
      <c r="E518" s="198"/>
      <c r="F518" s="198"/>
      <c r="G518" s="198"/>
      <c r="H518" s="198"/>
      <c r="I518" s="268"/>
      <c r="J518" s="198"/>
      <c r="K518" s="198"/>
      <c r="L518" s="198"/>
      <c r="M518" s="198"/>
      <c r="N518" s="198"/>
      <c r="O518" s="198"/>
      <c r="P518" s="198"/>
      <c r="Q518" s="198"/>
      <c r="R518" s="198"/>
      <c r="S518" s="198"/>
      <c r="T518" s="198"/>
      <c r="U518" s="198"/>
      <c r="V518" s="198"/>
      <c r="W518" s="198"/>
      <c r="X518" s="198"/>
    </row>
    <row r="519">
      <c r="A519" s="198"/>
      <c r="B519" s="198"/>
      <c r="C519" s="198"/>
      <c r="D519" s="198"/>
      <c r="E519" s="198"/>
      <c r="F519" s="198"/>
      <c r="G519" s="198"/>
      <c r="H519" s="198"/>
      <c r="I519" s="268"/>
      <c r="J519" s="198"/>
      <c r="K519" s="198"/>
      <c r="L519" s="198"/>
      <c r="M519" s="198"/>
      <c r="N519" s="198"/>
      <c r="O519" s="198"/>
      <c r="P519" s="198"/>
      <c r="Q519" s="198"/>
      <c r="R519" s="198"/>
      <c r="S519" s="198"/>
      <c r="T519" s="198"/>
      <c r="U519" s="198"/>
      <c r="V519" s="198"/>
      <c r="W519" s="198"/>
      <c r="X519" s="198"/>
    </row>
    <row r="520">
      <c r="A520" s="198"/>
      <c r="B520" s="198"/>
      <c r="C520" s="198"/>
      <c r="D520" s="198"/>
      <c r="E520" s="198"/>
      <c r="F520" s="198"/>
      <c r="G520" s="198"/>
      <c r="H520" s="198"/>
      <c r="I520" s="268"/>
      <c r="J520" s="198"/>
      <c r="K520" s="198"/>
      <c r="L520" s="198"/>
      <c r="M520" s="198"/>
      <c r="N520" s="198"/>
      <c r="O520" s="198"/>
      <c r="P520" s="198"/>
      <c r="Q520" s="198"/>
      <c r="R520" s="198"/>
      <c r="S520" s="198"/>
      <c r="T520" s="198"/>
      <c r="U520" s="198"/>
      <c r="V520" s="198"/>
      <c r="W520" s="198"/>
      <c r="X520" s="198"/>
    </row>
    <row r="521">
      <c r="A521" s="198"/>
      <c r="B521" s="198"/>
      <c r="C521" s="198"/>
      <c r="D521" s="198"/>
      <c r="E521" s="198"/>
      <c r="F521" s="198"/>
      <c r="G521" s="198"/>
      <c r="H521" s="198"/>
      <c r="I521" s="268"/>
      <c r="J521" s="198"/>
      <c r="K521" s="198"/>
      <c r="L521" s="198"/>
      <c r="M521" s="198"/>
      <c r="N521" s="198"/>
      <c r="O521" s="198"/>
      <c r="P521" s="198"/>
      <c r="Q521" s="198"/>
      <c r="R521" s="198"/>
      <c r="S521" s="198"/>
      <c r="T521" s="198"/>
      <c r="U521" s="198"/>
      <c r="V521" s="198"/>
      <c r="W521" s="198"/>
      <c r="X521" s="198"/>
    </row>
    <row r="522">
      <c r="A522" s="198"/>
      <c r="B522" s="198"/>
      <c r="C522" s="198"/>
      <c r="D522" s="198"/>
      <c r="E522" s="198"/>
      <c r="F522" s="198"/>
      <c r="G522" s="198"/>
      <c r="H522" s="198"/>
      <c r="I522" s="268"/>
      <c r="J522" s="198"/>
      <c r="K522" s="198"/>
      <c r="L522" s="198"/>
      <c r="M522" s="198"/>
      <c r="N522" s="198"/>
      <c r="O522" s="198"/>
      <c r="P522" s="198"/>
      <c r="Q522" s="198"/>
      <c r="R522" s="198"/>
      <c r="S522" s="198"/>
      <c r="T522" s="198"/>
      <c r="U522" s="198"/>
      <c r="V522" s="198"/>
      <c r="W522" s="198"/>
      <c r="X522" s="198"/>
    </row>
    <row r="523">
      <c r="A523" s="198"/>
      <c r="B523" s="198"/>
      <c r="C523" s="198"/>
      <c r="D523" s="198"/>
      <c r="E523" s="198"/>
      <c r="F523" s="198"/>
      <c r="G523" s="198"/>
      <c r="H523" s="198"/>
      <c r="I523" s="268"/>
      <c r="J523" s="198"/>
      <c r="K523" s="198"/>
      <c r="L523" s="198"/>
      <c r="M523" s="198"/>
      <c r="N523" s="198"/>
      <c r="O523" s="198"/>
      <c r="P523" s="198"/>
      <c r="Q523" s="198"/>
      <c r="R523" s="198"/>
      <c r="S523" s="198"/>
      <c r="T523" s="198"/>
      <c r="U523" s="198"/>
      <c r="V523" s="198"/>
      <c r="W523" s="198"/>
      <c r="X523" s="198"/>
    </row>
    <row r="524">
      <c r="A524" s="198"/>
      <c r="B524" s="198"/>
      <c r="C524" s="198"/>
      <c r="D524" s="198"/>
      <c r="E524" s="198"/>
      <c r="F524" s="198"/>
      <c r="G524" s="198"/>
      <c r="H524" s="198"/>
      <c r="I524" s="268"/>
      <c r="J524" s="198"/>
      <c r="K524" s="198"/>
      <c r="L524" s="198"/>
      <c r="M524" s="198"/>
      <c r="N524" s="198"/>
      <c r="O524" s="198"/>
      <c r="P524" s="198"/>
      <c r="Q524" s="198"/>
      <c r="R524" s="198"/>
      <c r="S524" s="198"/>
      <c r="T524" s="198"/>
      <c r="U524" s="198"/>
      <c r="V524" s="198"/>
      <c r="W524" s="198"/>
      <c r="X524" s="198"/>
    </row>
    <row r="525">
      <c r="A525" s="198"/>
      <c r="B525" s="198"/>
      <c r="C525" s="198"/>
      <c r="D525" s="198"/>
      <c r="E525" s="198"/>
      <c r="F525" s="198"/>
      <c r="G525" s="198"/>
      <c r="H525" s="198"/>
      <c r="I525" s="268"/>
      <c r="J525" s="198"/>
      <c r="K525" s="198"/>
      <c r="L525" s="198"/>
      <c r="M525" s="198"/>
      <c r="N525" s="198"/>
      <c r="O525" s="198"/>
      <c r="P525" s="198"/>
      <c r="Q525" s="198"/>
      <c r="R525" s="198"/>
      <c r="S525" s="198"/>
      <c r="T525" s="198"/>
      <c r="U525" s="198"/>
      <c r="V525" s="198"/>
      <c r="W525" s="198"/>
      <c r="X525" s="198"/>
    </row>
    <row r="526">
      <c r="A526" s="198"/>
      <c r="B526" s="198"/>
      <c r="C526" s="198"/>
      <c r="D526" s="198"/>
      <c r="E526" s="198"/>
      <c r="F526" s="198"/>
      <c r="G526" s="198"/>
      <c r="H526" s="198"/>
      <c r="I526" s="268"/>
      <c r="J526" s="198"/>
      <c r="K526" s="198"/>
      <c r="L526" s="198"/>
      <c r="M526" s="198"/>
      <c r="N526" s="198"/>
      <c r="O526" s="198"/>
      <c r="P526" s="198"/>
      <c r="Q526" s="198"/>
      <c r="R526" s="198"/>
      <c r="S526" s="198"/>
      <c r="T526" s="198"/>
      <c r="U526" s="198"/>
      <c r="V526" s="198"/>
      <c r="W526" s="198"/>
      <c r="X526" s="198"/>
    </row>
    <row r="527">
      <c r="A527" s="198"/>
      <c r="B527" s="198"/>
      <c r="C527" s="198"/>
      <c r="D527" s="198"/>
      <c r="E527" s="198"/>
      <c r="F527" s="198"/>
      <c r="G527" s="198"/>
      <c r="H527" s="198"/>
      <c r="I527" s="268"/>
      <c r="J527" s="198"/>
      <c r="K527" s="198"/>
      <c r="L527" s="198"/>
      <c r="M527" s="198"/>
      <c r="N527" s="198"/>
      <c r="O527" s="198"/>
      <c r="P527" s="198"/>
      <c r="Q527" s="198"/>
      <c r="R527" s="198"/>
      <c r="S527" s="198"/>
      <c r="T527" s="198"/>
      <c r="U527" s="198"/>
      <c r="V527" s="198"/>
      <c r="W527" s="198"/>
      <c r="X527" s="198"/>
    </row>
    <row r="528">
      <c r="A528" s="198"/>
      <c r="B528" s="198"/>
      <c r="C528" s="198"/>
      <c r="D528" s="198"/>
      <c r="E528" s="198"/>
      <c r="F528" s="198"/>
      <c r="G528" s="198"/>
      <c r="H528" s="198"/>
      <c r="I528" s="268"/>
      <c r="J528" s="198"/>
      <c r="K528" s="198"/>
      <c r="L528" s="198"/>
      <c r="M528" s="198"/>
      <c r="N528" s="198"/>
      <c r="O528" s="198"/>
      <c r="P528" s="198"/>
      <c r="Q528" s="198"/>
      <c r="R528" s="198"/>
      <c r="S528" s="198"/>
      <c r="T528" s="198"/>
      <c r="U528" s="198"/>
      <c r="V528" s="198"/>
      <c r="W528" s="198"/>
      <c r="X528" s="198"/>
    </row>
    <row r="529">
      <c r="A529" s="198"/>
      <c r="B529" s="198"/>
      <c r="C529" s="198"/>
      <c r="D529" s="198"/>
      <c r="E529" s="198"/>
      <c r="F529" s="198"/>
      <c r="G529" s="198"/>
      <c r="H529" s="198"/>
      <c r="I529" s="268"/>
      <c r="J529" s="198"/>
      <c r="K529" s="198"/>
      <c r="L529" s="198"/>
      <c r="M529" s="198"/>
      <c r="N529" s="198"/>
      <c r="O529" s="198"/>
      <c r="P529" s="198"/>
      <c r="Q529" s="198"/>
      <c r="R529" s="198"/>
      <c r="S529" s="198"/>
      <c r="T529" s="198"/>
      <c r="U529" s="198"/>
      <c r="V529" s="198"/>
      <c r="W529" s="198"/>
      <c r="X529" s="198"/>
    </row>
    <row r="530">
      <c r="A530" s="198"/>
      <c r="B530" s="198"/>
      <c r="C530" s="198"/>
      <c r="D530" s="198"/>
      <c r="E530" s="198"/>
      <c r="F530" s="198"/>
      <c r="G530" s="198"/>
      <c r="H530" s="198"/>
      <c r="I530" s="268"/>
      <c r="J530" s="198"/>
      <c r="K530" s="198"/>
      <c r="L530" s="198"/>
      <c r="M530" s="198"/>
      <c r="N530" s="198"/>
      <c r="O530" s="198"/>
      <c r="P530" s="198"/>
      <c r="Q530" s="198"/>
      <c r="R530" s="198"/>
      <c r="S530" s="198"/>
      <c r="T530" s="198"/>
      <c r="U530" s="198"/>
      <c r="V530" s="198"/>
      <c r="W530" s="198"/>
      <c r="X530" s="198"/>
    </row>
    <row r="531">
      <c r="A531" s="198"/>
      <c r="B531" s="198"/>
      <c r="C531" s="198"/>
      <c r="D531" s="198"/>
      <c r="E531" s="198"/>
      <c r="F531" s="198"/>
      <c r="G531" s="198"/>
      <c r="H531" s="198"/>
      <c r="I531" s="268"/>
      <c r="J531" s="198"/>
      <c r="K531" s="198"/>
      <c r="L531" s="198"/>
      <c r="M531" s="198"/>
      <c r="N531" s="198"/>
      <c r="O531" s="198"/>
      <c r="P531" s="198"/>
      <c r="Q531" s="198"/>
      <c r="R531" s="198"/>
      <c r="S531" s="198"/>
      <c r="T531" s="198"/>
      <c r="U531" s="198"/>
      <c r="V531" s="198"/>
      <c r="W531" s="198"/>
      <c r="X531" s="198"/>
    </row>
    <row r="532">
      <c r="A532" s="198"/>
      <c r="B532" s="198"/>
      <c r="C532" s="198"/>
      <c r="D532" s="198"/>
      <c r="E532" s="198"/>
      <c r="F532" s="198"/>
      <c r="G532" s="198"/>
      <c r="H532" s="198"/>
      <c r="I532" s="268"/>
      <c r="J532" s="198"/>
      <c r="K532" s="198"/>
      <c r="L532" s="198"/>
      <c r="M532" s="198"/>
      <c r="N532" s="198"/>
      <c r="O532" s="198"/>
      <c r="P532" s="198"/>
      <c r="Q532" s="198"/>
      <c r="R532" s="198"/>
      <c r="S532" s="198"/>
      <c r="T532" s="198"/>
      <c r="U532" s="198"/>
      <c r="V532" s="198"/>
      <c r="W532" s="198"/>
      <c r="X532" s="198"/>
    </row>
    <row r="533">
      <c r="A533" s="198"/>
      <c r="B533" s="198"/>
      <c r="C533" s="198"/>
      <c r="D533" s="198"/>
      <c r="E533" s="198"/>
      <c r="F533" s="198"/>
      <c r="G533" s="198"/>
      <c r="H533" s="198"/>
      <c r="I533" s="268"/>
      <c r="J533" s="198"/>
      <c r="K533" s="198"/>
      <c r="L533" s="198"/>
      <c r="M533" s="198"/>
      <c r="N533" s="198"/>
      <c r="O533" s="198"/>
      <c r="P533" s="198"/>
      <c r="Q533" s="198"/>
      <c r="R533" s="198"/>
      <c r="S533" s="198"/>
      <c r="T533" s="198"/>
      <c r="U533" s="198"/>
      <c r="V533" s="198"/>
      <c r="W533" s="198"/>
      <c r="X533" s="198"/>
    </row>
    <row r="534">
      <c r="A534" s="198"/>
      <c r="B534" s="198"/>
      <c r="C534" s="198"/>
      <c r="D534" s="198"/>
      <c r="E534" s="198"/>
      <c r="F534" s="198"/>
      <c r="G534" s="198"/>
      <c r="H534" s="198"/>
      <c r="I534" s="268"/>
      <c r="J534" s="198"/>
      <c r="K534" s="198"/>
      <c r="L534" s="198"/>
      <c r="M534" s="198"/>
      <c r="N534" s="198"/>
      <c r="O534" s="198"/>
      <c r="P534" s="198"/>
      <c r="Q534" s="198"/>
      <c r="R534" s="198"/>
      <c r="S534" s="198"/>
      <c r="T534" s="198"/>
      <c r="U534" s="198"/>
      <c r="V534" s="198"/>
      <c r="W534" s="198"/>
      <c r="X534" s="198"/>
    </row>
    <row r="535">
      <c r="A535" s="198"/>
      <c r="B535" s="198"/>
      <c r="C535" s="198"/>
      <c r="D535" s="198"/>
      <c r="E535" s="198"/>
      <c r="F535" s="198"/>
      <c r="G535" s="198"/>
      <c r="H535" s="198"/>
      <c r="I535" s="268"/>
      <c r="J535" s="198"/>
      <c r="K535" s="198"/>
      <c r="L535" s="198"/>
      <c r="M535" s="198"/>
      <c r="N535" s="198"/>
      <c r="O535" s="198"/>
      <c r="P535" s="198"/>
      <c r="Q535" s="198"/>
      <c r="R535" s="198"/>
      <c r="S535" s="198"/>
      <c r="T535" s="198"/>
      <c r="U535" s="198"/>
      <c r="V535" s="198"/>
      <c r="W535" s="198"/>
      <c r="X535" s="198"/>
    </row>
    <row r="536">
      <c r="A536" s="198"/>
      <c r="B536" s="198"/>
      <c r="C536" s="198"/>
      <c r="D536" s="198"/>
      <c r="E536" s="198"/>
      <c r="F536" s="198"/>
      <c r="G536" s="198"/>
      <c r="H536" s="198"/>
      <c r="I536" s="268"/>
      <c r="J536" s="198"/>
      <c r="K536" s="198"/>
      <c r="L536" s="198"/>
      <c r="M536" s="198"/>
      <c r="N536" s="198"/>
      <c r="O536" s="198"/>
      <c r="P536" s="198"/>
      <c r="Q536" s="198"/>
      <c r="R536" s="198"/>
      <c r="S536" s="198"/>
      <c r="T536" s="198"/>
      <c r="U536" s="198"/>
      <c r="V536" s="198"/>
      <c r="W536" s="198"/>
      <c r="X536" s="198"/>
    </row>
    <row r="537">
      <c r="A537" s="198"/>
      <c r="B537" s="198"/>
      <c r="C537" s="198"/>
      <c r="D537" s="198"/>
      <c r="E537" s="198"/>
      <c r="F537" s="198"/>
      <c r="G537" s="198"/>
      <c r="H537" s="198"/>
      <c r="I537" s="268"/>
      <c r="J537" s="198"/>
      <c r="K537" s="198"/>
      <c r="L537" s="198"/>
      <c r="M537" s="198"/>
      <c r="N537" s="198"/>
      <c r="O537" s="198"/>
      <c r="P537" s="198"/>
      <c r="Q537" s="198"/>
      <c r="R537" s="198"/>
      <c r="S537" s="198"/>
      <c r="T537" s="198"/>
      <c r="U537" s="198"/>
      <c r="V537" s="198"/>
      <c r="W537" s="198"/>
      <c r="X537" s="198"/>
    </row>
    <row r="538">
      <c r="A538" s="198"/>
      <c r="B538" s="198"/>
      <c r="C538" s="198"/>
      <c r="D538" s="198"/>
      <c r="E538" s="198"/>
      <c r="F538" s="198"/>
      <c r="G538" s="198"/>
      <c r="H538" s="198"/>
      <c r="I538" s="268"/>
      <c r="J538" s="198"/>
      <c r="K538" s="198"/>
      <c r="L538" s="198"/>
      <c r="M538" s="198"/>
      <c r="N538" s="198"/>
      <c r="O538" s="198"/>
      <c r="P538" s="198"/>
      <c r="Q538" s="198"/>
      <c r="R538" s="198"/>
      <c r="S538" s="198"/>
      <c r="T538" s="198"/>
      <c r="U538" s="198"/>
      <c r="V538" s="198"/>
      <c r="W538" s="198"/>
      <c r="X538" s="198"/>
    </row>
    <row r="539">
      <c r="A539" s="198"/>
      <c r="B539" s="198"/>
      <c r="C539" s="198"/>
      <c r="D539" s="198"/>
      <c r="E539" s="198"/>
      <c r="F539" s="198"/>
      <c r="G539" s="198"/>
      <c r="H539" s="198"/>
      <c r="I539" s="268"/>
      <c r="J539" s="198"/>
      <c r="K539" s="198"/>
      <c r="L539" s="198"/>
      <c r="M539" s="198"/>
      <c r="N539" s="198"/>
      <c r="O539" s="198"/>
      <c r="P539" s="198"/>
      <c r="Q539" s="198"/>
      <c r="R539" s="198"/>
      <c r="S539" s="198"/>
      <c r="T539" s="198"/>
      <c r="U539" s="198"/>
      <c r="V539" s="198"/>
      <c r="W539" s="198"/>
      <c r="X539" s="198"/>
    </row>
    <row r="540">
      <c r="A540" s="198"/>
      <c r="B540" s="198"/>
      <c r="C540" s="198"/>
      <c r="D540" s="198"/>
      <c r="E540" s="198"/>
      <c r="F540" s="198"/>
      <c r="G540" s="198"/>
      <c r="H540" s="198"/>
      <c r="I540" s="268"/>
      <c r="J540" s="198"/>
      <c r="K540" s="198"/>
      <c r="L540" s="198"/>
      <c r="M540" s="198"/>
      <c r="N540" s="198"/>
      <c r="O540" s="198"/>
      <c r="P540" s="198"/>
      <c r="Q540" s="198"/>
      <c r="R540" s="198"/>
      <c r="S540" s="198"/>
      <c r="T540" s="198"/>
      <c r="U540" s="198"/>
      <c r="V540" s="198"/>
      <c r="W540" s="198"/>
      <c r="X540" s="198"/>
    </row>
    <row r="541">
      <c r="A541" s="198"/>
      <c r="B541" s="198"/>
      <c r="C541" s="198"/>
      <c r="D541" s="198"/>
      <c r="E541" s="198"/>
      <c r="F541" s="198"/>
      <c r="G541" s="198"/>
      <c r="H541" s="198"/>
      <c r="I541" s="268"/>
      <c r="J541" s="198"/>
      <c r="K541" s="198"/>
      <c r="L541" s="198"/>
      <c r="M541" s="198"/>
      <c r="N541" s="198"/>
      <c r="O541" s="198"/>
      <c r="P541" s="198"/>
      <c r="Q541" s="198"/>
      <c r="R541" s="198"/>
      <c r="S541" s="198"/>
      <c r="T541" s="198"/>
      <c r="U541" s="198"/>
      <c r="V541" s="198"/>
      <c r="W541" s="198"/>
      <c r="X541" s="198"/>
    </row>
    <row r="542">
      <c r="A542" s="198"/>
      <c r="B542" s="198"/>
      <c r="C542" s="198"/>
      <c r="D542" s="198"/>
      <c r="E542" s="198"/>
      <c r="F542" s="198"/>
      <c r="G542" s="198"/>
      <c r="H542" s="198"/>
      <c r="I542" s="268"/>
      <c r="J542" s="198"/>
      <c r="K542" s="198"/>
      <c r="L542" s="198"/>
      <c r="M542" s="198"/>
      <c r="N542" s="198"/>
      <c r="O542" s="198"/>
      <c r="P542" s="198"/>
      <c r="Q542" s="198"/>
      <c r="R542" s="198"/>
      <c r="S542" s="198"/>
      <c r="T542" s="198"/>
      <c r="U542" s="198"/>
      <c r="V542" s="198"/>
      <c r="W542" s="198"/>
      <c r="X542" s="198"/>
    </row>
    <row r="543">
      <c r="A543" s="198"/>
      <c r="B543" s="198"/>
      <c r="C543" s="198"/>
      <c r="D543" s="198"/>
      <c r="E543" s="198"/>
      <c r="F543" s="198"/>
      <c r="G543" s="198"/>
      <c r="H543" s="198"/>
      <c r="I543" s="268"/>
      <c r="J543" s="198"/>
      <c r="K543" s="198"/>
      <c r="L543" s="198"/>
      <c r="M543" s="198"/>
      <c r="N543" s="198"/>
      <c r="O543" s="198"/>
      <c r="P543" s="198"/>
      <c r="Q543" s="198"/>
      <c r="R543" s="198"/>
      <c r="S543" s="198"/>
      <c r="T543" s="198"/>
      <c r="U543" s="198"/>
      <c r="V543" s="198"/>
      <c r="W543" s="198"/>
      <c r="X543" s="198"/>
    </row>
    <row r="544">
      <c r="A544" s="198"/>
      <c r="B544" s="198"/>
      <c r="C544" s="198"/>
      <c r="D544" s="198"/>
      <c r="E544" s="198"/>
      <c r="F544" s="198"/>
      <c r="G544" s="198"/>
      <c r="H544" s="198"/>
      <c r="I544" s="268"/>
      <c r="J544" s="198"/>
      <c r="K544" s="198"/>
      <c r="L544" s="198"/>
      <c r="M544" s="198"/>
      <c r="N544" s="198"/>
      <c r="O544" s="198"/>
      <c r="P544" s="198"/>
      <c r="Q544" s="198"/>
      <c r="R544" s="198"/>
      <c r="S544" s="198"/>
      <c r="T544" s="198"/>
      <c r="U544" s="198"/>
      <c r="V544" s="198"/>
      <c r="W544" s="198"/>
      <c r="X544" s="198"/>
    </row>
    <row r="545">
      <c r="A545" s="198"/>
      <c r="B545" s="198"/>
      <c r="C545" s="198"/>
      <c r="D545" s="198"/>
      <c r="E545" s="198"/>
      <c r="F545" s="198"/>
      <c r="G545" s="198"/>
      <c r="H545" s="198"/>
      <c r="I545" s="268"/>
      <c r="J545" s="198"/>
      <c r="K545" s="198"/>
      <c r="L545" s="198"/>
      <c r="M545" s="198"/>
      <c r="N545" s="198"/>
      <c r="O545" s="198"/>
      <c r="P545" s="198"/>
      <c r="Q545" s="198"/>
      <c r="R545" s="198"/>
      <c r="S545" s="198"/>
      <c r="T545" s="198"/>
      <c r="U545" s="198"/>
      <c r="V545" s="198"/>
      <c r="W545" s="198"/>
      <c r="X545" s="198"/>
    </row>
    <row r="546">
      <c r="A546" s="198"/>
      <c r="B546" s="198"/>
      <c r="C546" s="198"/>
      <c r="D546" s="198"/>
      <c r="E546" s="198"/>
      <c r="F546" s="198"/>
      <c r="G546" s="198"/>
      <c r="H546" s="198"/>
      <c r="I546" s="268"/>
      <c r="J546" s="198"/>
      <c r="K546" s="198"/>
      <c r="L546" s="198"/>
      <c r="M546" s="198"/>
      <c r="N546" s="198"/>
      <c r="O546" s="198"/>
      <c r="P546" s="198"/>
      <c r="Q546" s="198"/>
      <c r="R546" s="198"/>
      <c r="S546" s="198"/>
      <c r="T546" s="198"/>
      <c r="U546" s="198"/>
      <c r="V546" s="198"/>
      <c r="W546" s="198"/>
      <c r="X546" s="198"/>
    </row>
    <row r="547">
      <c r="A547" s="198"/>
      <c r="B547" s="198"/>
      <c r="C547" s="198"/>
      <c r="D547" s="198"/>
      <c r="E547" s="198"/>
      <c r="F547" s="198"/>
      <c r="G547" s="198"/>
      <c r="H547" s="198"/>
      <c r="I547" s="268"/>
      <c r="J547" s="198"/>
      <c r="K547" s="198"/>
      <c r="L547" s="198"/>
      <c r="M547" s="198"/>
      <c r="N547" s="198"/>
      <c r="O547" s="198"/>
      <c r="P547" s="198"/>
      <c r="Q547" s="198"/>
      <c r="R547" s="198"/>
      <c r="S547" s="198"/>
      <c r="T547" s="198"/>
      <c r="U547" s="198"/>
      <c r="V547" s="198"/>
      <c r="W547" s="198"/>
      <c r="X547" s="198"/>
    </row>
    <row r="548">
      <c r="A548" s="198"/>
      <c r="B548" s="198"/>
      <c r="C548" s="198"/>
      <c r="D548" s="198"/>
      <c r="E548" s="198"/>
      <c r="F548" s="198"/>
      <c r="G548" s="198"/>
      <c r="H548" s="198"/>
      <c r="I548" s="268"/>
      <c r="J548" s="198"/>
      <c r="K548" s="198"/>
      <c r="L548" s="198"/>
      <c r="M548" s="198"/>
      <c r="N548" s="198"/>
      <c r="O548" s="198"/>
      <c r="P548" s="198"/>
      <c r="Q548" s="198"/>
      <c r="R548" s="198"/>
      <c r="S548" s="198"/>
      <c r="T548" s="198"/>
      <c r="U548" s="198"/>
      <c r="V548" s="198"/>
      <c r="W548" s="198"/>
      <c r="X548" s="198"/>
    </row>
    <row r="549">
      <c r="A549" s="198"/>
      <c r="B549" s="198"/>
      <c r="C549" s="198"/>
      <c r="D549" s="198"/>
      <c r="E549" s="198"/>
      <c r="F549" s="198"/>
      <c r="G549" s="198"/>
      <c r="H549" s="198"/>
      <c r="I549" s="268"/>
      <c r="J549" s="198"/>
      <c r="K549" s="198"/>
      <c r="L549" s="198"/>
      <c r="M549" s="198"/>
      <c r="N549" s="198"/>
      <c r="O549" s="198"/>
      <c r="P549" s="198"/>
      <c r="Q549" s="198"/>
      <c r="R549" s="198"/>
      <c r="S549" s="198"/>
      <c r="T549" s="198"/>
      <c r="U549" s="198"/>
      <c r="V549" s="198"/>
      <c r="W549" s="198"/>
      <c r="X549" s="198"/>
    </row>
    <row r="550">
      <c r="A550" s="198"/>
      <c r="B550" s="198"/>
      <c r="C550" s="198"/>
      <c r="D550" s="198"/>
      <c r="E550" s="198"/>
      <c r="F550" s="198"/>
      <c r="G550" s="198"/>
      <c r="H550" s="198"/>
      <c r="I550" s="268"/>
      <c r="J550" s="198"/>
      <c r="K550" s="198"/>
      <c r="L550" s="198"/>
      <c r="M550" s="198"/>
      <c r="N550" s="198"/>
      <c r="O550" s="198"/>
      <c r="P550" s="198"/>
      <c r="Q550" s="198"/>
      <c r="R550" s="198"/>
      <c r="S550" s="198"/>
      <c r="T550" s="198"/>
      <c r="U550" s="198"/>
      <c r="V550" s="198"/>
      <c r="W550" s="198"/>
      <c r="X550" s="198"/>
    </row>
    <row r="551">
      <c r="A551" s="198"/>
      <c r="B551" s="198"/>
      <c r="C551" s="198"/>
      <c r="D551" s="198"/>
      <c r="E551" s="198"/>
      <c r="F551" s="198"/>
      <c r="G551" s="198"/>
      <c r="H551" s="198"/>
      <c r="I551" s="268"/>
      <c r="J551" s="198"/>
      <c r="K551" s="198"/>
      <c r="L551" s="198"/>
      <c r="M551" s="198"/>
      <c r="N551" s="198"/>
      <c r="O551" s="198"/>
      <c r="P551" s="198"/>
      <c r="Q551" s="198"/>
      <c r="R551" s="198"/>
      <c r="S551" s="198"/>
      <c r="T551" s="198"/>
      <c r="U551" s="198"/>
      <c r="V551" s="198"/>
      <c r="W551" s="198"/>
      <c r="X551" s="198"/>
    </row>
    <row r="552">
      <c r="A552" s="198"/>
      <c r="B552" s="198"/>
      <c r="C552" s="198"/>
      <c r="D552" s="198"/>
      <c r="E552" s="198"/>
      <c r="F552" s="198"/>
      <c r="G552" s="198"/>
      <c r="H552" s="198"/>
      <c r="I552" s="268"/>
      <c r="J552" s="198"/>
      <c r="K552" s="198"/>
      <c r="L552" s="198"/>
      <c r="M552" s="198"/>
      <c r="N552" s="198"/>
      <c r="O552" s="198"/>
      <c r="P552" s="198"/>
      <c r="Q552" s="198"/>
      <c r="R552" s="198"/>
      <c r="S552" s="198"/>
      <c r="T552" s="198"/>
      <c r="U552" s="198"/>
      <c r="V552" s="198"/>
      <c r="W552" s="198"/>
      <c r="X552" s="198"/>
    </row>
    <row r="553">
      <c r="A553" s="198"/>
      <c r="B553" s="198"/>
      <c r="C553" s="198"/>
      <c r="D553" s="198"/>
      <c r="E553" s="198"/>
      <c r="F553" s="198"/>
      <c r="G553" s="198"/>
      <c r="H553" s="198"/>
      <c r="I553" s="268"/>
      <c r="J553" s="198"/>
      <c r="K553" s="198"/>
      <c r="L553" s="198"/>
      <c r="M553" s="198"/>
      <c r="N553" s="198"/>
      <c r="O553" s="198"/>
      <c r="P553" s="198"/>
      <c r="Q553" s="198"/>
      <c r="R553" s="198"/>
      <c r="S553" s="198"/>
      <c r="T553" s="198"/>
      <c r="U553" s="198"/>
      <c r="V553" s="198"/>
      <c r="W553" s="198"/>
      <c r="X553" s="198"/>
    </row>
    <row r="554">
      <c r="A554" s="198"/>
      <c r="B554" s="198"/>
      <c r="C554" s="198"/>
      <c r="D554" s="198"/>
      <c r="E554" s="198"/>
      <c r="F554" s="198"/>
      <c r="G554" s="198"/>
      <c r="H554" s="198"/>
      <c r="I554" s="268"/>
      <c r="J554" s="198"/>
      <c r="K554" s="198"/>
      <c r="L554" s="198"/>
      <c r="M554" s="198"/>
      <c r="N554" s="198"/>
      <c r="O554" s="198"/>
      <c r="P554" s="198"/>
      <c r="Q554" s="198"/>
      <c r="R554" s="198"/>
      <c r="S554" s="198"/>
      <c r="T554" s="198"/>
      <c r="U554" s="198"/>
      <c r="V554" s="198"/>
      <c r="W554" s="198"/>
      <c r="X554" s="198"/>
    </row>
    <row r="555">
      <c r="A555" s="198"/>
      <c r="B555" s="198"/>
      <c r="C555" s="198"/>
      <c r="D555" s="198"/>
      <c r="E555" s="198"/>
      <c r="F555" s="198"/>
      <c r="G555" s="198"/>
      <c r="H555" s="198"/>
      <c r="I555" s="268"/>
      <c r="J555" s="198"/>
      <c r="K555" s="198"/>
      <c r="L555" s="198"/>
      <c r="M555" s="198"/>
      <c r="N555" s="198"/>
      <c r="O555" s="198"/>
      <c r="P555" s="198"/>
      <c r="Q555" s="198"/>
      <c r="R555" s="198"/>
      <c r="S555" s="198"/>
      <c r="T555" s="198"/>
      <c r="U555" s="198"/>
      <c r="V555" s="198"/>
      <c r="W555" s="198"/>
      <c r="X555" s="198"/>
    </row>
    <row r="556">
      <c r="A556" s="198"/>
      <c r="B556" s="198"/>
      <c r="C556" s="198"/>
      <c r="D556" s="198"/>
      <c r="E556" s="198"/>
      <c r="F556" s="198"/>
      <c r="G556" s="198"/>
      <c r="H556" s="198"/>
      <c r="I556" s="268"/>
      <c r="J556" s="198"/>
      <c r="K556" s="198"/>
      <c r="L556" s="198"/>
      <c r="M556" s="198"/>
      <c r="N556" s="198"/>
      <c r="O556" s="198"/>
      <c r="P556" s="198"/>
      <c r="Q556" s="198"/>
      <c r="R556" s="198"/>
      <c r="S556" s="198"/>
      <c r="T556" s="198"/>
      <c r="U556" s="198"/>
      <c r="V556" s="198"/>
      <c r="W556" s="198"/>
      <c r="X556" s="198"/>
    </row>
    <row r="557">
      <c r="A557" s="198"/>
      <c r="B557" s="198"/>
      <c r="C557" s="198"/>
      <c r="D557" s="198"/>
      <c r="E557" s="198"/>
      <c r="F557" s="198"/>
      <c r="G557" s="198"/>
      <c r="H557" s="198"/>
      <c r="I557" s="268"/>
      <c r="J557" s="198"/>
      <c r="K557" s="198"/>
      <c r="L557" s="198"/>
      <c r="M557" s="198"/>
      <c r="N557" s="198"/>
      <c r="O557" s="198"/>
      <c r="P557" s="198"/>
      <c r="Q557" s="198"/>
      <c r="R557" s="198"/>
      <c r="S557" s="198"/>
      <c r="T557" s="198"/>
      <c r="U557" s="198"/>
      <c r="V557" s="198"/>
      <c r="W557" s="198"/>
      <c r="X557" s="198"/>
    </row>
    <row r="558">
      <c r="A558" s="198"/>
      <c r="B558" s="198"/>
      <c r="C558" s="198"/>
      <c r="D558" s="198"/>
      <c r="E558" s="198"/>
      <c r="F558" s="198"/>
      <c r="G558" s="198"/>
      <c r="H558" s="198"/>
      <c r="I558" s="268"/>
      <c r="J558" s="198"/>
      <c r="K558" s="198"/>
      <c r="L558" s="198"/>
      <c r="M558" s="198"/>
      <c r="N558" s="198"/>
      <c r="O558" s="198"/>
      <c r="P558" s="198"/>
      <c r="Q558" s="198"/>
      <c r="R558" s="198"/>
      <c r="S558" s="198"/>
      <c r="T558" s="198"/>
      <c r="U558" s="198"/>
      <c r="V558" s="198"/>
      <c r="W558" s="198"/>
      <c r="X558" s="198"/>
    </row>
    <row r="559">
      <c r="A559" s="198"/>
      <c r="B559" s="198"/>
      <c r="C559" s="198"/>
      <c r="D559" s="198"/>
      <c r="E559" s="198"/>
      <c r="F559" s="198"/>
      <c r="G559" s="198"/>
      <c r="H559" s="198"/>
      <c r="I559" s="268"/>
      <c r="J559" s="198"/>
      <c r="K559" s="198"/>
      <c r="L559" s="198"/>
      <c r="M559" s="198"/>
      <c r="N559" s="198"/>
      <c r="O559" s="198"/>
      <c r="P559" s="198"/>
      <c r="Q559" s="198"/>
      <c r="R559" s="198"/>
      <c r="S559" s="198"/>
      <c r="T559" s="198"/>
      <c r="U559" s="198"/>
      <c r="V559" s="198"/>
      <c r="W559" s="198"/>
      <c r="X559" s="198"/>
    </row>
    <row r="560">
      <c r="A560" s="198"/>
      <c r="B560" s="198"/>
      <c r="C560" s="198"/>
      <c r="D560" s="198"/>
      <c r="E560" s="198"/>
      <c r="F560" s="198"/>
      <c r="G560" s="198"/>
      <c r="H560" s="198"/>
      <c r="I560" s="268"/>
      <c r="J560" s="198"/>
      <c r="K560" s="198"/>
      <c r="L560" s="198"/>
      <c r="M560" s="198"/>
      <c r="N560" s="198"/>
      <c r="O560" s="198"/>
      <c r="P560" s="198"/>
      <c r="Q560" s="198"/>
      <c r="R560" s="198"/>
      <c r="S560" s="198"/>
      <c r="T560" s="198"/>
      <c r="U560" s="198"/>
      <c r="V560" s="198"/>
      <c r="W560" s="198"/>
      <c r="X560" s="198"/>
    </row>
    <row r="561">
      <c r="A561" s="198"/>
      <c r="B561" s="198"/>
      <c r="C561" s="198"/>
      <c r="D561" s="198"/>
      <c r="E561" s="198"/>
      <c r="F561" s="198"/>
      <c r="G561" s="198"/>
      <c r="H561" s="198"/>
      <c r="I561" s="268"/>
      <c r="J561" s="198"/>
      <c r="K561" s="198"/>
      <c r="L561" s="198"/>
      <c r="M561" s="198"/>
      <c r="N561" s="198"/>
      <c r="O561" s="198"/>
      <c r="P561" s="198"/>
      <c r="Q561" s="198"/>
      <c r="R561" s="198"/>
      <c r="S561" s="198"/>
      <c r="T561" s="198"/>
      <c r="U561" s="198"/>
      <c r="V561" s="198"/>
      <c r="W561" s="198"/>
      <c r="X561" s="198"/>
    </row>
    <row r="562">
      <c r="A562" s="198"/>
      <c r="B562" s="198"/>
      <c r="C562" s="198"/>
      <c r="D562" s="198"/>
      <c r="E562" s="198"/>
      <c r="F562" s="198"/>
      <c r="G562" s="198"/>
      <c r="H562" s="198"/>
      <c r="I562" s="268"/>
      <c r="J562" s="198"/>
      <c r="K562" s="198"/>
      <c r="L562" s="198"/>
      <c r="M562" s="198"/>
      <c r="N562" s="198"/>
      <c r="O562" s="198"/>
      <c r="P562" s="198"/>
      <c r="Q562" s="198"/>
      <c r="R562" s="198"/>
      <c r="S562" s="198"/>
      <c r="T562" s="198"/>
      <c r="U562" s="198"/>
      <c r="V562" s="198"/>
      <c r="W562" s="198"/>
      <c r="X562" s="198"/>
    </row>
    <row r="563">
      <c r="A563" s="198"/>
      <c r="B563" s="198"/>
      <c r="C563" s="198"/>
      <c r="D563" s="198"/>
      <c r="E563" s="198"/>
      <c r="F563" s="198"/>
      <c r="G563" s="198"/>
      <c r="H563" s="198"/>
      <c r="I563" s="268"/>
      <c r="J563" s="198"/>
      <c r="K563" s="198"/>
      <c r="L563" s="198"/>
      <c r="M563" s="198"/>
      <c r="N563" s="198"/>
      <c r="O563" s="198"/>
      <c r="P563" s="198"/>
      <c r="Q563" s="198"/>
      <c r="R563" s="198"/>
      <c r="S563" s="198"/>
      <c r="T563" s="198"/>
      <c r="U563" s="198"/>
      <c r="V563" s="198"/>
      <c r="W563" s="198"/>
      <c r="X563" s="198"/>
    </row>
    <row r="564">
      <c r="A564" s="198"/>
      <c r="B564" s="198"/>
      <c r="C564" s="198"/>
      <c r="D564" s="198"/>
      <c r="E564" s="198"/>
      <c r="F564" s="198"/>
      <c r="G564" s="198"/>
      <c r="H564" s="198"/>
      <c r="I564" s="268"/>
      <c r="J564" s="198"/>
      <c r="K564" s="198"/>
      <c r="L564" s="198"/>
      <c r="M564" s="198"/>
      <c r="N564" s="198"/>
      <c r="O564" s="198"/>
      <c r="P564" s="198"/>
      <c r="Q564" s="198"/>
      <c r="R564" s="198"/>
      <c r="S564" s="198"/>
      <c r="T564" s="198"/>
      <c r="U564" s="198"/>
      <c r="V564" s="198"/>
      <c r="W564" s="198"/>
      <c r="X564" s="198"/>
    </row>
    <row r="565">
      <c r="A565" s="198"/>
      <c r="B565" s="198"/>
      <c r="C565" s="198"/>
      <c r="D565" s="198"/>
      <c r="E565" s="198"/>
      <c r="F565" s="198"/>
      <c r="G565" s="198"/>
      <c r="H565" s="198"/>
      <c r="I565" s="268"/>
      <c r="J565" s="198"/>
      <c r="K565" s="198"/>
      <c r="L565" s="198"/>
      <c r="M565" s="198"/>
      <c r="N565" s="198"/>
      <c r="O565" s="198"/>
      <c r="P565" s="198"/>
      <c r="Q565" s="198"/>
      <c r="R565" s="198"/>
      <c r="S565" s="198"/>
      <c r="T565" s="198"/>
      <c r="U565" s="198"/>
      <c r="V565" s="198"/>
      <c r="W565" s="198"/>
      <c r="X565" s="198"/>
    </row>
    <row r="566">
      <c r="A566" s="198"/>
      <c r="B566" s="198"/>
      <c r="C566" s="198"/>
      <c r="D566" s="198"/>
      <c r="E566" s="198"/>
      <c r="F566" s="198"/>
      <c r="G566" s="198"/>
      <c r="H566" s="198"/>
      <c r="I566" s="268"/>
      <c r="J566" s="198"/>
      <c r="K566" s="198"/>
      <c r="L566" s="198"/>
      <c r="M566" s="198"/>
      <c r="N566" s="198"/>
      <c r="O566" s="198"/>
      <c r="P566" s="198"/>
      <c r="Q566" s="198"/>
      <c r="R566" s="198"/>
      <c r="S566" s="198"/>
      <c r="T566" s="198"/>
      <c r="U566" s="198"/>
      <c r="V566" s="198"/>
      <c r="W566" s="198"/>
      <c r="X566" s="198"/>
    </row>
    <row r="567">
      <c r="A567" s="198"/>
      <c r="B567" s="198"/>
      <c r="C567" s="198"/>
      <c r="D567" s="198"/>
      <c r="E567" s="198"/>
      <c r="F567" s="198"/>
      <c r="G567" s="198"/>
      <c r="H567" s="198"/>
      <c r="I567" s="268"/>
      <c r="J567" s="198"/>
      <c r="K567" s="198"/>
      <c r="L567" s="198"/>
      <c r="M567" s="198"/>
      <c r="N567" s="198"/>
      <c r="O567" s="198"/>
      <c r="P567" s="198"/>
      <c r="Q567" s="198"/>
      <c r="R567" s="198"/>
      <c r="S567" s="198"/>
      <c r="T567" s="198"/>
      <c r="U567" s="198"/>
      <c r="V567" s="198"/>
      <c r="W567" s="198"/>
      <c r="X567" s="198"/>
    </row>
    <row r="568">
      <c r="A568" s="198"/>
      <c r="B568" s="198"/>
      <c r="C568" s="198"/>
      <c r="D568" s="198"/>
      <c r="E568" s="198"/>
      <c r="F568" s="198"/>
      <c r="G568" s="198"/>
      <c r="H568" s="198"/>
      <c r="I568" s="268"/>
      <c r="J568" s="198"/>
      <c r="K568" s="198"/>
      <c r="L568" s="198"/>
      <c r="M568" s="198"/>
      <c r="N568" s="198"/>
      <c r="O568" s="198"/>
      <c r="P568" s="198"/>
      <c r="Q568" s="198"/>
      <c r="R568" s="198"/>
      <c r="S568" s="198"/>
      <c r="T568" s="198"/>
      <c r="U568" s="198"/>
      <c r="V568" s="198"/>
      <c r="W568" s="198"/>
      <c r="X568" s="198"/>
    </row>
    <row r="569">
      <c r="A569" s="198"/>
      <c r="B569" s="198"/>
      <c r="C569" s="198"/>
      <c r="D569" s="198"/>
      <c r="E569" s="198"/>
      <c r="F569" s="198"/>
      <c r="G569" s="198"/>
      <c r="H569" s="198"/>
      <c r="I569" s="268"/>
      <c r="J569" s="198"/>
      <c r="K569" s="198"/>
      <c r="L569" s="198"/>
      <c r="M569" s="198"/>
      <c r="N569" s="198"/>
      <c r="O569" s="198"/>
      <c r="P569" s="198"/>
      <c r="Q569" s="198"/>
      <c r="R569" s="198"/>
      <c r="S569" s="198"/>
      <c r="T569" s="198"/>
      <c r="U569" s="198"/>
      <c r="V569" s="198"/>
      <c r="W569" s="198"/>
      <c r="X569" s="198"/>
    </row>
    <row r="570">
      <c r="A570" s="198"/>
      <c r="B570" s="198"/>
      <c r="C570" s="198"/>
      <c r="D570" s="198"/>
      <c r="E570" s="198"/>
      <c r="F570" s="198"/>
      <c r="G570" s="198"/>
      <c r="H570" s="198"/>
      <c r="I570" s="268"/>
      <c r="J570" s="198"/>
      <c r="K570" s="198"/>
      <c r="L570" s="198"/>
      <c r="M570" s="198"/>
      <c r="N570" s="198"/>
      <c r="O570" s="198"/>
      <c r="P570" s="198"/>
      <c r="Q570" s="198"/>
      <c r="R570" s="198"/>
      <c r="S570" s="198"/>
      <c r="T570" s="198"/>
      <c r="U570" s="198"/>
      <c r="V570" s="198"/>
      <c r="W570" s="198"/>
      <c r="X570" s="198"/>
    </row>
    <row r="571">
      <c r="A571" s="198"/>
      <c r="B571" s="198"/>
      <c r="C571" s="198"/>
      <c r="D571" s="198"/>
      <c r="E571" s="198"/>
      <c r="F571" s="198"/>
      <c r="G571" s="198"/>
      <c r="H571" s="198"/>
      <c r="I571" s="268"/>
      <c r="J571" s="198"/>
      <c r="K571" s="198"/>
      <c r="L571" s="198"/>
      <c r="M571" s="198"/>
      <c r="N571" s="198"/>
      <c r="O571" s="198"/>
      <c r="P571" s="198"/>
      <c r="Q571" s="198"/>
      <c r="R571" s="198"/>
      <c r="S571" s="198"/>
      <c r="T571" s="198"/>
      <c r="U571" s="198"/>
      <c r="V571" s="198"/>
      <c r="W571" s="198"/>
      <c r="X571" s="198"/>
    </row>
    <row r="572">
      <c r="A572" s="198"/>
      <c r="B572" s="198"/>
      <c r="C572" s="198"/>
      <c r="D572" s="198"/>
      <c r="E572" s="198"/>
      <c r="F572" s="198"/>
      <c r="G572" s="198"/>
      <c r="H572" s="198"/>
      <c r="I572" s="268"/>
      <c r="J572" s="198"/>
      <c r="K572" s="198"/>
      <c r="L572" s="198"/>
      <c r="M572" s="198"/>
      <c r="N572" s="198"/>
      <c r="O572" s="198"/>
      <c r="P572" s="198"/>
      <c r="Q572" s="198"/>
      <c r="R572" s="198"/>
      <c r="S572" s="198"/>
      <c r="T572" s="198"/>
      <c r="U572" s="198"/>
      <c r="V572" s="198"/>
      <c r="W572" s="198"/>
      <c r="X572" s="198"/>
    </row>
    <row r="573">
      <c r="A573" s="198"/>
      <c r="B573" s="198"/>
      <c r="C573" s="198"/>
      <c r="D573" s="198"/>
      <c r="E573" s="198"/>
      <c r="F573" s="198"/>
      <c r="G573" s="198"/>
      <c r="H573" s="198"/>
      <c r="I573" s="268"/>
      <c r="J573" s="198"/>
      <c r="K573" s="198"/>
      <c r="L573" s="198"/>
      <c r="M573" s="198"/>
      <c r="N573" s="198"/>
      <c r="O573" s="198"/>
      <c r="P573" s="198"/>
      <c r="Q573" s="198"/>
      <c r="R573" s="198"/>
      <c r="S573" s="198"/>
      <c r="T573" s="198"/>
      <c r="U573" s="198"/>
      <c r="V573" s="198"/>
      <c r="W573" s="198"/>
      <c r="X573" s="198"/>
    </row>
    <row r="574">
      <c r="A574" s="198"/>
      <c r="B574" s="198"/>
      <c r="C574" s="198"/>
      <c r="D574" s="198"/>
      <c r="E574" s="198"/>
      <c r="F574" s="198"/>
      <c r="G574" s="198"/>
      <c r="H574" s="198"/>
      <c r="I574" s="268"/>
      <c r="J574" s="198"/>
      <c r="K574" s="198"/>
      <c r="L574" s="198"/>
      <c r="M574" s="198"/>
      <c r="N574" s="198"/>
      <c r="O574" s="198"/>
      <c r="P574" s="198"/>
      <c r="Q574" s="198"/>
      <c r="R574" s="198"/>
      <c r="S574" s="198"/>
      <c r="T574" s="198"/>
      <c r="U574" s="198"/>
      <c r="V574" s="198"/>
      <c r="W574" s="198"/>
      <c r="X574" s="198"/>
    </row>
    <row r="575">
      <c r="A575" s="198"/>
      <c r="B575" s="198"/>
      <c r="C575" s="198"/>
      <c r="D575" s="198"/>
      <c r="E575" s="198"/>
      <c r="F575" s="198"/>
      <c r="G575" s="198"/>
      <c r="H575" s="198"/>
      <c r="I575" s="268"/>
      <c r="J575" s="198"/>
      <c r="K575" s="198"/>
      <c r="L575" s="198"/>
      <c r="M575" s="198"/>
      <c r="N575" s="198"/>
      <c r="O575" s="198"/>
      <c r="P575" s="198"/>
      <c r="Q575" s="198"/>
      <c r="R575" s="198"/>
      <c r="S575" s="198"/>
      <c r="T575" s="198"/>
      <c r="U575" s="198"/>
      <c r="V575" s="198"/>
      <c r="W575" s="198"/>
      <c r="X575" s="198"/>
    </row>
    <row r="576">
      <c r="A576" s="198"/>
      <c r="B576" s="198"/>
      <c r="C576" s="198"/>
      <c r="D576" s="198"/>
      <c r="E576" s="198"/>
      <c r="F576" s="198"/>
      <c r="G576" s="198"/>
      <c r="H576" s="198"/>
      <c r="I576" s="268"/>
      <c r="J576" s="198"/>
      <c r="K576" s="198"/>
      <c r="L576" s="198"/>
      <c r="M576" s="198"/>
      <c r="N576" s="198"/>
      <c r="O576" s="198"/>
      <c r="P576" s="198"/>
      <c r="Q576" s="198"/>
      <c r="R576" s="198"/>
      <c r="S576" s="198"/>
      <c r="T576" s="198"/>
      <c r="U576" s="198"/>
      <c r="V576" s="198"/>
      <c r="W576" s="198"/>
      <c r="X576" s="198"/>
    </row>
    <row r="577">
      <c r="A577" s="198"/>
      <c r="B577" s="198"/>
      <c r="C577" s="198"/>
      <c r="D577" s="198"/>
      <c r="E577" s="198"/>
      <c r="F577" s="198"/>
      <c r="G577" s="198"/>
      <c r="H577" s="198"/>
      <c r="I577" s="268"/>
      <c r="J577" s="198"/>
      <c r="K577" s="198"/>
      <c r="L577" s="198"/>
      <c r="M577" s="198"/>
      <c r="N577" s="198"/>
      <c r="O577" s="198"/>
      <c r="P577" s="198"/>
      <c r="Q577" s="198"/>
      <c r="R577" s="198"/>
      <c r="S577" s="198"/>
      <c r="T577" s="198"/>
      <c r="U577" s="198"/>
      <c r="V577" s="198"/>
      <c r="W577" s="198"/>
      <c r="X577" s="198"/>
    </row>
    <row r="578">
      <c r="A578" s="198"/>
      <c r="B578" s="198"/>
      <c r="C578" s="198"/>
      <c r="D578" s="198"/>
      <c r="E578" s="198"/>
      <c r="F578" s="198"/>
      <c r="G578" s="198"/>
      <c r="H578" s="198"/>
      <c r="I578" s="268"/>
      <c r="J578" s="198"/>
      <c r="K578" s="198"/>
      <c r="L578" s="198"/>
      <c r="M578" s="198"/>
      <c r="N578" s="198"/>
      <c r="O578" s="198"/>
      <c r="P578" s="198"/>
      <c r="Q578" s="198"/>
      <c r="R578" s="198"/>
      <c r="S578" s="198"/>
      <c r="T578" s="198"/>
      <c r="U578" s="198"/>
      <c r="V578" s="198"/>
      <c r="W578" s="198"/>
      <c r="X578" s="198"/>
    </row>
    <row r="579">
      <c r="A579" s="198"/>
      <c r="B579" s="198"/>
      <c r="C579" s="198"/>
      <c r="D579" s="198"/>
      <c r="E579" s="198"/>
      <c r="F579" s="198"/>
      <c r="G579" s="198"/>
      <c r="H579" s="198"/>
      <c r="I579" s="268"/>
      <c r="J579" s="198"/>
      <c r="K579" s="198"/>
      <c r="L579" s="198"/>
      <c r="M579" s="198"/>
      <c r="N579" s="198"/>
      <c r="O579" s="198"/>
      <c r="P579" s="198"/>
      <c r="Q579" s="198"/>
      <c r="R579" s="198"/>
      <c r="S579" s="198"/>
      <c r="T579" s="198"/>
      <c r="U579" s="198"/>
      <c r="V579" s="198"/>
      <c r="W579" s="198"/>
      <c r="X579" s="198"/>
    </row>
    <row r="580">
      <c r="A580" s="198"/>
      <c r="B580" s="198"/>
      <c r="C580" s="198"/>
      <c r="D580" s="198"/>
      <c r="E580" s="198"/>
      <c r="F580" s="198"/>
      <c r="G580" s="198"/>
      <c r="H580" s="198"/>
      <c r="I580" s="268"/>
      <c r="J580" s="198"/>
      <c r="K580" s="198"/>
      <c r="L580" s="198"/>
      <c r="M580" s="198"/>
      <c r="N580" s="198"/>
      <c r="O580" s="198"/>
      <c r="P580" s="198"/>
      <c r="Q580" s="198"/>
      <c r="R580" s="198"/>
      <c r="S580" s="198"/>
      <c r="T580" s="198"/>
      <c r="U580" s="198"/>
      <c r="V580" s="198"/>
      <c r="W580" s="198"/>
      <c r="X580" s="198"/>
    </row>
    <row r="581">
      <c r="A581" s="198"/>
      <c r="B581" s="198"/>
      <c r="C581" s="198"/>
      <c r="D581" s="198"/>
      <c r="E581" s="198"/>
      <c r="F581" s="198"/>
      <c r="G581" s="198"/>
      <c r="H581" s="198"/>
      <c r="I581" s="268"/>
      <c r="J581" s="198"/>
      <c r="K581" s="198"/>
      <c r="L581" s="198"/>
      <c r="M581" s="198"/>
      <c r="N581" s="198"/>
      <c r="O581" s="198"/>
      <c r="P581" s="198"/>
      <c r="Q581" s="198"/>
      <c r="R581" s="198"/>
      <c r="S581" s="198"/>
      <c r="T581" s="198"/>
      <c r="U581" s="198"/>
      <c r="V581" s="198"/>
      <c r="W581" s="198"/>
      <c r="X581" s="198"/>
    </row>
    <row r="582">
      <c r="A582" s="198"/>
      <c r="B582" s="198"/>
      <c r="C582" s="198"/>
      <c r="D582" s="198"/>
      <c r="E582" s="198"/>
      <c r="F582" s="198"/>
      <c r="G582" s="198"/>
      <c r="H582" s="198"/>
      <c r="I582" s="268"/>
      <c r="J582" s="198"/>
      <c r="K582" s="198"/>
      <c r="L582" s="198"/>
      <c r="M582" s="198"/>
      <c r="N582" s="198"/>
      <c r="O582" s="198"/>
      <c r="P582" s="198"/>
      <c r="Q582" s="198"/>
      <c r="R582" s="198"/>
      <c r="S582" s="198"/>
      <c r="T582" s="198"/>
      <c r="U582" s="198"/>
      <c r="V582" s="198"/>
      <c r="W582" s="198"/>
      <c r="X582" s="198"/>
    </row>
    <row r="583">
      <c r="A583" s="198"/>
      <c r="B583" s="198"/>
      <c r="C583" s="198"/>
      <c r="D583" s="198"/>
      <c r="E583" s="198"/>
      <c r="F583" s="198"/>
      <c r="G583" s="198"/>
      <c r="H583" s="198"/>
      <c r="I583" s="268"/>
      <c r="J583" s="198"/>
      <c r="K583" s="198"/>
      <c r="L583" s="198"/>
      <c r="M583" s="198"/>
      <c r="N583" s="198"/>
      <c r="O583" s="198"/>
      <c r="P583" s="198"/>
      <c r="Q583" s="198"/>
      <c r="R583" s="198"/>
      <c r="S583" s="198"/>
      <c r="T583" s="198"/>
      <c r="U583" s="198"/>
      <c r="V583" s="198"/>
      <c r="W583" s="198"/>
      <c r="X583" s="198"/>
    </row>
    <row r="584">
      <c r="A584" s="198"/>
      <c r="B584" s="198"/>
      <c r="C584" s="198"/>
      <c r="D584" s="198"/>
      <c r="E584" s="198"/>
      <c r="F584" s="198"/>
      <c r="G584" s="198"/>
      <c r="H584" s="198"/>
      <c r="I584" s="268"/>
      <c r="J584" s="198"/>
      <c r="K584" s="198"/>
      <c r="L584" s="198"/>
      <c r="M584" s="198"/>
      <c r="N584" s="198"/>
      <c r="O584" s="198"/>
      <c r="P584" s="198"/>
      <c r="Q584" s="198"/>
      <c r="R584" s="198"/>
      <c r="S584" s="198"/>
      <c r="T584" s="198"/>
      <c r="U584" s="198"/>
      <c r="V584" s="198"/>
      <c r="W584" s="198"/>
      <c r="X584" s="198"/>
    </row>
    <row r="585">
      <c r="A585" s="198"/>
      <c r="B585" s="198"/>
      <c r="C585" s="198"/>
      <c r="D585" s="198"/>
      <c r="E585" s="198"/>
      <c r="F585" s="198"/>
      <c r="G585" s="198"/>
      <c r="H585" s="198"/>
      <c r="I585" s="268"/>
      <c r="J585" s="198"/>
      <c r="K585" s="198"/>
      <c r="L585" s="198"/>
      <c r="M585" s="198"/>
      <c r="N585" s="198"/>
      <c r="O585" s="198"/>
      <c r="P585" s="198"/>
      <c r="Q585" s="198"/>
      <c r="R585" s="198"/>
      <c r="S585" s="198"/>
      <c r="T585" s="198"/>
      <c r="U585" s="198"/>
      <c r="V585" s="198"/>
      <c r="W585" s="198"/>
      <c r="X585" s="198"/>
    </row>
    <row r="586">
      <c r="A586" s="198"/>
      <c r="B586" s="198"/>
      <c r="C586" s="198"/>
      <c r="D586" s="198"/>
      <c r="E586" s="198"/>
      <c r="F586" s="198"/>
      <c r="G586" s="198"/>
      <c r="H586" s="198"/>
      <c r="I586" s="268"/>
      <c r="J586" s="198"/>
      <c r="K586" s="198"/>
      <c r="L586" s="198"/>
      <c r="M586" s="198"/>
      <c r="N586" s="198"/>
      <c r="O586" s="198"/>
      <c r="P586" s="198"/>
      <c r="Q586" s="198"/>
      <c r="R586" s="198"/>
      <c r="S586" s="198"/>
      <c r="T586" s="198"/>
      <c r="U586" s="198"/>
      <c r="V586" s="198"/>
      <c r="W586" s="198"/>
      <c r="X586" s="198"/>
    </row>
    <row r="587">
      <c r="A587" s="198"/>
      <c r="B587" s="198"/>
      <c r="C587" s="198"/>
      <c r="D587" s="198"/>
      <c r="E587" s="198"/>
      <c r="F587" s="198"/>
      <c r="G587" s="198"/>
      <c r="H587" s="198"/>
      <c r="I587" s="268"/>
      <c r="J587" s="198"/>
      <c r="K587" s="198"/>
      <c r="L587" s="198"/>
      <c r="M587" s="198"/>
      <c r="N587" s="198"/>
      <c r="O587" s="198"/>
      <c r="P587" s="198"/>
      <c r="Q587" s="198"/>
      <c r="R587" s="198"/>
      <c r="S587" s="198"/>
      <c r="T587" s="198"/>
      <c r="U587" s="198"/>
      <c r="V587" s="198"/>
      <c r="W587" s="198"/>
      <c r="X587" s="198"/>
    </row>
    <row r="588">
      <c r="A588" s="198"/>
      <c r="B588" s="198"/>
      <c r="C588" s="198"/>
      <c r="D588" s="198"/>
      <c r="E588" s="198"/>
      <c r="F588" s="198"/>
      <c r="G588" s="198"/>
      <c r="H588" s="198"/>
      <c r="I588" s="268"/>
      <c r="J588" s="198"/>
      <c r="K588" s="198"/>
      <c r="L588" s="198"/>
      <c r="M588" s="198"/>
      <c r="N588" s="198"/>
      <c r="O588" s="198"/>
      <c r="P588" s="198"/>
      <c r="Q588" s="198"/>
      <c r="R588" s="198"/>
      <c r="S588" s="198"/>
      <c r="T588" s="198"/>
      <c r="U588" s="198"/>
      <c r="V588" s="198"/>
      <c r="W588" s="198"/>
      <c r="X588" s="198"/>
    </row>
    <row r="589">
      <c r="A589" s="198"/>
      <c r="B589" s="198"/>
      <c r="C589" s="198"/>
      <c r="D589" s="198"/>
      <c r="E589" s="198"/>
      <c r="F589" s="198"/>
      <c r="G589" s="198"/>
      <c r="H589" s="198"/>
      <c r="I589" s="268"/>
      <c r="J589" s="198"/>
      <c r="K589" s="198"/>
      <c r="L589" s="198"/>
      <c r="M589" s="198"/>
      <c r="N589" s="198"/>
      <c r="O589" s="198"/>
      <c r="P589" s="198"/>
      <c r="Q589" s="198"/>
      <c r="R589" s="198"/>
      <c r="S589" s="198"/>
      <c r="T589" s="198"/>
      <c r="U589" s="198"/>
      <c r="V589" s="198"/>
      <c r="W589" s="198"/>
      <c r="X589" s="198"/>
    </row>
    <row r="590">
      <c r="A590" s="198"/>
      <c r="B590" s="198"/>
      <c r="C590" s="198"/>
      <c r="D590" s="198"/>
      <c r="E590" s="198"/>
      <c r="F590" s="198"/>
      <c r="G590" s="198"/>
      <c r="H590" s="198"/>
      <c r="I590" s="268"/>
      <c r="J590" s="198"/>
      <c r="K590" s="198"/>
      <c r="L590" s="198"/>
      <c r="M590" s="198"/>
      <c r="N590" s="198"/>
      <c r="O590" s="198"/>
      <c r="P590" s="198"/>
      <c r="Q590" s="198"/>
      <c r="R590" s="198"/>
      <c r="S590" s="198"/>
      <c r="T590" s="198"/>
      <c r="U590" s="198"/>
      <c r="V590" s="198"/>
      <c r="W590" s="198"/>
      <c r="X590" s="198"/>
    </row>
    <row r="591">
      <c r="A591" s="198"/>
      <c r="B591" s="198"/>
      <c r="C591" s="198"/>
      <c r="D591" s="198"/>
      <c r="E591" s="198"/>
      <c r="F591" s="198"/>
      <c r="G591" s="198"/>
      <c r="H591" s="198"/>
      <c r="I591" s="268"/>
      <c r="J591" s="198"/>
      <c r="K591" s="198"/>
      <c r="L591" s="198"/>
      <c r="M591" s="198"/>
      <c r="N591" s="198"/>
      <c r="O591" s="198"/>
      <c r="P591" s="198"/>
      <c r="Q591" s="198"/>
      <c r="R591" s="198"/>
      <c r="S591" s="198"/>
      <c r="T591" s="198"/>
      <c r="U591" s="198"/>
      <c r="V591" s="198"/>
      <c r="W591" s="198"/>
      <c r="X591" s="198"/>
    </row>
    <row r="592">
      <c r="A592" s="198"/>
      <c r="B592" s="198"/>
      <c r="C592" s="198"/>
      <c r="D592" s="198"/>
      <c r="E592" s="198"/>
      <c r="F592" s="198"/>
      <c r="G592" s="198"/>
      <c r="H592" s="198"/>
      <c r="I592" s="268"/>
      <c r="J592" s="198"/>
      <c r="K592" s="198"/>
      <c r="L592" s="198"/>
      <c r="M592" s="198"/>
      <c r="N592" s="198"/>
      <c r="O592" s="198"/>
      <c r="P592" s="198"/>
      <c r="Q592" s="198"/>
      <c r="R592" s="198"/>
      <c r="S592" s="198"/>
      <c r="T592" s="198"/>
      <c r="U592" s="198"/>
      <c r="V592" s="198"/>
      <c r="W592" s="198"/>
      <c r="X592" s="198"/>
    </row>
    <row r="593">
      <c r="A593" s="198"/>
      <c r="B593" s="198"/>
      <c r="C593" s="198"/>
      <c r="D593" s="198"/>
      <c r="E593" s="198"/>
      <c r="F593" s="198"/>
      <c r="G593" s="198"/>
      <c r="H593" s="198"/>
      <c r="I593" s="268"/>
      <c r="J593" s="198"/>
      <c r="K593" s="198"/>
      <c r="L593" s="198"/>
      <c r="M593" s="198"/>
      <c r="N593" s="198"/>
      <c r="O593" s="198"/>
      <c r="P593" s="198"/>
      <c r="Q593" s="198"/>
      <c r="R593" s="198"/>
      <c r="S593" s="198"/>
      <c r="T593" s="198"/>
      <c r="U593" s="198"/>
      <c r="V593" s="198"/>
      <c r="W593" s="198"/>
      <c r="X593" s="198"/>
    </row>
    <row r="594">
      <c r="A594" s="198"/>
      <c r="B594" s="198"/>
      <c r="C594" s="198"/>
      <c r="D594" s="198"/>
      <c r="E594" s="198"/>
      <c r="F594" s="198"/>
      <c r="G594" s="198"/>
      <c r="H594" s="198"/>
      <c r="I594" s="268"/>
      <c r="J594" s="198"/>
      <c r="K594" s="198"/>
      <c r="L594" s="198"/>
      <c r="M594" s="198"/>
      <c r="N594" s="198"/>
      <c r="O594" s="198"/>
      <c r="P594" s="198"/>
      <c r="Q594" s="198"/>
      <c r="R594" s="198"/>
      <c r="S594" s="198"/>
      <c r="T594" s="198"/>
      <c r="U594" s="198"/>
      <c r="V594" s="198"/>
      <c r="W594" s="198"/>
      <c r="X594" s="198"/>
    </row>
    <row r="595">
      <c r="A595" s="198"/>
      <c r="B595" s="198"/>
      <c r="C595" s="198"/>
      <c r="D595" s="198"/>
      <c r="E595" s="198"/>
      <c r="F595" s="198"/>
      <c r="G595" s="198"/>
      <c r="H595" s="198"/>
      <c r="I595" s="268"/>
      <c r="J595" s="198"/>
      <c r="K595" s="198"/>
      <c r="L595" s="198"/>
      <c r="M595" s="198"/>
      <c r="N595" s="198"/>
      <c r="O595" s="198"/>
      <c r="P595" s="198"/>
      <c r="Q595" s="198"/>
      <c r="R595" s="198"/>
      <c r="S595" s="198"/>
      <c r="T595" s="198"/>
      <c r="U595" s="198"/>
      <c r="V595" s="198"/>
      <c r="W595" s="198"/>
      <c r="X595" s="198"/>
    </row>
    <row r="596">
      <c r="A596" s="198"/>
      <c r="B596" s="198"/>
      <c r="C596" s="198"/>
      <c r="D596" s="198"/>
      <c r="E596" s="198"/>
      <c r="F596" s="198"/>
      <c r="G596" s="198"/>
      <c r="H596" s="198"/>
      <c r="I596" s="268"/>
      <c r="J596" s="198"/>
      <c r="K596" s="198"/>
      <c r="L596" s="198"/>
      <c r="M596" s="198"/>
      <c r="N596" s="198"/>
      <c r="O596" s="198"/>
      <c r="P596" s="198"/>
      <c r="Q596" s="198"/>
      <c r="R596" s="198"/>
      <c r="S596" s="198"/>
      <c r="T596" s="198"/>
      <c r="U596" s="198"/>
      <c r="V596" s="198"/>
      <c r="W596" s="198"/>
      <c r="X596" s="198"/>
    </row>
    <row r="597">
      <c r="A597" s="198"/>
      <c r="B597" s="198"/>
      <c r="C597" s="198"/>
      <c r="D597" s="198"/>
      <c r="E597" s="198"/>
      <c r="F597" s="198"/>
      <c r="G597" s="198"/>
      <c r="H597" s="198"/>
      <c r="I597" s="268"/>
      <c r="J597" s="198"/>
      <c r="K597" s="198"/>
      <c r="L597" s="198"/>
      <c r="M597" s="198"/>
      <c r="N597" s="198"/>
      <c r="O597" s="198"/>
      <c r="P597" s="198"/>
      <c r="Q597" s="198"/>
      <c r="R597" s="198"/>
      <c r="S597" s="198"/>
      <c r="T597" s="198"/>
      <c r="U597" s="198"/>
      <c r="V597" s="198"/>
      <c r="W597" s="198"/>
      <c r="X597" s="198"/>
    </row>
    <row r="598">
      <c r="A598" s="198"/>
      <c r="B598" s="198"/>
      <c r="C598" s="198"/>
      <c r="D598" s="198"/>
      <c r="E598" s="198"/>
      <c r="F598" s="198"/>
      <c r="G598" s="198"/>
      <c r="H598" s="198"/>
      <c r="I598" s="268"/>
      <c r="J598" s="198"/>
      <c r="K598" s="198"/>
      <c r="L598" s="198"/>
      <c r="M598" s="198"/>
      <c r="N598" s="198"/>
      <c r="O598" s="198"/>
      <c r="P598" s="198"/>
      <c r="Q598" s="198"/>
      <c r="R598" s="198"/>
      <c r="S598" s="198"/>
      <c r="T598" s="198"/>
      <c r="U598" s="198"/>
      <c r="V598" s="198"/>
      <c r="W598" s="198"/>
      <c r="X598" s="198"/>
    </row>
    <row r="599">
      <c r="A599" s="198"/>
      <c r="B599" s="198"/>
      <c r="C599" s="198"/>
      <c r="D599" s="198"/>
      <c r="E599" s="198"/>
      <c r="F599" s="198"/>
      <c r="G599" s="198"/>
      <c r="H599" s="198"/>
      <c r="I599" s="268"/>
      <c r="J599" s="198"/>
      <c r="K599" s="198"/>
      <c r="L599" s="198"/>
      <c r="M599" s="198"/>
      <c r="N599" s="198"/>
      <c r="O599" s="198"/>
      <c r="P599" s="198"/>
      <c r="Q599" s="198"/>
      <c r="R599" s="198"/>
      <c r="S599" s="198"/>
      <c r="T599" s="198"/>
      <c r="U599" s="198"/>
      <c r="V599" s="198"/>
      <c r="W599" s="198"/>
      <c r="X599" s="198"/>
    </row>
    <row r="600">
      <c r="A600" s="198"/>
      <c r="B600" s="198"/>
      <c r="C600" s="198"/>
      <c r="D600" s="198"/>
      <c r="E600" s="198"/>
      <c r="F600" s="198"/>
      <c r="G600" s="198"/>
      <c r="H600" s="198"/>
      <c r="I600" s="268"/>
      <c r="J600" s="198"/>
      <c r="K600" s="198"/>
      <c r="L600" s="198"/>
      <c r="M600" s="198"/>
      <c r="N600" s="198"/>
      <c r="O600" s="198"/>
      <c r="P600" s="198"/>
      <c r="Q600" s="198"/>
      <c r="R600" s="198"/>
      <c r="S600" s="198"/>
      <c r="T600" s="198"/>
      <c r="U600" s="198"/>
      <c r="V600" s="198"/>
      <c r="W600" s="198"/>
      <c r="X600" s="198"/>
    </row>
    <row r="601">
      <c r="A601" s="198"/>
      <c r="B601" s="198"/>
      <c r="C601" s="198"/>
      <c r="D601" s="198"/>
      <c r="E601" s="198"/>
      <c r="F601" s="198"/>
      <c r="G601" s="198"/>
      <c r="H601" s="198"/>
      <c r="I601" s="268"/>
      <c r="J601" s="198"/>
      <c r="K601" s="198"/>
      <c r="L601" s="198"/>
      <c r="M601" s="198"/>
      <c r="N601" s="198"/>
      <c r="O601" s="198"/>
      <c r="P601" s="198"/>
      <c r="Q601" s="198"/>
      <c r="R601" s="198"/>
      <c r="S601" s="198"/>
      <c r="T601" s="198"/>
      <c r="U601" s="198"/>
      <c r="V601" s="198"/>
      <c r="W601" s="198"/>
      <c r="X601" s="198"/>
    </row>
    <row r="602">
      <c r="A602" s="198"/>
      <c r="B602" s="198"/>
      <c r="C602" s="198"/>
      <c r="D602" s="198"/>
      <c r="E602" s="198"/>
      <c r="F602" s="198"/>
      <c r="G602" s="198"/>
      <c r="H602" s="198"/>
      <c r="I602" s="268"/>
      <c r="J602" s="198"/>
      <c r="K602" s="198"/>
      <c r="L602" s="198"/>
      <c r="M602" s="198"/>
      <c r="N602" s="198"/>
      <c r="O602" s="198"/>
      <c r="P602" s="198"/>
      <c r="Q602" s="198"/>
      <c r="R602" s="198"/>
      <c r="S602" s="198"/>
      <c r="T602" s="198"/>
      <c r="U602" s="198"/>
      <c r="V602" s="198"/>
      <c r="W602" s="198"/>
      <c r="X602" s="198"/>
    </row>
    <row r="603">
      <c r="A603" s="198"/>
      <c r="B603" s="198"/>
      <c r="C603" s="198"/>
      <c r="D603" s="198"/>
      <c r="E603" s="198"/>
      <c r="F603" s="198"/>
      <c r="G603" s="198"/>
      <c r="H603" s="198"/>
      <c r="I603" s="268"/>
      <c r="J603" s="198"/>
      <c r="K603" s="198"/>
      <c r="L603" s="198"/>
      <c r="M603" s="198"/>
      <c r="N603" s="198"/>
      <c r="O603" s="198"/>
      <c r="P603" s="198"/>
      <c r="Q603" s="198"/>
      <c r="R603" s="198"/>
      <c r="S603" s="198"/>
      <c r="T603" s="198"/>
      <c r="U603" s="198"/>
      <c r="V603" s="198"/>
      <c r="W603" s="198"/>
      <c r="X603" s="198"/>
    </row>
    <row r="604">
      <c r="A604" s="198"/>
      <c r="B604" s="198"/>
      <c r="C604" s="198"/>
      <c r="D604" s="198"/>
      <c r="E604" s="198"/>
      <c r="F604" s="198"/>
      <c r="G604" s="198"/>
      <c r="H604" s="198"/>
      <c r="I604" s="268"/>
      <c r="J604" s="198"/>
      <c r="K604" s="198"/>
      <c r="L604" s="198"/>
      <c r="M604" s="198"/>
      <c r="N604" s="198"/>
      <c r="O604" s="198"/>
      <c r="P604" s="198"/>
      <c r="Q604" s="198"/>
      <c r="R604" s="198"/>
      <c r="S604" s="198"/>
      <c r="T604" s="198"/>
      <c r="U604" s="198"/>
      <c r="V604" s="198"/>
      <c r="W604" s="198"/>
      <c r="X604" s="198"/>
    </row>
    <row r="605">
      <c r="A605" s="198"/>
      <c r="B605" s="198"/>
      <c r="C605" s="198"/>
      <c r="D605" s="198"/>
      <c r="E605" s="198"/>
      <c r="F605" s="198"/>
      <c r="G605" s="198"/>
      <c r="H605" s="198"/>
      <c r="I605" s="268"/>
      <c r="J605" s="198"/>
      <c r="K605" s="198"/>
      <c r="L605" s="198"/>
      <c r="M605" s="198"/>
      <c r="N605" s="198"/>
      <c r="O605" s="198"/>
      <c r="P605" s="198"/>
      <c r="Q605" s="198"/>
      <c r="R605" s="198"/>
      <c r="S605" s="198"/>
      <c r="T605" s="198"/>
      <c r="U605" s="198"/>
      <c r="V605" s="198"/>
      <c r="W605" s="198"/>
      <c r="X605" s="198"/>
    </row>
    <row r="606">
      <c r="A606" s="198"/>
      <c r="B606" s="198"/>
      <c r="C606" s="198"/>
      <c r="D606" s="198"/>
      <c r="E606" s="198"/>
      <c r="F606" s="198"/>
      <c r="G606" s="198"/>
      <c r="H606" s="198"/>
      <c r="I606" s="268"/>
      <c r="J606" s="198"/>
      <c r="K606" s="198"/>
      <c r="L606" s="198"/>
      <c r="M606" s="198"/>
      <c r="N606" s="198"/>
      <c r="O606" s="198"/>
      <c r="P606" s="198"/>
      <c r="Q606" s="198"/>
      <c r="R606" s="198"/>
      <c r="S606" s="198"/>
      <c r="T606" s="198"/>
      <c r="U606" s="198"/>
      <c r="V606" s="198"/>
      <c r="W606" s="198"/>
      <c r="X606" s="198"/>
    </row>
    <row r="607">
      <c r="A607" s="198"/>
      <c r="B607" s="198"/>
      <c r="C607" s="198"/>
      <c r="D607" s="198"/>
      <c r="E607" s="198"/>
      <c r="F607" s="198"/>
      <c r="G607" s="198"/>
      <c r="H607" s="198"/>
      <c r="I607" s="268"/>
      <c r="J607" s="198"/>
      <c r="K607" s="198"/>
      <c r="L607" s="198"/>
      <c r="M607" s="198"/>
      <c r="N607" s="198"/>
      <c r="O607" s="198"/>
      <c r="P607" s="198"/>
      <c r="Q607" s="198"/>
      <c r="R607" s="198"/>
      <c r="S607" s="198"/>
      <c r="T607" s="198"/>
      <c r="U607" s="198"/>
      <c r="V607" s="198"/>
      <c r="W607" s="198"/>
      <c r="X607" s="198"/>
    </row>
    <row r="608">
      <c r="A608" s="198"/>
      <c r="B608" s="198"/>
      <c r="C608" s="198"/>
      <c r="D608" s="198"/>
      <c r="E608" s="198"/>
      <c r="F608" s="198"/>
      <c r="G608" s="198"/>
      <c r="H608" s="198"/>
      <c r="I608" s="268"/>
      <c r="J608" s="198"/>
      <c r="K608" s="198"/>
      <c r="L608" s="198"/>
      <c r="M608" s="198"/>
      <c r="N608" s="198"/>
      <c r="O608" s="198"/>
      <c r="P608" s="198"/>
      <c r="Q608" s="198"/>
      <c r="R608" s="198"/>
      <c r="S608" s="198"/>
      <c r="T608" s="198"/>
      <c r="U608" s="198"/>
      <c r="V608" s="198"/>
      <c r="W608" s="198"/>
      <c r="X608" s="198"/>
    </row>
    <row r="609">
      <c r="A609" s="198"/>
      <c r="B609" s="198"/>
      <c r="C609" s="198"/>
      <c r="D609" s="198"/>
      <c r="E609" s="198"/>
      <c r="F609" s="198"/>
      <c r="G609" s="198"/>
      <c r="H609" s="198"/>
      <c r="I609" s="268"/>
      <c r="J609" s="198"/>
      <c r="K609" s="198"/>
      <c r="L609" s="198"/>
      <c r="M609" s="198"/>
      <c r="N609" s="198"/>
      <c r="O609" s="198"/>
      <c r="P609" s="198"/>
      <c r="Q609" s="198"/>
      <c r="R609" s="198"/>
      <c r="S609" s="198"/>
      <c r="T609" s="198"/>
      <c r="U609" s="198"/>
      <c r="V609" s="198"/>
      <c r="W609" s="198"/>
      <c r="X609" s="198"/>
    </row>
    <row r="610">
      <c r="A610" s="198"/>
      <c r="B610" s="198"/>
      <c r="C610" s="198"/>
      <c r="D610" s="198"/>
      <c r="E610" s="198"/>
      <c r="F610" s="198"/>
      <c r="G610" s="198"/>
      <c r="H610" s="198"/>
      <c r="I610" s="268"/>
      <c r="J610" s="198"/>
      <c r="K610" s="198"/>
      <c r="L610" s="198"/>
      <c r="M610" s="198"/>
      <c r="N610" s="198"/>
      <c r="O610" s="198"/>
      <c r="P610" s="198"/>
      <c r="Q610" s="198"/>
      <c r="R610" s="198"/>
      <c r="S610" s="198"/>
      <c r="T610" s="198"/>
      <c r="U610" s="198"/>
      <c r="V610" s="198"/>
      <c r="W610" s="198"/>
      <c r="X610" s="198"/>
    </row>
    <row r="611">
      <c r="A611" s="198"/>
      <c r="B611" s="198"/>
      <c r="C611" s="198"/>
      <c r="D611" s="198"/>
      <c r="E611" s="198"/>
      <c r="F611" s="198"/>
      <c r="G611" s="198"/>
      <c r="H611" s="198"/>
      <c r="I611" s="268"/>
      <c r="J611" s="198"/>
      <c r="K611" s="198"/>
      <c r="L611" s="198"/>
      <c r="M611" s="198"/>
      <c r="N611" s="198"/>
      <c r="O611" s="198"/>
      <c r="P611" s="198"/>
      <c r="Q611" s="198"/>
      <c r="R611" s="198"/>
      <c r="S611" s="198"/>
      <c r="T611" s="198"/>
      <c r="U611" s="198"/>
      <c r="V611" s="198"/>
      <c r="W611" s="198"/>
      <c r="X611" s="198"/>
    </row>
    <row r="612">
      <c r="A612" s="198"/>
      <c r="B612" s="198"/>
      <c r="C612" s="198"/>
      <c r="D612" s="198"/>
      <c r="E612" s="198"/>
      <c r="F612" s="198"/>
      <c r="G612" s="198"/>
      <c r="H612" s="198"/>
      <c r="I612" s="268"/>
      <c r="J612" s="198"/>
      <c r="K612" s="198"/>
      <c r="L612" s="198"/>
      <c r="M612" s="198"/>
      <c r="N612" s="198"/>
      <c r="O612" s="198"/>
      <c r="P612" s="198"/>
      <c r="Q612" s="198"/>
      <c r="R612" s="198"/>
      <c r="S612" s="198"/>
      <c r="T612" s="198"/>
      <c r="U612" s="198"/>
      <c r="V612" s="198"/>
      <c r="W612" s="198"/>
      <c r="X612" s="198"/>
    </row>
    <row r="613">
      <c r="A613" s="198"/>
      <c r="B613" s="198"/>
      <c r="C613" s="198"/>
      <c r="D613" s="198"/>
      <c r="E613" s="198"/>
      <c r="F613" s="198"/>
      <c r="G613" s="198"/>
      <c r="H613" s="198"/>
      <c r="I613" s="268"/>
      <c r="J613" s="198"/>
      <c r="K613" s="198"/>
      <c r="L613" s="198"/>
      <c r="M613" s="198"/>
      <c r="N613" s="198"/>
      <c r="O613" s="198"/>
      <c r="P613" s="198"/>
      <c r="Q613" s="198"/>
      <c r="R613" s="198"/>
      <c r="S613" s="198"/>
      <c r="T613" s="198"/>
      <c r="U613" s="198"/>
      <c r="V613" s="198"/>
      <c r="W613" s="198"/>
      <c r="X613" s="198"/>
    </row>
    <row r="614">
      <c r="A614" s="198"/>
      <c r="B614" s="198"/>
      <c r="C614" s="198"/>
      <c r="D614" s="198"/>
      <c r="E614" s="198"/>
      <c r="F614" s="198"/>
      <c r="G614" s="198"/>
      <c r="H614" s="198"/>
      <c r="I614" s="268"/>
      <c r="J614" s="198"/>
      <c r="K614" s="198"/>
      <c r="L614" s="198"/>
      <c r="M614" s="198"/>
      <c r="N614" s="198"/>
      <c r="O614" s="198"/>
      <c r="P614" s="198"/>
      <c r="Q614" s="198"/>
      <c r="R614" s="198"/>
      <c r="S614" s="198"/>
      <c r="T614" s="198"/>
      <c r="U614" s="198"/>
      <c r="V614" s="198"/>
      <c r="W614" s="198"/>
      <c r="X614" s="198"/>
    </row>
    <row r="615">
      <c r="A615" s="198"/>
      <c r="B615" s="198"/>
      <c r="C615" s="198"/>
      <c r="D615" s="198"/>
      <c r="E615" s="198"/>
      <c r="F615" s="198"/>
      <c r="G615" s="198"/>
      <c r="H615" s="198"/>
      <c r="I615" s="268"/>
      <c r="J615" s="198"/>
      <c r="K615" s="198"/>
      <c r="L615" s="198"/>
      <c r="M615" s="198"/>
      <c r="N615" s="198"/>
      <c r="O615" s="198"/>
      <c r="P615" s="198"/>
      <c r="Q615" s="198"/>
      <c r="R615" s="198"/>
      <c r="S615" s="198"/>
      <c r="T615" s="198"/>
      <c r="U615" s="198"/>
      <c r="V615" s="198"/>
      <c r="W615" s="198"/>
      <c r="X615" s="198"/>
    </row>
    <row r="616">
      <c r="A616" s="198"/>
      <c r="B616" s="198"/>
      <c r="C616" s="198"/>
      <c r="D616" s="198"/>
      <c r="E616" s="198"/>
      <c r="F616" s="198"/>
      <c r="G616" s="198"/>
      <c r="H616" s="198"/>
      <c r="I616" s="268"/>
      <c r="J616" s="198"/>
      <c r="K616" s="198"/>
      <c r="L616" s="198"/>
      <c r="M616" s="198"/>
      <c r="N616" s="198"/>
      <c r="O616" s="198"/>
      <c r="P616" s="198"/>
      <c r="Q616" s="198"/>
      <c r="R616" s="198"/>
      <c r="S616" s="198"/>
      <c r="T616" s="198"/>
      <c r="U616" s="198"/>
      <c r="V616" s="198"/>
      <c r="W616" s="198"/>
      <c r="X616" s="198"/>
    </row>
    <row r="617">
      <c r="A617" s="198"/>
      <c r="B617" s="198"/>
      <c r="C617" s="198"/>
      <c r="D617" s="198"/>
      <c r="E617" s="198"/>
      <c r="F617" s="198"/>
      <c r="G617" s="198"/>
      <c r="H617" s="198"/>
      <c r="I617" s="268"/>
      <c r="J617" s="198"/>
      <c r="K617" s="198"/>
      <c r="L617" s="198"/>
      <c r="M617" s="198"/>
      <c r="N617" s="198"/>
      <c r="O617" s="198"/>
      <c r="P617" s="198"/>
      <c r="Q617" s="198"/>
      <c r="R617" s="198"/>
      <c r="S617" s="198"/>
      <c r="T617" s="198"/>
      <c r="U617" s="198"/>
      <c r="V617" s="198"/>
      <c r="W617" s="198"/>
      <c r="X617" s="198"/>
    </row>
    <row r="618">
      <c r="A618" s="198"/>
      <c r="B618" s="198"/>
      <c r="C618" s="198"/>
      <c r="D618" s="198"/>
      <c r="E618" s="198"/>
      <c r="F618" s="198"/>
      <c r="G618" s="198"/>
      <c r="H618" s="198"/>
      <c r="I618" s="268"/>
      <c r="J618" s="198"/>
      <c r="K618" s="198"/>
      <c r="L618" s="198"/>
      <c r="M618" s="198"/>
      <c r="N618" s="198"/>
      <c r="O618" s="198"/>
      <c r="P618" s="198"/>
      <c r="Q618" s="198"/>
      <c r="R618" s="198"/>
      <c r="S618" s="198"/>
      <c r="T618" s="198"/>
      <c r="U618" s="198"/>
      <c r="V618" s="198"/>
      <c r="W618" s="198"/>
      <c r="X618" s="198"/>
    </row>
    <row r="619">
      <c r="A619" s="198"/>
      <c r="B619" s="198"/>
      <c r="C619" s="198"/>
      <c r="D619" s="198"/>
      <c r="E619" s="198"/>
      <c r="F619" s="198"/>
      <c r="G619" s="198"/>
      <c r="H619" s="198"/>
      <c r="I619" s="268"/>
      <c r="J619" s="198"/>
      <c r="K619" s="198"/>
      <c r="L619" s="198"/>
      <c r="M619" s="198"/>
      <c r="N619" s="198"/>
      <c r="O619" s="198"/>
      <c r="P619" s="198"/>
      <c r="Q619" s="198"/>
      <c r="R619" s="198"/>
      <c r="S619" s="198"/>
      <c r="T619" s="198"/>
      <c r="U619" s="198"/>
      <c r="V619" s="198"/>
      <c r="W619" s="198"/>
      <c r="X619" s="198"/>
    </row>
    <row r="620">
      <c r="A620" s="198"/>
      <c r="B620" s="198"/>
      <c r="C620" s="198"/>
      <c r="D620" s="198"/>
      <c r="E620" s="198"/>
      <c r="F620" s="198"/>
      <c r="G620" s="198"/>
      <c r="H620" s="198"/>
      <c r="I620" s="268"/>
      <c r="J620" s="198"/>
      <c r="K620" s="198"/>
      <c r="L620" s="198"/>
      <c r="M620" s="198"/>
      <c r="N620" s="198"/>
      <c r="O620" s="198"/>
      <c r="P620" s="198"/>
      <c r="Q620" s="198"/>
      <c r="R620" s="198"/>
      <c r="S620" s="198"/>
      <c r="T620" s="198"/>
      <c r="U620" s="198"/>
      <c r="V620" s="198"/>
      <c r="W620" s="198"/>
      <c r="X620" s="198"/>
    </row>
    <row r="621">
      <c r="A621" s="198"/>
      <c r="B621" s="198"/>
      <c r="C621" s="198"/>
      <c r="D621" s="198"/>
      <c r="E621" s="198"/>
      <c r="F621" s="198"/>
      <c r="G621" s="198"/>
      <c r="H621" s="198"/>
      <c r="I621" s="268"/>
      <c r="J621" s="198"/>
      <c r="K621" s="198"/>
      <c r="L621" s="198"/>
      <c r="M621" s="198"/>
      <c r="N621" s="198"/>
      <c r="O621" s="198"/>
      <c r="P621" s="198"/>
      <c r="Q621" s="198"/>
      <c r="R621" s="198"/>
      <c r="S621" s="198"/>
      <c r="T621" s="198"/>
      <c r="U621" s="198"/>
      <c r="V621" s="198"/>
      <c r="W621" s="198"/>
      <c r="X621" s="198"/>
    </row>
    <row r="622">
      <c r="A622" s="198"/>
      <c r="B622" s="198"/>
      <c r="C622" s="198"/>
      <c r="D622" s="198"/>
      <c r="E622" s="198"/>
      <c r="F622" s="198"/>
      <c r="G622" s="198"/>
      <c r="H622" s="198"/>
      <c r="I622" s="268"/>
      <c r="J622" s="198"/>
      <c r="K622" s="198"/>
      <c r="L622" s="198"/>
      <c r="M622" s="198"/>
      <c r="N622" s="198"/>
      <c r="O622" s="198"/>
      <c r="P622" s="198"/>
      <c r="Q622" s="198"/>
      <c r="R622" s="198"/>
      <c r="S622" s="198"/>
      <c r="T622" s="198"/>
      <c r="U622" s="198"/>
      <c r="V622" s="198"/>
      <c r="W622" s="198"/>
      <c r="X622" s="198"/>
    </row>
    <row r="623">
      <c r="A623" s="198"/>
      <c r="B623" s="198"/>
      <c r="C623" s="198"/>
      <c r="D623" s="198"/>
      <c r="E623" s="198"/>
      <c r="F623" s="198"/>
      <c r="G623" s="198"/>
      <c r="H623" s="198"/>
      <c r="I623" s="268"/>
      <c r="J623" s="198"/>
      <c r="K623" s="198"/>
      <c r="L623" s="198"/>
      <c r="M623" s="198"/>
      <c r="N623" s="198"/>
      <c r="O623" s="198"/>
      <c r="P623" s="198"/>
      <c r="Q623" s="198"/>
      <c r="R623" s="198"/>
      <c r="S623" s="198"/>
      <c r="T623" s="198"/>
      <c r="U623" s="198"/>
      <c r="V623" s="198"/>
      <c r="W623" s="198"/>
      <c r="X623" s="198"/>
    </row>
    <row r="624">
      <c r="A624" s="198"/>
      <c r="B624" s="198"/>
      <c r="C624" s="198"/>
      <c r="D624" s="198"/>
      <c r="E624" s="198"/>
      <c r="F624" s="198"/>
      <c r="G624" s="198"/>
      <c r="H624" s="198"/>
      <c r="I624" s="268"/>
      <c r="J624" s="198"/>
      <c r="K624" s="198"/>
      <c r="L624" s="198"/>
      <c r="M624" s="198"/>
      <c r="N624" s="198"/>
      <c r="O624" s="198"/>
      <c r="P624" s="198"/>
      <c r="Q624" s="198"/>
      <c r="R624" s="198"/>
      <c r="S624" s="198"/>
      <c r="T624" s="198"/>
      <c r="U624" s="198"/>
      <c r="V624" s="198"/>
      <c r="W624" s="198"/>
      <c r="X624" s="198"/>
    </row>
    <row r="625">
      <c r="A625" s="198"/>
      <c r="B625" s="198"/>
      <c r="C625" s="198"/>
      <c r="D625" s="198"/>
      <c r="E625" s="198"/>
      <c r="F625" s="198"/>
      <c r="G625" s="198"/>
      <c r="H625" s="198"/>
      <c r="I625" s="268"/>
      <c r="J625" s="198"/>
      <c r="K625" s="198"/>
      <c r="L625" s="198"/>
      <c r="M625" s="198"/>
      <c r="N625" s="198"/>
      <c r="O625" s="198"/>
      <c r="P625" s="198"/>
      <c r="Q625" s="198"/>
      <c r="R625" s="198"/>
      <c r="S625" s="198"/>
      <c r="T625" s="198"/>
      <c r="U625" s="198"/>
      <c r="V625" s="198"/>
      <c r="W625" s="198"/>
      <c r="X625" s="198"/>
    </row>
    <row r="626">
      <c r="A626" s="198"/>
      <c r="B626" s="198"/>
      <c r="C626" s="198"/>
      <c r="D626" s="198"/>
      <c r="E626" s="198"/>
      <c r="F626" s="198"/>
      <c r="G626" s="198"/>
      <c r="H626" s="198"/>
      <c r="I626" s="268"/>
      <c r="J626" s="198"/>
      <c r="K626" s="198"/>
      <c r="L626" s="198"/>
      <c r="M626" s="198"/>
      <c r="N626" s="198"/>
      <c r="O626" s="198"/>
      <c r="P626" s="198"/>
      <c r="Q626" s="198"/>
      <c r="R626" s="198"/>
      <c r="S626" s="198"/>
      <c r="T626" s="198"/>
      <c r="U626" s="198"/>
      <c r="V626" s="198"/>
      <c r="W626" s="198"/>
      <c r="X626" s="198"/>
    </row>
    <row r="627">
      <c r="A627" s="198"/>
      <c r="B627" s="198"/>
      <c r="C627" s="198"/>
      <c r="D627" s="198"/>
      <c r="E627" s="198"/>
      <c r="F627" s="198"/>
      <c r="G627" s="198"/>
      <c r="H627" s="198"/>
      <c r="I627" s="268"/>
      <c r="J627" s="198"/>
      <c r="K627" s="198"/>
      <c r="L627" s="198"/>
      <c r="M627" s="198"/>
      <c r="N627" s="198"/>
      <c r="O627" s="198"/>
      <c r="P627" s="198"/>
      <c r="Q627" s="198"/>
      <c r="R627" s="198"/>
      <c r="S627" s="198"/>
      <c r="T627" s="198"/>
      <c r="U627" s="198"/>
      <c r="V627" s="198"/>
      <c r="W627" s="198"/>
      <c r="X627" s="198"/>
    </row>
    <row r="628">
      <c r="A628" s="198"/>
      <c r="B628" s="198"/>
      <c r="C628" s="198"/>
      <c r="D628" s="198"/>
      <c r="E628" s="198"/>
      <c r="F628" s="198"/>
      <c r="G628" s="198"/>
      <c r="H628" s="198"/>
      <c r="I628" s="268"/>
      <c r="J628" s="198"/>
      <c r="K628" s="198"/>
      <c r="L628" s="198"/>
      <c r="M628" s="198"/>
      <c r="N628" s="198"/>
      <c r="O628" s="198"/>
      <c r="P628" s="198"/>
      <c r="Q628" s="198"/>
      <c r="R628" s="198"/>
      <c r="S628" s="198"/>
      <c r="T628" s="198"/>
      <c r="U628" s="198"/>
      <c r="V628" s="198"/>
      <c r="W628" s="198"/>
      <c r="X628" s="198"/>
    </row>
    <row r="629">
      <c r="A629" s="198"/>
      <c r="B629" s="198"/>
      <c r="C629" s="198"/>
      <c r="D629" s="198"/>
      <c r="E629" s="198"/>
      <c r="F629" s="198"/>
      <c r="G629" s="198"/>
      <c r="H629" s="198"/>
      <c r="I629" s="268"/>
      <c r="J629" s="198"/>
      <c r="K629" s="198"/>
      <c r="L629" s="198"/>
      <c r="M629" s="198"/>
      <c r="N629" s="198"/>
      <c r="O629" s="198"/>
      <c r="P629" s="198"/>
      <c r="Q629" s="198"/>
      <c r="R629" s="198"/>
      <c r="S629" s="198"/>
      <c r="T629" s="198"/>
      <c r="U629" s="198"/>
      <c r="V629" s="198"/>
      <c r="W629" s="198"/>
      <c r="X629" s="198"/>
    </row>
    <row r="630">
      <c r="A630" s="198"/>
      <c r="B630" s="198"/>
      <c r="C630" s="198"/>
      <c r="D630" s="198"/>
      <c r="E630" s="198"/>
      <c r="F630" s="198"/>
      <c r="G630" s="198"/>
      <c r="H630" s="198"/>
      <c r="I630" s="268"/>
      <c r="J630" s="198"/>
      <c r="K630" s="198"/>
      <c r="L630" s="198"/>
      <c r="M630" s="198"/>
      <c r="N630" s="198"/>
      <c r="O630" s="198"/>
      <c r="P630" s="198"/>
      <c r="Q630" s="198"/>
      <c r="R630" s="198"/>
      <c r="S630" s="198"/>
      <c r="T630" s="198"/>
      <c r="U630" s="198"/>
      <c r="V630" s="198"/>
      <c r="W630" s="198"/>
      <c r="X630" s="198"/>
    </row>
    <row r="631">
      <c r="A631" s="198"/>
      <c r="B631" s="198"/>
      <c r="C631" s="198"/>
      <c r="D631" s="198"/>
      <c r="E631" s="198"/>
      <c r="F631" s="198"/>
      <c r="G631" s="198"/>
      <c r="H631" s="198"/>
      <c r="I631" s="268"/>
      <c r="J631" s="198"/>
      <c r="K631" s="198"/>
      <c r="L631" s="198"/>
      <c r="M631" s="198"/>
      <c r="N631" s="198"/>
      <c r="O631" s="198"/>
      <c r="P631" s="198"/>
      <c r="Q631" s="198"/>
      <c r="R631" s="198"/>
      <c r="S631" s="198"/>
      <c r="T631" s="198"/>
      <c r="U631" s="198"/>
      <c r="V631" s="198"/>
      <c r="W631" s="198"/>
      <c r="X631" s="198"/>
    </row>
    <row r="632">
      <c r="A632" s="198"/>
      <c r="B632" s="198"/>
      <c r="C632" s="198"/>
      <c r="D632" s="198"/>
      <c r="E632" s="198"/>
      <c r="F632" s="198"/>
      <c r="G632" s="198"/>
      <c r="H632" s="198"/>
      <c r="I632" s="268"/>
      <c r="J632" s="198"/>
      <c r="K632" s="198"/>
      <c r="L632" s="198"/>
      <c r="M632" s="198"/>
      <c r="N632" s="198"/>
      <c r="O632" s="198"/>
      <c r="P632" s="198"/>
      <c r="Q632" s="198"/>
      <c r="R632" s="198"/>
      <c r="S632" s="198"/>
      <c r="T632" s="198"/>
      <c r="U632" s="198"/>
      <c r="V632" s="198"/>
      <c r="W632" s="198"/>
      <c r="X632" s="198"/>
    </row>
    <row r="633">
      <c r="A633" s="198"/>
      <c r="B633" s="198"/>
      <c r="C633" s="198"/>
      <c r="D633" s="198"/>
      <c r="E633" s="198"/>
      <c r="F633" s="198"/>
      <c r="G633" s="198"/>
      <c r="H633" s="198"/>
      <c r="I633" s="268"/>
      <c r="J633" s="198"/>
      <c r="K633" s="198"/>
      <c r="L633" s="198"/>
      <c r="M633" s="198"/>
      <c r="N633" s="198"/>
      <c r="O633" s="198"/>
      <c r="P633" s="198"/>
      <c r="Q633" s="198"/>
      <c r="R633" s="198"/>
      <c r="S633" s="198"/>
      <c r="T633" s="198"/>
      <c r="U633" s="198"/>
      <c r="V633" s="198"/>
      <c r="W633" s="198"/>
      <c r="X633" s="198"/>
    </row>
    <row r="634">
      <c r="A634" s="198"/>
      <c r="B634" s="198"/>
      <c r="C634" s="198"/>
      <c r="D634" s="198"/>
      <c r="E634" s="198"/>
      <c r="F634" s="198"/>
      <c r="G634" s="198"/>
      <c r="H634" s="198"/>
      <c r="I634" s="268"/>
      <c r="J634" s="198"/>
      <c r="K634" s="198"/>
      <c r="L634" s="198"/>
      <c r="M634" s="198"/>
      <c r="N634" s="198"/>
      <c r="O634" s="198"/>
      <c r="P634" s="198"/>
      <c r="Q634" s="198"/>
      <c r="R634" s="198"/>
      <c r="S634" s="198"/>
      <c r="T634" s="198"/>
      <c r="U634" s="198"/>
      <c r="V634" s="198"/>
      <c r="W634" s="198"/>
      <c r="X634" s="198"/>
    </row>
    <row r="635">
      <c r="A635" s="198"/>
      <c r="B635" s="198"/>
      <c r="C635" s="198"/>
      <c r="D635" s="198"/>
      <c r="E635" s="198"/>
      <c r="F635" s="198"/>
      <c r="G635" s="198"/>
      <c r="H635" s="198"/>
      <c r="I635" s="268"/>
      <c r="J635" s="198"/>
      <c r="K635" s="198"/>
      <c r="L635" s="198"/>
      <c r="M635" s="198"/>
      <c r="N635" s="198"/>
      <c r="O635" s="198"/>
      <c r="P635" s="198"/>
      <c r="Q635" s="198"/>
      <c r="R635" s="198"/>
      <c r="S635" s="198"/>
      <c r="T635" s="198"/>
      <c r="U635" s="198"/>
      <c r="V635" s="198"/>
      <c r="W635" s="198"/>
      <c r="X635" s="198"/>
    </row>
    <row r="636">
      <c r="A636" s="198"/>
      <c r="B636" s="198"/>
      <c r="C636" s="198"/>
      <c r="D636" s="198"/>
      <c r="E636" s="198"/>
      <c r="F636" s="198"/>
      <c r="G636" s="198"/>
      <c r="H636" s="198"/>
      <c r="I636" s="268"/>
      <c r="J636" s="198"/>
      <c r="K636" s="198"/>
      <c r="L636" s="198"/>
      <c r="M636" s="198"/>
      <c r="N636" s="198"/>
      <c r="O636" s="198"/>
      <c r="P636" s="198"/>
      <c r="Q636" s="198"/>
      <c r="R636" s="198"/>
      <c r="S636" s="198"/>
      <c r="T636" s="198"/>
      <c r="U636" s="198"/>
      <c r="V636" s="198"/>
      <c r="W636" s="198"/>
      <c r="X636" s="198"/>
    </row>
    <row r="637">
      <c r="A637" s="198"/>
      <c r="B637" s="198"/>
      <c r="C637" s="198"/>
      <c r="D637" s="198"/>
      <c r="E637" s="198"/>
      <c r="F637" s="198"/>
      <c r="G637" s="198"/>
      <c r="H637" s="198"/>
      <c r="I637" s="268"/>
      <c r="J637" s="198"/>
      <c r="K637" s="198"/>
      <c r="L637" s="198"/>
      <c r="M637" s="198"/>
      <c r="N637" s="198"/>
      <c r="O637" s="198"/>
      <c r="P637" s="198"/>
      <c r="Q637" s="198"/>
      <c r="R637" s="198"/>
      <c r="S637" s="198"/>
      <c r="T637" s="198"/>
      <c r="U637" s="198"/>
      <c r="V637" s="198"/>
      <c r="W637" s="198"/>
      <c r="X637" s="198"/>
    </row>
    <row r="638">
      <c r="A638" s="198"/>
      <c r="B638" s="198"/>
      <c r="C638" s="198"/>
      <c r="D638" s="198"/>
      <c r="E638" s="198"/>
      <c r="F638" s="198"/>
      <c r="G638" s="198"/>
      <c r="H638" s="198"/>
      <c r="I638" s="268"/>
      <c r="J638" s="198"/>
      <c r="K638" s="198"/>
      <c r="L638" s="198"/>
      <c r="M638" s="198"/>
      <c r="N638" s="198"/>
      <c r="O638" s="198"/>
      <c r="P638" s="198"/>
      <c r="Q638" s="198"/>
      <c r="R638" s="198"/>
      <c r="S638" s="198"/>
      <c r="T638" s="198"/>
      <c r="U638" s="198"/>
      <c r="V638" s="198"/>
      <c r="W638" s="198"/>
      <c r="X638" s="198"/>
    </row>
    <row r="639">
      <c r="A639" s="198"/>
      <c r="B639" s="198"/>
      <c r="C639" s="198"/>
      <c r="D639" s="198"/>
      <c r="E639" s="198"/>
      <c r="F639" s="198"/>
      <c r="G639" s="198"/>
      <c r="H639" s="198"/>
      <c r="I639" s="268"/>
      <c r="J639" s="198"/>
      <c r="K639" s="198"/>
      <c r="L639" s="198"/>
      <c r="M639" s="198"/>
      <c r="N639" s="198"/>
      <c r="O639" s="198"/>
      <c r="P639" s="198"/>
      <c r="Q639" s="198"/>
      <c r="R639" s="198"/>
      <c r="S639" s="198"/>
      <c r="T639" s="198"/>
      <c r="U639" s="198"/>
      <c r="V639" s="198"/>
      <c r="W639" s="198"/>
      <c r="X639" s="198"/>
    </row>
    <row r="640">
      <c r="A640" s="198"/>
      <c r="B640" s="198"/>
      <c r="C640" s="198"/>
      <c r="D640" s="198"/>
      <c r="E640" s="198"/>
      <c r="F640" s="198"/>
      <c r="G640" s="198"/>
      <c r="H640" s="198"/>
      <c r="I640" s="268"/>
      <c r="J640" s="198"/>
      <c r="K640" s="198"/>
      <c r="L640" s="198"/>
      <c r="M640" s="198"/>
      <c r="N640" s="198"/>
      <c r="O640" s="198"/>
      <c r="P640" s="198"/>
      <c r="Q640" s="198"/>
      <c r="R640" s="198"/>
      <c r="S640" s="198"/>
      <c r="T640" s="198"/>
      <c r="U640" s="198"/>
      <c r="V640" s="198"/>
      <c r="W640" s="198"/>
      <c r="X640" s="198"/>
    </row>
    <row r="641">
      <c r="A641" s="198"/>
      <c r="B641" s="198"/>
      <c r="C641" s="198"/>
      <c r="D641" s="198"/>
      <c r="E641" s="198"/>
      <c r="F641" s="198"/>
      <c r="G641" s="198"/>
      <c r="H641" s="198"/>
      <c r="I641" s="268"/>
      <c r="J641" s="198"/>
      <c r="K641" s="198"/>
      <c r="L641" s="198"/>
      <c r="M641" s="198"/>
      <c r="N641" s="198"/>
      <c r="O641" s="198"/>
      <c r="P641" s="198"/>
      <c r="Q641" s="198"/>
      <c r="R641" s="198"/>
      <c r="S641" s="198"/>
      <c r="T641" s="198"/>
      <c r="U641" s="198"/>
      <c r="V641" s="198"/>
      <c r="W641" s="198"/>
      <c r="X641" s="198"/>
    </row>
    <row r="642">
      <c r="A642" s="198"/>
      <c r="B642" s="198"/>
      <c r="C642" s="198"/>
      <c r="D642" s="198"/>
      <c r="E642" s="198"/>
      <c r="F642" s="198"/>
      <c r="G642" s="198"/>
      <c r="H642" s="198"/>
      <c r="I642" s="268"/>
      <c r="J642" s="198"/>
      <c r="K642" s="198"/>
      <c r="L642" s="198"/>
      <c r="M642" s="198"/>
      <c r="N642" s="198"/>
      <c r="O642" s="198"/>
      <c r="P642" s="198"/>
      <c r="Q642" s="198"/>
      <c r="R642" s="198"/>
      <c r="S642" s="198"/>
      <c r="T642" s="198"/>
      <c r="U642" s="198"/>
      <c r="V642" s="198"/>
      <c r="W642" s="198"/>
      <c r="X642" s="198"/>
    </row>
    <row r="643">
      <c r="A643" s="198"/>
      <c r="B643" s="198"/>
      <c r="C643" s="198"/>
      <c r="D643" s="198"/>
      <c r="E643" s="198"/>
      <c r="F643" s="198"/>
      <c r="G643" s="198"/>
      <c r="H643" s="198"/>
      <c r="I643" s="268"/>
      <c r="J643" s="198"/>
      <c r="K643" s="198"/>
      <c r="L643" s="198"/>
      <c r="M643" s="198"/>
      <c r="N643" s="198"/>
      <c r="O643" s="198"/>
      <c r="P643" s="198"/>
      <c r="Q643" s="198"/>
      <c r="R643" s="198"/>
      <c r="S643" s="198"/>
      <c r="T643" s="198"/>
      <c r="U643" s="198"/>
      <c r="V643" s="198"/>
      <c r="W643" s="198"/>
      <c r="X643" s="198"/>
    </row>
    <row r="644">
      <c r="A644" s="198"/>
      <c r="B644" s="198"/>
      <c r="C644" s="198"/>
      <c r="D644" s="198"/>
      <c r="E644" s="198"/>
      <c r="F644" s="198"/>
      <c r="G644" s="198"/>
      <c r="H644" s="198"/>
      <c r="I644" s="268"/>
      <c r="J644" s="198"/>
      <c r="K644" s="198"/>
      <c r="L644" s="198"/>
      <c r="M644" s="198"/>
      <c r="N644" s="198"/>
      <c r="O644" s="198"/>
      <c r="P644" s="198"/>
      <c r="Q644" s="198"/>
      <c r="R644" s="198"/>
      <c r="S644" s="198"/>
      <c r="T644" s="198"/>
      <c r="U644" s="198"/>
      <c r="V644" s="198"/>
      <c r="W644" s="198"/>
      <c r="X644" s="198"/>
    </row>
    <row r="645">
      <c r="A645" s="198"/>
      <c r="B645" s="198"/>
      <c r="C645" s="198"/>
      <c r="D645" s="198"/>
      <c r="E645" s="198"/>
      <c r="F645" s="198"/>
      <c r="G645" s="198"/>
      <c r="H645" s="198"/>
      <c r="I645" s="268"/>
      <c r="J645" s="198"/>
      <c r="K645" s="198"/>
      <c r="L645" s="198"/>
      <c r="M645" s="198"/>
      <c r="N645" s="198"/>
      <c r="O645" s="198"/>
      <c r="P645" s="198"/>
      <c r="Q645" s="198"/>
      <c r="R645" s="198"/>
      <c r="S645" s="198"/>
      <c r="T645" s="198"/>
      <c r="U645" s="198"/>
      <c r="V645" s="198"/>
      <c r="W645" s="198"/>
      <c r="X645" s="198"/>
    </row>
    <row r="646">
      <c r="A646" s="198"/>
      <c r="B646" s="198"/>
      <c r="C646" s="198"/>
      <c r="D646" s="198"/>
      <c r="E646" s="198"/>
      <c r="F646" s="198"/>
      <c r="G646" s="198"/>
      <c r="H646" s="198"/>
      <c r="I646" s="268"/>
      <c r="J646" s="198"/>
      <c r="K646" s="198"/>
      <c r="L646" s="198"/>
      <c r="M646" s="198"/>
      <c r="N646" s="198"/>
      <c r="O646" s="198"/>
      <c r="P646" s="198"/>
      <c r="Q646" s="198"/>
      <c r="R646" s="198"/>
      <c r="S646" s="198"/>
      <c r="T646" s="198"/>
      <c r="U646" s="198"/>
      <c r="V646" s="198"/>
      <c r="W646" s="198"/>
      <c r="X646" s="198"/>
    </row>
    <row r="647">
      <c r="A647" s="198"/>
      <c r="B647" s="198"/>
      <c r="C647" s="198"/>
      <c r="D647" s="198"/>
      <c r="E647" s="198"/>
      <c r="F647" s="198"/>
      <c r="G647" s="198"/>
      <c r="H647" s="198"/>
      <c r="I647" s="268"/>
      <c r="J647" s="198"/>
      <c r="K647" s="198"/>
      <c r="L647" s="198"/>
      <c r="M647" s="198"/>
      <c r="N647" s="198"/>
      <c r="O647" s="198"/>
      <c r="P647" s="198"/>
      <c r="Q647" s="198"/>
      <c r="R647" s="198"/>
      <c r="S647" s="198"/>
      <c r="T647" s="198"/>
      <c r="U647" s="198"/>
      <c r="V647" s="198"/>
      <c r="W647" s="198"/>
      <c r="X647" s="198"/>
    </row>
    <row r="648">
      <c r="A648" s="198"/>
      <c r="B648" s="198"/>
      <c r="C648" s="198"/>
      <c r="D648" s="198"/>
      <c r="E648" s="198"/>
      <c r="F648" s="198"/>
      <c r="G648" s="198"/>
      <c r="H648" s="198"/>
      <c r="I648" s="268"/>
      <c r="J648" s="198"/>
      <c r="K648" s="198"/>
      <c r="L648" s="198"/>
      <c r="M648" s="198"/>
      <c r="N648" s="198"/>
      <c r="O648" s="198"/>
      <c r="P648" s="198"/>
      <c r="Q648" s="198"/>
      <c r="R648" s="198"/>
      <c r="S648" s="198"/>
      <c r="T648" s="198"/>
      <c r="U648" s="198"/>
      <c r="V648" s="198"/>
      <c r="W648" s="198"/>
      <c r="X648" s="198"/>
    </row>
    <row r="649">
      <c r="A649" s="198"/>
      <c r="B649" s="198"/>
      <c r="C649" s="198"/>
      <c r="D649" s="198"/>
      <c r="E649" s="198"/>
      <c r="F649" s="198"/>
      <c r="G649" s="198"/>
      <c r="H649" s="198"/>
      <c r="I649" s="268"/>
      <c r="J649" s="198"/>
      <c r="K649" s="198"/>
      <c r="L649" s="198"/>
      <c r="M649" s="198"/>
      <c r="N649" s="198"/>
      <c r="O649" s="198"/>
      <c r="P649" s="198"/>
      <c r="Q649" s="198"/>
      <c r="R649" s="198"/>
      <c r="S649" s="198"/>
      <c r="T649" s="198"/>
      <c r="U649" s="198"/>
      <c r="V649" s="198"/>
      <c r="W649" s="198"/>
      <c r="X649" s="198"/>
    </row>
    <row r="650">
      <c r="A650" s="198"/>
      <c r="B650" s="198"/>
      <c r="C650" s="198"/>
      <c r="D650" s="198"/>
      <c r="E650" s="198"/>
      <c r="F650" s="198"/>
      <c r="G650" s="198"/>
      <c r="H650" s="198"/>
      <c r="I650" s="268"/>
      <c r="J650" s="198"/>
      <c r="K650" s="198"/>
      <c r="L650" s="198"/>
      <c r="M650" s="198"/>
      <c r="N650" s="198"/>
      <c r="O650" s="198"/>
      <c r="P650" s="198"/>
      <c r="Q650" s="198"/>
      <c r="R650" s="198"/>
      <c r="S650" s="198"/>
      <c r="T650" s="198"/>
      <c r="U650" s="198"/>
      <c r="V650" s="198"/>
      <c r="W650" s="198"/>
      <c r="X650" s="198"/>
    </row>
    <row r="651">
      <c r="A651" s="198"/>
      <c r="B651" s="198"/>
      <c r="C651" s="198"/>
      <c r="D651" s="198"/>
      <c r="E651" s="198"/>
      <c r="F651" s="198"/>
      <c r="G651" s="198"/>
      <c r="H651" s="198"/>
      <c r="I651" s="268"/>
      <c r="J651" s="198"/>
      <c r="K651" s="198"/>
      <c r="L651" s="198"/>
      <c r="M651" s="198"/>
      <c r="N651" s="198"/>
      <c r="O651" s="198"/>
      <c r="P651" s="198"/>
      <c r="Q651" s="198"/>
      <c r="R651" s="198"/>
      <c r="S651" s="198"/>
      <c r="T651" s="198"/>
      <c r="U651" s="198"/>
      <c r="V651" s="198"/>
      <c r="W651" s="198"/>
      <c r="X651" s="198"/>
    </row>
    <row r="652">
      <c r="A652" s="198"/>
      <c r="B652" s="198"/>
      <c r="C652" s="198"/>
      <c r="D652" s="198"/>
      <c r="E652" s="198"/>
      <c r="F652" s="198"/>
      <c r="G652" s="198"/>
      <c r="H652" s="198"/>
      <c r="I652" s="268"/>
      <c r="J652" s="198"/>
      <c r="K652" s="198"/>
      <c r="L652" s="198"/>
      <c r="M652" s="198"/>
      <c r="N652" s="198"/>
      <c r="O652" s="198"/>
      <c r="P652" s="198"/>
      <c r="Q652" s="198"/>
      <c r="R652" s="198"/>
      <c r="S652" s="198"/>
      <c r="T652" s="198"/>
      <c r="U652" s="198"/>
      <c r="V652" s="198"/>
      <c r="W652" s="198"/>
      <c r="X652" s="198"/>
    </row>
    <row r="653">
      <c r="A653" s="198"/>
      <c r="B653" s="198"/>
      <c r="C653" s="198"/>
      <c r="D653" s="198"/>
      <c r="E653" s="198"/>
      <c r="F653" s="198"/>
      <c r="G653" s="198"/>
      <c r="H653" s="198"/>
      <c r="I653" s="268"/>
      <c r="J653" s="198"/>
      <c r="K653" s="198"/>
      <c r="L653" s="198"/>
      <c r="M653" s="198"/>
      <c r="N653" s="198"/>
      <c r="O653" s="198"/>
      <c r="P653" s="198"/>
      <c r="Q653" s="198"/>
      <c r="R653" s="198"/>
      <c r="S653" s="198"/>
      <c r="T653" s="198"/>
      <c r="U653" s="198"/>
      <c r="V653" s="198"/>
      <c r="W653" s="198"/>
      <c r="X653" s="198"/>
    </row>
    <row r="654">
      <c r="A654" s="198"/>
      <c r="B654" s="198"/>
      <c r="C654" s="198"/>
      <c r="D654" s="198"/>
      <c r="E654" s="198"/>
      <c r="F654" s="198"/>
      <c r="G654" s="198"/>
      <c r="H654" s="198"/>
      <c r="I654" s="268"/>
      <c r="J654" s="198"/>
      <c r="K654" s="198"/>
      <c r="L654" s="198"/>
      <c r="M654" s="198"/>
      <c r="N654" s="198"/>
      <c r="O654" s="198"/>
      <c r="P654" s="198"/>
      <c r="Q654" s="198"/>
      <c r="R654" s="198"/>
      <c r="S654" s="198"/>
      <c r="T654" s="198"/>
      <c r="U654" s="198"/>
      <c r="V654" s="198"/>
      <c r="W654" s="198"/>
      <c r="X654" s="198"/>
    </row>
    <row r="655">
      <c r="A655" s="198"/>
      <c r="B655" s="198"/>
      <c r="C655" s="198"/>
      <c r="D655" s="198"/>
      <c r="E655" s="198"/>
      <c r="F655" s="198"/>
      <c r="G655" s="198"/>
      <c r="H655" s="198"/>
      <c r="I655" s="268"/>
      <c r="J655" s="198"/>
      <c r="K655" s="198"/>
      <c r="L655" s="198"/>
      <c r="M655" s="198"/>
      <c r="N655" s="198"/>
      <c r="O655" s="198"/>
      <c r="P655" s="198"/>
      <c r="Q655" s="198"/>
      <c r="R655" s="198"/>
      <c r="S655" s="198"/>
      <c r="T655" s="198"/>
      <c r="U655" s="198"/>
      <c r="V655" s="198"/>
      <c r="W655" s="198"/>
      <c r="X655" s="198"/>
    </row>
    <row r="656">
      <c r="A656" s="198"/>
      <c r="B656" s="198"/>
      <c r="C656" s="198"/>
      <c r="D656" s="198"/>
      <c r="E656" s="198"/>
      <c r="F656" s="198"/>
      <c r="G656" s="198"/>
      <c r="H656" s="198"/>
      <c r="I656" s="268"/>
      <c r="J656" s="198"/>
      <c r="K656" s="198"/>
      <c r="L656" s="198"/>
      <c r="M656" s="198"/>
      <c r="N656" s="198"/>
      <c r="O656" s="198"/>
      <c r="P656" s="198"/>
      <c r="Q656" s="198"/>
      <c r="R656" s="198"/>
      <c r="S656" s="198"/>
      <c r="T656" s="198"/>
      <c r="U656" s="198"/>
      <c r="V656" s="198"/>
      <c r="W656" s="198"/>
      <c r="X656" s="198"/>
    </row>
    <row r="657">
      <c r="A657" s="198"/>
      <c r="B657" s="198"/>
      <c r="C657" s="198"/>
      <c r="D657" s="198"/>
      <c r="E657" s="198"/>
      <c r="F657" s="198"/>
      <c r="G657" s="198"/>
      <c r="H657" s="198"/>
      <c r="I657" s="268"/>
      <c r="J657" s="198"/>
      <c r="K657" s="198"/>
      <c r="L657" s="198"/>
      <c r="M657" s="198"/>
      <c r="N657" s="198"/>
      <c r="O657" s="198"/>
      <c r="P657" s="198"/>
      <c r="Q657" s="198"/>
      <c r="R657" s="198"/>
      <c r="S657" s="198"/>
      <c r="T657" s="198"/>
      <c r="U657" s="198"/>
      <c r="V657" s="198"/>
      <c r="W657" s="198"/>
      <c r="X657" s="198"/>
    </row>
    <row r="658">
      <c r="A658" s="198"/>
      <c r="B658" s="198"/>
      <c r="C658" s="198"/>
      <c r="D658" s="198"/>
      <c r="E658" s="198"/>
      <c r="F658" s="198"/>
      <c r="G658" s="198"/>
      <c r="H658" s="198"/>
      <c r="I658" s="268"/>
      <c r="J658" s="198"/>
      <c r="K658" s="198"/>
      <c r="L658" s="198"/>
      <c r="M658" s="198"/>
      <c r="N658" s="198"/>
      <c r="O658" s="198"/>
      <c r="P658" s="198"/>
      <c r="Q658" s="198"/>
      <c r="R658" s="198"/>
      <c r="S658" s="198"/>
      <c r="T658" s="198"/>
      <c r="U658" s="198"/>
      <c r="V658" s="198"/>
      <c r="W658" s="198"/>
      <c r="X658" s="198"/>
    </row>
    <row r="659">
      <c r="A659" s="198"/>
      <c r="B659" s="198"/>
      <c r="C659" s="198"/>
      <c r="D659" s="198"/>
      <c r="E659" s="198"/>
      <c r="F659" s="198"/>
      <c r="G659" s="198"/>
      <c r="H659" s="198"/>
      <c r="I659" s="268"/>
      <c r="J659" s="198"/>
      <c r="K659" s="198"/>
      <c r="L659" s="198"/>
      <c r="M659" s="198"/>
      <c r="N659" s="198"/>
      <c r="O659" s="198"/>
      <c r="P659" s="198"/>
      <c r="Q659" s="198"/>
      <c r="R659" s="198"/>
      <c r="S659" s="198"/>
      <c r="T659" s="198"/>
      <c r="U659" s="198"/>
      <c r="V659" s="198"/>
      <c r="W659" s="198"/>
      <c r="X659" s="198"/>
    </row>
    <row r="660">
      <c r="A660" s="198"/>
      <c r="B660" s="198"/>
      <c r="C660" s="198"/>
      <c r="D660" s="198"/>
      <c r="E660" s="198"/>
      <c r="F660" s="198"/>
      <c r="G660" s="198"/>
      <c r="H660" s="198"/>
      <c r="I660" s="268"/>
      <c r="J660" s="198"/>
      <c r="K660" s="198"/>
      <c r="L660" s="198"/>
      <c r="M660" s="198"/>
      <c r="N660" s="198"/>
      <c r="O660" s="198"/>
      <c r="P660" s="198"/>
      <c r="Q660" s="198"/>
      <c r="R660" s="198"/>
      <c r="S660" s="198"/>
      <c r="T660" s="198"/>
      <c r="U660" s="198"/>
      <c r="V660" s="198"/>
      <c r="W660" s="198"/>
      <c r="X660" s="198"/>
    </row>
    <row r="661">
      <c r="A661" s="198"/>
      <c r="B661" s="198"/>
      <c r="C661" s="198"/>
      <c r="D661" s="198"/>
      <c r="E661" s="198"/>
      <c r="F661" s="198"/>
      <c r="G661" s="198"/>
      <c r="H661" s="198"/>
      <c r="I661" s="268"/>
      <c r="J661" s="198"/>
      <c r="K661" s="198"/>
      <c r="L661" s="198"/>
      <c r="M661" s="198"/>
      <c r="N661" s="198"/>
      <c r="O661" s="198"/>
      <c r="P661" s="198"/>
      <c r="Q661" s="198"/>
      <c r="R661" s="198"/>
      <c r="S661" s="198"/>
      <c r="T661" s="198"/>
      <c r="U661" s="198"/>
      <c r="V661" s="198"/>
      <c r="W661" s="198"/>
      <c r="X661" s="198"/>
    </row>
    <row r="662">
      <c r="A662" s="198"/>
      <c r="B662" s="198"/>
      <c r="C662" s="198"/>
      <c r="D662" s="198"/>
      <c r="E662" s="198"/>
      <c r="F662" s="198"/>
      <c r="G662" s="198"/>
      <c r="H662" s="198"/>
      <c r="I662" s="268"/>
      <c r="J662" s="198"/>
      <c r="K662" s="198"/>
      <c r="L662" s="198"/>
      <c r="M662" s="198"/>
      <c r="N662" s="198"/>
      <c r="O662" s="198"/>
      <c r="P662" s="198"/>
      <c r="Q662" s="198"/>
      <c r="R662" s="198"/>
      <c r="S662" s="198"/>
      <c r="T662" s="198"/>
      <c r="U662" s="198"/>
      <c r="V662" s="198"/>
      <c r="W662" s="198"/>
      <c r="X662" s="198"/>
    </row>
    <row r="663">
      <c r="A663" s="198"/>
      <c r="B663" s="198"/>
      <c r="C663" s="198"/>
      <c r="D663" s="198"/>
      <c r="E663" s="198"/>
      <c r="F663" s="198"/>
      <c r="G663" s="198"/>
      <c r="H663" s="198"/>
      <c r="I663" s="268"/>
      <c r="J663" s="198"/>
      <c r="K663" s="198"/>
      <c r="L663" s="198"/>
      <c r="M663" s="198"/>
      <c r="N663" s="198"/>
      <c r="O663" s="198"/>
      <c r="P663" s="198"/>
      <c r="Q663" s="198"/>
      <c r="R663" s="198"/>
      <c r="S663" s="198"/>
      <c r="T663" s="198"/>
      <c r="U663" s="198"/>
      <c r="V663" s="198"/>
      <c r="W663" s="198"/>
      <c r="X663" s="198"/>
    </row>
    <row r="664">
      <c r="A664" s="198"/>
      <c r="B664" s="198"/>
      <c r="C664" s="198"/>
      <c r="D664" s="198"/>
      <c r="E664" s="198"/>
      <c r="F664" s="198"/>
      <c r="G664" s="198"/>
      <c r="H664" s="198"/>
      <c r="I664" s="268"/>
      <c r="J664" s="198"/>
      <c r="K664" s="198"/>
      <c r="L664" s="198"/>
      <c r="M664" s="198"/>
      <c r="N664" s="198"/>
      <c r="O664" s="198"/>
      <c r="P664" s="198"/>
      <c r="Q664" s="198"/>
      <c r="R664" s="198"/>
      <c r="S664" s="198"/>
      <c r="T664" s="198"/>
      <c r="U664" s="198"/>
      <c r="V664" s="198"/>
      <c r="W664" s="198"/>
      <c r="X664" s="198"/>
    </row>
    <row r="665">
      <c r="A665" s="198"/>
      <c r="B665" s="198"/>
      <c r="C665" s="198"/>
      <c r="D665" s="198"/>
      <c r="E665" s="198"/>
      <c r="F665" s="198"/>
      <c r="G665" s="198"/>
      <c r="H665" s="198"/>
      <c r="I665" s="268"/>
      <c r="J665" s="198"/>
      <c r="K665" s="198"/>
      <c r="L665" s="198"/>
      <c r="M665" s="198"/>
      <c r="N665" s="198"/>
      <c r="O665" s="198"/>
      <c r="P665" s="198"/>
      <c r="Q665" s="198"/>
      <c r="R665" s="198"/>
      <c r="S665" s="198"/>
      <c r="T665" s="198"/>
      <c r="U665" s="198"/>
      <c r="V665" s="198"/>
      <c r="W665" s="198"/>
      <c r="X665" s="198"/>
    </row>
    <row r="666">
      <c r="A666" s="198"/>
      <c r="B666" s="198"/>
      <c r="C666" s="198"/>
      <c r="D666" s="198"/>
      <c r="E666" s="198"/>
      <c r="F666" s="198"/>
      <c r="G666" s="198"/>
      <c r="H666" s="198"/>
      <c r="I666" s="268"/>
      <c r="J666" s="198"/>
      <c r="K666" s="198"/>
      <c r="L666" s="198"/>
      <c r="M666" s="198"/>
      <c r="N666" s="198"/>
      <c r="O666" s="198"/>
      <c r="P666" s="198"/>
      <c r="Q666" s="198"/>
      <c r="R666" s="198"/>
      <c r="S666" s="198"/>
      <c r="T666" s="198"/>
      <c r="U666" s="198"/>
      <c r="V666" s="198"/>
      <c r="W666" s="198"/>
      <c r="X666" s="198"/>
    </row>
    <row r="667">
      <c r="A667" s="198"/>
      <c r="B667" s="198"/>
      <c r="C667" s="198"/>
      <c r="D667" s="198"/>
      <c r="E667" s="198"/>
      <c r="F667" s="198"/>
      <c r="G667" s="198"/>
      <c r="H667" s="198"/>
      <c r="I667" s="268"/>
      <c r="J667" s="198"/>
      <c r="K667" s="198"/>
      <c r="L667" s="198"/>
      <c r="M667" s="198"/>
      <c r="N667" s="198"/>
      <c r="O667" s="198"/>
      <c r="P667" s="198"/>
      <c r="Q667" s="198"/>
      <c r="R667" s="198"/>
      <c r="S667" s="198"/>
      <c r="T667" s="198"/>
      <c r="U667" s="198"/>
      <c r="V667" s="198"/>
      <c r="W667" s="198"/>
      <c r="X667" s="198"/>
    </row>
    <row r="668">
      <c r="A668" s="198"/>
      <c r="B668" s="198"/>
      <c r="C668" s="198"/>
      <c r="D668" s="198"/>
      <c r="E668" s="198"/>
      <c r="F668" s="198"/>
      <c r="G668" s="198"/>
      <c r="H668" s="198"/>
      <c r="I668" s="268"/>
      <c r="J668" s="198"/>
      <c r="K668" s="198"/>
      <c r="L668" s="198"/>
      <c r="M668" s="198"/>
      <c r="N668" s="198"/>
      <c r="O668" s="198"/>
      <c r="P668" s="198"/>
      <c r="Q668" s="198"/>
      <c r="R668" s="198"/>
      <c r="S668" s="198"/>
      <c r="T668" s="198"/>
      <c r="U668" s="198"/>
      <c r="V668" s="198"/>
      <c r="W668" s="198"/>
      <c r="X668" s="198"/>
    </row>
    <row r="669">
      <c r="A669" s="198"/>
      <c r="B669" s="198"/>
      <c r="C669" s="198"/>
      <c r="D669" s="198"/>
      <c r="E669" s="198"/>
      <c r="F669" s="198"/>
      <c r="G669" s="198"/>
      <c r="H669" s="198"/>
      <c r="I669" s="268"/>
      <c r="J669" s="198"/>
      <c r="K669" s="198"/>
      <c r="L669" s="198"/>
      <c r="M669" s="198"/>
      <c r="N669" s="198"/>
      <c r="O669" s="198"/>
      <c r="P669" s="198"/>
      <c r="Q669" s="198"/>
      <c r="R669" s="198"/>
      <c r="S669" s="198"/>
      <c r="T669" s="198"/>
      <c r="U669" s="198"/>
      <c r="V669" s="198"/>
      <c r="W669" s="198"/>
      <c r="X669" s="198"/>
    </row>
    <row r="670">
      <c r="A670" s="198"/>
      <c r="B670" s="198"/>
      <c r="C670" s="198"/>
      <c r="D670" s="198"/>
      <c r="E670" s="198"/>
      <c r="F670" s="198"/>
      <c r="G670" s="198"/>
      <c r="H670" s="198"/>
      <c r="I670" s="268"/>
      <c r="J670" s="198"/>
      <c r="K670" s="198"/>
      <c r="L670" s="198"/>
      <c r="M670" s="198"/>
      <c r="N670" s="198"/>
      <c r="O670" s="198"/>
      <c r="P670" s="198"/>
      <c r="Q670" s="198"/>
      <c r="R670" s="198"/>
      <c r="S670" s="198"/>
      <c r="T670" s="198"/>
      <c r="U670" s="198"/>
      <c r="V670" s="198"/>
      <c r="W670" s="198"/>
      <c r="X670" s="198"/>
    </row>
    <row r="671">
      <c r="A671" s="198"/>
      <c r="B671" s="198"/>
      <c r="C671" s="198"/>
      <c r="D671" s="198"/>
      <c r="E671" s="198"/>
      <c r="F671" s="198"/>
      <c r="G671" s="198"/>
      <c r="H671" s="198"/>
      <c r="I671" s="268"/>
      <c r="J671" s="198"/>
      <c r="K671" s="198"/>
      <c r="L671" s="198"/>
      <c r="M671" s="198"/>
      <c r="N671" s="198"/>
      <c r="O671" s="198"/>
      <c r="P671" s="198"/>
      <c r="Q671" s="198"/>
      <c r="R671" s="198"/>
      <c r="S671" s="198"/>
      <c r="T671" s="198"/>
      <c r="U671" s="198"/>
      <c r="V671" s="198"/>
      <c r="W671" s="198"/>
      <c r="X671" s="198"/>
    </row>
    <row r="672">
      <c r="A672" s="198"/>
      <c r="B672" s="198"/>
      <c r="C672" s="198"/>
      <c r="D672" s="198"/>
      <c r="E672" s="198"/>
      <c r="F672" s="198"/>
      <c r="G672" s="198"/>
      <c r="H672" s="198"/>
      <c r="I672" s="268"/>
      <c r="J672" s="198"/>
      <c r="K672" s="198"/>
      <c r="L672" s="198"/>
      <c r="M672" s="198"/>
      <c r="N672" s="198"/>
      <c r="O672" s="198"/>
      <c r="P672" s="198"/>
      <c r="Q672" s="198"/>
      <c r="R672" s="198"/>
      <c r="S672" s="198"/>
      <c r="T672" s="198"/>
      <c r="U672" s="198"/>
      <c r="V672" s="198"/>
      <c r="W672" s="198"/>
      <c r="X672" s="198"/>
    </row>
    <row r="673">
      <c r="A673" s="198"/>
      <c r="B673" s="198"/>
      <c r="C673" s="198"/>
      <c r="D673" s="198"/>
      <c r="E673" s="198"/>
      <c r="F673" s="198"/>
      <c r="G673" s="198"/>
      <c r="H673" s="198"/>
      <c r="I673" s="268"/>
      <c r="J673" s="198"/>
      <c r="K673" s="198"/>
      <c r="L673" s="198"/>
      <c r="M673" s="198"/>
      <c r="N673" s="198"/>
      <c r="O673" s="198"/>
      <c r="P673" s="198"/>
      <c r="Q673" s="198"/>
      <c r="R673" s="198"/>
      <c r="S673" s="198"/>
      <c r="T673" s="198"/>
      <c r="U673" s="198"/>
      <c r="V673" s="198"/>
      <c r="W673" s="198"/>
      <c r="X673" s="198"/>
    </row>
    <row r="674">
      <c r="A674" s="198"/>
      <c r="B674" s="198"/>
      <c r="C674" s="198"/>
      <c r="D674" s="198"/>
      <c r="E674" s="198"/>
      <c r="F674" s="198"/>
      <c r="G674" s="198"/>
      <c r="H674" s="198"/>
      <c r="I674" s="268"/>
      <c r="J674" s="198"/>
      <c r="K674" s="198"/>
      <c r="L674" s="198"/>
      <c r="M674" s="198"/>
      <c r="N674" s="198"/>
      <c r="O674" s="198"/>
      <c r="P674" s="198"/>
      <c r="Q674" s="198"/>
      <c r="R674" s="198"/>
      <c r="S674" s="198"/>
      <c r="T674" s="198"/>
      <c r="U674" s="198"/>
      <c r="V674" s="198"/>
      <c r="W674" s="198"/>
      <c r="X674" s="198"/>
    </row>
    <row r="675">
      <c r="A675" s="198"/>
      <c r="B675" s="198"/>
      <c r="C675" s="198"/>
      <c r="D675" s="198"/>
      <c r="E675" s="198"/>
      <c r="F675" s="198"/>
      <c r="G675" s="198"/>
      <c r="H675" s="198"/>
      <c r="I675" s="268"/>
      <c r="J675" s="198"/>
      <c r="K675" s="198"/>
      <c r="L675" s="198"/>
      <c r="M675" s="198"/>
      <c r="N675" s="198"/>
      <c r="O675" s="198"/>
      <c r="P675" s="198"/>
      <c r="Q675" s="198"/>
      <c r="R675" s="198"/>
      <c r="S675" s="198"/>
      <c r="T675" s="198"/>
      <c r="U675" s="198"/>
      <c r="V675" s="198"/>
      <c r="W675" s="198"/>
      <c r="X675" s="198"/>
    </row>
    <row r="676">
      <c r="A676" s="198"/>
      <c r="B676" s="198"/>
      <c r="C676" s="198"/>
      <c r="D676" s="198"/>
      <c r="E676" s="198"/>
      <c r="F676" s="198"/>
      <c r="G676" s="198"/>
      <c r="H676" s="198"/>
      <c r="I676" s="268"/>
      <c r="J676" s="198"/>
      <c r="K676" s="198"/>
      <c r="L676" s="198"/>
      <c r="M676" s="198"/>
      <c r="N676" s="198"/>
      <c r="O676" s="198"/>
      <c r="P676" s="198"/>
      <c r="Q676" s="198"/>
      <c r="R676" s="198"/>
      <c r="S676" s="198"/>
      <c r="T676" s="198"/>
      <c r="U676" s="198"/>
      <c r="V676" s="198"/>
      <c r="W676" s="198"/>
      <c r="X676" s="198"/>
    </row>
    <row r="677">
      <c r="A677" s="198"/>
      <c r="B677" s="198"/>
      <c r="C677" s="198"/>
      <c r="D677" s="198"/>
      <c r="E677" s="198"/>
      <c r="F677" s="198"/>
      <c r="G677" s="198"/>
      <c r="H677" s="198"/>
      <c r="I677" s="268"/>
      <c r="J677" s="198"/>
      <c r="K677" s="198"/>
      <c r="L677" s="198"/>
      <c r="M677" s="198"/>
      <c r="N677" s="198"/>
      <c r="O677" s="198"/>
      <c r="P677" s="198"/>
      <c r="Q677" s="198"/>
      <c r="R677" s="198"/>
      <c r="S677" s="198"/>
      <c r="T677" s="198"/>
      <c r="U677" s="198"/>
      <c r="V677" s="198"/>
      <c r="W677" s="198"/>
      <c r="X677" s="198"/>
    </row>
    <row r="678">
      <c r="A678" s="198"/>
      <c r="B678" s="198"/>
      <c r="C678" s="198"/>
      <c r="D678" s="198"/>
      <c r="E678" s="198"/>
      <c r="F678" s="198"/>
      <c r="G678" s="198"/>
      <c r="H678" s="198"/>
      <c r="I678" s="268"/>
      <c r="J678" s="198"/>
      <c r="K678" s="198"/>
      <c r="L678" s="198"/>
      <c r="M678" s="198"/>
      <c r="N678" s="198"/>
      <c r="O678" s="198"/>
      <c r="P678" s="198"/>
      <c r="Q678" s="198"/>
      <c r="R678" s="198"/>
      <c r="S678" s="198"/>
      <c r="T678" s="198"/>
      <c r="U678" s="198"/>
      <c r="V678" s="198"/>
      <c r="W678" s="198"/>
      <c r="X678" s="198"/>
    </row>
    <row r="679">
      <c r="A679" s="198"/>
      <c r="B679" s="198"/>
      <c r="C679" s="198"/>
      <c r="D679" s="198"/>
      <c r="E679" s="198"/>
      <c r="F679" s="198"/>
      <c r="G679" s="198"/>
      <c r="H679" s="198"/>
      <c r="I679" s="268"/>
      <c r="J679" s="198"/>
      <c r="K679" s="198"/>
      <c r="L679" s="198"/>
      <c r="M679" s="198"/>
      <c r="N679" s="198"/>
      <c r="O679" s="198"/>
      <c r="P679" s="198"/>
      <c r="Q679" s="198"/>
      <c r="R679" s="198"/>
      <c r="S679" s="198"/>
      <c r="T679" s="198"/>
      <c r="U679" s="198"/>
      <c r="V679" s="198"/>
      <c r="W679" s="198"/>
      <c r="X679" s="198"/>
    </row>
    <row r="680">
      <c r="A680" s="198"/>
      <c r="B680" s="198"/>
      <c r="C680" s="198"/>
      <c r="D680" s="198"/>
      <c r="E680" s="198"/>
      <c r="F680" s="198"/>
      <c r="G680" s="198"/>
      <c r="H680" s="198"/>
      <c r="I680" s="268"/>
      <c r="J680" s="198"/>
      <c r="K680" s="198"/>
      <c r="L680" s="198"/>
      <c r="M680" s="198"/>
      <c r="N680" s="198"/>
      <c r="O680" s="198"/>
      <c r="P680" s="198"/>
      <c r="Q680" s="198"/>
      <c r="R680" s="198"/>
      <c r="S680" s="198"/>
      <c r="T680" s="198"/>
      <c r="U680" s="198"/>
      <c r="V680" s="198"/>
      <c r="W680" s="198"/>
      <c r="X680" s="198"/>
    </row>
    <row r="681">
      <c r="A681" s="198"/>
      <c r="B681" s="198"/>
      <c r="C681" s="198"/>
      <c r="D681" s="198"/>
      <c r="E681" s="198"/>
      <c r="F681" s="198"/>
      <c r="G681" s="198"/>
      <c r="H681" s="198"/>
      <c r="I681" s="268"/>
      <c r="J681" s="198"/>
      <c r="K681" s="198"/>
      <c r="L681" s="198"/>
      <c r="M681" s="198"/>
      <c r="N681" s="198"/>
      <c r="O681" s="198"/>
      <c r="P681" s="198"/>
      <c r="Q681" s="198"/>
      <c r="R681" s="198"/>
      <c r="S681" s="198"/>
      <c r="T681" s="198"/>
      <c r="U681" s="198"/>
      <c r="V681" s="198"/>
      <c r="W681" s="198"/>
      <c r="X681" s="198"/>
    </row>
    <row r="682">
      <c r="A682" s="198"/>
      <c r="B682" s="198"/>
      <c r="C682" s="198"/>
      <c r="D682" s="198"/>
      <c r="E682" s="198"/>
      <c r="F682" s="198"/>
      <c r="G682" s="198"/>
      <c r="H682" s="198"/>
      <c r="I682" s="268"/>
      <c r="J682" s="198"/>
      <c r="K682" s="198"/>
      <c r="L682" s="198"/>
      <c r="M682" s="198"/>
      <c r="N682" s="198"/>
      <c r="O682" s="198"/>
      <c r="P682" s="198"/>
      <c r="Q682" s="198"/>
      <c r="R682" s="198"/>
      <c r="S682" s="198"/>
      <c r="T682" s="198"/>
      <c r="U682" s="198"/>
      <c r="V682" s="198"/>
      <c r="W682" s="198"/>
      <c r="X682" s="198"/>
    </row>
    <row r="683">
      <c r="A683" s="198"/>
      <c r="B683" s="198"/>
      <c r="C683" s="198"/>
      <c r="D683" s="198"/>
      <c r="E683" s="198"/>
      <c r="F683" s="198"/>
      <c r="G683" s="198"/>
      <c r="H683" s="198"/>
      <c r="I683" s="268"/>
      <c r="J683" s="198"/>
      <c r="K683" s="198"/>
      <c r="L683" s="198"/>
      <c r="M683" s="198"/>
      <c r="N683" s="198"/>
      <c r="O683" s="198"/>
      <c r="P683" s="198"/>
      <c r="Q683" s="198"/>
      <c r="R683" s="198"/>
      <c r="S683" s="198"/>
      <c r="T683" s="198"/>
      <c r="U683" s="198"/>
      <c r="V683" s="198"/>
      <c r="W683" s="198"/>
      <c r="X683" s="198"/>
    </row>
    <row r="684">
      <c r="A684" s="198"/>
      <c r="B684" s="198"/>
      <c r="C684" s="198"/>
      <c r="D684" s="198"/>
      <c r="E684" s="198"/>
      <c r="F684" s="198"/>
      <c r="G684" s="198"/>
      <c r="H684" s="198"/>
      <c r="I684" s="268"/>
      <c r="J684" s="198"/>
      <c r="K684" s="198"/>
      <c r="L684" s="198"/>
      <c r="M684" s="198"/>
      <c r="N684" s="198"/>
      <c r="O684" s="198"/>
      <c r="P684" s="198"/>
      <c r="Q684" s="198"/>
      <c r="R684" s="198"/>
      <c r="S684" s="198"/>
      <c r="T684" s="198"/>
      <c r="U684" s="198"/>
      <c r="V684" s="198"/>
      <c r="W684" s="198"/>
      <c r="X684" s="198"/>
    </row>
    <row r="685">
      <c r="A685" s="198"/>
      <c r="B685" s="198"/>
      <c r="C685" s="198"/>
      <c r="D685" s="198"/>
      <c r="E685" s="198"/>
      <c r="F685" s="198"/>
      <c r="G685" s="198"/>
      <c r="H685" s="198"/>
      <c r="I685" s="268"/>
      <c r="J685" s="198"/>
      <c r="K685" s="198"/>
      <c r="L685" s="198"/>
      <c r="M685" s="198"/>
      <c r="N685" s="198"/>
      <c r="O685" s="198"/>
      <c r="P685" s="198"/>
      <c r="Q685" s="198"/>
      <c r="R685" s="198"/>
      <c r="S685" s="198"/>
      <c r="T685" s="198"/>
      <c r="U685" s="198"/>
      <c r="V685" s="198"/>
      <c r="W685" s="198"/>
      <c r="X685" s="198"/>
    </row>
    <row r="686">
      <c r="A686" s="198"/>
      <c r="B686" s="198"/>
      <c r="C686" s="198"/>
      <c r="D686" s="198"/>
      <c r="E686" s="198"/>
      <c r="F686" s="198"/>
      <c r="G686" s="198"/>
      <c r="H686" s="198"/>
      <c r="I686" s="268"/>
      <c r="J686" s="198"/>
      <c r="K686" s="198"/>
      <c r="L686" s="198"/>
      <c r="M686" s="198"/>
      <c r="N686" s="198"/>
      <c r="O686" s="198"/>
      <c r="P686" s="198"/>
      <c r="Q686" s="198"/>
      <c r="R686" s="198"/>
      <c r="S686" s="198"/>
      <c r="T686" s="198"/>
      <c r="U686" s="198"/>
      <c r="V686" s="198"/>
      <c r="W686" s="198"/>
      <c r="X686" s="198"/>
    </row>
    <row r="687">
      <c r="A687" s="198"/>
      <c r="B687" s="198"/>
      <c r="C687" s="198"/>
      <c r="D687" s="198"/>
      <c r="E687" s="198"/>
      <c r="F687" s="198"/>
      <c r="G687" s="198"/>
      <c r="H687" s="198"/>
      <c r="I687" s="268"/>
      <c r="J687" s="198"/>
      <c r="K687" s="198"/>
      <c r="L687" s="198"/>
      <c r="M687" s="198"/>
      <c r="N687" s="198"/>
      <c r="O687" s="198"/>
      <c r="P687" s="198"/>
      <c r="Q687" s="198"/>
      <c r="R687" s="198"/>
      <c r="S687" s="198"/>
      <c r="T687" s="198"/>
      <c r="U687" s="198"/>
      <c r="V687" s="198"/>
      <c r="W687" s="198"/>
      <c r="X687" s="198"/>
    </row>
    <row r="688">
      <c r="A688" s="198"/>
      <c r="B688" s="198"/>
      <c r="C688" s="198"/>
      <c r="D688" s="198"/>
      <c r="E688" s="198"/>
      <c r="F688" s="198"/>
      <c r="G688" s="198"/>
      <c r="H688" s="198"/>
      <c r="I688" s="268"/>
      <c r="J688" s="198"/>
      <c r="K688" s="198"/>
      <c r="L688" s="198"/>
      <c r="M688" s="198"/>
      <c r="N688" s="198"/>
      <c r="O688" s="198"/>
      <c r="P688" s="198"/>
      <c r="Q688" s="198"/>
      <c r="R688" s="198"/>
      <c r="S688" s="198"/>
      <c r="T688" s="198"/>
      <c r="U688" s="198"/>
      <c r="V688" s="198"/>
      <c r="W688" s="198"/>
      <c r="X688" s="198"/>
    </row>
    <row r="689">
      <c r="A689" s="198"/>
      <c r="B689" s="198"/>
      <c r="C689" s="198"/>
      <c r="D689" s="198"/>
      <c r="E689" s="198"/>
      <c r="F689" s="198"/>
      <c r="G689" s="198"/>
      <c r="H689" s="198"/>
      <c r="I689" s="268"/>
      <c r="J689" s="198"/>
      <c r="K689" s="198"/>
      <c r="L689" s="198"/>
      <c r="M689" s="198"/>
      <c r="N689" s="198"/>
      <c r="O689" s="198"/>
      <c r="P689" s="198"/>
      <c r="Q689" s="198"/>
      <c r="R689" s="198"/>
      <c r="S689" s="198"/>
      <c r="T689" s="198"/>
      <c r="U689" s="198"/>
      <c r="V689" s="198"/>
      <c r="W689" s="198"/>
      <c r="X689" s="198"/>
    </row>
    <row r="690">
      <c r="A690" s="198"/>
      <c r="B690" s="198"/>
      <c r="C690" s="198"/>
      <c r="D690" s="198"/>
      <c r="E690" s="198"/>
      <c r="F690" s="198"/>
      <c r="G690" s="198"/>
      <c r="H690" s="198"/>
      <c r="I690" s="268"/>
      <c r="J690" s="198"/>
      <c r="K690" s="198"/>
      <c r="L690" s="198"/>
      <c r="M690" s="198"/>
      <c r="N690" s="198"/>
      <c r="O690" s="198"/>
      <c r="P690" s="198"/>
      <c r="Q690" s="198"/>
      <c r="R690" s="198"/>
      <c r="S690" s="198"/>
      <c r="T690" s="198"/>
      <c r="U690" s="198"/>
      <c r="V690" s="198"/>
      <c r="W690" s="198"/>
      <c r="X690" s="198"/>
    </row>
    <row r="691">
      <c r="A691" s="198"/>
      <c r="B691" s="198"/>
      <c r="C691" s="198"/>
      <c r="D691" s="198"/>
      <c r="E691" s="198"/>
      <c r="F691" s="198"/>
      <c r="G691" s="198"/>
      <c r="H691" s="198"/>
      <c r="I691" s="268"/>
      <c r="J691" s="198"/>
      <c r="K691" s="198"/>
      <c r="L691" s="198"/>
      <c r="M691" s="198"/>
      <c r="N691" s="198"/>
      <c r="O691" s="198"/>
      <c r="P691" s="198"/>
      <c r="Q691" s="198"/>
      <c r="R691" s="198"/>
      <c r="S691" s="198"/>
      <c r="T691" s="198"/>
      <c r="U691" s="198"/>
      <c r="V691" s="198"/>
      <c r="W691" s="198"/>
      <c r="X691" s="198"/>
    </row>
    <row r="692">
      <c r="A692" s="198"/>
      <c r="B692" s="198"/>
      <c r="C692" s="198"/>
      <c r="D692" s="198"/>
      <c r="E692" s="198"/>
      <c r="F692" s="198"/>
      <c r="G692" s="198"/>
      <c r="H692" s="198"/>
      <c r="I692" s="268"/>
      <c r="J692" s="198"/>
      <c r="K692" s="198"/>
      <c r="L692" s="198"/>
      <c r="M692" s="198"/>
      <c r="N692" s="198"/>
      <c r="O692" s="198"/>
      <c r="P692" s="198"/>
      <c r="Q692" s="198"/>
      <c r="R692" s="198"/>
      <c r="S692" s="198"/>
      <c r="T692" s="198"/>
      <c r="U692" s="198"/>
      <c r="V692" s="198"/>
      <c r="W692" s="198"/>
      <c r="X692" s="198"/>
    </row>
    <row r="693">
      <c r="A693" s="198"/>
      <c r="B693" s="198"/>
      <c r="C693" s="198"/>
      <c r="D693" s="198"/>
      <c r="E693" s="198"/>
      <c r="F693" s="198"/>
      <c r="G693" s="198"/>
      <c r="H693" s="198"/>
      <c r="I693" s="268"/>
      <c r="J693" s="198"/>
      <c r="K693" s="198"/>
      <c r="L693" s="198"/>
      <c r="M693" s="198"/>
      <c r="N693" s="198"/>
      <c r="O693" s="198"/>
      <c r="P693" s="198"/>
      <c r="Q693" s="198"/>
      <c r="R693" s="198"/>
      <c r="S693" s="198"/>
      <c r="T693" s="198"/>
      <c r="U693" s="198"/>
      <c r="V693" s="198"/>
      <c r="W693" s="198"/>
      <c r="X693" s="198"/>
    </row>
    <row r="694">
      <c r="A694" s="198"/>
      <c r="B694" s="198"/>
      <c r="C694" s="198"/>
      <c r="D694" s="198"/>
      <c r="E694" s="198"/>
      <c r="F694" s="198"/>
      <c r="G694" s="198"/>
      <c r="H694" s="198"/>
      <c r="I694" s="268"/>
      <c r="J694" s="198"/>
      <c r="K694" s="198"/>
      <c r="L694" s="198"/>
      <c r="M694" s="198"/>
      <c r="N694" s="198"/>
      <c r="O694" s="198"/>
      <c r="P694" s="198"/>
      <c r="Q694" s="198"/>
      <c r="R694" s="198"/>
      <c r="S694" s="198"/>
      <c r="T694" s="198"/>
      <c r="U694" s="198"/>
      <c r="V694" s="198"/>
      <c r="W694" s="198"/>
      <c r="X694" s="198"/>
    </row>
    <row r="695">
      <c r="A695" s="198"/>
      <c r="B695" s="198"/>
      <c r="C695" s="198"/>
      <c r="D695" s="198"/>
      <c r="E695" s="198"/>
      <c r="F695" s="198"/>
      <c r="G695" s="198"/>
      <c r="H695" s="198"/>
      <c r="I695" s="268"/>
      <c r="J695" s="198"/>
      <c r="K695" s="198"/>
      <c r="L695" s="198"/>
      <c r="M695" s="198"/>
      <c r="N695" s="198"/>
      <c r="O695" s="198"/>
      <c r="P695" s="198"/>
      <c r="Q695" s="198"/>
      <c r="R695" s="198"/>
      <c r="S695" s="198"/>
      <c r="T695" s="198"/>
      <c r="U695" s="198"/>
      <c r="V695" s="198"/>
      <c r="W695" s="198"/>
      <c r="X695" s="198"/>
    </row>
    <row r="696">
      <c r="A696" s="198"/>
      <c r="B696" s="198"/>
      <c r="C696" s="198"/>
      <c r="D696" s="198"/>
      <c r="E696" s="198"/>
      <c r="F696" s="198"/>
      <c r="G696" s="198"/>
      <c r="H696" s="198"/>
      <c r="I696" s="268"/>
      <c r="J696" s="198"/>
      <c r="K696" s="198"/>
      <c r="L696" s="198"/>
      <c r="M696" s="198"/>
      <c r="N696" s="198"/>
      <c r="O696" s="198"/>
      <c r="P696" s="198"/>
      <c r="Q696" s="198"/>
      <c r="R696" s="198"/>
      <c r="S696" s="198"/>
      <c r="T696" s="198"/>
      <c r="U696" s="198"/>
      <c r="V696" s="198"/>
      <c r="W696" s="198"/>
      <c r="X696" s="198"/>
    </row>
    <row r="697">
      <c r="A697" s="198"/>
      <c r="B697" s="198"/>
      <c r="C697" s="198"/>
      <c r="D697" s="198"/>
      <c r="E697" s="198"/>
      <c r="F697" s="198"/>
      <c r="G697" s="198"/>
      <c r="H697" s="198"/>
      <c r="I697" s="268"/>
      <c r="J697" s="198"/>
      <c r="K697" s="198"/>
      <c r="L697" s="198"/>
      <c r="M697" s="198"/>
      <c r="N697" s="198"/>
      <c r="O697" s="198"/>
      <c r="P697" s="198"/>
      <c r="Q697" s="198"/>
      <c r="R697" s="198"/>
      <c r="S697" s="198"/>
      <c r="T697" s="198"/>
      <c r="U697" s="198"/>
      <c r="V697" s="198"/>
      <c r="W697" s="198"/>
      <c r="X697" s="198"/>
    </row>
    <row r="698">
      <c r="A698" s="198"/>
      <c r="B698" s="198"/>
      <c r="C698" s="198"/>
      <c r="D698" s="198"/>
      <c r="E698" s="198"/>
      <c r="F698" s="198"/>
      <c r="G698" s="198"/>
      <c r="H698" s="198"/>
      <c r="I698" s="268"/>
      <c r="J698" s="198"/>
      <c r="K698" s="198"/>
      <c r="L698" s="198"/>
      <c r="M698" s="198"/>
      <c r="N698" s="198"/>
      <c r="O698" s="198"/>
      <c r="P698" s="198"/>
      <c r="Q698" s="198"/>
      <c r="R698" s="198"/>
      <c r="S698" s="198"/>
      <c r="T698" s="198"/>
      <c r="U698" s="198"/>
      <c r="V698" s="198"/>
      <c r="W698" s="198"/>
      <c r="X698" s="198"/>
    </row>
    <row r="699">
      <c r="A699" s="198"/>
      <c r="B699" s="198"/>
      <c r="C699" s="198"/>
      <c r="D699" s="198"/>
      <c r="E699" s="198"/>
      <c r="F699" s="198"/>
      <c r="G699" s="198"/>
      <c r="H699" s="198"/>
      <c r="I699" s="268"/>
      <c r="J699" s="198"/>
      <c r="K699" s="198"/>
      <c r="L699" s="198"/>
      <c r="M699" s="198"/>
      <c r="N699" s="198"/>
      <c r="O699" s="198"/>
      <c r="P699" s="198"/>
      <c r="Q699" s="198"/>
      <c r="R699" s="198"/>
      <c r="S699" s="198"/>
      <c r="T699" s="198"/>
      <c r="U699" s="198"/>
      <c r="V699" s="198"/>
      <c r="W699" s="198"/>
      <c r="X699" s="198"/>
    </row>
    <row r="700">
      <c r="A700" s="198"/>
      <c r="B700" s="198"/>
      <c r="C700" s="198"/>
      <c r="D700" s="198"/>
      <c r="E700" s="198"/>
      <c r="F700" s="198"/>
      <c r="G700" s="198"/>
      <c r="H700" s="198"/>
      <c r="I700" s="268"/>
      <c r="J700" s="198"/>
      <c r="K700" s="198"/>
      <c r="L700" s="198"/>
      <c r="M700" s="198"/>
      <c r="N700" s="198"/>
      <c r="O700" s="198"/>
      <c r="P700" s="198"/>
      <c r="Q700" s="198"/>
      <c r="R700" s="198"/>
      <c r="S700" s="198"/>
      <c r="T700" s="198"/>
      <c r="U700" s="198"/>
      <c r="V700" s="198"/>
      <c r="W700" s="198"/>
      <c r="X700" s="198"/>
    </row>
    <row r="701">
      <c r="A701" s="198"/>
      <c r="B701" s="198"/>
      <c r="C701" s="198"/>
      <c r="D701" s="198"/>
      <c r="E701" s="198"/>
      <c r="F701" s="198"/>
      <c r="G701" s="198"/>
      <c r="H701" s="198"/>
      <c r="I701" s="268"/>
      <c r="J701" s="198"/>
      <c r="K701" s="198"/>
      <c r="L701" s="198"/>
      <c r="M701" s="198"/>
      <c r="N701" s="198"/>
      <c r="O701" s="198"/>
      <c r="P701" s="198"/>
      <c r="Q701" s="198"/>
      <c r="R701" s="198"/>
      <c r="S701" s="198"/>
      <c r="T701" s="198"/>
      <c r="U701" s="198"/>
      <c r="V701" s="198"/>
      <c r="W701" s="198"/>
      <c r="X701" s="198"/>
    </row>
    <row r="702">
      <c r="A702" s="198"/>
      <c r="B702" s="198"/>
      <c r="C702" s="198"/>
      <c r="D702" s="198"/>
      <c r="E702" s="198"/>
      <c r="F702" s="198"/>
      <c r="G702" s="198"/>
      <c r="H702" s="198"/>
      <c r="I702" s="268"/>
      <c r="J702" s="198"/>
      <c r="K702" s="198"/>
      <c r="L702" s="198"/>
      <c r="M702" s="198"/>
      <c r="N702" s="198"/>
      <c r="O702" s="198"/>
      <c r="P702" s="198"/>
      <c r="Q702" s="198"/>
      <c r="R702" s="198"/>
      <c r="S702" s="198"/>
      <c r="T702" s="198"/>
      <c r="U702" s="198"/>
      <c r="V702" s="198"/>
      <c r="W702" s="198"/>
      <c r="X702" s="198"/>
    </row>
    <row r="703">
      <c r="A703" s="198"/>
      <c r="B703" s="198"/>
      <c r="C703" s="198"/>
      <c r="D703" s="198"/>
      <c r="E703" s="198"/>
      <c r="F703" s="198"/>
      <c r="G703" s="198"/>
      <c r="H703" s="198"/>
      <c r="I703" s="268"/>
      <c r="J703" s="198"/>
      <c r="K703" s="198"/>
      <c r="L703" s="198"/>
      <c r="M703" s="198"/>
      <c r="N703" s="198"/>
      <c r="O703" s="198"/>
      <c r="P703" s="198"/>
      <c r="Q703" s="198"/>
      <c r="R703" s="198"/>
      <c r="S703" s="198"/>
      <c r="T703" s="198"/>
      <c r="U703" s="198"/>
      <c r="V703" s="198"/>
      <c r="W703" s="198"/>
      <c r="X703" s="198"/>
    </row>
    <row r="704">
      <c r="A704" s="198"/>
      <c r="B704" s="198"/>
      <c r="C704" s="198"/>
      <c r="D704" s="198"/>
      <c r="E704" s="198"/>
      <c r="F704" s="198"/>
      <c r="G704" s="198"/>
      <c r="H704" s="198"/>
      <c r="I704" s="268"/>
      <c r="J704" s="198"/>
      <c r="K704" s="198"/>
      <c r="L704" s="198"/>
      <c r="M704" s="198"/>
      <c r="N704" s="198"/>
      <c r="O704" s="198"/>
      <c r="P704" s="198"/>
      <c r="Q704" s="198"/>
      <c r="R704" s="198"/>
      <c r="S704" s="198"/>
      <c r="T704" s="198"/>
      <c r="U704" s="198"/>
      <c r="V704" s="198"/>
      <c r="W704" s="198"/>
      <c r="X704" s="198"/>
    </row>
    <row r="705">
      <c r="A705" s="198"/>
      <c r="B705" s="198"/>
      <c r="C705" s="198"/>
      <c r="D705" s="198"/>
      <c r="E705" s="198"/>
      <c r="F705" s="198"/>
      <c r="G705" s="198"/>
      <c r="H705" s="198"/>
      <c r="I705" s="268"/>
      <c r="J705" s="198"/>
      <c r="K705" s="198"/>
      <c r="L705" s="198"/>
      <c r="M705" s="198"/>
      <c r="N705" s="198"/>
      <c r="O705" s="198"/>
      <c r="P705" s="198"/>
      <c r="Q705" s="198"/>
      <c r="R705" s="198"/>
      <c r="S705" s="198"/>
      <c r="T705" s="198"/>
      <c r="U705" s="198"/>
      <c r="V705" s="198"/>
      <c r="W705" s="198"/>
      <c r="X705" s="198"/>
    </row>
    <row r="706">
      <c r="A706" s="198"/>
      <c r="B706" s="198"/>
      <c r="C706" s="198"/>
      <c r="D706" s="198"/>
      <c r="E706" s="198"/>
      <c r="F706" s="198"/>
      <c r="G706" s="198"/>
      <c r="H706" s="198"/>
      <c r="I706" s="268"/>
      <c r="J706" s="198"/>
      <c r="K706" s="198"/>
      <c r="L706" s="198"/>
      <c r="M706" s="198"/>
      <c r="N706" s="198"/>
      <c r="O706" s="198"/>
      <c r="P706" s="198"/>
      <c r="Q706" s="198"/>
      <c r="R706" s="198"/>
      <c r="S706" s="198"/>
      <c r="T706" s="198"/>
      <c r="U706" s="198"/>
      <c r="V706" s="198"/>
      <c r="W706" s="198"/>
      <c r="X706" s="198"/>
    </row>
    <row r="707">
      <c r="A707" s="198"/>
      <c r="B707" s="198"/>
      <c r="C707" s="198"/>
      <c r="D707" s="198"/>
      <c r="E707" s="198"/>
      <c r="F707" s="198"/>
      <c r="G707" s="198"/>
      <c r="H707" s="198"/>
      <c r="I707" s="268"/>
      <c r="J707" s="198"/>
      <c r="K707" s="198"/>
      <c r="L707" s="198"/>
      <c r="M707" s="198"/>
      <c r="N707" s="198"/>
      <c r="O707" s="198"/>
      <c r="P707" s="198"/>
      <c r="Q707" s="198"/>
      <c r="R707" s="198"/>
      <c r="S707" s="198"/>
      <c r="T707" s="198"/>
      <c r="U707" s="198"/>
      <c r="V707" s="198"/>
      <c r="W707" s="198"/>
      <c r="X707" s="198"/>
    </row>
    <row r="708">
      <c r="A708" s="198"/>
      <c r="B708" s="198"/>
      <c r="C708" s="198"/>
      <c r="D708" s="198"/>
      <c r="E708" s="198"/>
      <c r="F708" s="198"/>
      <c r="G708" s="198"/>
      <c r="H708" s="198"/>
      <c r="I708" s="268"/>
      <c r="J708" s="198"/>
      <c r="K708" s="198"/>
      <c r="L708" s="198"/>
      <c r="M708" s="198"/>
      <c r="N708" s="198"/>
      <c r="O708" s="198"/>
      <c r="P708" s="198"/>
      <c r="Q708" s="198"/>
      <c r="R708" s="198"/>
      <c r="S708" s="198"/>
      <c r="T708" s="198"/>
      <c r="U708" s="198"/>
      <c r="V708" s="198"/>
      <c r="W708" s="198"/>
      <c r="X708" s="198"/>
    </row>
    <row r="709">
      <c r="A709" s="198"/>
      <c r="B709" s="198"/>
      <c r="C709" s="198"/>
      <c r="D709" s="198"/>
      <c r="E709" s="198"/>
      <c r="F709" s="198"/>
      <c r="G709" s="198"/>
      <c r="H709" s="198"/>
      <c r="I709" s="268"/>
      <c r="J709" s="198"/>
      <c r="K709" s="198"/>
      <c r="L709" s="198"/>
      <c r="M709" s="198"/>
      <c r="N709" s="198"/>
      <c r="O709" s="198"/>
      <c r="P709" s="198"/>
      <c r="Q709" s="198"/>
      <c r="R709" s="198"/>
      <c r="S709" s="198"/>
      <c r="T709" s="198"/>
      <c r="U709" s="198"/>
      <c r="V709" s="198"/>
      <c r="W709" s="198"/>
      <c r="X709" s="198"/>
    </row>
    <row r="710">
      <c r="A710" s="198"/>
      <c r="B710" s="198"/>
      <c r="C710" s="198"/>
      <c r="D710" s="198"/>
      <c r="E710" s="198"/>
      <c r="F710" s="198"/>
      <c r="G710" s="198"/>
      <c r="H710" s="198"/>
      <c r="I710" s="268"/>
      <c r="J710" s="198"/>
      <c r="K710" s="198"/>
      <c r="L710" s="198"/>
      <c r="M710" s="198"/>
      <c r="N710" s="198"/>
      <c r="O710" s="198"/>
      <c r="P710" s="198"/>
      <c r="Q710" s="198"/>
      <c r="R710" s="198"/>
      <c r="S710" s="198"/>
      <c r="T710" s="198"/>
      <c r="U710" s="198"/>
      <c r="V710" s="198"/>
      <c r="W710" s="198"/>
      <c r="X710" s="198"/>
    </row>
    <row r="711">
      <c r="A711" s="198"/>
      <c r="B711" s="198"/>
      <c r="C711" s="198"/>
      <c r="D711" s="198"/>
      <c r="E711" s="198"/>
      <c r="F711" s="198"/>
      <c r="G711" s="198"/>
      <c r="H711" s="198"/>
      <c r="I711" s="268"/>
      <c r="J711" s="198"/>
      <c r="K711" s="198"/>
      <c r="L711" s="198"/>
      <c r="M711" s="198"/>
      <c r="N711" s="198"/>
      <c r="O711" s="198"/>
      <c r="P711" s="198"/>
      <c r="Q711" s="198"/>
      <c r="R711" s="198"/>
      <c r="S711" s="198"/>
      <c r="T711" s="198"/>
      <c r="U711" s="198"/>
      <c r="V711" s="198"/>
      <c r="W711" s="198"/>
      <c r="X711" s="198"/>
    </row>
    <row r="712">
      <c r="A712" s="198"/>
      <c r="B712" s="198"/>
      <c r="C712" s="198"/>
      <c r="D712" s="198"/>
      <c r="E712" s="198"/>
      <c r="F712" s="198"/>
      <c r="G712" s="198"/>
      <c r="H712" s="198"/>
      <c r="I712" s="268"/>
      <c r="J712" s="198"/>
      <c r="K712" s="198"/>
      <c r="L712" s="198"/>
      <c r="M712" s="198"/>
      <c r="N712" s="198"/>
      <c r="O712" s="198"/>
      <c r="P712" s="198"/>
      <c r="Q712" s="198"/>
      <c r="R712" s="198"/>
      <c r="S712" s="198"/>
      <c r="T712" s="198"/>
      <c r="U712" s="198"/>
      <c r="V712" s="198"/>
      <c r="W712" s="198"/>
      <c r="X712" s="198"/>
    </row>
    <row r="713">
      <c r="A713" s="198"/>
      <c r="B713" s="198"/>
      <c r="C713" s="198"/>
      <c r="D713" s="198"/>
      <c r="E713" s="198"/>
      <c r="F713" s="198"/>
      <c r="G713" s="198"/>
      <c r="H713" s="198"/>
      <c r="I713" s="268"/>
      <c r="J713" s="198"/>
      <c r="K713" s="198"/>
      <c r="L713" s="198"/>
      <c r="M713" s="198"/>
      <c r="N713" s="198"/>
      <c r="O713" s="198"/>
      <c r="P713" s="198"/>
      <c r="Q713" s="198"/>
      <c r="R713" s="198"/>
      <c r="S713" s="198"/>
      <c r="T713" s="198"/>
      <c r="U713" s="198"/>
      <c r="V713" s="198"/>
      <c r="W713" s="198"/>
      <c r="X713" s="198"/>
    </row>
    <row r="714">
      <c r="A714" s="198"/>
      <c r="B714" s="198"/>
      <c r="C714" s="198"/>
      <c r="D714" s="198"/>
      <c r="E714" s="198"/>
      <c r="F714" s="198"/>
      <c r="G714" s="198"/>
      <c r="H714" s="198"/>
      <c r="I714" s="268"/>
      <c r="J714" s="198"/>
      <c r="K714" s="198"/>
      <c r="L714" s="198"/>
      <c r="M714" s="198"/>
      <c r="N714" s="198"/>
      <c r="O714" s="198"/>
      <c r="P714" s="198"/>
      <c r="Q714" s="198"/>
      <c r="R714" s="198"/>
      <c r="S714" s="198"/>
      <c r="T714" s="198"/>
      <c r="U714" s="198"/>
      <c r="V714" s="198"/>
      <c r="W714" s="198"/>
      <c r="X714" s="198"/>
    </row>
    <row r="715">
      <c r="A715" s="198"/>
      <c r="B715" s="198"/>
      <c r="C715" s="198"/>
      <c r="D715" s="198"/>
      <c r="E715" s="198"/>
      <c r="F715" s="198"/>
      <c r="G715" s="198"/>
      <c r="H715" s="198"/>
      <c r="I715" s="268"/>
      <c r="J715" s="198"/>
      <c r="K715" s="198"/>
      <c r="L715" s="198"/>
      <c r="M715" s="198"/>
      <c r="N715" s="198"/>
      <c r="O715" s="198"/>
      <c r="P715" s="198"/>
      <c r="Q715" s="198"/>
      <c r="R715" s="198"/>
      <c r="S715" s="198"/>
      <c r="T715" s="198"/>
      <c r="U715" s="198"/>
      <c r="V715" s="198"/>
      <c r="W715" s="198"/>
      <c r="X715" s="198"/>
    </row>
    <row r="716">
      <c r="A716" s="198"/>
      <c r="B716" s="198"/>
      <c r="C716" s="198"/>
      <c r="D716" s="198"/>
      <c r="E716" s="198"/>
      <c r="F716" s="198"/>
      <c r="G716" s="198"/>
      <c r="H716" s="198"/>
      <c r="I716" s="268"/>
      <c r="J716" s="198"/>
      <c r="K716" s="198"/>
      <c r="L716" s="198"/>
      <c r="M716" s="198"/>
      <c r="N716" s="198"/>
      <c r="O716" s="198"/>
      <c r="P716" s="198"/>
      <c r="Q716" s="198"/>
      <c r="R716" s="198"/>
      <c r="S716" s="198"/>
      <c r="T716" s="198"/>
      <c r="U716" s="198"/>
      <c r="V716" s="198"/>
      <c r="W716" s="198"/>
      <c r="X716" s="198"/>
    </row>
    <row r="717">
      <c r="A717" s="198"/>
      <c r="B717" s="198"/>
      <c r="C717" s="198"/>
      <c r="D717" s="198"/>
      <c r="E717" s="198"/>
      <c r="F717" s="198"/>
      <c r="G717" s="198"/>
      <c r="H717" s="198"/>
      <c r="I717" s="268"/>
      <c r="J717" s="198"/>
      <c r="K717" s="198"/>
      <c r="L717" s="198"/>
      <c r="M717" s="198"/>
      <c r="N717" s="198"/>
      <c r="O717" s="198"/>
      <c r="P717" s="198"/>
      <c r="Q717" s="198"/>
      <c r="R717" s="198"/>
      <c r="S717" s="198"/>
      <c r="T717" s="198"/>
      <c r="U717" s="198"/>
      <c r="V717" s="198"/>
      <c r="W717" s="198"/>
      <c r="X717" s="198"/>
    </row>
    <row r="718">
      <c r="A718" s="198"/>
      <c r="B718" s="198"/>
      <c r="C718" s="198"/>
      <c r="D718" s="198"/>
      <c r="E718" s="198"/>
      <c r="F718" s="198"/>
      <c r="G718" s="198"/>
      <c r="H718" s="198"/>
      <c r="I718" s="268"/>
      <c r="J718" s="198"/>
      <c r="K718" s="198"/>
      <c r="L718" s="198"/>
      <c r="M718" s="198"/>
      <c r="N718" s="198"/>
      <c r="O718" s="198"/>
      <c r="P718" s="198"/>
      <c r="Q718" s="198"/>
      <c r="R718" s="198"/>
      <c r="S718" s="198"/>
      <c r="T718" s="198"/>
      <c r="U718" s="198"/>
      <c r="V718" s="198"/>
      <c r="W718" s="198"/>
      <c r="X718" s="198"/>
    </row>
    <row r="719">
      <c r="A719" s="198"/>
      <c r="B719" s="198"/>
      <c r="C719" s="198"/>
      <c r="D719" s="198"/>
      <c r="E719" s="198"/>
      <c r="F719" s="198"/>
      <c r="G719" s="198"/>
      <c r="H719" s="198"/>
      <c r="I719" s="268"/>
      <c r="J719" s="198"/>
      <c r="K719" s="198"/>
      <c r="L719" s="198"/>
      <c r="M719" s="198"/>
      <c r="N719" s="198"/>
      <c r="O719" s="198"/>
      <c r="P719" s="198"/>
      <c r="Q719" s="198"/>
      <c r="R719" s="198"/>
      <c r="S719" s="198"/>
      <c r="T719" s="198"/>
      <c r="U719" s="198"/>
      <c r="V719" s="198"/>
      <c r="W719" s="198"/>
      <c r="X719" s="198"/>
    </row>
    <row r="720">
      <c r="A720" s="198"/>
      <c r="B720" s="198"/>
      <c r="C720" s="198"/>
      <c r="D720" s="198"/>
      <c r="E720" s="198"/>
      <c r="F720" s="198"/>
      <c r="G720" s="198"/>
      <c r="H720" s="198"/>
      <c r="I720" s="268"/>
      <c r="J720" s="198"/>
      <c r="K720" s="198"/>
      <c r="L720" s="198"/>
      <c r="M720" s="198"/>
      <c r="N720" s="198"/>
      <c r="O720" s="198"/>
      <c r="P720" s="198"/>
      <c r="Q720" s="198"/>
      <c r="R720" s="198"/>
      <c r="S720" s="198"/>
      <c r="T720" s="198"/>
      <c r="U720" s="198"/>
      <c r="V720" s="198"/>
      <c r="W720" s="198"/>
      <c r="X720" s="198"/>
    </row>
    <row r="721">
      <c r="A721" s="198"/>
      <c r="B721" s="198"/>
      <c r="C721" s="198"/>
      <c r="D721" s="198"/>
      <c r="E721" s="198"/>
      <c r="F721" s="198"/>
      <c r="G721" s="198"/>
      <c r="H721" s="198"/>
      <c r="I721" s="268"/>
      <c r="J721" s="198"/>
      <c r="K721" s="198"/>
      <c r="L721" s="198"/>
      <c r="M721" s="198"/>
      <c r="N721" s="198"/>
      <c r="O721" s="198"/>
      <c r="P721" s="198"/>
      <c r="Q721" s="198"/>
      <c r="R721" s="198"/>
      <c r="S721" s="198"/>
      <c r="T721" s="198"/>
      <c r="U721" s="198"/>
      <c r="V721" s="198"/>
      <c r="W721" s="198"/>
      <c r="X721" s="198"/>
    </row>
    <row r="722">
      <c r="A722" s="198"/>
      <c r="B722" s="198"/>
      <c r="C722" s="198"/>
      <c r="D722" s="198"/>
      <c r="E722" s="198"/>
      <c r="F722" s="198"/>
      <c r="G722" s="198"/>
      <c r="H722" s="198"/>
      <c r="I722" s="268"/>
      <c r="J722" s="198"/>
      <c r="K722" s="198"/>
      <c r="L722" s="198"/>
      <c r="M722" s="198"/>
      <c r="N722" s="198"/>
      <c r="O722" s="198"/>
      <c r="P722" s="198"/>
      <c r="Q722" s="198"/>
      <c r="R722" s="198"/>
      <c r="S722" s="198"/>
      <c r="T722" s="198"/>
      <c r="U722" s="198"/>
      <c r="V722" s="198"/>
      <c r="W722" s="198"/>
      <c r="X722" s="198"/>
    </row>
    <row r="723">
      <c r="A723" s="198"/>
      <c r="B723" s="198"/>
      <c r="C723" s="198"/>
      <c r="D723" s="198"/>
      <c r="E723" s="198"/>
      <c r="F723" s="198"/>
      <c r="G723" s="198"/>
      <c r="H723" s="198"/>
      <c r="I723" s="268"/>
      <c r="J723" s="198"/>
      <c r="K723" s="198"/>
      <c r="L723" s="198"/>
      <c r="M723" s="198"/>
      <c r="N723" s="198"/>
      <c r="O723" s="198"/>
      <c r="P723" s="198"/>
      <c r="Q723" s="198"/>
      <c r="R723" s="198"/>
      <c r="S723" s="198"/>
      <c r="T723" s="198"/>
      <c r="U723" s="198"/>
      <c r="V723" s="198"/>
      <c r="W723" s="198"/>
      <c r="X723" s="198"/>
    </row>
    <row r="724">
      <c r="A724" s="198"/>
      <c r="B724" s="198"/>
      <c r="C724" s="198"/>
      <c r="D724" s="198"/>
      <c r="E724" s="198"/>
      <c r="F724" s="198"/>
      <c r="G724" s="198"/>
      <c r="H724" s="198"/>
      <c r="I724" s="268"/>
      <c r="J724" s="198"/>
      <c r="K724" s="198"/>
      <c r="L724" s="198"/>
      <c r="M724" s="198"/>
      <c r="N724" s="198"/>
      <c r="O724" s="198"/>
      <c r="P724" s="198"/>
      <c r="Q724" s="198"/>
      <c r="R724" s="198"/>
      <c r="S724" s="198"/>
      <c r="T724" s="198"/>
      <c r="U724" s="198"/>
      <c r="V724" s="198"/>
      <c r="W724" s="198"/>
      <c r="X724" s="198"/>
    </row>
    <row r="725">
      <c r="A725" s="198"/>
      <c r="B725" s="198"/>
      <c r="C725" s="198"/>
      <c r="D725" s="198"/>
      <c r="E725" s="198"/>
      <c r="F725" s="198"/>
      <c r="G725" s="198"/>
      <c r="H725" s="198"/>
      <c r="I725" s="268"/>
      <c r="J725" s="198"/>
      <c r="K725" s="198"/>
      <c r="L725" s="198"/>
      <c r="M725" s="198"/>
      <c r="N725" s="198"/>
      <c r="O725" s="198"/>
      <c r="P725" s="198"/>
      <c r="Q725" s="198"/>
      <c r="R725" s="198"/>
      <c r="S725" s="198"/>
      <c r="T725" s="198"/>
      <c r="U725" s="198"/>
      <c r="V725" s="198"/>
      <c r="W725" s="198"/>
      <c r="X725" s="198"/>
    </row>
    <row r="726">
      <c r="A726" s="198"/>
      <c r="B726" s="198"/>
      <c r="C726" s="198"/>
      <c r="D726" s="198"/>
      <c r="E726" s="198"/>
      <c r="F726" s="198"/>
      <c r="G726" s="198"/>
      <c r="H726" s="198"/>
      <c r="I726" s="268"/>
      <c r="J726" s="198"/>
      <c r="K726" s="198"/>
      <c r="L726" s="198"/>
      <c r="M726" s="198"/>
      <c r="N726" s="198"/>
      <c r="O726" s="198"/>
      <c r="P726" s="198"/>
      <c r="Q726" s="198"/>
      <c r="R726" s="198"/>
      <c r="S726" s="198"/>
      <c r="T726" s="198"/>
      <c r="U726" s="198"/>
      <c r="V726" s="198"/>
      <c r="W726" s="198"/>
      <c r="X726" s="198"/>
    </row>
    <row r="727">
      <c r="A727" s="198"/>
      <c r="B727" s="198"/>
      <c r="C727" s="198"/>
      <c r="D727" s="198"/>
      <c r="E727" s="198"/>
      <c r="F727" s="198"/>
      <c r="G727" s="198"/>
      <c r="H727" s="198"/>
      <c r="I727" s="268"/>
      <c r="J727" s="198"/>
      <c r="K727" s="198"/>
      <c r="L727" s="198"/>
      <c r="M727" s="198"/>
      <c r="N727" s="198"/>
      <c r="O727" s="198"/>
      <c r="P727" s="198"/>
      <c r="Q727" s="198"/>
      <c r="R727" s="198"/>
      <c r="S727" s="198"/>
      <c r="T727" s="198"/>
      <c r="U727" s="198"/>
      <c r="V727" s="198"/>
      <c r="W727" s="198"/>
      <c r="X727" s="198"/>
    </row>
    <row r="728">
      <c r="A728" s="198"/>
      <c r="B728" s="198"/>
      <c r="C728" s="198"/>
      <c r="D728" s="198"/>
      <c r="E728" s="198"/>
      <c r="F728" s="198"/>
      <c r="G728" s="198"/>
      <c r="H728" s="198"/>
      <c r="I728" s="268"/>
      <c r="J728" s="198"/>
      <c r="K728" s="198"/>
      <c r="L728" s="198"/>
      <c r="M728" s="198"/>
      <c r="N728" s="198"/>
      <c r="O728" s="198"/>
      <c r="P728" s="198"/>
      <c r="Q728" s="198"/>
      <c r="R728" s="198"/>
      <c r="S728" s="198"/>
      <c r="T728" s="198"/>
      <c r="U728" s="198"/>
      <c r="V728" s="198"/>
      <c r="W728" s="198"/>
      <c r="X728" s="198"/>
    </row>
    <row r="729">
      <c r="A729" s="198"/>
      <c r="B729" s="198"/>
      <c r="C729" s="198"/>
      <c r="D729" s="198"/>
      <c r="E729" s="198"/>
      <c r="F729" s="198"/>
      <c r="G729" s="198"/>
      <c r="H729" s="198"/>
      <c r="I729" s="268"/>
      <c r="J729" s="198"/>
      <c r="K729" s="198"/>
      <c r="L729" s="198"/>
      <c r="M729" s="198"/>
      <c r="N729" s="198"/>
      <c r="O729" s="198"/>
      <c r="P729" s="198"/>
      <c r="Q729" s="198"/>
      <c r="R729" s="198"/>
      <c r="S729" s="198"/>
      <c r="T729" s="198"/>
      <c r="U729" s="198"/>
      <c r="V729" s="198"/>
      <c r="W729" s="198"/>
      <c r="X729" s="198"/>
    </row>
    <row r="730">
      <c r="A730" s="198"/>
      <c r="B730" s="198"/>
      <c r="C730" s="198"/>
      <c r="D730" s="198"/>
      <c r="E730" s="198"/>
      <c r="F730" s="198"/>
      <c r="G730" s="198"/>
      <c r="H730" s="198"/>
      <c r="I730" s="268"/>
      <c r="J730" s="198"/>
      <c r="K730" s="198"/>
      <c r="L730" s="198"/>
      <c r="M730" s="198"/>
      <c r="N730" s="198"/>
      <c r="O730" s="198"/>
      <c r="P730" s="198"/>
      <c r="Q730" s="198"/>
      <c r="R730" s="198"/>
      <c r="S730" s="198"/>
      <c r="T730" s="198"/>
      <c r="U730" s="198"/>
      <c r="V730" s="198"/>
      <c r="W730" s="198"/>
      <c r="X730" s="198"/>
    </row>
    <row r="731">
      <c r="A731" s="198"/>
      <c r="B731" s="198"/>
      <c r="C731" s="198"/>
      <c r="D731" s="198"/>
      <c r="E731" s="198"/>
      <c r="F731" s="198"/>
      <c r="G731" s="198"/>
      <c r="H731" s="198"/>
      <c r="I731" s="268"/>
      <c r="J731" s="198"/>
      <c r="K731" s="198"/>
      <c r="L731" s="198"/>
      <c r="M731" s="198"/>
      <c r="N731" s="198"/>
      <c r="O731" s="198"/>
      <c r="P731" s="198"/>
      <c r="Q731" s="198"/>
      <c r="R731" s="198"/>
      <c r="S731" s="198"/>
      <c r="T731" s="198"/>
      <c r="U731" s="198"/>
      <c r="V731" s="198"/>
      <c r="W731" s="198"/>
      <c r="X731" s="198"/>
    </row>
    <row r="732">
      <c r="A732" s="198"/>
      <c r="B732" s="198"/>
      <c r="C732" s="198"/>
      <c r="D732" s="198"/>
      <c r="E732" s="198"/>
      <c r="F732" s="198"/>
      <c r="G732" s="198"/>
      <c r="H732" s="198"/>
      <c r="I732" s="268"/>
      <c r="J732" s="198"/>
      <c r="K732" s="198"/>
      <c r="L732" s="198"/>
      <c r="M732" s="198"/>
      <c r="N732" s="198"/>
      <c r="O732" s="198"/>
      <c r="P732" s="198"/>
      <c r="Q732" s="198"/>
      <c r="R732" s="198"/>
      <c r="S732" s="198"/>
      <c r="T732" s="198"/>
      <c r="U732" s="198"/>
      <c r="V732" s="198"/>
      <c r="W732" s="198"/>
      <c r="X732" s="198"/>
    </row>
    <row r="733">
      <c r="A733" s="198"/>
      <c r="B733" s="198"/>
      <c r="C733" s="198"/>
      <c r="D733" s="198"/>
      <c r="E733" s="198"/>
      <c r="F733" s="198"/>
      <c r="G733" s="198"/>
      <c r="H733" s="198"/>
      <c r="I733" s="268"/>
      <c r="J733" s="198"/>
      <c r="K733" s="198"/>
      <c r="L733" s="198"/>
      <c r="M733" s="198"/>
      <c r="N733" s="198"/>
      <c r="O733" s="198"/>
      <c r="P733" s="198"/>
      <c r="Q733" s="198"/>
      <c r="R733" s="198"/>
      <c r="S733" s="198"/>
      <c r="T733" s="198"/>
      <c r="U733" s="198"/>
      <c r="V733" s="198"/>
      <c r="W733" s="198"/>
      <c r="X733" s="198"/>
    </row>
    <row r="734">
      <c r="A734" s="198"/>
      <c r="B734" s="198"/>
      <c r="C734" s="198"/>
      <c r="D734" s="198"/>
      <c r="E734" s="198"/>
      <c r="F734" s="198"/>
      <c r="G734" s="198"/>
      <c r="H734" s="198"/>
      <c r="I734" s="268"/>
      <c r="J734" s="198"/>
      <c r="K734" s="198"/>
      <c r="L734" s="198"/>
      <c r="M734" s="198"/>
      <c r="N734" s="198"/>
      <c r="O734" s="198"/>
      <c r="P734" s="198"/>
      <c r="Q734" s="198"/>
      <c r="R734" s="198"/>
      <c r="S734" s="198"/>
      <c r="T734" s="198"/>
      <c r="U734" s="198"/>
      <c r="V734" s="198"/>
      <c r="W734" s="198"/>
      <c r="X734" s="198"/>
    </row>
    <row r="735">
      <c r="A735" s="198"/>
      <c r="B735" s="198"/>
      <c r="C735" s="198"/>
      <c r="D735" s="198"/>
      <c r="E735" s="198"/>
      <c r="F735" s="198"/>
      <c r="G735" s="198"/>
      <c r="H735" s="198"/>
      <c r="I735" s="268"/>
      <c r="J735" s="198"/>
      <c r="K735" s="198"/>
      <c r="L735" s="198"/>
      <c r="M735" s="198"/>
      <c r="N735" s="198"/>
      <c r="O735" s="198"/>
      <c r="P735" s="198"/>
      <c r="Q735" s="198"/>
      <c r="R735" s="198"/>
      <c r="S735" s="198"/>
      <c r="T735" s="198"/>
      <c r="U735" s="198"/>
      <c r="V735" s="198"/>
      <c r="W735" s="198"/>
      <c r="X735" s="198"/>
    </row>
    <row r="736">
      <c r="A736" s="198"/>
      <c r="B736" s="198"/>
      <c r="C736" s="198"/>
      <c r="D736" s="198"/>
      <c r="E736" s="198"/>
      <c r="F736" s="198"/>
      <c r="G736" s="198"/>
      <c r="H736" s="198"/>
      <c r="I736" s="268"/>
      <c r="J736" s="198"/>
      <c r="K736" s="198"/>
      <c r="L736" s="198"/>
      <c r="M736" s="198"/>
      <c r="N736" s="198"/>
      <c r="O736" s="198"/>
      <c r="P736" s="198"/>
      <c r="Q736" s="198"/>
      <c r="R736" s="198"/>
      <c r="S736" s="198"/>
      <c r="T736" s="198"/>
      <c r="U736" s="198"/>
      <c r="V736" s="198"/>
      <c r="W736" s="198"/>
      <c r="X736" s="198"/>
    </row>
    <row r="737">
      <c r="A737" s="198"/>
      <c r="B737" s="198"/>
      <c r="C737" s="198"/>
      <c r="D737" s="198"/>
      <c r="E737" s="198"/>
      <c r="F737" s="198"/>
      <c r="G737" s="198"/>
      <c r="H737" s="198"/>
      <c r="I737" s="268"/>
      <c r="J737" s="198"/>
      <c r="K737" s="198"/>
      <c r="L737" s="198"/>
      <c r="M737" s="198"/>
      <c r="N737" s="198"/>
      <c r="O737" s="198"/>
      <c r="P737" s="198"/>
      <c r="Q737" s="198"/>
      <c r="R737" s="198"/>
      <c r="S737" s="198"/>
      <c r="T737" s="198"/>
      <c r="U737" s="198"/>
      <c r="V737" s="198"/>
      <c r="W737" s="198"/>
      <c r="X737" s="198"/>
    </row>
    <row r="738">
      <c r="A738" s="198"/>
      <c r="B738" s="198"/>
      <c r="C738" s="198"/>
      <c r="D738" s="198"/>
      <c r="E738" s="198"/>
      <c r="F738" s="198"/>
      <c r="G738" s="198"/>
      <c r="H738" s="198"/>
      <c r="I738" s="268"/>
      <c r="J738" s="198"/>
      <c r="K738" s="198"/>
      <c r="L738" s="198"/>
      <c r="M738" s="198"/>
      <c r="N738" s="198"/>
      <c r="O738" s="198"/>
      <c r="P738" s="198"/>
      <c r="Q738" s="198"/>
      <c r="R738" s="198"/>
      <c r="S738" s="198"/>
      <c r="T738" s="198"/>
      <c r="U738" s="198"/>
      <c r="V738" s="198"/>
      <c r="W738" s="198"/>
      <c r="X738" s="198"/>
    </row>
    <row r="739">
      <c r="A739" s="198"/>
      <c r="B739" s="198"/>
      <c r="C739" s="198"/>
      <c r="D739" s="198"/>
      <c r="E739" s="198"/>
      <c r="F739" s="198"/>
      <c r="G739" s="198"/>
      <c r="H739" s="198"/>
      <c r="I739" s="268"/>
      <c r="J739" s="198"/>
      <c r="K739" s="198"/>
      <c r="L739" s="198"/>
      <c r="M739" s="198"/>
      <c r="N739" s="198"/>
      <c r="O739" s="198"/>
      <c r="P739" s="198"/>
      <c r="Q739" s="198"/>
      <c r="R739" s="198"/>
      <c r="S739" s="198"/>
      <c r="T739" s="198"/>
      <c r="U739" s="198"/>
      <c r="V739" s="198"/>
      <c r="W739" s="198"/>
      <c r="X739" s="198"/>
    </row>
    <row r="740">
      <c r="A740" s="198"/>
      <c r="B740" s="198"/>
      <c r="C740" s="198"/>
      <c r="D740" s="198"/>
      <c r="E740" s="198"/>
      <c r="F740" s="198"/>
      <c r="G740" s="198"/>
      <c r="H740" s="198"/>
      <c r="I740" s="268"/>
      <c r="J740" s="198"/>
      <c r="K740" s="198"/>
      <c r="L740" s="198"/>
      <c r="M740" s="198"/>
      <c r="N740" s="198"/>
      <c r="O740" s="198"/>
      <c r="P740" s="198"/>
      <c r="Q740" s="198"/>
      <c r="R740" s="198"/>
      <c r="S740" s="198"/>
      <c r="T740" s="198"/>
      <c r="U740" s="198"/>
      <c r="V740" s="198"/>
      <c r="W740" s="198"/>
      <c r="X740" s="198"/>
    </row>
    <row r="741">
      <c r="A741" s="198"/>
      <c r="B741" s="198"/>
      <c r="C741" s="198"/>
      <c r="D741" s="198"/>
      <c r="E741" s="198"/>
      <c r="F741" s="198"/>
      <c r="G741" s="198"/>
      <c r="H741" s="198"/>
      <c r="I741" s="268"/>
      <c r="J741" s="198"/>
      <c r="K741" s="198"/>
      <c r="L741" s="198"/>
      <c r="M741" s="198"/>
      <c r="N741" s="198"/>
      <c r="O741" s="198"/>
      <c r="P741" s="198"/>
      <c r="Q741" s="198"/>
      <c r="R741" s="198"/>
      <c r="S741" s="198"/>
      <c r="T741" s="198"/>
      <c r="U741" s="198"/>
      <c r="V741" s="198"/>
      <c r="W741" s="198"/>
      <c r="X741" s="198"/>
    </row>
    <row r="742">
      <c r="A742" s="198"/>
      <c r="B742" s="198"/>
      <c r="C742" s="198"/>
      <c r="D742" s="198"/>
      <c r="E742" s="198"/>
      <c r="F742" s="198"/>
      <c r="G742" s="198"/>
      <c r="H742" s="198"/>
      <c r="I742" s="268"/>
      <c r="J742" s="198"/>
      <c r="K742" s="198"/>
      <c r="L742" s="198"/>
      <c r="M742" s="198"/>
      <c r="N742" s="198"/>
      <c r="O742" s="198"/>
      <c r="P742" s="198"/>
      <c r="Q742" s="198"/>
      <c r="R742" s="198"/>
      <c r="S742" s="198"/>
      <c r="T742" s="198"/>
      <c r="U742" s="198"/>
      <c r="V742" s="198"/>
      <c r="W742" s="198"/>
      <c r="X742" s="198"/>
    </row>
    <row r="743">
      <c r="A743" s="198"/>
      <c r="B743" s="198"/>
      <c r="C743" s="198"/>
      <c r="D743" s="198"/>
      <c r="E743" s="198"/>
      <c r="F743" s="198"/>
      <c r="G743" s="198"/>
      <c r="H743" s="198"/>
      <c r="I743" s="268"/>
      <c r="J743" s="198"/>
      <c r="K743" s="198"/>
      <c r="L743" s="198"/>
      <c r="M743" s="198"/>
      <c r="N743" s="198"/>
      <c r="O743" s="198"/>
      <c r="P743" s="198"/>
      <c r="Q743" s="198"/>
      <c r="R743" s="198"/>
      <c r="S743" s="198"/>
      <c r="T743" s="198"/>
      <c r="U743" s="198"/>
      <c r="V743" s="198"/>
      <c r="W743" s="198"/>
      <c r="X743" s="198"/>
    </row>
    <row r="744">
      <c r="A744" s="198"/>
      <c r="B744" s="198"/>
      <c r="C744" s="198"/>
      <c r="D744" s="198"/>
      <c r="E744" s="198"/>
      <c r="F744" s="198"/>
      <c r="G744" s="198"/>
      <c r="H744" s="198"/>
      <c r="I744" s="268"/>
      <c r="J744" s="198"/>
      <c r="K744" s="198"/>
      <c r="L744" s="198"/>
      <c r="M744" s="198"/>
      <c r="N744" s="198"/>
      <c r="O744" s="198"/>
      <c r="P744" s="198"/>
      <c r="Q744" s="198"/>
      <c r="R744" s="198"/>
      <c r="S744" s="198"/>
      <c r="T744" s="198"/>
      <c r="U744" s="198"/>
      <c r="V744" s="198"/>
      <c r="W744" s="198"/>
      <c r="X744" s="198"/>
    </row>
    <row r="745">
      <c r="A745" s="198"/>
      <c r="B745" s="198"/>
      <c r="C745" s="198"/>
      <c r="D745" s="198"/>
      <c r="E745" s="198"/>
      <c r="F745" s="198"/>
      <c r="G745" s="198"/>
      <c r="H745" s="198"/>
      <c r="I745" s="268"/>
      <c r="J745" s="198"/>
      <c r="K745" s="198"/>
      <c r="L745" s="198"/>
      <c r="M745" s="198"/>
      <c r="N745" s="198"/>
      <c r="O745" s="198"/>
      <c r="P745" s="198"/>
      <c r="Q745" s="198"/>
      <c r="R745" s="198"/>
      <c r="S745" s="198"/>
      <c r="T745" s="198"/>
      <c r="U745" s="198"/>
      <c r="V745" s="198"/>
      <c r="W745" s="198"/>
      <c r="X745" s="198"/>
    </row>
    <row r="746">
      <c r="A746" s="198"/>
      <c r="B746" s="198"/>
      <c r="C746" s="198"/>
      <c r="D746" s="198"/>
      <c r="E746" s="198"/>
      <c r="F746" s="198"/>
      <c r="G746" s="198"/>
      <c r="H746" s="198"/>
      <c r="I746" s="268"/>
      <c r="J746" s="198"/>
      <c r="K746" s="198"/>
      <c r="L746" s="198"/>
      <c r="M746" s="198"/>
      <c r="N746" s="198"/>
      <c r="O746" s="198"/>
      <c r="P746" s="198"/>
      <c r="Q746" s="198"/>
      <c r="R746" s="198"/>
      <c r="S746" s="198"/>
      <c r="T746" s="198"/>
      <c r="U746" s="198"/>
      <c r="V746" s="198"/>
      <c r="W746" s="198"/>
      <c r="X746" s="198"/>
    </row>
    <row r="747">
      <c r="A747" s="198"/>
      <c r="B747" s="198"/>
      <c r="C747" s="198"/>
      <c r="D747" s="198"/>
      <c r="E747" s="198"/>
      <c r="F747" s="198"/>
      <c r="G747" s="198"/>
      <c r="H747" s="198"/>
      <c r="I747" s="268"/>
      <c r="J747" s="198"/>
      <c r="K747" s="198"/>
      <c r="L747" s="198"/>
      <c r="M747" s="198"/>
      <c r="N747" s="198"/>
      <c r="O747" s="198"/>
      <c r="P747" s="198"/>
      <c r="Q747" s="198"/>
      <c r="R747" s="198"/>
      <c r="S747" s="198"/>
      <c r="T747" s="198"/>
      <c r="U747" s="198"/>
      <c r="V747" s="198"/>
      <c r="W747" s="198"/>
      <c r="X747" s="198"/>
    </row>
    <row r="748">
      <c r="A748" s="198"/>
      <c r="B748" s="198"/>
      <c r="C748" s="198"/>
      <c r="D748" s="198"/>
      <c r="E748" s="198"/>
      <c r="F748" s="198"/>
      <c r="G748" s="198"/>
      <c r="H748" s="198"/>
      <c r="I748" s="268"/>
      <c r="J748" s="198"/>
      <c r="K748" s="198"/>
      <c r="L748" s="198"/>
      <c r="M748" s="198"/>
      <c r="N748" s="198"/>
      <c r="O748" s="198"/>
      <c r="P748" s="198"/>
      <c r="Q748" s="198"/>
      <c r="R748" s="198"/>
      <c r="S748" s="198"/>
      <c r="T748" s="198"/>
      <c r="U748" s="198"/>
      <c r="V748" s="198"/>
      <c r="W748" s="198"/>
      <c r="X748" s="198"/>
    </row>
    <row r="749">
      <c r="A749" s="198"/>
      <c r="B749" s="198"/>
      <c r="C749" s="198"/>
      <c r="D749" s="198"/>
      <c r="E749" s="198"/>
      <c r="F749" s="198"/>
      <c r="G749" s="198"/>
      <c r="H749" s="198"/>
      <c r="I749" s="268"/>
      <c r="J749" s="198"/>
      <c r="K749" s="198"/>
      <c r="L749" s="198"/>
      <c r="M749" s="198"/>
      <c r="N749" s="198"/>
      <c r="O749" s="198"/>
      <c r="P749" s="198"/>
      <c r="Q749" s="198"/>
      <c r="R749" s="198"/>
      <c r="S749" s="198"/>
      <c r="T749" s="198"/>
      <c r="U749" s="198"/>
      <c r="V749" s="198"/>
      <c r="W749" s="198"/>
      <c r="X749" s="198"/>
    </row>
    <row r="750">
      <c r="A750" s="198"/>
      <c r="B750" s="198"/>
      <c r="C750" s="198"/>
      <c r="D750" s="198"/>
      <c r="E750" s="198"/>
      <c r="F750" s="198"/>
      <c r="G750" s="198"/>
      <c r="H750" s="198"/>
      <c r="I750" s="268"/>
      <c r="J750" s="198"/>
      <c r="K750" s="198"/>
      <c r="L750" s="198"/>
      <c r="M750" s="198"/>
      <c r="N750" s="198"/>
      <c r="O750" s="198"/>
      <c r="P750" s="198"/>
      <c r="Q750" s="198"/>
      <c r="R750" s="198"/>
      <c r="S750" s="198"/>
      <c r="T750" s="198"/>
      <c r="U750" s="198"/>
      <c r="V750" s="198"/>
      <c r="W750" s="198"/>
      <c r="X750" s="198"/>
    </row>
    <row r="751">
      <c r="A751" s="198"/>
      <c r="B751" s="198"/>
      <c r="C751" s="198"/>
      <c r="D751" s="198"/>
      <c r="E751" s="198"/>
      <c r="F751" s="198"/>
      <c r="G751" s="198"/>
      <c r="H751" s="198"/>
      <c r="I751" s="268"/>
      <c r="J751" s="198"/>
      <c r="K751" s="198"/>
      <c r="L751" s="198"/>
      <c r="M751" s="198"/>
      <c r="N751" s="198"/>
      <c r="O751" s="198"/>
      <c r="P751" s="198"/>
      <c r="Q751" s="198"/>
      <c r="R751" s="198"/>
      <c r="S751" s="198"/>
      <c r="T751" s="198"/>
      <c r="U751" s="198"/>
      <c r="V751" s="198"/>
      <c r="W751" s="198"/>
      <c r="X751" s="198"/>
    </row>
    <row r="752">
      <c r="A752" s="198"/>
      <c r="B752" s="198"/>
      <c r="C752" s="198"/>
      <c r="D752" s="198"/>
      <c r="E752" s="198"/>
      <c r="F752" s="198"/>
      <c r="G752" s="198"/>
      <c r="H752" s="198"/>
      <c r="I752" s="268"/>
      <c r="J752" s="198"/>
      <c r="K752" s="198"/>
      <c r="L752" s="198"/>
      <c r="M752" s="198"/>
      <c r="N752" s="198"/>
      <c r="O752" s="198"/>
      <c r="P752" s="198"/>
      <c r="Q752" s="198"/>
      <c r="R752" s="198"/>
      <c r="S752" s="198"/>
      <c r="T752" s="198"/>
      <c r="U752" s="198"/>
      <c r="V752" s="198"/>
      <c r="W752" s="198"/>
      <c r="X752" s="198"/>
    </row>
    <row r="753">
      <c r="A753" s="198"/>
      <c r="B753" s="198"/>
      <c r="C753" s="198"/>
      <c r="D753" s="198"/>
      <c r="E753" s="198"/>
      <c r="F753" s="198"/>
      <c r="G753" s="198"/>
      <c r="H753" s="198"/>
      <c r="I753" s="268"/>
      <c r="J753" s="198"/>
      <c r="K753" s="198"/>
      <c r="L753" s="198"/>
      <c r="M753" s="198"/>
      <c r="N753" s="198"/>
      <c r="O753" s="198"/>
      <c r="P753" s="198"/>
      <c r="Q753" s="198"/>
      <c r="R753" s="198"/>
      <c r="S753" s="198"/>
      <c r="T753" s="198"/>
      <c r="U753" s="198"/>
      <c r="V753" s="198"/>
      <c r="W753" s="198"/>
      <c r="X753" s="198"/>
    </row>
    <row r="754">
      <c r="A754" s="198"/>
      <c r="B754" s="198"/>
      <c r="C754" s="198"/>
      <c r="D754" s="198"/>
      <c r="E754" s="198"/>
      <c r="F754" s="198"/>
      <c r="G754" s="198"/>
      <c r="H754" s="198"/>
      <c r="I754" s="268"/>
      <c r="J754" s="198"/>
      <c r="K754" s="198"/>
      <c r="L754" s="198"/>
      <c r="M754" s="198"/>
      <c r="N754" s="198"/>
      <c r="O754" s="198"/>
      <c r="P754" s="198"/>
      <c r="Q754" s="198"/>
      <c r="R754" s="198"/>
      <c r="S754" s="198"/>
      <c r="T754" s="198"/>
      <c r="U754" s="198"/>
      <c r="V754" s="198"/>
      <c r="W754" s="198"/>
      <c r="X754" s="198"/>
    </row>
    <row r="755">
      <c r="A755" s="198"/>
      <c r="B755" s="198"/>
      <c r="C755" s="198"/>
      <c r="D755" s="198"/>
      <c r="E755" s="198"/>
      <c r="F755" s="198"/>
      <c r="G755" s="198"/>
      <c r="H755" s="198"/>
      <c r="I755" s="268"/>
      <c r="J755" s="198"/>
      <c r="K755" s="198"/>
      <c r="L755" s="198"/>
      <c r="M755" s="198"/>
      <c r="N755" s="198"/>
      <c r="O755" s="198"/>
      <c r="P755" s="198"/>
      <c r="Q755" s="198"/>
      <c r="R755" s="198"/>
      <c r="S755" s="198"/>
      <c r="T755" s="198"/>
      <c r="U755" s="198"/>
      <c r="V755" s="198"/>
      <c r="W755" s="198"/>
      <c r="X755" s="198"/>
    </row>
    <row r="756">
      <c r="A756" s="198"/>
      <c r="B756" s="198"/>
      <c r="C756" s="198"/>
      <c r="D756" s="198"/>
      <c r="E756" s="198"/>
      <c r="F756" s="198"/>
      <c r="G756" s="198"/>
      <c r="H756" s="198"/>
      <c r="I756" s="268"/>
      <c r="J756" s="198"/>
      <c r="K756" s="198"/>
      <c r="L756" s="198"/>
      <c r="M756" s="198"/>
      <c r="N756" s="198"/>
      <c r="O756" s="198"/>
      <c r="P756" s="198"/>
      <c r="Q756" s="198"/>
      <c r="R756" s="198"/>
      <c r="S756" s="198"/>
      <c r="T756" s="198"/>
      <c r="U756" s="198"/>
      <c r="V756" s="198"/>
      <c r="W756" s="198"/>
      <c r="X756" s="198"/>
    </row>
    <row r="757">
      <c r="A757" s="198"/>
      <c r="B757" s="198"/>
      <c r="C757" s="198"/>
      <c r="D757" s="198"/>
      <c r="E757" s="198"/>
      <c r="F757" s="198"/>
      <c r="G757" s="198"/>
      <c r="H757" s="198"/>
      <c r="I757" s="268"/>
      <c r="J757" s="198"/>
      <c r="K757" s="198"/>
      <c r="L757" s="198"/>
      <c r="M757" s="198"/>
      <c r="N757" s="198"/>
      <c r="O757" s="198"/>
      <c r="P757" s="198"/>
      <c r="Q757" s="198"/>
      <c r="R757" s="198"/>
      <c r="S757" s="198"/>
      <c r="T757" s="198"/>
      <c r="U757" s="198"/>
      <c r="V757" s="198"/>
      <c r="W757" s="198"/>
      <c r="X757" s="198"/>
    </row>
    <row r="758">
      <c r="A758" s="198"/>
      <c r="B758" s="198"/>
      <c r="C758" s="198"/>
      <c r="D758" s="198"/>
      <c r="E758" s="198"/>
      <c r="F758" s="198"/>
      <c r="G758" s="198"/>
      <c r="H758" s="198"/>
      <c r="I758" s="268"/>
      <c r="J758" s="198"/>
      <c r="K758" s="198"/>
      <c r="L758" s="198"/>
      <c r="M758" s="198"/>
      <c r="N758" s="198"/>
      <c r="O758" s="198"/>
      <c r="P758" s="198"/>
      <c r="Q758" s="198"/>
      <c r="R758" s="198"/>
      <c r="S758" s="198"/>
      <c r="T758" s="198"/>
      <c r="U758" s="198"/>
      <c r="V758" s="198"/>
      <c r="W758" s="198"/>
      <c r="X758" s="198"/>
    </row>
    <row r="759">
      <c r="A759" s="198"/>
      <c r="B759" s="198"/>
      <c r="C759" s="198"/>
      <c r="D759" s="198"/>
      <c r="E759" s="198"/>
      <c r="F759" s="198"/>
      <c r="G759" s="198"/>
      <c r="H759" s="198"/>
      <c r="I759" s="268"/>
      <c r="J759" s="198"/>
      <c r="K759" s="198"/>
      <c r="L759" s="198"/>
      <c r="M759" s="198"/>
      <c r="N759" s="198"/>
      <c r="O759" s="198"/>
      <c r="P759" s="198"/>
      <c r="Q759" s="198"/>
      <c r="R759" s="198"/>
      <c r="S759" s="198"/>
      <c r="T759" s="198"/>
      <c r="U759" s="198"/>
      <c r="V759" s="198"/>
      <c r="W759" s="198"/>
      <c r="X759" s="198"/>
    </row>
    <row r="760">
      <c r="A760" s="198"/>
      <c r="B760" s="198"/>
      <c r="C760" s="198"/>
      <c r="D760" s="198"/>
      <c r="E760" s="198"/>
      <c r="F760" s="198"/>
      <c r="G760" s="198"/>
      <c r="H760" s="198"/>
      <c r="I760" s="268"/>
      <c r="J760" s="198"/>
      <c r="K760" s="198"/>
      <c r="L760" s="198"/>
      <c r="M760" s="198"/>
      <c r="N760" s="198"/>
      <c r="O760" s="198"/>
      <c r="P760" s="198"/>
      <c r="Q760" s="198"/>
      <c r="R760" s="198"/>
      <c r="S760" s="198"/>
      <c r="T760" s="198"/>
      <c r="U760" s="198"/>
      <c r="V760" s="198"/>
      <c r="W760" s="198"/>
      <c r="X760" s="198"/>
    </row>
    <row r="761">
      <c r="A761" s="198"/>
      <c r="B761" s="198"/>
      <c r="C761" s="198"/>
      <c r="D761" s="198"/>
      <c r="E761" s="198"/>
      <c r="F761" s="198"/>
      <c r="G761" s="198"/>
      <c r="H761" s="198"/>
      <c r="I761" s="268"/>
      <c r="J761" s="198"/>
      <c r="K761" s="198"/>
      <c r="L761" s="198"/>
      <c r="M761" s="198"/>
      <c r="N761" s="198"/>
      <c r="O761" s="198"/>
      <c r="P761" s="198"/>
      <c r="Q761" s="198"/>
      <c r="R761" s="198"/>
      <c r="S761" s="198"/>
      <c r="T761" s="198"/>
      <c r="U761" s="198"/>
      <c r="V761" s="198"/>
      <c r="W761" s="198"/>
      <c r="X761" s="198"/>
    </row>
    <row r="762">
      <c r="A762" s="198"/>
      <c r="B762" s="198"/>
      <c r="C762" s="198"/>
      <c r="D762" s="198"/>
      <c r="E762" s="198"/>
      <c r="F762" s="198"/>
      <c r="G762" s="198"/>
      <c r="H762" s="198"/>
      <c r="I762" s="268"/>
      <c r="J762" s="198"/>
      <c r="K762" s="198"/>
      <c r="L762" s="198"/>
      <c r="M762" s="198"/>
      <c r="N762" s="198"/>
      <c r="O762" s="198"/>
      <c r="P762" s="198"/>
      <c r="Q762" s="198"/>
      <c r="R762" s="198"/>
      <c r="S762" s="198"/>
      <c r="T762" s="198"/>
      <c r="U762" s="198"/>
      <c r="V762" s="198"/>
      <c r="W762" s="198"/>
      <c r="X762" s="198"/>
    </row>
    <row r="763">
      <c r="A763" s="198"/>
      <c r="B763" s="198"/>
      <c r="C763" s="198"/>
      <c r="D763" s="198"/>
      <c r="E763" s="198"/>
      <c r="F763" s="198"/>
      <c r="G763" s="198"/>
      <c r="H763" s="198"/>
      <c r="I763" s="268"/>
      <c r="J763" s="198"/>
      <c r="K763" s="198"/>
      <c r="L763" s="198"/>
      <c r="M763" s="198"/>
      <c r="N763" s="198"/>
      <c r="O763" s="198"/>
      <c r="P763" s="198"/>
      <c r="Q763" s="198"/>
      <c r="R763" s="198"/>
      <c r="S763" s="198"/>
      <c r="T763" s="198"/>
      <c r="U763" s="198"/>
      <c r="V763" s="198"/>
      <c r="W763" s="198"/>
      <c r="X763" s="198"/>
    </row>
    <row r="764">
      <c r="A764" s="198"/>
      <c r="B764" s="198"/>
      <c r="C764" s="198"/>
      <c r="D764" s="198"/>
      <c r="E764" s="198"/>
      <c r="F764" s="198"/>
      <c r="G764" s="198"/>
      <c r="H764" s="198"/>
      <c r="I764" s="268"/>
      <c r="J764" s="198"/>
      <c r="K764" s="198"/>
      <c r="L764" s="198"/>
      <c r="M764" s="198"/>
      <c r="N764" s="198"/>
      <c r="O764" s="198"/>
      <c r="P764" s="198"/>
      <c r="Q764" s="198"/>
      <c r="R764" s="198"/>
      <c r="S764" s="198"/>
      <c r="T764" s="198"/>
      <c r="U764" s="198"/>
      <c r="V764" s="198"/>
      <c r="W764" s="198"/>
      <c r="X764" s="198"/>
    </row>
    <row r="765">
      <c r="A765" s="198"/>
      <c r="B765" s="198"/>
      <c r="C765" s="198"/>
      <c r="D765" s="198"/>
      <c r="E765" s="198"/>
      <c r="F765" s="198"/>
      <c r="G765" s="198"/>
      <c r="H765" s="198"/>
      <c r="I765" s="268"/>
      <c r="J765" s="198"/>
      <c r="K765" s="198"/>
      <c r="L765" s="198"/>
      <c r="M765" s="198"/>
      <c r="N765" s="198"/>
      <c r="O765" s="198"/>
      <c r="P765" s="198"/>
      <c r="Q765" s="198"/>
      <c r="R765" s="198"/>
      <c r="S765" s="198"/>
      <c r="T765" s="198"/>
      <c r="U765" s="198"/>
      <c r="V765" s="198"/>
      <c r="W765" s="198"/>
      <c r="X765" s="198"/>
    </row>
    <row r="766">
      <c r="A766" s="198"/>
      <c r="B766" s="198"/>
      <c r="C766" s="198"/>
      <c r="D766" s="198"/>
      <c r="E766" s="198"/>
      <c r="F766" s="198"/>
      <c r="G766" s="198"/>
      <c r="H766" s="198"/>
      <c r="I766" s="268"/>
      <c r="J766" s="198"/>
      <c r="K766" s="198"/>
      <c r="L766" s="198"/>
      <c r="M766" s="198"/>
      <c r="N766" s="198"/>
      <c r="O766" s="198"/>
      <c r="P766" s="198"/>
      <c r="Q766" s="198"/>
      <c r="R766" s="198"/>
      <c r="S766" s="198"/>
      <c r="T766" s="198"/>
      <c r="U766" s="198"/>
      <c r="V766" s="198"/>
      <c r="W766" s="198"/>
      <c r="X766" s="198"/>
    </row>
    <row r="767">
      <c r="A767" s="198"/>
      <c r="B767" s="198"/>
      <c r="C767" s="198"/>
      <c r="D767" s="198"/>
      <c r="E767" s="198"/>
      <c r="F767" s="198"/>
      <c r="G767" s="198"/>
      <c r="H767" s="198"/>
      <c r="I767" s="268"/>
      <c r="J767" s="198"/>
      <c r="K767" s="198"/>
      <c r="L767" s="198"/>
      <c r="M767" s="198"/>
      <c r="N767" s="198"/>
      <c r="O767" s="198"/>
      <c r="P767" s="198"/>
      <c r="Q767" s="198"/>
      <c r="R767" s="198"/>
      <c r="S767" s="198"/>
      <c r="T767" s="198"/>
      <c r="U767" s="198"/>
      <c r="V767" s="198"/>
      <c r="W767" s="198"/>
      <c r="X767" s="198"/>
    </row>
    <row r="768">
      <c r="A768" s="198"/>
      <c r="B768" s="198"/>
      <c r="C768" s="198"/>
      <c r="D768" s="198"/>
      <c r="E768" s="198"/>
      <c r="F768" s="198"/>
      <c r="G768" s="198"/>
      <c r="H768" s="198"/>
      <c r="I768" s="268"/>
      <c r="J768" s="198"/>
      <c r="K768" s="198"/>
      <c r="L768" s="198"/>
      <c r="M768" s="198"/>
      <c r="N768" s="198"/>
      <c r="O768" s="198"/>
      <c r="P768" s="198"/>
      <c r="Q768" s="198"/>
      <c r="R768" s="198"/>
      <c r="S768" s="198"/>
      <c r="T768" s="198"/>
      <c r="U768" s="198"/>
      <c r="V768" s="198"/>
      <c r="W768" s="198"/>
      <c r="X768" s="198"/>
    </row>
    <row r="769">
      <c r="A769" s="198"/>
      <c r="B769" s="198"/>
      <c r="C769" s="198"/>
      <c r="D769" s="198"/>
      <c r="E769" s="198"/>
      <c r="F769" s="198"/>
      <c r="G769" s="198"/>
      <c r="H769" s="198"/>
      <c r="I769" s="268"/>
      <c r="J769" s="198"/>
      <c r="K769" s="198"/>
      <c r="L769" s="198"/>
      <c r="M769" s="198"/>
      <c r="N769" s="198"/>
      <c r="O769" s="198"/>
      <c r="P769" s="198"/>
      <c r="Q769" s="198"/>
      <c r="R769" s="198"/>
      <c r="S769" s="198"/>
      <c r="T769" s="198"/>
      <c r="U769" s="198"/>
      <c r="V769" s="198"/>
      <c r="W769" s="198"/>
      <c r="X769" s="198"/>
    </row>
    <row r="770">
      <c r="A770" s="198"/>
      <c r="B770" s="198"/>
      <c r="C770" s="198"/>
      <c r="D770" s="198"/>
      <c r="E770" s="198"/>
      <c r="F770" s="198"/>
      <c r="G770" s="198"/>
      <c r="H770" s="198"/>
      <c r="I770" s="268"/>
      <c r="J770" s="198"/>
      <c r="K770" s="198"/>
      <c r="L770" s="198"/>
      <c r="M770" s="198"/>
      <c r="N770" s="198"/>
      <c r="O770" s="198"/>
      <c r="P770" s="198"/>
      <c r="Q770" s="198"/>
      <c r="R770" s="198"/>
      <c r="S770" s="198"/>
      <c r="T770" s="198"/>
      <c r="U770" s="198"/>
      <c r="V770" s="198"/>
      <c r="W770" s="198"/>
      <c r="X770" s="198"/>
    </row>
    <row r="771">
      <c r="A771" s="198"/>
      <c r="B771" s="198"/>
      <c r="C771" s="198"/>
      <c r="D771" s="198"/>
      <c r="E771" s="198"/>
      <c r="F771" s="198"/>
      <c r="G771" s="198"/>
      <c r="H771" s="198"/>
      <c r="I771" s="268"/>
      <c r="J771" s="198"/>
      <c r="K771" s="198"/>
      <c r="L771" s="198"/>
      <c r="M771" s="198"/>
      <c r="N771" s="198"/>
      <c r="O771" s="198"/>
      <c r="P771" s="198"/>
      <c r="Q771" s="198"/>
      <c r="R771" s="198"/>
      <c r="S771" s="198"/>
      <c r="T771" s="198"/>
      <c r="U771" s="198"/>
      <c r="V771" s="198"/>
      <c r="W771" s="198"/>
      <c r="X771" s="198"/>
    </row>
    <row r="772">
      <c r="A772" s="198"/>
      <c r="B772" s="198"/>
      <c r="C772" s="198"/>
      <c r="D772" s="198"/>
      <c r="E772" s="198"/>
      <c r="F772" s="198"/>
      <c r="G772" s="198"/>
      <c r="H772" s="198"/>
      <c r="I772" s="268"/>
      <c r="J772" s="198"/>
      <c r="K772" s="198"/>
      <c r="L772" s="198"/>
      <c r="M772" s="198"/>
      <c r="N772" s="198"/>
      <c r="O772" s="198"/>
      <c r="P772" s="198"/>
      <c r="Q772" s="198"/>
      <c r="R772" s="198"/>
      <c r="S772" s="198"/>
      <c r="T772" s="198"/>
      <c r="U772" s="198"/>
      <c r="V772" s="198"/>
      <c r="W772" s="198"/>
      <c r="X772" s="198"/>
    </row>
    <row r="773">
      <c r="A773" s="198"/>
      <c r="B773" s="198"/>
      <c r="C773" s="198"/>
      <c r="D773" s="198"/>
      <c r="E773" s="198"/>
      <c r="F773" s="198"/>
      <c r="G773" s="198"/>
      <c r="H773" s="198"/>
      <c r="I773" s="268"/>
      <c r="J773" s="198"/>
      <c r="K773" s="198"/>
      <c r="L773" s="198"/>
      <c r="M773" s="198"/>
      <c r="N773" s="198"/>
      <c r="O773" s="198"/>
      <c r="P773" s="198"/>
      <c r="Q773" s="198"/>
      <c r="R773" s="198"/>
      <c r="S773" s="198"/>
      <c r="T773" s="198"/>
      <c r="U773" s="198"/>
      <c r="V773" s="198"/>
      <c r="W773" s="198"/>
      <c r="X773" s="198"/>
    </row>
    <row r="774">
      <c r="A774" s="198"/>
      <c r="B774" s="198"/>
      <c r="C774" s="198"/>
      <c r="D774" s="198"/>
      <c r="E774" s="198"/>
      <c r="F774" s="198"/>
      <c r="G774" s="198"/>
      <c r="H774" s="198"/>
      <c r="I774" s="268"/>
      <c r="J774" s="198"/>
      <c r="K774" s="198"/>
      <c r="L774" s="198"/>
      <c r="M774" s="198"/>
      <c r="N774" s="198"/>
      <c r="O774" s="198"/>
      <c r="P774" s="198"/>
      <c r="Q774" s="198"/>
      <c r="R774" s="198"/>
      <c r="S774" s="198"/>
      <c r="T774" s="198"/>
      <c r="U774" s="198"/>
      <c r="V774" s="198"/>
      <c r="W774" s="198"/>
      <c r="X774" s="198"/>
    </row>
    <row r="775">
      <c r="A775" s="198"/>
      <c r="B775" s="198"/>
      <c r="C775" s="198"/>
      <c r="D775" s="198"/>
      <c r="E775" s="198"/>
      <c r="F775" s="198"/>
      <c r="G775" s="198"/>
      <c r="H775" s="198"/>
      <c r="I775" s="268"/>
      <c r="J775" s="198"/>
      <c r="K775" s="198"/>
      <c r="L775" s="198"/>
      <c r="M775" s="198"/>
      <c r="N775" s="198"/>
      <c r="O775" s="198"/>
      <c r="P775" s="198"/>
      <c r="Q775" s="198"/>
      <c r="R775" s="198"/>
      <c r="S775" s="198"/>
      <c r="T775" s="198"/>
      <c r="U775" s="198"/>
      <c r="V775" s="198"/>
      <c r="W775" s="198"/>
      <c r="X775" s="198"/>
    </row>
    <row r="776">
      <c r="A776" s="198"/>
      <c r="B776" s="198"/>
      <c r="C776" s="198"/>
      <c r="D776" s="198"/>
      <c r="E776" s="198"/>
      <c r="F776" s="198"/>
      <c r="G776" s="198"/>
      <c r="H776" s="198"/>
      <c r="I776" s="268"/>
      <c r="J776" s="198"/>
      <c r="K776" s="198"/>
      <c r="L776" s="198"/>
      <c r="M776" s="198"/>
      <c r="N776" s="198"/>
      <c r="O776" s="198"/>
      <c r="P776" s="198"/>
      <c r="Q776" s="198"/>
      <c r="R776" s="198"/>
      <c r="S776" s="198"/>
      <c r="T776" s="198"/>
      <c r="U776" s="198"/>
      <c r="V776" s="198"/>
      <c r="W776" s="198"/>
      <c r="X776" s="198"/>
    </row>
    <row r="777">
      <c r="A777" s="198"/>
      <c r="B777" s="198"/>
      <c r="C777" s="198"/>
      <c r="D777" s="198"/>
      <c r="E777" s="198"/>
      <c r="F777" s="198"/>
      <c r="G777" s="198"/>
      <c r="H777" s="198"/>
      <c r="I777" s="268"/>
      <c r="J777" s="198"/>
      <c r="K777" s="198"/>
      <c r="L777" s="198"/>
      <c r="M777" s="198"/>
      <c r="N777" s="198"/>
      <c r="O777" s="198"/>
      <c r="P777" s="198"/>
      <c r="Q777" s="198"/>
      <c r="R777" s="198"/>
      <c r="S777" s="198"/>
      <c r="T777" s="198"/>
      <c r="U777" s="198"/>
      <c r="V777" s="198"/>
      <c r="W777" s="198"/>
      <c r="X777" s="198"/>
    </row>
    <row r="778">
      <c r="A778" s="198"/>
      <c r="B778" s="198"/>
      <c r="C778" s="198"/>
      <c r="D778" s="198"/>
      <c r="E778" s="198"/>
      <c r="F778" s="198"/>
      <c r="G778" s="198"/>
      <c r="H778" s="198"/>
      <c r="I778" s="268"/>
      <c r="J778" s="198"/>
      <c r="K778" s="198"/>
      <c r="L778" s="198"/>
      <c r="M778" s="198"/>
      <c r="N778" s="198"/>
      <c r="O778" s="198"/>
      <c r="P778" s="198"/>
      <c r="Q778" s="198"/>
      <c r="R778" s="198"/>
      <c r="S778" s="198"/>
      <c r="T778" s="198"/>
      <c r="U778" s="198"/>
      <c r="V778" s="198"/>
      <c r="W778" s="198"/>
      <c r="X778" s="198"/>
    </row>
    <row r="779">
      <c r="A779" s="198"/>
      <c r="B779" s="198"/>
      <c r="C779" s="198"/>
      <c r="D779" s="198"/>
      <c r="E779" s="198"/>
      <c r="F779" s="198"/>
      <c r="G779" s="198"/>
      <c r="H779" s="198"/>
      <c r="I779" s="268"/>
      <c r="J779" s="198"/>
      <c r="K779" s="198"/>
      <c r="L779" s="198"/>
      <c r="M779" s="198"/>
      <c r="N779" s="198"/>
      <c r="O779" s="198"/>
      <c r="P779" s="198"/>
      <c r="Q779" s="198"/>
      <c r="R779" s="198"/>
      <c r="S779" s="198"/>
      <c r="T779" s="198"/>
      <c r="U779" s="198"/>
      <c r="V779" s="198"/>
      <c r="W779" s="198"/>
      <c r="X779" s="198"/>
    </row>
    <row r="780">
      <c r="A780" s="198"/>
      <c r="B780" s="198"/>
      <c r="C780" s="198"/>
      <c r="D780" s="198"/>
      <c r="E780" s="198"/>
      <c r="F780" s="198"/>
      <c r="G780" s="198"/>
      <c r="H780" s="198"/>
      <c r="I780" s="268"/>
      <c r="J780" s="198"/>
      <c r="K780" s="198"/>
      <c r="L780" s="198"/>
      <c r="M780" s="198"/>
      <c r="N780" s="198"/>
      <c r="O780" s="198"/>
      <c r="P780" s="198"/>
      <c r="Q780" s="198"/>
      <c r="R780" s="198"/>
      <c r="S780" s="198"/>
      <c r="T780" s="198"/>
      <c r="U780" s="198"/>
      <c r="V780" s="198"/>
      <c r="W780" s="198"/>
      <c r="X780" s="198"/>
    </row>
    <row r="781">
      <c r="A781" s="198"/>
      <c r="B781" s="198"/>
      <c r="C781" s="198"/>
      <c r="D781" s="198"/>
      <c r="E781" s="198"/>
      <c r="F781" s="198"/>
      <c r="G781" s="198"/>
      <c r="H781" s="198"/>
      <c r="I781" s="268"/>
      <c r="J781" s="198"/>
      <c r="K781" s="198"/>
      <c r="L781" s="198"/>
      <c r="M781" s="198"/>
      <c r="N781" s="198"/>
      <c r="O781" s="198"/>
      <c r="P781" s="198"/>
      <c r="Q781" s="198"/>
      <c r="R781" s="198"/>
      <c r="S781" s="198"/>
      <c r="T781" s="198"/>
      <c r="U781" s="198"/>
      <c r="V781" s="198"/>
      <c r="W781" s="198"/>
      <c r="X781" s="198"/>
    </row>
    <row r="782">
      <c r="A782" s="198"/>
      <c r="B782" s="198"/>
      <c r="C782" s="198"/>
      <c r="D782" s="198"/>
      <c r="E782" s="198"/>
      <c r="F782" s="198"/>
      <c r="G782" s="198"/>
      <c r="H782" s="198"/>
      <c r="I782" s="268"/>
      <c r="J782" s="198"/>
      <c r="K782" s="198"/>
      <c r="L782" s="198"/>
      <c r="M782" s="198"/>
      <c r="N782" s="198"/>
      <c r="O782" s="198"/>
      <c r="P782" s="198"/>
      <c r="Q782" s="198"/>
      <c r="R782" s="198"/>
      <c r="S782" s="198"/>
      <c r="T782" s="198"/>
      <c r="U782" s="198"/>
      <c r="V782" s="198"/>
      <c r="W782" s="198"/>
      <c r="X782" s="198"/>
    </row>
    <row r="783">
      <c r="A783" s="198"/>
      <c r="B783" s="198"/>
      <c r="C783" s="198"/>
      <c r="D783" s="198"/>
      <c r="E783" s="198"/>
      <c r="F783" s="198"/>
      <c r="G783" s="198"/>
      <c r="H783" s="198"/>
      <c r="I783" s="268"/>
      <c r="J783" s="198"/>
      <c r="K783" s="198"/>
      <c r="L783" s="198"/>
      <c r="M783" s="198"/>
      <c r="N783" s="198"/>
      <c r="O783" s="198"/>
      <c r="P783" s="198"/>
      <c r="Q783" s="198"/>
      <c r="R783" s="198"/>
      <c r="S783" s="198"/>
      <c r="T783" s="198"/>
      <c r="U783" s="198"/>
      <c r="V783" s="198"/>
      <c r="W783" s="198"/>
      <c r="X783" s="198"/>
    </row>
    <row r="784">
      <c r="A784" s="198"/>
      <c r="B784" s="198"/>
      <c r="C784" s="198"/>
      <c r="D784" s="198"/>
      <c r="E784" s="198"/>
      <c r="F784" s="198"/>
      <c r="G784" s="198"/>
      <c r="H784" s="198"/>
      <c r="I784" s="268"/>
      <c r="J784" s="198"/>
      <c r="K784" s="198"/>
      <c r="L784" s="198"/>
      <c r="M784" s="198"/>
      <c r="N784" s="198"/>
      <c r="O784" s="198"/>
      <c r="P784" s="198"/>
      <c r="Q784" s="198"/>
      <c r="R784" s="198"/>
      <c r="S784" s="198"/>
      <c r="T784" s="198"/>
      <c r="U784" s="198"/>
      <c r="V784" s="198"/>
      <c r="W784" s="198"/>
      <c r="X784" s="198"/>
    </row>
    <row r="785">
      <c r="A785" s="198"/>
      <c r="B785" s="198"/>
      <c r="C785" s="198"/>
      <c r="D785" s="198"/>
      <c r="E785" s="198"/>
      <c r="F785" s="198"/>
      <c r="G785" s="198"/>
      <c r="H785" s="198"/>
      <c r="I785" s="268"/>
      <c r="J785" s="198"/>
      <c r="K785" s="198"/>
      <c r="L785" s="198"/>
      <c r="M785" s="198"/>
      <c r="N785" s="198"/>
      <c r="O785" s="198"/>
      <c r="P785" s="198"/>
      <c r="Q785" s="198"/>
      <c r="R785" s="198"/>
      <c r="S785" s="198"/>
      <c r="T785" s="198"/>
      <c r="U785" s="198"/>
      <c r="V785" s="198"/>
      <c r="W785" s="198"/>
      <c r="X785" s="198"/>
    </row>
    <row r="786">
      <c r="A786" s="198"/>
      <c r="B786" s="198"/>
      <c r="C786" s="198"/>
      <c r="D786" s="198"/>
      <c r="E786" s="198"/>
      <c r="F786" s="198"/>
      <c r="G786" s="198"/>
      <c r="H786" s="198"/>
      <c r="I786" s="268"/>
      <c r="J786" s="198"/>
      <c r="K786" s="198"/>
      <c r="L786" s="198"/>
      <c r="M786" s="198"/>
      <c r="N786" s="198"/>
      <c r="O786" s="198"/>
      <c r="P786" s="198"/>
      <c r="Q786" s="198"/>
      <c r="R786" s="198"/>
      <c r="S786" s="198"/>
      <c r="T786" s="198"/>
      <c r="U786" s="198"/>
      <c r="V786" s="198"/>
      <c r="W786" s="198"/>
      <c r="X786" s="198"/>
    </row>
    <row r="787">
      <c r="A787" s="198"/>
      <c r="B787" s="198"/>
      <c r="C787" s="198"/>
      <c r="D787" s="198"/>
      <c r="E787" s="198"/>
      <c r="F787" s="198"/>
      <c r="G787" s="198"/>
      <c r="H787" s="198"/>
      <c r="I787" s="268"/>
      <c r="J787" s="198"/>
      <c r="K787" s="198"/>
      <c r="L787" s="198"/>
      <c r="M787" s="198"/>
      <c r="N787" s="198"/>
      <c r="O787" s="198"/>
      <c r="P787" s="198"/>
      <c r="Q787" s="198"/>
      <c r="R787" s="198"/>
      <c r="S787" s="198"/>
      <c r="T787" s="198"/>
      <c r="U787" s="198"/>
      <c r="V787" s="198"/>
      <c r="W787" s="198"/>
      <c r="X787" s="198"/>
    </row>
    <row r="788">
      <c r="A788" s="198"/>
      <c r="B788" s="198"/>
      <c r="C788" s="198"/>
      <c r="D788" s="198"/>
      <c r="E788" s="198"/>
      <c r="F788" s="198"/>
      <c r="G788" s="198"/>
      <c r="H788" s="198"/>
      <c r="I788" s="268"/>
      <c r="J788" s="198"/>
      <c r="K788" s="198"/>
      <c r="L788" s="198"/>
      <c r="M788" s="198"/>
      <c r="N788" s="198"/>
      <c r="O788" s="198"/>
      <c r="P788" s="198"/>
      <c r="Q788" s="198"/>
      <c r="R788" s="198"/>
      <c r="S788" s="198"/>
      <c r="T788" s="198"/>
      <c r="U788" s="198"/>
      <c r="V788" s="198"/>
      <c r="W788" s="198"/>
      <c r="X788" s="198"/>
    </row>
    <row r="789">
      <c r="A789" s="198"/>
      <c r="B789" s="198"/>
      <c r="C789" s="198"/>
      <c r="D789" s="198"/>
      <c r="E789" s="198"/>
      <c r="F789" s="198"/>
      <c r="G789" s="198"/>
      <c r="H789" s="198"/>
      <c r="I789" s="268"/>
      <c r="J789" s="198"/>
      <c r="K789" s="198"/>
      <c r="L789" s="198"/>
      <c r="M789" s="198"/>
      <c r="N789" s="198"/>
      <c r="O789" s="198"/>
      <c r="P789" s="198"/>
      <c r="Q789" s="198"/>
      <c r="R789" s="198"/>
      <c r="S789" s="198"/>
      <c r="T789" s="198"/>
      <c r="U789" s="198"/>
      <c r="V789" s="198"/>
      <c r="W789" s="198"/>
      <c r="X789" s="198"/>
    </row>
    <row r="790">
      <c r="A790" s="198"/>
      <c r="B790" s="198"/>
      <c r="C790" s="198"/>
      <c r="D790" s="198"/>
      <c r="E790" s="198"/>
      <c r="F790" s="198"/>
      <c r="G790" s="198"/>
      <c r="H790" s="198"/>
      <c r="I790" s="268"/>
      <c r="J790" s="198"/>
      <c r="K790" s="198"/>
      <c r="L790" s="198"/>
      <c r="M790" s="198"/>
      <c r="N790" s="198"/>
      <c r="O790" s="198"/>
      <c r="P790" s="198"/>
      <c r="Q790" s="198"/>
      <c r="R790" s="198"/>
      <c r="S790" s="198"/>
      <c r="T790" s="198"/>
      <c r="U790" s="198"/>
      <c r="V790" s="198"/>
      <c r="W790" s="198"/>
      <c r="X790" s="198"/>
    </row>
    <row r="791">
      <c r="A791" s="198"/>
      <c r="B791" s="198"/>
      <c r="C791" s="198"/>
      <c r="D791" s="198"/>
      <c r="E791" s="198"/>
      <c r="F791" s="198"/>
      <c r="G791" s="198"/>
      <c r="H791" s="198"/>
      <c r="I791" s="268"/>
      <c r="J791" s="198"/>
      <c r="K791" s="198"/>
      <c r="L791" s="198"/>
      <c r="M791" s="198"/>
      <c r="N791" s="198"/>
      <c r="O791" s="198"/>
      <c r="P791" s="198"/>
      <c r="Q791" s="198"/>
      <c r="R791" s="198"/>
      <c r="S791" s="198"/>
      <c r="T791" s="198"/>
      <c r="U791" s="198"/>
      <c r="V791" s="198"/>
      <c r="W791" s="198"/>
      <c r="X791" s="198"/>
    </row>
    <row r="792">
      <c r="A792" s="198"/>
      <c r="B792" s="198"/>
      <c r="C792" s="198"/>
      <c r="D792" s="198"/>
      <c r="E792" s="198"/>
      <c r="F792" s="198"/>
      <c r="G792" s="198"/>
      <c r="H792" s="198"/>
      <c r="I792" s="268"/>
      <c r="J792" s="198"/>
      <c r="K792" s="198"/>
      <c r="L792" s="198"/>
      <c r="M792" s="198"/>
      <c r="N792" s="198"/>
      <c r="O792" s="198"/>
      <c r="P792" s="198"/>
      <c r="Q792" s="198"/>
      <c r="R792" s="198"/>
      <c r="S792" s="198"/>
      <c r="T792" s="198"/>
      <c r="U792" s="198"/>
      <c r="V792" s="198"/>
      <c r="W792" s="198"/>
      <c r="X792" s="198"/>
    </row>
    <row r="793">
      <c r="A793" s="198"/>
      <c r="B793" s="198"/>
      <c r="C793" s="198"/>
      <c r="D793" s="198"/>
      <c r="E793" s="198"/>
      <c r="F793" s="198"/>
      <c r="G793" s="198"/>
      <c r="H793" s="198"/>
      <c r="I793" s="268"/>
      <c r="J793" s="198"/>
      <c r="K793" s="198"/>
      <c r="L793" s="198"/>
      <c r="M793" s="198"/>
      <c r="N793" s="198"/>
      <c r="O793" s="198"/>
      <c r="P793" s="198"/>
      <c r="Q793" s="198"/>
      <c r="R793" s="198"/>
      <c r="S793" s="198"/>
      <c r="T793" s="198"/>
      <c r="U793" s="198"/>
      <c r="V793" s="198"/>
      <c r="W793" s="198"/>
      <c r="X793" s="198"/>
    </row>
    <row r="794">
      <c r="A794" s="198"/>
      <c r="B794" s="198"/>
      <c r="C794" s="198"/>
      <c r="D794" s="198"/>
      <c r="E794" s="198"/>
      <c r="F794" s="198"/>
      <c r="G794" s="198"/>
      <c r="H794" s="198"/>
      <c r="I794" s="268"/>
      <c r="J794" s="198"/>
      <c r="K794" s="198"/>
      <c r="L794" s="198"/>
      <c r="M794" s="198"/>
      <c r="N794" s="198"/>
      <c r="O794" s="198"/>
      <c r="P794" s="198"/>
      <c r="Q794" s="198"/>
      <c r="R794" s="198"/>
      <c r="S794" s="198"/>
      <c r="T794" s="198"/>
      <c r="U794" s="198"/>
      <c r="V794" s="198"/>
      <c r="W794" s="198"/>
      <c r="X794" s="198"/>
    </row>
    <row r="795">
      <c r="A795" s="198"/>
      <c r="B795" s="198"/>
      <c r="C795" s="198"/>
      <c r="D795" s="198"/>
      <c r="E795" s="198"/>
      <c r="F795" s="198"/>
      <c r="G795" s="198"/>
      <c r="H795" s="198"/>
      <c r="I795" s="268"/>
      <c r="J795" s="198"/>
      <c r="K795" s="198"/>
      <c r="L795" s="198"/>
      <c r="M795" s="198"/>
      <c r="N795" s="198"/>
      <c r="O795" s="198"/>
      <c r="P795" s="198"/>
      <c r="Q795" s="198"/>
      <c r="R795" s="198"/>
      <c r="S795" s="198"/>
      <c r="T795" s="198"/>
      <c r="U795" s="198"/>
      <c r="V795" s="198"/>
      <c r="W795" s="198"/>
      <c r="X795" s="198"/>
    </row>
    <row r="796">
      <c r="A796" s="198"/>
      <c r="B796" s="198"/>
      <c r="C796" s="198"/>
      <c r="D796" s="198"/>
      <c r="E796" s="198"/>
      <c r="F796" s="198"/>
      <c r="G796" s="198"/>
      <c r="H796" s="198"/>
      <c r="I796" s="268"/>
      <c r="J796" s="198"/>
      <c r="K796" s="198"/>
      <c r="L796" s="198"/>
      <c r="M796" s="198"/>
      <c r="N796" s="198"/>
      <c r="O796" s="198"/>
      <c r="P796" s="198"/>
      <c r="Q796" s="198"/>
      <c r="R796" s="198"/>
      <c r="S796" s="198"/>
      <c r="T796" s="198"/>
      <c r="U796" s="198"/>
      <c r="V796" s="198"/>
      <c r="W796" s="198"/>
      <c r="X796" s="198"/>
    </row>
    <row r="797">
      <c r="A797" s="198"/>
      <c r="B797" s="198"/>
      <c r="C797" s="198"/>
      <c r="D797" s="198"/>
      <c r="E797" s="198"/>
      <c r="F797" s="198"/>
      <c r="G797" s="198"/>
      <c r="H797" s="198"/>
      <c r="I797" s="268"/>
      <c r="J797" s="198"/>
      <c r="K797" s="198"/>
      <c r="L797" s="198"/>
      <c r="M797" s="198"/>
      <c r="N797" s="198"/>
      <c r="O797" s="198"/>
      <c r="P797" s="198"/>
      <c r="Q797" s="198"/>
      <c r="R797" s="198"/>
      <c r="S797" s="198"/>
      <c r="T797" s="198"/>
      <c r="U797" s="198"/>
      <c r="V797" s="198"/>
      <c r="W797" s="198"/>
      <c r="X797" s="198"/>
    </row>
    <row r="798">
      <c r="A798" s="198"/>
      <c r="B798" s="198"/>
      <c r="C798" s="198"/>
      <c r="D798" s="198"/>
      <c r="E798" s="198"/>
      <c r="F798" s="198"/>
      <c r="G798" s="198"/>
      <c r="H798" s="198"/>
      <c r="I798" s="268"/>
      <c r="J798" s="198"/>
      <c r="K798" s="198"/>
      <c r="L798" s="198"/>
      <c r="M798" s="198"/>
      <c r="N798" s="198"/>
      <c r="O798" s="198"/>
      <c r="P798" s="198"/>
      <c r="Q798" s="198"/>
      <c r="R798" s="198"/>
      <c r="S798" s="198"/>
      <c r="T798" s="198"/>
      <c r="U798" s="198"/>
      <c r="V798" s="198"/>
      <c r="W798" s="198"/>
      <c r="X798" s="198"/>
    </row>
    <row r="799">
      <c r="A799" s="198"/>
      <c r="B799" s="198"/>
      <c r="C799" s="198"/>
      <c r="D799" s="198"/>
      <c r="E799" s="198"/>
      <c r="F799" s="198"/>
      <c r="G799" s="198"/>
      <c r="H799" s="198"/>
      <c r="I799" s="268"/>
      <c r="J799" s="198"/>
      <c r="K799" s="198"/>
      <c r="L799" s="198"/>
      <c r="M799" s="198"/>
      <c r="N799" s="198"/>
      <c r="O799" s="198"/>
      <c r="P799" s="198"/>
      <c r="Q799" s="198"/>
      <c r="R799" s="198"/>
      <c r="S799" s="198"/>
      <c r="T799" s="198"/>
      <c r="U799" s="198"/>
      <c r="V799" s="198"/>
      <c r="W799" s="198"/>
      <c r="X799" s="198"/>
    </row>
    <row r="800">
      <c r="A800" s="198"/>
      <c r="B800" s="198"/>
      <c r="C800" s="198"/>
      <c r="D800" s="198"/>
      <c r="E800" s="198"/>
      <c r="F800" s="198"/>
      <c r="G800" s="198"/>
      <c r="H800" s="198"/>
      <c r="I800" s="268"/>
      <c r="J800" s="198"/>
      <c r="K800" s="198"/>
      <c r="L800" s="198"/>
      <c r="M800" s="198"/>
      <c r="N800" s="198"/>
      <c r="O800" s="198"/>
      <c r="P800" s="198"/>
      <c r="Q800" s="198"/>
      <c r="R800" s="198"/>
      <c r="S800" s="198"/>
      <c r="T800" s="198"/>
      <c r="U800" s="198"/>
      <c r="V800" s="198"/>
      <c r="W800" s="198"/>
      <c r="X800" s="198"/>
    </row>
    <row r="801">
      <c r="A801" s="198"/>
      <c r="B801" s="198"/>
      <c r="C801" s="198"/>
      <c r="D801" s="198"/>
      <c r="E801" s="198"/>
      <c r="F801" s="198"/>
      <c r="G801" s="198"/>
      <c r="H801" s="198"/>
      <c r="I801" s="268"/>
      <c r="J801" s="198"/>
      <c r="K801" s="198"/>
      <c r="L801" s="198"/>
      <c r="M801" s="198"/>
      <c r="N801" s="198"/>
      <c r="O801" s="198"/>
      <c r="P801" s="198"/>
      <c r="Q801" s="198"/>
      <c r="R801" s="198"/>
      <c r="S801" s="198"/>
      <c r="T801" s="198"/>
      <c r="U801" s="198"/>
      <c r="V801" s="198"/>
      <c r="W801" s="198"/>
      <c r="X801" s="198"/>
    </row>
    <row r="802">
      <c r="A802" s="198"/>
      <c r="B802" s="198"/>
      <c r="C802" s="198"/>
      <c r="D802" s="198"/>
      <c r="E802" s="198"/>
      <c r="F802" s="198"/>
      <c r="G802" s="198"/>
      <c r="H802" s="198"/>
      <c r="I802" s="268"/>
      <c r="J802" s="198"/>
      <c r="K802" s="198"/>
      <c r="L802" s="198"/>
      <c r="M802" s="198"/>
      <c r="N802" s="198"/>
      <c r="O802" s="198"/>
      <c r="P802" s="198"/>
      <c r="Q802" s="198"/>
      <c r="R802" s="198"/>
      <c r="S802" s="198"/>
      <c r="T802" s="198"/>
      <c r="U802" s="198"/>
      <c r="V802" s="198"/>
      <c r="W802" s="198"/>
      <c r="X802" s="198"/>
    </row>
    <row r="803">
      <c r="A803" s="198"/>
      <c r="B803" s="198"/>
      <c r="C803" s="198"/>
      <c r="D803" s="198"/>
      <c r="E803" s="198"/>
      <c r="F803" s="198"/>
      <c r="G803" s="198"/>
      <c r="H803" s="198"/>
      <c r="I803" s="268"/>
      <c r="J803" s="198"/>
      <c r="K803" s="198"/>
      <c r="L803" s="198"/>
      <c r="M803" s="198"/>
      <c r="N803" s="198"/>
      <c r="O803" s="198"/>
      <c r="P803" s="198"/>
      <c r="Q803" s="198"/>
      <c r="R803" s="198"/>
      <c r="S803" s="198"/>
      <c r="T803" s="198"/>
      <c r="U803" s="198"/>
      <c r="V803" s="198"/>
      <c r="W803" s="198"/>
      <c r="X803" s="198"/>
    </row>
    <row r="804">
      <c r="A804" s="198"/>
      <c r="B804" s="198"/>
      <c r="C804" s="198"/>
      <c r="D804" s="198"/>
      <c r="E804" s="198"/>
      <c r="F804" s="198"/>
      <c r="G804" s="198"/>
      <c r="H804" s="198"/>
      <c r="I804" s="268"/>
      <c r="J804" s="198"/>
      <c r="K804" s="198"/>
      <c r="L804" s="198"/>
      <c r="M804" s="198"/>
      <c r="N804" s="198"/>
      <c r="O804" s="198"/>
      <c r="P804" s="198"/>
      <c r="Q804" s="198"/>
      <c r="R804" s="198"/>
      <c r="S804" s="198"/>
      <c r="T804" s="198"/>
      <c r="U804" s="198"/>
      <c r="V804" s="198"/>
      <c r="W804" s="198"/>
      <c r="X804" s="198"/>
    </row>
    <row r="805">
      <c r="A805" s="198"/>
      <c r="B805" s="198"/>
      <c r="C805" s="198"/>
      <c r="D805" s="198"/>
      <c r="E805" s="198"/>
      <c r="F805" s="198"/>
      <c r="G805" s="198"/>
      <c r="H805" s="198"/>
      <c r="I805" s="268"/>
      <c r="J805" s="198"/>
      <c r="K805" s="198"/>
      <c r="L805" s="198"/>
      <c r="M805" s="198"/>
      <c r="N805" s="198"/>
      <c r="O805" s="198"/>
      <c r="P805" s="198"/>
      <c r="Q805" s="198"/>
      <c r="R805" s="198"/>
      <c r="S805" s="198"/>
      <c r="T805" s="198"/>
      <c r="U805" s="198"/>
      <c r="V805" s="198"/>
      <c r="W805" s="198"/>
      <c r="X805" s="198"/>
    </row>
    <row r="806">
      <c r="A806" s="198"/>
      <c r="B806" s="198"/>
      <c r="C806" s="198"/>
      <c r="D806" s="198"/>
      <c r="E806" s="198"/>
      <c r="F806" s="198"/>
      <c r="G806" s="198"/>
      <c r="H806" s="198"/>
      <c r="I806" s="268"/>
      <c r="J806" s="198"/>
      <c r="K806" s="198"/>
      <c r="L806" s="198"/>
      <c r="M806" s="198"/>
      <c r="N806" s="198"/>
      <c r="O806" s="198"/>
      <c r="P806" s="198"/>
      <c r="Q806" s="198"/>
      <c r="R806" s="198"/>
      <c r="S806" s="198"/>
      <c r="T806" s="198"/>
      <c r="U806" s="198"/>
      <c r="V806" s="198"/>
      <c r="W806" s="198"/>
      <c r="X806" s="198"/>
    </row>
    <row r="807">
      <c r="A807" s="198"/>
      <c r="B807" s="198"/>
      <c r="C807" s="198"/>
      <c r="D807" s="198"/>
      <c r="E807" s="198"/>
      <c r="F807" s="198"/>
      <c r="G807" s="198"/>
      <c r="H807" s="198"/>
      <c r="I807" s="268"/>
      <c r="J807" s="198"/>
      <c r="K807" s="198"/>
      <c r="L807" s="198"/>
      <c r="M807" s="198"/>
      <c r="N807" s="198"/>
      <c r="O807" s="198"/>
      <c r="P807" s="198"/>
      <c r="Q807" s="198"/>
      <c r="R807" s="198"/>
      <c r="S807" s="198"/>
      <c r="T807" s="198"/>
      <c r="U807" s="198"/>
      <c r="V807" s="198"/>
      <c r="W807" s="198"/>
      <c r="X807" s="198"/>
    </row>
    <row r="808">
      <c r="A808" s="198"/>
      <c r="B808" s="198"/>
      <c r="C808" s="198"/>
      <c r="D808" s="198"/>
      <c r="E808" s="198"/>
      <c r="F808" s="198"/>
      <c r="G808" s="198"/>
      <c r="H808" s="198"/>
      <c r="I808" s="268"/>
      <c r="J808" s="198"/>
      <c r="K808" s="198"/>
      <c r="L808" s="198"/>
      <c r="M808" s="198"/>
      <c r="N808" s="198"/>
      <c r="O808" s="198"/>
      <c r="P808" s="198"/>
      <c r="Q808" s="198"/>
      <c r="R808" s="198"/>
      <c r="S808" s="198"/>
      <c r="T808" s="198"/>
      <c r="U808" s="198"/>
      <c r="V808" s="198"/>
      <c r="W808" s="198"/>
      <c r="X808" s="198"/>
    </row>
    <row r="809">
      <c r="A809" s="198"/>
      <c r="B809" s="198"/>
      <c r="C809" s="198"/>
      <c r="D809" s="198"/>
      <c r="E809" s="198"/>
      <c r="F809" s="198"/>
      <c r="G809" s="198"/>
      <c r="H809" s="198"/>
      <c r="I809" s="268"/>
      <c r="J809" s="198"/>
      <c r="K809" s="198"/>
      <c r="L809" s="198"/>
      <c r="M809" s="198"/>
      <c r="N809" s="198"/>
      <c r="O809" s="198"/>
      <c r="P809" s="198"/>
      <c r="Q809" s="198"/>
      <c r="R809" s="198"/>
      <c r="S809" s="198"/>
      <c r="T809" s="198"/>
      <c r="U809" s="198"/>
      <c r="V809" s="198"/>
      <c r="W809" s="198"/>
      <c r="X809" s="198"/>
    </row>
    <row r="810">
      <c r="A810" s="198"/>
      <c r="B810" s="198"/>
      <c r="C810" s="198"/>
      <c r="D810" s="198"/>
      <c r="E810" s="198"/>
      <c r="F810" s="198"/>
      <c r="G810" s="198"/>
      <c r="H810" s="198"/>
      <c r="I810" s="268"/>
      <c r="J810" s="198"/>
      <c r="K810" s="198"/>
      <c r="L810" s="198"/>
      <c r="M810" s="198"/>
      <c r="N810" s="198"/>
      <c r="O810" s="198"/>
      <c r="P810" s="198"/>
      <c r="Q810" s="198"/>
      <c r="R810" s="198"/>
      <c r="S810" s="198"/>
      <c r="T810" s="198"/>
      <c r="U810" s="198"/>
      <c r="V810" s="198"/>
      <c r="W810" s="198"/>
      <c r="X810" s="198"/>
    </row>
    <row r="811">
      <c r="A811" s="198"/>
      <c r="B811" s="198"/>
      <c r="C811" s="198"/>
      <c r="D811" s="198"/>
      <c r="E811" s="198"/>
      <c r="F811" s="198"/>
      <c r="G811" s="198"/>
      <c r="H811" s="198"/>
      <c r="I811" s="268"/>
      <c r="J811" s="198"/>
      <c r="K811" s="198"/>
      <c r="L811" s="198"/>
      <c r="M811" s="198"/>
      <c r="N811" s="198"/>
      <c r="O811" s="198"/>
      <c r="P811" s="198"/>
      <c r="Q811" s="198"/>
      <c r="R811" s="198"/>
      <c r="S811" s="198"/>
      <c r="T811" s="198"/>
      <c r="U811" s="198"/>
      <c r="V811" s="198"/>
      <c r="W811" s="198"/>
      <c r="X811" s="198"/>
    </row>
    <row r="812">
      <c r="A812" s="198"/>
      <c r="B812" s="198"/>
      <c r="C812" s="198"/>
      <c r="D812" s="198"/>
      <c r="E812" s="198"/>
      <c r="F812" s="198"/>
      <c r="G812" s="198"/>
      <c r="H812" s="198"/>
      <c r="I812" s="268"/>
      <c r="J812" s="198"/>
      <c r="K812" s="198"/>
      <c r="L812" s="198"/>
      <c r="M812" s="198"/>
      <c r="N812" s="198"/>
      <c r="O812" s="198"/>
      <c r="P812" s="198"/>
      <c r="Q812" s="198"/>
      <c r="R812" s="198"/>
      <c r="S812" s="198"/>
      <c r="T812" s="198"/>
      <c r="U812" s="198"/>
      <c r="V812" s="198"/>
      <c r="W812" s="198"/>
      <c r="X812" s="198"/>
    </row>
    <row r="813">
      <c r="A813" s="198"/>
      <c r="B813" s="198"/>
      <c r="C813" s="198"/>
      <c r="D813" s="198"/>
      <c r="E813" s="198"/>
      <c r="F813" s="198"/>
      <c r="G813" s="198"/>
      <c r="H813" s="198"/>
      <c r="I813" s="268"/>
      <c r="J813" s="198"/>
      <c r="K813" s="198"/>
      <c r="L813" s="198"/>
      <c r="M813" s="198"/>
      <c r="N813" s="198"/>
      <c r="O813" s="198"/>
      <c r="P813" s="198"/>
      <c r="Q813" s="198"/>
      <c r="R813" s="198"/>
      <c r="S813" s="198"/>
      <c r="T813" s="198"/>
      <c r="U813" s="198"/>
      <c r="V813" s="198"/>
      <c r="W813" s="198"/>
      <c r="X813" s="198"/>
    </row>
    <row r="814">
      <c r="A814" s="198"/>
      <c r="B814" s="198"/>
      <c r="C814" s="198"/>
      <c r="D814" s="198"/>
      <c r="E814" s="198"/>
      <c r="F814" s="198"/>
      <c r="G814" s="198"/>
      <c r="H814" s="198"/>
      <c r="I814" s="268"/>
      <c r="J814" s="198"/>
      <c r="K814" s="198"/>
      <c r="L814" s="198"/>
      <c r="M814" s="198"/>
      <c r="N814" s="198"/>
      <c r="O814" s="198"/>
      <c r="P814" s="198"/>
      <c r="Q814" s="198"/>
      <c r="R814" s="198"/>
      <c r="S814" s="198"/>
      <c r="T814" s="198"/>
      <c r="U814" s="198"/>
      <c r="V814" s="198"/>
      <c r="W814" s="198"/>
      <c r="X814" s="198"/>
    </row>
    <row r="815">
      <c r="A815" s="198"/>
      <c r="B815" s="198"/>
      <c r="C815" s="198"/>
      <c r="D815" s="198"/>
      <c r="E815" s="198"/>
      <c r="F815" s="198"/>
      <c r="G815" s="198"/>
      <c r="H815" s="198"/>
      <c r="I815" s="268"/>
      <c r="J815" s="198"/>
      <c r="K815" s="198"/>
      <c r="L815" s="198"/>
      <c r="M815" s="198"/>
      <c r="N815" s="198"/>
      <c r="O815" s="198"/>
      <c r="P815" s="198"/>
      <c r="Q815" s="198"/>
      <c r="R815" s="198"/>
      <c r="S815" s="198"/>
      <c r="T815" s="198"/>
      <c r="U815" s="198"/>
      <c r="V815" s="198"/>
      <c r="W815" s="198"/>
      <c r="X815" s="198"/>
    </row>
    <row r="816">
      <c r="A816" s="198"/>
      <c r="B816" s="198"/>
      <c r="C816" s="198"/>
      <c r="D816" s="198"/>
      <c r="E816" s="198"/>
      <c r="F816" s="198"/>
      <c r="G816" s="198"/>
      <c r="H816" s="198"/>
      <c r="I816" s="268"/>
      <c r="J816" s="198"/>
      <c r="K816" s="198"/>
      <c r="L816" s="198"/>
      <c r="M816" s="198"/>
      <c r="N816" s="198"/>
      <c r="O816" s="198"/>
      <c r="P816" s="198"/>
      <c r="Q816" s="198"/>
      <c r="R816" s="198"/>
      <c r="S816" s="198"/>
      <c r="T816" s="198"/>
      <c r="U816" s="198"/>
      <c r="V816" s="198"/>
      <c r="W816" s="198"/>
      <c r="X816" s="198"/>
    </row>
    <row r="817">
      <c r="A817" s="198"/>
      <c r="B817" s="198"/>
      <c r="C817" s="198"/>
      <c r="D817" s="198"/>
      <c r="E817" s="198"/>
      <c r="F817" s="198"/>
      <c r="G817" s="198"/>
      <c r="H817" s="198"/>
      <c r="I817" s="268"/>
      <c r="J817" s="198"/>
      <c r="K817" s="198"/>
      <c r="L817" s="198"/>
      <c r="M817" s="198"/>
      <c r="N817" s="198"/>
      <c r="O817" s="198"/>
      <c r="P817" s="198"/>
      <c r="Q817" s="198"/>
      <c r="R817" s="198"/>
      <c r="S817" s="198"/>
      <c r="T817" s="198"/>
      <c r="U817" s="198"/>
      <c r="V817" s="198"/>
      <c r="W817" s="198"/>
      <c r="X817" s="198"/>
    </row>
    <row r="818">
      <c r="A818" s="198"/>
      <c r="B818" s="198"/>
      <c r="C818" s="198"/>
      <c r="D818" s="198"/>
      <c r="E818" s="198"/>
      <c r="F818" s="198"/>
      <c r="G818" s="198"/>
      <c r="H818" s="198"/>
      <c r="I818" s="268"/>
      <c r="J818" s="198"/>
      <c r="K818" s="198"/>
      <c r="L818" s="198"/>
      <c r="M818" s="198"/>
      <c r="N818" s="198"/>
      <c r="O818" s="198"/>
      <c r="P818" s="198"/>
      <c r="Q818" s="198"/>
      <c r="R818" s="198"/>
      <c r="S818" s="198"/>
      <c r="T818" s="198"/>
      <c r="U818" s="198"/>
      <c r="V818" s="198"/>
      <c r="W818" s="198"/>
      <c r="X818" s="198"/>
    </row>
    <row r="819">
      <c r="A819" s="198"/>
      <c r="B819" s="198"/>
      <c r="C819" s="198"/>
      <c r="D819" s="198"/>
      <c r="E819" s="198"/>
      <c r="F819" s="198"/>
      <c r="G819" s="198"/>
      <c r="H819" s="198"/>
      <c r="I819" s="268"/>
      <c r="J819" s="198"/>
      <c r="K819" s="198"/>
      <c r="L819" s="198"/>
      <c r="M819" s="198"/>
      <c r="N819" s="198"/>
      <c r="O819" s="198"/>
      <c r="P819" s="198"/>
      <c r="Q819" s="198"/>
      <c r="R819" s="198"/>
      <c r="S819" s="198"/>
      <c r="T819" s="198"/>
      <c r="U819" s="198"/>
      <c r="V819" s="198"/>
      <c r="W819" s="198"/>
      <c r="X819" s="198"/>
    </row>
    <row r="820">
      <c r="A820" s="198"/>
      <c r="B820" s="198"/>
      <c r="C820" s="198"/>
      <c r="D820" s="198"/>
      <c r="E820" s="198"/>
      <c r="F820" s="198"/>
      <c r="G820" s="198"/>
      <c r="H820" s="198"/>
      <c r="I820" s="268"/>
      <c r="J820" s="198"/>
      <c r="K820" s="198"/>
      <c r="L820" s="198"/>
      <c r="M820" s="198"/>
      <c r="N820" s="198"/>
      <c r="O820" s="198"/>
      <c r="P820" s="198"/>
      <c r="Q820" s="198"/>
      <c r="R820" s="198"/>
      <c r="S820" s="198"/>
      <c r="T820" s="198"/>
      <c r="U820" s="198"/>
      <c r="V820" s="198"/>
      <c r="W820" s="198"/>
      <c r="X820" s="198"/>
    </row>
    <row r="821">
      <c r="A821" s="198"/>
      <c r="B821" s="198"/>
      <c r="C821" s="198"/>
      <c r="D821" s="198"/>
      <c r="E821" s="198"/>
      <c r="F821" s="198"/>
      <c r="G821" s="198"/>
      <c r="H821" s="198"/>
      <c r="I821" s="268"/>
      <c r="J821" s="198"/>
      <c r="K821" s="198"/>
      <c r="L821" s="198"/>
      <c r="M821" s="198"/>
      <c r="N821" s="198"/>
      <c r="O821" s="198"/>
      <c r="P821" s="198"/>
      <c r="Q821" s="198"/>
      <c r="R821" s="198"/>
      <c r="S821" s="198"/>
      <c r="T821" s="198"/>
      <c r="U821" s="198"/>
      <c r="V821" s="198"/>
      <c r="W821" s="198"/>
      <c r="X821" s="198"/>
    </row>
    <row r="822">
      <c r="A822" s="198"/>
      <c r="B822" s="198"/>
      <c r="C822" s="198"/>
      <c r="D822" s="198"/>
      <c r="E822" s="198"/>
      <c r="F822" s="198"/>
      <c r="G822" s="198"/>
      <c r="H822" s="198"/>
      <c r="I822" s="268"/>
      <c r="J822" s="198"/>
      <c r="K822" s="198"/>
      <c r="L822" s="198"/>
      <c r="M822" s="198"/>
      <c r="N822" s="198"/>
      <c r="O822" s="198"/>
      <c r="P822" s="198"/>
      <c r="Q822" s="198"/>
      <c r="R822" s="198"/>
      <c r="S822" s="198"/>
      <c r="T822" s="198"/>
      <c r="U822" s="198"/>
      <c r="V822" s="198"/>
      <c r="W822" s="198"/>
      <c r="X822" s="198"/>
    </row>
    <row r="823">
      <c r="A823" s="198"/>
      <c r="B823" s="198"/>
      <c r="C823" s="198"/>
      <c r="D823" s="198"/>
      <c r="E823" s="198"/>
      <c r="F823" s="198"/>
      <c r="G823" s="198"/>
      <c r="H823" s="198"/>
      <c r="I823" s="268"/>
      <c r="J823" s="198"/>
      <c r="K823" s="198"/>
      <c r="L823" s="198"/>
      <c r="M823" s="198"/>
      <c r="N823" s="198"/>
      <c r="O823" s="198"/>
      <c r="P823" s="198"/>
      <c r="Q823" s="198"/>
      <c r="R823" s="198"/>
      <c r="S823" s="198"/>
      <c r="T823" s="198"/>
      <c r="U823" s="198"/>
      <c r="V823" s="198"/>
      <c r="W823" s="198"/>
      <c r="X823" s="198"/>
    </row>
    <row r="824">
      <c r="A824" s="198"/>
      <c r="B824" s="198"/>
      <c r="C824" s="198"/>
      <c r="D824" s="198"/>
      <c r="E824" s="198"/>
      <c r="F824" s="198"/>
      <c r="G824" s="198"/>
      <c r="H824" s="198"/>
      <c r="I824" s="268"/>
      <c r="J824" s="198"/>
      <c r="K824" s="198"/>
      <c r="L824" s="198"/>
      <c r="M824" s="198"/>
      <c r="N824" s="198"/>
      <c r="O824" s="198"/>
      <c r="P824" s="198"/>
      <c r="Q824" s="198"/>
      <c r="R824" s="198"/>
      <c r="S824" s="198"/>
      <c r="T824" s="198"/>
      <c r="U824" s="198"/>
      <c r="V824" s="198"/>
      <c r="W824" s="198"/>
      <c r="X824" s="198"/>
    </row>
    <row r="825">
      <c r="A825" s="198"/>
      <c r="B825" s="198"/>
      <c r="C825" s="198"/>
      <c r="D825" s="198"/>
      <c r="E825" s="198"/>
      <c r="F825" s="198"/>
      <c r="G825" s="198"/>
      <c r="H825" s="198"/>
      <c r="I825" s="268"/>
      <c r="J825" s="198"/>
      <c r="K825" s="198"/>
      <c r="L825" s="198"/>
      <c r="M825" s="198"/>
      <c r="N825" s="198"/>
      <c r="O825" s="198"/>
      <c r="P825" s="198"/>
      <c r="Q825" s="198"/>
      <c r="R825" s="198"/>
      <c r="S825" s="198"/>
      <c r="T825" s="198"/>
      <c r="U825" s="198"/>
      <c r="V825" s="198"/>
      <c r="W825" s="198"/>
      <c r="X825" s="198"/>
    </row>
    <row r="826">
      <c r="A826" s="198"/>
      <c r="B826" s="198"/>
      <c r="C826" s="198"/>
      <c r="D826" s="198"/>
      <c r="E826" s="198"/>
      <c r="F826" s="198"/>
      <c r="G826" s="198"/>
      <c r="H826" s="198"/>
      <c r="I826" s="268"/>
      <c r="J826" s="198"/>
      <c r="K826" s="198"/>
      <c r="L826" s="198"/>
      <c r="M826" s="198"/>
      <c r="N826" s="198"/>
      <c r="O826" s="198"/>
      <c r="P826" s="198"/>
      <c r="Q826" s="198"/>
      <c r="R826" s="198"/>
      <c r="S826" s="198"/>
      <c r="T826" s="198"/>
      <c r="U826" s="198"/>
      <c r="V826" s="198"/>
      <c r="W826" s="198"/>
      <c r="X826" s="198"/>
    </row>
    <row r="827">
      <c r="A827" s="198"/>
      <c r="B827" s="198"/>
      <c r="C827" s="198"/>
      <c r="D827" s="198"/>
      <c r="E827" s="198"/>
      <c r="F827" s="198"/>
      <c r="G827" s="198"/>
      <c r="H827" s="198"/>
      <c r="I827" s="268"/>
      <c r="J827" s="198"/>
      <c r="K827" s="198"/>
      <c r="L827" s="198"/>
      <c r="M827" s="198"/>
      <c r="N827" s="198"/>
      <c r="O827" s="198"/>
      <c r="P827" s="198"/>
      <c r="Q827" s="198"/>
      <c r="R827" s="198"/>
      <c r="S827" s="198"/>
      <c r="T827" s="198"/>
      <c r="U827" s="198"/>
      <c r="V827" s="198"/>
      <c r="W827" s="198"/>
      <c r="X827" s="198"/>
    </row>
    <row r="828">
      <c r="A828" s="198"/>
      <c r="B828" s="198"/>
      <c r="C828" s="198"/>
      <c r="D828" s="198"/>
      <c r="E828" s="198"/>
      <c r="F828" s="198"/>
      <c r="G828" s="198"/>
      <c r="H828" s="198"/>
      <c r="I828" s="268"/>
      <c r="J828" s="198"/>
      <c r="K828" s="198"/>
      <c r="L828" s="198"/>
      <c r="M828" s="198"/>
      <c r="N828" s="198"/>
      <c r="O828" s="198"/>
      <c r="P828" s="198"/>
      <c r="Q828" s="198"/>
      <c r="R828" s="198"/>
      <c r="S828" s="198"/>
      <c r="T828" s="198"/>
      <c r="U828" s="198"/>
      <c r="V828" s="198"/>
      <c r="W828" s="198"/>
      <c r="X828" s="198"/>
    </row>
    <row r="829">
      <c r="A829" s="198"/>
      <c r="B829" s="198"/>
      <c r="C829" s="198"/>
      <c r="D829" s="198"/>
      <c r="E829" s="198"/>
      <c r="F829" s="198"/>
      <c r="G829" s="198"/>
      <c r="H829" s="198"/>
      <c r="I829" s="268"/>
      <c r="J829" s="198"/>
      <c r="K829" s="198"/>
      <c r="L829" s="198"/>
      <c r="M829" s="198"/>
      <c r="N829" s="198"/>
      <c r="O829" s="198"/>
      <c r="P829" s="198"/>
      <c r="Q829" s="198"/>
      <c r="R829" s="198"/>
      <c r="S829" s="198"/>
      <c r="T829" s="198"/>
      <c r="U829" s="198"/>
      <c r="V829" s="198"/>
      <c r="W829" s="198"/>
      <c r="X829" s="198"/>
    </row>
    <row r="830">
      <c r="A830" s="198"/>
      <c r="B830" s="198"/>
      <c r="C830" s="198"/>
      <c r="D830" s="198"/>
      <c r="E830" s="198"/>
      <c r="F830" s="198"/>
      <c r="G830" s="198"/>
      <c r="H830" s="198"/>
      <c r="I830" s="268"/>
      <c r="J830" s="198"/>
      <c r="K830" s="198"/>
      <c r="L830" s="198"/>
      <c r="M830" s="198"/>
      <c r="N830" s="198"/>
      <c r="O830" s="198"/>
      <c r="P830" s="198"/>
      <c r="Q830" s="198"/>
      <c r="R830" s="198"/>
      <c r="S830" s="198"/>
      <c r="T830" s="198"/>
      <c r="U830" s="198"/>
      <c r="V830" s="198"/>
      <c r="W830" s="198"/>
      <c r="X830" s="198"/>
    </row>
    <row r="831">
      <c r="A831" s="198"/>
      <c r="B831" s="198"/>
      <c r="C831" s="198"/>
      <c r="D831" s="198"/>
      <c r="E831" s="198"/>
      <c r="F831" s="198"/>
      <c r="G831" s="198"/>
      <c r="H831" s="198"/>
      <c r="I831" s="268"/>
      <c r="J831" s="198"/>
      <c r="K831" s="198"/>
      <c r="L831" s="198"/>
      <c r="M831" s="198"/>
      <c r="N831" s="198"/>
      <c r="O831" s="198"/>
      <c r="P831" s="198"/>
      <c r="Q831" s="198"/>
      <c r="R831" s="198"/>
      <c r="S831" s="198"/>
      <c r="T831" s="198"/>
      <c r="U831" s="198"/>
      <c r="V831" s="198"/>
      <c r="W831" s="198"/>
      <c r="X831" s="198"/>
    </row>
    <row r="832">
      <c r="A832" s="198"/>
      <c r="B832" s="198"/>
      <c r="C832" s="198"/>
      <c r="D832" s="198"/>
      <c r="E832" s="198"/>
      <c r="F832" s="198"/>
      <c r="G832" s="198"/>
      <c r="H832" s="198"/>
      <c r="I832" s="268"/>
      <c r="J832" s="198"/>
      <c r="K832" s="198"/>
      <c r="L832" s="198"/>
      <c r="M832" s="198"/>
      <c r="N832" s="198"/>
      <c r="O832" s="198"/>
      <c r="P832" s="198"/>
      <c r="Q832" s="198"/>
      <c r="R832" s="198"/>
      <c r="S832" s="198"/>
      <c r="T832" s="198"/>
      <c r="U832" s="198"/>
      <c r="V832" s="198"/>
      <c r="W832" s="198"/>
      <c r="X832" s="198"/>
    </row>
    <row r="833">
      <c r="A833" s="198"/>
      <c r="B833" s="198"/>
      <c r="C833" s="198"/>
      <c r="D833" s="198"/>
      <c r="E833" s="198"/>
      <c r="F833" s="198"/>
      <c r="G833" s="198"/>
      <c r="H833" s="198"/>
      <c r="I833" s="268"/>
      <c r="J833" s="198"/>
      <c r="K833" s="198"/>
      <c r="L833" s="198"/>
      <c r="M833" s="198"/>
      <c r="N833" s="198"/>
      <c r="O833" s="198"/>
      <c r="P833" s="198"/>
      <c r="Q833" s="198"/>
      <c r="R833" s="198"/>
      <c r="S833" s="198"/>
      <c r="T833" s="198"/>
      <c r="U833" s="198"/>
      <c r="V833" s="198"/>
      <c r="W833" s="198"/>
      <c r="X833" s="198"/>
    </row>
    <row r="834">
      <c r="A834" s="198"/>
      <c r="B834" s="198"/>
      <c r="C834" s="198"/>
      <c r="D834" s="198"/>
      <c r="E834" s="198"/>
      <c r="F834" s="198"/>
      <c r="G834" s="198"/>
      <c r="H834" s="198"/>
      <c r="I834" s="268"/>
      <c r="J834" s="198"/>
      <c r="K834" s="198"/>
      <c r="L834" s="198"/>
      <c r="M834" s="198"/>
      <c r="N834" s="198"/>
      <c r="O834" s="198"/>
      <c r="P834" s="198"/>
      <c r="Q834" s="198"/>
      <c r="R834" s="198"/>
      <c r="S834" s="198"/>
      <c r="T834" s="198"/>
      <c r="U834" s="198"/>
      <c r="V834" s="198"/>
      <c r="W834" s="198"/>
      <c r="X834" s="198"/>
    </row>
    <row r="835">
      <c r="A835" s="198"/>
      <c r="B835" s="198"/>
      <c r="C835" s="198"/>
      <c r="D835" s="198"/>
      <c r="E835" s="198"/>
      <c r="F835" s="198"/>
      <c r="G835" s="198"/>
      <c r="H835" s="198"/>
      <c r="I835" s="268"/>
      <c r="J835" s="198"/>
      <c r="K835" s="198"/>
      <c r="L835" s="198"/>
      <c r="M835" s="198"/>
      <c r="N835" s="198"/>
      <c r="O835" s="198"/>
      <c r="P835" s="198"/>
      <c r="Q835" s="198"/>
      <c r="R835" s="198"/>
      <c r="S835" s="198"/>
      <c r="T835" s="198"/>
      <c r="U835" s="198"/>
      <c r="V835" s="198"/>
      <c r="W835" s="198"/>
      <c r="X835" s="198"/>
    </row>
    <row r="836">
      <c r="A836" s="198"/>
      <c r="B836" s="198"/>
      <c r="C836" s="198"/>
      <c r="D836" s="198"/>
      <c r="E836" s="198"/>
      <c r="F836" s="198"/>
      <c r="G836" s="198"/>
      <c r="H836" s="198"/>
      <c r="I836" s="268"/>
      <c r="J836" s="198"/>
      <c r="K836" s="198"/>
      <c r="L836" s="198"/>
      <c r="M836" s="198"/>
      <c r="N836" s="198"/>
      <c r="O836" s="198"/>
      <c r="P836" s="198"/>
      <c r="Q836" s="198"/>
      <c r="R836" s="198"/>
      <c r="S836" s="198"/>
      <c r="T836" s="198"/>
      <c r="U836" s="198"/>
      <c r="V836" s="198"/>
      <c r="W836" s="198"/>
      <c r="X836" s="198"/>
    </row>
    <row r="837">
      <c r="A837" s="198"/>
      <c r="B837" s="198"/>
      <c r="C837" s="198"/>
      <c r="D837" s="198"/>
      <c r="E837" s="198"/>
      <c r="F837" s="198"/>
      <c r="G837" s="198"/>
      <c r="H837" s="198"/>
      <c r="I837" s="268"/>
      <c r="J837" s="198"/>
      <c r="K837" s="198"/>
      <c r="L837" s="198"/>
      <c r="M837" s="198"/>
      <c r="N837" s="198"/>
      <c r="O837" s="198"/>
      <c r="P837" s="198"/>
      <c r="Q837" s="198"/>
      <c r="R837" s="198"/>
      <c r="S837" s="198"/>
      <c r="T837" s="198"/>
      <c r="U837" s="198"/>
      <c r="V837" s="198"/>
      <c r="W837" s="198"/>
      <c r="X837" s="198"/>
    </row>
    <row r="838">
      <c r="A838" s="198"/>
      <c r="B838" s="198"/>
      <c r="C838" s="198"/>
      <c r="D838" s="198"/>
      <c r="E838" s="198"/>
      <c r="F838" s="198"/>
      <c r="G838" s="198"/>
      <c r="H838" s="198"/>
      <c r="I838" s="268"/>
      <c r="J838" s="198"/>
      <c r="K838" s="198"/>
      <c r="L838" s="198"/>
      <c r="M838" s="198"/>
      <c r="N838" s="198"/>
      <c r="O838" s="198"/>
      <c r="P838" s="198"/>
      <c r="Q838" s="198"/>
      <c r="R838" s="198"/>
      <c r="S838" s="198"/>
      <c r="T838" s="198"/>
      <c r="U838" s="198"/>
      <c r="V838" s="198"/>
      <c r="W838" s="198"/>
      <c r="X838" s="198"/>
    </row>
    <row r="839">
      <c r="A839" s="198"/>
      <c r="B839" s="198"/>
      <c r="C839" s="198"/>
      <c r="D839" s="198"/>
      <c r="E839" s="198"/>
      <c r="F839" s="198"/>
      <c r="G839" s="198"/>
      <c r="H839" s="198"/>
      <c r="I839" s="268"/>
      <c r="J839" s="198"/>
      <c r="K839" s="198"/>
      <c r="L839" s="198"/>
      <c r="M839" s="198"/>
      <c r="N839" s="198"/>
      <c r="O839" s="198"/>
      <c r="P839" s="198"/>
      <c r="Q839" s="198"/>
      <c r="R839" s="198"/>
      <c r="S839" s="198"/>
      <c r="T839" s="198"/>
      <c r="U839" s="198"/>
      <c r="V839" s="198"/>
      <c r="W839" s="198"/>
      <c r="X839" s="198"/>
    </row>
    <row r="840">
      <c r="A840" s="198"/>
      <c r="B840" s="198"/>
      <c r="C840" s="198"/>
      <c r="D840" s="198"/>
      <c r="E840" s="198"/>
      <c r="F840" s="198"/>
      <c r="G840" s="198"/>
      <c r="H840" s="198"/>
      <c r="I840" s="268"/>
      <c r="J840" s="198"/>
      <c r="K840" s="198"/>
      <c r="L840" s="198"/>
      <c r="M840" s="198"/>
      <c r="N840" s="198"/>
      <c r="O840" s="198"/>
      <c r="P840" s="198"/>
      <c r="Q840" s="198"/>
      <c r="R840" s="198"/>
      <c r="S840" s="198"/>
      <c r="T840" s="198"/>
      <c r="U840" s="198"/>
      <c r="V840" s="198"/>
      <c r="W840" s="198"/>
      <c r="X840" s="198"/>
    </row>
    <row r="841">
      <c r="A841" s="198"/>
      <c r="B841" s="198"/>
      <c r="C841" s="198"/>
      <c r="D841" s="198"/>
      <c r="E841" s="198"/>
      <c r="F841" s="198"/>
      <c r="G841" s="198"/>
      <c r="H841" s="198"/>
      <c r="I841" s="268"/>
      <c r="J841" s="198"/>
      <c r="K841" s="198"/>
      <c r="L841" s="198"/>
      <c r="M841" s="198"/>
      <c r="N841" s="198"/>
      <c r="O841" s="198"/>
      <c r="P841" s="198"/>
      <c r="Q841" s="198"/>
      <c r="R841" s="198"/>
      <c r="S841" s="198"/>
      <c r="T841" s="198"/>
      <c r="U841" s="198"/>
      <c r="V841" s="198"/>
      <c r="W841" s="198"/>
      <c r="X841" s="198"/>
    </row>
    <row r="842">
      <c r="A842" s="198"/>
      <c r="B842" s="198"/>
      <c r="C842" s="198"/>
      <c r="D842" s="198"/>
      <c r="E842" s="198"/>
      <c r="F842" s="198"/>
      <c r="G842" s="198"/>
      <c r="H842" s="198"/>
      <c r="I842" s="268"/>
      <c r="J842" s="198"/>
      <c r="K842" s="198"/>
      <c r="L842" s="198"/>
      <c r="M842" s="198"/>
      <c r="N842" s="198"/>
      <c r="O842" s="198"/>
      <c r="P842" s="198"/>
      <c r="Q842" s="198"/>
      <c r="R842" s="198"/>
      <c r="S842" s="198"/>
      <c r="T842" s="198"/>
      <c r="U842" s="198"/>
      <c r="V842" s="198"/>
      <c r="W842" s="198"/>
      <c r="X842" s="198"/>
    </row>
    <row r="843">
      <c r="A843" s="198"/>
      <c r="B843" s="198"/>
      <c r="C843" s="198"/>
      <c r="D843" s="198"/>
      <c r="E843" s="198"/>
      <c r="F843" s="198"/>
      <c r="G843" s="198"/>
      <c r="H843" s="198"/>
      <c r="I843" s="268"/>
      <c r="J843" s="198"/>
      <c r="K843" s="198"/>
      <c r="L843" s="198"/>
      <c r="M843" s="198"/>
      <c r="N843" s="198"/>
      <c r="O843" s="198"/>
      <c r="P843" s="198"/>
      <c r="Q843" s="198"/>
      <c r="R843" s="198"/>
      <c r="S843" s="198"/>
      <c r="T843" s="198"/>
      <c r="U843" s="198"/>
      <c r="V843" s="198"/>
      <c r="W843" s="198"/>
      <c r="X843" s="198"/>
    </row>
    <row r="844">
      <c r="A844" s="198"/>
      <c r="B844" s="198"/>
      <c r="C844" s="198"/>
      <c r="D844" s="198"/>
      <c r="E844" s="198"/>
      <c r="F844" s="198"/>
      <c r="G844" s="198"/>
      <c r="H844" s="198"/>
      <c r="I844" s="268"/>
      <c r="J844" s="198"/>
      <c r="K844" s="198"/>
      <c r="L844" s="198"/>
      <c r="M844" s="198"/>
      <c r="N844" s="198"/>
      <c r="O844" s="198"/>
      <c r="P844" s="198"/>
      <c r="Q844" s="198"/>
      <c r="R844" s="198"/>
      <c r="S844" s="198"/>
      <c r="T844" s="198"/>
      <c r="U844" s="198"/>
      <c r="V844" s="198"/>
      <c r="W844" s="198"/>
      <c r="X844" s="198"/>
    </row>
    <row r="845">
      <c r="A845" s="198"/>
      <c r="B845" s="198"/>
      <c r="C845" s="198"/>
      <c r="D845" s="198"/>
      <c r="E845" s="198"/>
      <c r="F845" s="198"/>
      <c r="G845" s="198"/>
      <c r="H845" s="198"/>
      <c r="I845" s="268"/>
      <c r="J845" s="198"/>
      <c r="K845" s="198"/>
      <c r="L845" s="198"/>
      <c r="M845" s="198"/>
      <c r="N845" s="198"/>
      <c r="O845" s="198"/>
      <c r="P845" s="198"/>
      <c r="Q845" s="198"/>
      <c r="R845" s="198"/>
      <c r="S845" s="198"/>
      <c r="T845" s="198"/>
      <c r="U845" s="198"/>
      <c r="V845" s="198"/>
      <c r="W845" s="198"/>
      <c r="X845" s="198"/>
    </row>
    <row r="846">
      <c r="A846" s="198"/>
      <c r="B846" s="198"/>
      <c r="C846" s="198"/>
      <c r="D846" s="198"/>
      <c r="E846" s="198"/>
      <c r="F846" s="198"/>
      <c r="G846" s="198"/>
      <c r="H846" s="198"/>
      <c r="I846" s="268"/>
      <c r="J846" s="198"/>
      <c r="K846" s="198"/>
      <c r="L846" s="198"/>
      <c r="M846" s="198"/>
      <c r="N846" s="198"/>
      <c r="O846" s="198"/>
      <c r="P846" s="198"/>
      <c r="Q846" s="198"/>
      <c r="R846" s="198"/>
      <c r="S846" s="198"/>
      <c r="T846" s="198"/>
      <c r="U846" s="198"/>
      <c r="V846" s="198"/>
      <c r="W846" s="198"/>
      <c r="X846" s="198"/>
    </row>
    <row r="847">
      <c r="A847" s="198"/>
      <c r="B847" s="198"/>
      <c r="C847" s="198"/>
      <c r="D847" s="198"/>
      <c r="E847" s="198"/>
      <c r="F847" s="198"/>
      <c r="G847" s="198"/>
      <c r="H847" s="198"/>
      <c r="I847" s="268"/>
      <c r="J847" s="198"/>
      <c r="K847" s="198"/>
      <c r="L847" s="198"/>
      <c r="M847" s="198"/>
      <c r="N847" s="198"/>
      <c r="O847" s="198"/>
      <c r="P847" s="198"/>
      <c r="Q847" s="198"/>
      <c r="R847" s="198"/>
      <c r="S847" s="198"/>
      <c r="T847" s="198"/>
      <c r="U847" s="198"/>
      <c r="V847" s="198"/>
      <c r="W847" s="198"/>
      <c r="X847" s="198"/>
    </row>
    <row r="848">
      <c r="A848" s="198"/>
      <c r="B848" s="198"/>
      <c r="C848" s="198"/>
      <c r="D848" s="198"/>
      <c r="E848" s="198"/>
      <c r="F848" s="198"/>
      <c r="G848" s="198"/>
      <c r="H848" s="198"/>
      <c r="I848" s="268"/>
      <c r="J848" s="198"/>
      <c r="K848" s="198"/>
      <c r="L848" s="198"/>
      <c r="M848" s="198"/>
      <c r="N848" s="198"/>
      <c r="O848" s="198"/>
      <c r="P848" s="198"/>
      <c r="Q848" s="198"/>
      <c r="R848" s="198"/>
      <c r="S848" s="198"/>
      <c r="T848" s="198"/>
      <c r="U848" s="198"/>
      <c r="V848" s="198"/>
      <c r="W848" s="198"/>
      <c r="X848" s="198"/>
    </row>
    <row r="849">
      <c r="A849" s="198"/>
      <c r="B849" s="198"/>
      <c r="C849" s="198"/>
      <c r="D849" s="198"/>
      <c r="E849" s="198"/>
      <c r="F849" s="198"/>
      <c r="G849" s="198"/>
      <c r="H849" s="198"/>
      <c r="I849" s="268"/>
      <c r="J849" s="198"/>
      <c r="K849" s="198"/>
      <c r="L849" s="198"/>
      <c r="M849" s="198"/>
      <c r="N849" s="198"/>
      <c r="O849" s="198"/>
      <c r="P849" s="198"/>
      <c r="Q849" s="198"/>
      <c r="R849" s="198"/>
      <c r="S849" s="198"/>
      <c r="T849" s="198"/>
      <c r="U849" s="198"/>
      <c r="V849" s="198"/>
      <c r="W849" s="198"/>
      <c r="X849" s="198"/>
    </row>
    <row r="850">
      <c r="A850" s="198"/>
      <c r="B850" s="198"/>
      <c r="C850" s="198"/>
      <c r="D850" s="198"/>
      <c r="E850" s="198"/>
      <c r="F850" s="198"/>
      <c r="G850" s="198"/>
      <c r="H850" s="198"/>
      <c r="I850" s="268"/>
      <c r="J850" s="198"/>
      <c r="K850" s="198"/>
      <c r="L850" s="198"/>
      <c r="M850" s="198"/>
      <c r="N850" s="198"/>
      <c r="O850" s="198"/>
      <c r="P850" s="198"/>
      <c r="Q850" s="198"/>
      <c r="R850" s="198"/>
      <c r="S850" s="198"/>
      <c r="T850" s="198"/>
      <c r="U850" s="198"/>
      <c r="V850" s="198"/>
      <c r="W850" s="198"/>
      <c r="X850" s="198"/>
    </row>
    <row r="851">
      <c r="A851" s="198"/>
      <c r="B851" s="198"/>
      <c r="C851" s="198"/>
      <c r="D851" s="198"/>
      <c r="E851" s="198"/>
      <c r="F851" s="198"/>
      <c r="G851" s="198"/>
      <c r="H851" s="198"/>
      <c r="I851" s="268"/>
      <c r="J851" s="198"/>
      <c r="K851" s="198"/>
      <c r="L851" s="198"/>
      <c r="M851" s="198"/>
      <c r="N851" s="198"/>
      <c r="O851" s="198"/>
      <c r="P851" s="198"/>
      <c r="Q851" s="198"/>
      <c r="R851" s="198"/>
      <c r="S851" s="198"/>
      <c r="T851" s="198"/>
      <c r="U851" s="198"/>
      <c r="V851" s="198"/>
      <c r="W851" s="198"/>
      <c r="X851" s="198"/>
    </row>
    <row r="852">
      <c r="A852" s="198"/>
      <c r="B852" s="198"/>
      <c r="C852" s="198"/>
      <c r="D852" s="198"/>
      <c r="E852" s="198"/>
      <c r="F852" s="198"/>
      <c r="G852" s="198"/>
      <c r="H852" s="198"/>
      <c r="I852" s="268"/>
      <c r="J852" s="198"/>
      <c r="K852" s="198"/>
      <c r="L852" s="198"/>
      <c r="M852" s="198"/>
      <c r="N852" s="198"/>
      <c r="O852" s="198"/>
      <c r="P852" s="198"/>
      <c r="Q852" s="198"/>
      <c r="R852" s="198"/>
      <c r="S852" s="198"/>
      <c r="T852" s="198"/>
      <c r="U852" s="198"/>
      <c r="V852" s="198"/>
      <c r="W852" s="198"/>
      <c r="X852" s="198"/>
    </row>
    <row r="853">
      <c r="A853" s="198"/>
      <c r="B853" s="198"/>
      <c r="C853" s="198"/>
      <c r="D853" s="198"/>
      <c r="E853" s="198"/>
      <c r="F853" s="198"/>
      <c r="G853" s="198"/>
      <c r="H853" s="198"/>
      <c r="I853" s="268"/>
      <c r="J853" s="198"/>
      <c r="K853" s="198"/>
      <c r="L853" s="198"/>
      <c r="M853" s="198"/>
      <c r="N853" s="198"/>
      <c r="O853" s="198"/>
      <c r="P853" s="198"/>
      <c r="Q853" s="198"/>
      <c r="R853" s="198"/>
      <c r="S853" s="198"/>
      <c r="T853" s="198"/>
      <c r="U853" s="198"/>
      <c r="V853" s="198"/>
      <c r="W853" s="198"/>
      <c r="X853" s="198"/>
    </row>
    <row r="854">
      <c r="A854" s="198"/>
      <c r="B854" s="198"/>
      <c r="C854" s="198"/>
      <c r="D854" s="198"/>
      <c r="E854" s="198"/>
      <c r="F854" s="198"/>
      <c r="G854" s="198"/>
      <c r="H854" s="198"/>
      <c r="I854" s="268"/>
      <c r="J854" s="198"/>
      <c r="K854" s="198"/>
      <c r="L854" s="198"/>
      <c r="M854" s="198"/>
      <c r="N854" s="198"/>
      <c r="O854" s="198"/>
      <c r="P854" s="198"/>
      <c r="Q854" s="198"/>
      <c r="R854" s="198"/>
      <c r="S854" s="198"/>
      <c r="T854" s="198"/>
      <c r="U854" s="198"/>
      <c r="V854" s="198"/>
      <c r="W854" s="198"/>
      <c r="X854" s="198"/>
    </row>
    <row r="855">
      <c r="A855" s="198"/>
      <c r="B855" s="198"/>
      <c r="C855" s="198"/>
      <c r="D855" s="198"/>
      <c r="E855" s="198"/>
      <c r="F855" s="198"/>
      <c r="G855" s="198"/>
      <c r="H855" s="198"/>
      <c r="I855" s="268"/>
      <c r="J855" s="198"/>
      <c r="K855" s="198"/>
      <c r="L855" s="198"/>
      <c r="M855" s="198"/>
      <c r="N855" s="198"/>
      <c r="O855" s="198"/>
      <c r="P855" s="198"/>
      <c r="Q855" s="198"/>
      <c r="R855" s="198"/>
      <c r="S855" s="198"/>
      <c r="T855" s="198"/>
      <c r="U855" s="198"/>
      <c r="V855" s="198"/>
      <c r="W855" s="198"/>
      <c r="X855" s="198"/>
    </row>
    <row r="856">
      <c r="A856" s="198"/>
      <c r="B856" s="198"/>
      <c r="C856" s="198"/>
      <c r="D856" s="198"/>
      <c r="E856" s="198"/>
      <c r="F856" s="198"/>
      <c r="G856" s="198"/>
      <c r="H856" s="198"/>
      <c r="I856" s="268"/>
      <c r="J856" s="198"/>
      <c r="K856" s="198"/>
      <c r="L856" s="198"/>
      <c r="M856" s="198"/>
      <c r="N856" s="198"/>
      <c r="O856" s="198"/>
      <c r="P856" s="198"/>
      <c r="Q856" s="198"/>
      <c r="R856" s="198"/>
      <c r="S856" s="198"/>
      <c r="T856" s="198"/>
      <c r="U856" s="198"/>
      <c r="V856" s="198"/>
      <c r="W856" s="198"/>
      <c r="X856" s="198"/>
    </row>
    <row r="857">
      <c r="A857" s="198"/>
      <c r="B857" s="198"/>
      <c r="C857" s="198"/>
      <c r="D857" s="198"/>
      <c r="E857" s="198"/>
      <c r="F857" s="198"/>
      <c r="G857" s="198"/>
      <c r="H857" s="198"/>
      <c r="I857" s="268"/>
      <c r="J857" s="198"/>
      <c r="K857" s="198"/>
      <c r="L857" s="198"/>
      <c r="M857" s="198"/>
      <c r="N857" s="198"/>
      <c r="O857" s="198"/>
      <c r="P857" s="198"/>
      <c r="Q857" s="198"/>
      <c r="R857" s="198"/>
      <c r="S857" s="198"/>
      <c r="T857" s="198"/>
      <c r="U857" s="198"/>
      <c r="V857" s="198"/>
      <c r="W857" s="198"/>
      <c r="X857" s="198"/>
    </row>
    <row r="858">
      <c r="A858" s="198"/>
      <c r="B858" s="198"/>
      <c r="C858" s="198"/>
      <c r="D858" s="198"/>
      <c r="E858" s="198"/>
      <c r="F858" s="198"/>
      <c r="G858" s="198"/>
      <c r="H858" s="198"/>
      <c r="I858" s="268"/>
      <c r="J858" s="198"/>
      <c r="K858" s="198"/>
      <c r="L858" s="198"/>
      <c r="M858" s="198"/>
      <c r="N858" s="198"/>
      <c r="O858" s="198"/>
      <c r="P858" s="198"/>
      <c r="Q858" s="198"/>
      <c r="R858" s="198"/>
      <c r="S858" s="198"/>
      <c r="T858" s="198"/>
      <c r="U858" s="198"/>
      <c r="V858" s="198"/>
      <c r="W858" s="198"/>
      <c r="X858" s="198"/>
    </row>
    <row r="859">
      <c r="A859" s="198"/>
      <c r="B859" s="198"/>
      <c r="C859" s="198"/>
      <c r="D859" s="198"/>
      <c r="E859" s="198"/>
      <c r="F859" s="198"/>
      <c r="G859" s="198"/>
      <c r="H859" s="198"/>
      <c r="I859" s="268"/>
      <c r="J859" s="198"/>
      <c r="K859" s="198"/>
      <c r="L859" s="198"/>
      <c r="M859" s="198"/>
      <c r="N859" s="198"/>
      <c r="O859" s="198"/>
      <c r="P859" s="198"/>
      <c r="Q859" s="198"/>
      <c r="R859" s="198"/>
      <c r="S859" s="198"/>
      <c r="T859" s="198"/>
      <c r="U859" s="198"/>
      <c r="V859" s="198"/>
      <c r="W859" s="198"/>
      <c r="X859" s="198"/>
    </row>
    <row r="860">
      <c r="A860" s="198"/>
      <c r="B860" s="198"/>
      <c r="C860" s="198"/>
      <c r="D860" s="198"/>
      <c r="E860" s="198"/>
      <c r="F860" s="198"/>
      <c r="G860" s="198"/>
      <c r="H860" s="198"/>
      <c r="I860" s="268"/>
      <c r="J860" s="198"/>
      <c r="K860" s="198"/>
      <c r="L860" s="198"/>
      <c r="M860" s="198"/>
      <c r="N860" s="198"/>
      <c r="O860" s="198"/>
      <c r="P860" s="198"/>
      <c r="Q860" s="198"/>
      <c r="R860" s="198"/>
      <c r="S860" s="198"/>
      <c r="T860" s="198"/>
      <c r="U860" s="198"/>
      <c r="V860" s="198"/>
      <c r="W860" s="198"/>
      <c r="X860" s="198"/>
    </row>
    <row r="861">
      <c r="A861" s="198"/>
      <c r="B861" s="198"/>
      <c r="C861" s="198"/>
      <c r="D861" s="198"/>
      <c r="E861" s="198"/>
      <c r="F861" s="198"/>
      <c r="G861" s="198"/>
      <c r="H861" s="198"/>
      <c r="I861" s="268"/>
      <c r="J861" s="198"/>
      <c r="K861" s="198"/>
      <c r="L861" s="198"/>
      <c r="M861" s="198"/>
      <c r="N861" s="198"/>
      <c r="O861" s="198"/>
      <c r="P861" s="198"/>
      <c r="Q861" s="198"/>
      <c r="R861" s="198"/>
      <c r="S861" s="198"/>
      <c r="T861" s="198"/>
      <c r="U861" s="198"/>
      <c r="V861" s="198"/>
      <c r="W861" s="198"/>
      <c r="X861" s="198"/>
    </row>
    <row r="862">
      <c r="A862" s="198"/>
      <c r="B862" s="198"/>
      <c r="C862" s="198"/>
      <c r="D862" s="198"/>
      <c r="E862" s="198"/>
      <c r="F862" s="198"/>
      <c r="G862" s="198"/>
      <c r="H862" s="198"/>
      <c r="I862" s="268"/>
      <c r="J862" s="198"/>
      <c r="K862" s="198"/>
      <c r="L862" s="198"/>
      <c r="M862" s="198"/>
      <c r="N862" s="198"/>
      <c r="O862" s="198"/>
      <c r="P862" s="198"/>
      <c r="Q862" s="198"/>
      <c r="R862" s="198"/>
      <c r="S862" s="198"/>
      <c r="T862" s="198"/>
      <c r="U862" s="198"/>
      <c r="V862" s="198"/>
      <c r="W862" s="198"/>
      <c r="X862" s="198"/>
    </row>
    <row r="863">
      <c r="A863" s="198"/>
      <c r="B863" s="198"/>
      <c r="C863" s="198"/>
      <c r="D863" s="198"/>
      <c r="E863" s="198"/>
      <c r="F863" s="198"/>
      <c r="G863" s="198"/>
      <c r="H863" s="198"/>
      <c r="I863" s="268"/>
      <c r="J863" s="198"/>
      <c r="K863" s="198"/>
      <c r="L863" s="198"/>
      <c r="M863" s="198"/>
      <c r="N863" s="198"/>
      <c r="O863" s="198"/>
      <c r="P863" s="198"/>
      <c r="Q863" s="198"/>
      <c r="R863" s="198"/>
      <c r="S863" s="198"/>
      <c r="T863" s="198"/>
      <c r="U863" s="198"/>
      <c r="V863" s="198"/>
      <c r="W863" s="198"/>
      <c r="X863" s="198"/>
    </row>
    <row r="864">
      <c r="A864" s="198"/>
      <c r="B864" s="198"/>
      <c r="C864" s="198"/>
      <c r="D864" s="198"/>
      <c r="E864" s="198"/>
      <c r="F864" s="198"/>
      <c r="G864" s="198"/>
      <c r="H864" s="198"/>
      <c r="I864" s="268"/>
      <c r="J864" s="198"/>
      <c r="K864" s="198"/>
      <c r="L864" s="198"/>
      <c r="M864" s="198"/>
      <c r="N864" s="198"/>
      <c r="O864" s="198"/>
      <c r="P864" s="198"/>
      <c r="Q864" s="198"/>
      <c r="R864" s="198"/>
      <c r="S864" s="198"/>
      <c r="T864" s="198"/>
      <c r="U864" s="198"/>
      <c r="V864" s="198"/>
      <c r="W864" s="198"/>
      <c r="X864" s="198"/>
    </row>
    <row r="865">
      <c r="A865" s="198"/>
      <c r="B865" s="198"/>
      <c r="C865" s="198"/>
      <c r="D865" s="198"/>
      <c r="E865" s="198"/>
      <c r="F865" s="198"/>
      <c r="G865" s="198"/>
      <c r="H865" s="198"/>
      <c r="I865" s="268"/>
      <c r="J865" s="198"/>
      <c r="K865" s="198"/>
      <c r="L865" s="198"/>
      <c r="M865" s="198"/>
      <c r="N865" s="198"/>
      <c r="O865" s="198"/>
      <c r="P865" s="198"/>
      <c r="Q865" s="198"/>
      <c r="R865" s="198"/>
      <c r="S865" s="198"/>
      <c r="T865" s="198"/>
      <c r="U865" s="198"/>
      <c r="V865" s="198"/>
      <c r="W865" s="198"/>
      <c r="X865" s="198"/>
    </row>
    <row r="866">
      <c r="A866" s="198"/>
      <c r="B866" s="198"/>
      <c r="C866" s="198"/>
      <c r="D866" s="198"/>
      <c r="E866" s="198"/>
      <c r="F866" s="198"/>
      <c r="G866" s="198"/>
      <c r="H866" s="198"/>
      <c r="I866" s="268"/>
      <c r="J866" s="198"/>
      <c r="K866" s="198"/>
      <c r="L866" s="198"/>
      <c r="M866" s="198"/>
      <c r="N866" s="198"/>
      <c r="O866" s="198"/>
      <c r="P866" s="198"/>
      <c r="Q866" s="198"/>
      <c r="R866" s="198"/>
      <c r="S866" s="198"/>
      <c r="T866" s="198"/>
      <c r="U866" s="198"/>
      <c r="V866" s="198"/>
      <c r="W866" s="198"/>
      <c r="X866" s="198"/>
    </row>
    <row r="867">
      <c r="A867" s="198"/>
      <c r="B867" s="198"/>
      <c r="C867" s="198"/>
      <c r="D867" s="198"/>
      <c r="E867" s="198"/>
      <c r="F867" s="198"/>
      <c r="G867" s="198"/>
      <c r="H867" s="198"/>
      <c r="I867" s="268"/>
      <c r="J867" s="198"/>
      <c r="K867" s="198"/>
      <c r="L867" s="198"/>
      <c r="M867" s="198"/>
      <c r="N867" s="198"/>
      <c r="O867" s="198"/>
      <c r="P867" s="198"/>
      <c r="Q867" s="198"/>
      <c r="R867" s="198"/>
      <c r="S867" s="198"/>
      <c r="T867" s="198"/>
      <c r="U867" s="198"/>
      <c r="V867" s="198"/>
      <c r="W867" s="198"/>
      <c r="X867" s="198"/>
    </row>
    <row r="868">
      <c r="A868" s="198"/>
      <c r="B868" s="198"/>
      <c r="C868" s="198"/>
      <c r="D868" s="198"/>
      <c r="E868" s="198"/>
      <c r="F868" s="198"/>
      <c r="G868" s="198"/>
      <c r="H868" s="198"/>
      <c r="I868" s="268"/>
      <c r="J868" s="198"/>
      <c r="K868" s="198"/>
      <c r="L868" s="198"/>
      <c r="M868" s="198"/>
      <c r="N868" s="198"/>
      <c r="O868" s="198"/>
      <c r="P868" s="198"/>
      <c r="Q868" s="198"/>
      <c r="R868" s="198"/>
      <c r="S868" s="198"/>
      <c r="T868" s="198"/>
      <c r="U868" s="198"/>
      <c r="V868" s="198"/>
      <c r="W868" s="198"/>
      <c r="X868" s="198"/>
    </row>
    <row r="869">
      <c r="A869" s="198"/>
      <c r="B869" s="198"/>
      <c r="C869" s="198"/>
      <c r="D869" s="198"/>
      <c r="E869" s="198"/>
      <c r="F869" s="198"/>
      <c r="G869" s="198"/>
      <c r="H869" s="198"/>
      <c r="I869" s="268"/>
      <c r="J869" s="198"/>
      <c r="K869" s="198"/>
      <c r="L869" s="198"/>
      <c r="M869" s="198"/>
      <c r="N869" s="198"/>
      <c r="O869" s="198"/>
      <c r="P869" s="198"/>
      <c r="Q869" s="198"/>
      <c r="R869" s="198"/>
      <c r="S869" s="198"/>
      <c r="T869" s="198"/>
      <c r="U869" s="198"/>
      <c r="V869" s="198"/>
      <c r="W869" s="198"/>
      <c r="X869" s="198"/>
    </row>
    <row r="870">
      <c r="A870" s="198"/>
      <c r="B870" s="198"/>
      <c r="C870" s="198"/>
      <c r="D870" s="198"/>
      <c r="E870" s="198"/>
      <c r="F870" s="198"/>
      <c r="G870" s="198"/>
      <c r="H870" s="198"/>
      <c r="I870" s="268"/>
      <c r="J870" s="198"/>
      <c r="K870" s="198"/>
      <c r="L870" s="198"/>
      <c r="M870" s="198"/>
      <c r="N870" s="198"/>
      <c r="O870" s="198"/>
      <c r="P870" s="198"/>
      <c r="Q870" s="198"/>
      <c r="R870" s="198"/>
      <c r="S870" s="198"/>
      <c r="T870" s="198"/>
      <c r="U870" s="198"/>
      <c r="V870" s="198"/>
      <c r="W870" s="198"/>
      <c r="X870" s="198"/>
    </row>
    <row r="871">
      <c r="A871" s="198"/>
      <c r="B871" s="198"/>
      <c r="C871" s="198"/>
      <c r="D871" s="198"/>
      <c r="E871" s="198"/>
      <c r="F871" s="198"/>
      <c r="G871" s="198"/>
      <c r="H871" s="198"/>
      <c r="I871" s="268"/>
      <c r="J871" s="198"/>
      <c r="K871" s="198"/>
      <c r="L871" s="198"/>
      <c r="M871" s="198"/>
      <c r="N871" s="198"/>
      <c r="O871" s="198"/>
      <c r="P871" s="198"/>
      <c r="Q871" s="198"/>
      <c r="R871" s="198"/>
      <c r="S871" s="198"/>
      <c r="T871" s="198"/>
      <c r="U871" s="198"/>
      <c r="V871" s="198"/>
      <c r="W871" s="198"/>
      <c r="X871" s="198"/>
    </row>
    <row r="872">
      <c r="A872" s="198"/>
      <c r="B872" s="198"/>
      <c r="C872" s="198"/>
      <c r="D872" s="198"/>
      <c r="E872" s="198"/>
      <c r="F872" s="198"/>
      <c r="G872" s="198"/>
      <c r="H872" s="198"/>
      <c r="I872" s="268"/>
      <c r="J872" s="198"/>
      <c r="K872" s="198"/>
      <c r="L872" s="198"/>
      <c r="M872" s="198"/>
      <c r="N872" s="198"/>
      <c r="O872" s="198"/>
      <c r="P872" s="198"/>
      <c r="Q872" s="198"/>
      <c r="R872" s="198"/>
      <c r="S872" s="198"/>
      <c r="T872" s="198"/>
      <c r="U872" s="198"/>
      <c r="V872" s="198"/>
      <c r="W872" s="198"/>
      <c r="X872" s="198"/>
    </row>
    <row r="873">
      <c r="A873" s="198"/>
      <c r="B873" s="198"/>
      <c r="C873" s="198"/>
      <c r="D873" s="198"/>
      <c r="E873" s="198"/>
      <c r="F873" s="198"/>
      <c r="G873" s="198"/>
      <c r="H873" s="198"/>
      <c r="I873" s="268"/>
      <c r="J873" s="198"/>
      <c r="K873" s="198"/>
      <c r="L873" s="198"/>
      <c r="M873" s="198"/>
      <c r="N873" s="198"/>
      <c r="O873" s="198"/>
      <c r="P873" s="198"/>
      <c r="Q873" s="198"/>
      <c r="R873" s="198"/>
      <c r="S873" s="198"/>
      <c r="T873" s="198"/>
      <c r="U873" s="198"/>
      <c r="V873" s="198"/>
      <c r="W873" s="198"/>
      <c r="X873" s="198"/>
    </row>
    <row r="874">
      <c r="A874" s="198"/>
      <c r="B874" s="198"/>
      <c r="C874" s="198"/>
      <c r="D874" s="198"/>
      <c r="E874" s="198"/>
      <c r="F874" s="198"/>
      <c r="G874" s="198"/>
      <c r="H874" s="198"/>
      <c r="I874" s="268"/>
      <c r="J874" s="198"/>
      <c r="K874" s="198"/>
      <c r="L874" s="198"/>
      <c r="M874" s="198"/>
      <c r="N874" s="198"/>
      <c r="O874" s="198"/>
      <c r="P874" s="198"/>
      <c r="Q874" s="198"/>
      <c r="R874" s="198"/>
      <c r="S874" s="198"/>
      <c r="T874" s="198"/>
      <c r="U874" s="198"/>
      <c r="V874" s="198"/>
      <c r="W874" s="198"/>
      <c r="X874" s="198"/>
    </row>
    <row r="875">
      <c r="A875" s="198"/>
      <c r="B875" s="198"/>
      <c r="C875" s="198"/>
      <c r="D875" s="198"/>
      <c r="E875" s="198"/>
      <c r="F875" s="198"/>
      <c r="G875" s="198"/>
      <c r="H875" s="198"/>
      <c r="I875" s="268"/>
      <c r="J875" s="198"/>
      <c r="K875" s="198"/>
      <c r="L875" s="198"/>
      <c r="M875" s="198"/>
      <c r="N875" s="198"/>
      <c r="O875" s="198"/>
      <c r="P875" s="198"/>
      <c r="Q875" s="198"/>
      <c r="R875" s="198"/>
      <c r="S875" s="198"/>
      <c r="T875" s="198"/>
      <c r="U875" s="198"/>
      <c r="V875" s="198"/>
      <c r="W875" s="198"/>
      <c r="X875" s="198"/>
    </row>
    <row r="876">
      <c r="A876" s="198"/>
      <c r="B876" s="198"/>
      <c r="C876" s="198"/>
      <c r="D876" s="198"/>
      <c r="E876" s="198"/>
      <c r="F876" s="198"/>
      <c r="G876" s="198"/>
      <c r="H876" s="198"/>
      <c r="I876" s="268"/>
      <c r="J876" s="198"/>
      <c r="K876" s="198"/>
      <c r="L876" s="198"/>
      <c r="M876" s="198"/>
      <c r="N876" s="198"/>
      <c r="O876" s="198"/>
      <c r="P876" s="198"/>
      <c r="Q876" s="198"/>
      <c r="R876" s="198"/>
      <c r="S876" s="198"/>
      <c r="T876" s="198"/>
      <c r="U876" s="198"/>
      <c r="V876" s="198"/>
      <c r="W876" s="198"/>
      <c r="X876" s="198"/>
    </row>
    <row r="877">
      <c r="A877" s="198"/>
      <c r="B877" s="198"/>
      <c r="C877" s="198"/>
      <c r="D877" s="198"/>
      <c r="E877" s="198"/>
      <c r="F877" s="198"/>
      <c r="G877" s="198"/>
      <c r="H877" s="198"/>
      <c r="I877" s="268"/>
      <c r="J877" s="198"/>
      <c r="K877" s="198"/>
      <c r="L877" s="198"/>
      <c r="M877" s="198"/>
      <c r="N877" s="198"/>
      <c r="O877" s="198"/>
      <c r="P877" s="198"/>
      <c r="Q877" s="198"/>
      <c r="R877" s="198"/>
      <c r="S877" s="198"/>
      <c r="T877" s="198"/>
      <c r="U877" s="198"/>
      <c r="V877" s="198"/>
      <c r="W877" s="198"/>
      <c r="X877" s="198"/>
    </row>
    <row r="878">
      <c r="A878" s="198"/>
      <c r="B878" s="198"/>
      <c r="C878" s="198"/>
      <c r="D878" s="198"/>
      <c r="E878" s="198"/>
      <c r="F878" s="198"/>
      <c r="G878" s="198"/>
      <c r="H878" s="198"/>
      <c r="I878" s="268"/>
      <c r="J878" s="198"/>
      <c r="K878" s="198"/>
      <c r="L878" s="198"/>
      <c r="M878" s="198"/>
      <c r="N878" s="198"/>
      <c r="O878" s="198"/>
      <c r="P878" s="198"/>
      <c r="Q878" s="198"/>
      <c r="R878" s="198"/>
      <c r="S878" s="198"/>
      <c r="T878" s="198"/>
      <c r="U878" s="198"/>
      <c r="V878" s="198"/>
      <c r="W878" s="198"/>
      <c r="X878" s="198"/>
    </row>
    <row r="879">
      <c r="A879" s="198"/>
      <c r="B879" s="198"/>
      <c r="C879" s="198"/>
      <c r="D879" s="198"/>
      <c r="E879" s="198"/>
      <c r="F879" s="198"/>
      <c r="G879" s="198"/>
      <c r="H879" s="198"/>
      <c r="I879" s="268"/>
      <c r="J879" s="198"/>
      <c r="K879" s="198"/>
      <c r="L879" s="198"/>
      <c r="M879" s="198"/>
      <c r="N879" s="198"/>
      <c r="O879" s="198"/>
      <c r="P879" s="198"/>
      <c r="Q879" s="198"/>
      <c r="R879" s="198"/>
      <c r="S879" s="198"/>
      <c r="T879" s="198"/>
      <c r="U879" s="198"/>
      <c r="V879" s="198"/>
      <c r="W879" s="198"/>
      <c r="X879" s="198"/>
    </row>
    <row r="880">
      <c r="A880" s="198"/>
      <c r="B880" s="198"/>
      <c r="C880" s="198"/>
      <c r="D880" s="198"/>
      <c r="E880" s="198"/>
      <c r="F880" s="198"/>
      <c r="G880" s="198"/>
      <c r="H880" s="198"/>
      <c r="I880" s="268"/>
      <c r="J880" s="198"/>
      <c r="K880" s="198"/>
      <c r="L880" s="198"/>
      <c r="M880" s="198"/>
      <c r="N880" s="198"/>
      <c r="O880" s="198"/>
      <c r="P880" s="198"/>
      <c r="Q880" s="198"/>
      <c r="R880" s="198"/>
      <c r="S880" s="198"/>
      <c r="T880" s="198"/>
      <c r="U880" s="198"/>
      <c r="V880" s="198"/>
      <c r="W880" s="198"/>
      <c r="X880" s="198"/>
    </row>
    <row r="881">
      <c r="A881" s="198"/>
      <c r="B881" s="198"/>
      <c r="C881" s="198"/>
      <c r="D881" s="198"/>
      <c r="E881" s="198"/>
      <c r="F881" s="198"/>
      <c r="G881" s="198"/>
      <c r="H881" s="198"/>
      <c r="I881" s="268"/>
      <c r="J881" s="198"/>
      <c r="K881" s="198"/>
      <c r="L881" s="198"/>
      <c r="M881" s="198"/>
      <c r="N881" s="198"/>
      <c r="O881" s="198"/>
      <c r="P881" s="198"/>
      <c r="Q881" s="198"/>
      <c r="R881" s="198"/>
      <c r="S881" s="198"/>
      <c r="T881" s="198"/>
      <c r="U881" s="198"/>
      <c r="V881" s="198"/>
      <c r="W881" s="198"/>
      <c r="X881" s="198"/>
    </row>
    <row r="882">
      <c r="A882" s="198"/>
      <c r="B882" s="198"/>
      <c r="C882" s="198"/>
      <c r="D882" s="198"/>
      <c r="E882" s="198"/>
      <c r="F882" s="198"/>
      <c r="G882" s="198"/>
      <c r="H882" s="198"/>
      <c r="I882" s="268"/>
      <c r="J882" s="198"/>
      <c r="K882" s="198"/>
      <c r="L882" s="198"/>
      <c r="M882" s="198"/>
      <c r="N882" s="198"/>
      <c r="O882" s="198"/>
      <c r="P882" s="198"/>
      <c r="Q882" s="198"/>
      <c r="R882" s="198"/>
      <c r="S882" s="198"/>
      <c r="T882" s="198"/>
      <c r="U882" s="198"/>
      <c r="V882" s="198"/>
      <c r="W882" s="198"/>
      <c r="X882" s="198"/>
    </row>
    <row r="883">
      <c r="A883" s="198"/>
      <c r="B883" s="198"/>
      <c r="C883" s="198"/>
      <c r="D883" s="198"/>
      <c r="E883" s="198"/>
      <c r="F883" s="198"/>
      <c r="G883" s="198"/>
      <c r="H883" s="198"/>
      <c r="I883" s="268"/>
      <c r="J883" s="198"/>
      <c r="K883" s="198"/>
      <c r="L883" s="198"/>
      <c r="M883" s="198"/>
      <c r="N883" s="198"/>
      <c r="O883" s="198"/>
      <c r="P883" s="198"/>
      <c r="Q883" s="198"/>
      <c r="R883" s="198"/>
      <c r="S883" s="198"/>
      <c r="T883" s="198"/>
      <c r="U883" s="198"/>
      <c r="V883" s="198"/>
      <c r="W883" s="198"/>
      <c r="X883" s="198"/>
    </row>
    <row r="884">
      <c r="A884" s="198"/>
      <c r="B884" s="198"/>
      <c r="C884" s="198"/>
      <c r="D884" s="198"/>
      <c r="E884" s="198"/>
      <c r="F884" s="198"/>
      <c r="G884" s="198"/>
      <c r="H884" s="198"/>
      <c r="I884" s="268"/>
      <c r="J884" s="198"/>
      <c r="K884" s="198"/>
      <c r="L884" s="198"/>
      <c r="M884" s="198"/>
      <c r="N884" s="198"/>
      <c r="O884" s="198"/>
      <c r="P884" s="198"/>
      <c r="Q884" s="198"/>
      <c r="R884" s="198"/>
      <c r="S884" s="198"/>
      <c r="T884" s="198"/>
      <c r="U884" s="198"/>
      <c r="V884" s="198"/>
      <c r="W884" s="198"/>
      <c r="X884" s="198"/>
    </row>
    <row r="885">
      <c r="A885" s="198"/>
      <c r="B885" s="198"/>
      <c r="C885" s="198"/>
      <c r="D885" s="198"/>
      <c r="E885" s="198"/>
      <c r="F885" s="198"/>
      <c r="G885" s="198"/>
      <c r="H885" s="198"/>
      <c r="I885" s="268"/>
      <c r="J885" s="198"/>
      <c r="K885" s="198"/>
      <c r="L885" s="198"/>
      <c r="M885" s="198"/>
      <c r="N885" s="198"/>
      <c r="O885" s="198"/>
      <c r="P885" s="198"/>
      <c r="Q885" s="198"/>
      <c r="R885" s="198"/>
      <c r="S885" s="198"/>
      <c r="T885" s="198"/>
      <c r="U885" s="198"/>
      <c r="V885" s="198"/>
      <c r="W885" s="198"/>
      <c r="X885" s="198"/>
    </row>
    <row r="886">
      <c r="A886" s="198"/>
      <c r="B886" s="198"/>
      <c r="C886" s="198"/>
      <c r="D886" s="198"/>
      <c r="E886" s="198"/>
      <c r="F886" s="198"/>
      <c r="G886" s="198"/>
      <c r="H886" s="198"/>
      <c r="I886" s="268"/>
      <c r="J886" s="198"/>
      <c r="K886" s="198"/>
      <c r="L886" s="198"/>
      <c r="M886" s="198"/>
      <c r="N886" s="198"/>
      <c r="O886" s="198"/>
      <c r="P886" s="198"/>
      <c r="Q886" s="198"/>
      <c r="R886" s="198"/>
      <c r="S886" s="198"/>
      <c r="T886" s="198"/>
      <c r="U886" s="198"/>
      <c r="V886" s="198"/>
      <c r="W886" s="198"/>
      <c r="X886" s="198"/>
    </row>
    <row r="887">
      <c r="A887" s="198"/>
      <c r="B887" s="198"/>
      <c r="C887" s="198"/>
      <c r="D887" s="198"/>
      <c r="E887" s="198"/>
      <c r="F887" s="198"/>
      <c r="G887" s="198"/>
      <c r="H887" s="198"/>
      <c r="I887" s="268"/>
      <c r="J887" s="198"/>
      <c r="K887" s="198"/>
      <c r="L887" s="198"/>
      <c r="M887" s="198"/>
      <c r="N887" s="198"/>
      <c r="O887" s="198"/>
      <c r="P887" s="198"/>
      <c r="Q887" s="198"/>
      <c r="R887" s="198"/>
      <c r="S887" s="198"/>
      <c r="T887" s="198"/>
      <c r="U887" s="198"/>
      <c r="V887" s="198"/>
      <c r="W887" s="198"/>
      <c r="X887" s="198"/>
    </row>
    <row r="888">
      <c r="A888" s="198"/>
      <c r="B888" s="198"/>
      <c r="C888" s="198"/>
      <c r="D888" s="198"/>
      <c r="E888" s="198"/>
      <c r="F888" s="198"/>
      <c r="G888" s="198"/>
      <c r="H888" s="198"/>
      <c r="I888" s="268"/>
      <c r="J888" s="198"/>
      <c r="K888" s="198"/>
      <c r="L888" s="198"/>
      <c r="M888" s="198"/>
      <c r="N888" s="198"/>
      <c r="O888" s="198"/>
      <c r="P888" s="198"/>
      <c r="Q888" s="198"/>
      <c r="R888" s="198"/>
      <c r="S888" s="198"/>
      <c r="T888" s="198"/>
      <c r="U888" s="198"/>
      <c r="V888" s="198"/>
      <c r="W888" s="198"/>
      <c r="X888" s="198"/>
    </row>
    <row r="889">
      <c r="A889" s="198"/>
      <c r="B889" s="198"/>
      <c r="C889" s="198"/>
      <c r="D889" s="198"/>
      <c r="E889" s="198"/>
      <c r="F889" s="198"/>
      <c r="G889" s="198"/>
      <c r="H889" s="198"/>
      <c r="I889" s="268"/>
      <c r="J889" s="198"/>
      <c r="K889" s="198"/>
      <c r="L889" s="198"/>
      <c r="M889" s="198"/>
      <c r="N889" s="198"/>
      <c r="O889" s="198"/>
      <c r="P889" s="198"/>
      <c r="Q889" s="198"/>
      <c r="R889" s="198"/>
      <c r="S889" s="198"/>
      <c r="T889" s="198"/>
      <c r="U889" s="198"/>
      <c r="V889" s="198"/>
      <c r="W889" s="198"/>
      <c r="X889" s="198"/>
    </row>
    <row r="890">
      <c r="A890" s="198"/>
      <c r="B890" s="198"/>
      <c r="C890" s="198"/>
      <c r="D890" s="198"/>
      <c r="E890" s="198"/>
      <c r="F890" s="198"/>
      <c r="G890" s="198"/>
      <c r="H890" s="198"/>
      <c r="I890" s="268"/>
      <c r="J890" s="198"/>
      <c r="K890" s="198"/>
      <c r="L890" s="198"/>
      <c r="M890" s="198"/>
      <c r="N890" s="198"/>
      <c r="O890" s="198"/>
      <c r="P890" s="198"/>
      <c r="Q890" s="198"/>
      <c r="R890" s="198"/>
      <c r="S890" s="198"/>
      <c r="T890" s="198"/>
      <c r="U890" s="198"/>
      <c r="V890" s="198"/>
      <c r="W890" s="198"/>
      <c r="X890" s="198"/>
    </row>
    <row r="891">
      <c r="A891" s="198"/>
      <c r="B891" s="198"/>
      <c r="C891" s="198"/>
      <c r="D891" s="198"/>
      <c r="E891" s="198"/>
      <c r="F891" s="198"/>
      <c r="G891" s="198"/>
      <c r="H891" s="198"/>
      <c r="I891" s="268"/>
      <c r="J891" s="198"/>
      <c r="K891" s="198"/>
      <c r="L891" s="198"/>
      <c r="M891" s="198"/>
      <c r="N891" s="198"/>
      <c r="O891" s="198"/>
      <c r="P891" s="198"/>
      <c r="Q891" s="198"/>
      <c r="R891" s="198"/>
      <c r="S891" s="198"/>
      <c r="T891" s="198"/>
      <c r="U891" s="198"/>
      <c r="V891" s="198"/>
      <c r="W891" s="198"/>
      <c r="X891" s="198"/>
    </row>
    <row r="892">
      <c r="A892" s="198"/>
      <c r="B892" s="198"/>
      <c r="C892" s="198"/>
      <c r="D892" s="198"/>
      <c r="E892" s="198"/>
      <c r="F892" s="198"/>
      <c r="G892" s="198"/>
      <c r="H892" s="198"/>
      <c r="I892" s="268"/>
      <c r="J892" s="198"/>
      <c r="K892" s="198"/>
      <c r="L892" s="198"/>
      <c r="M892" s="198"/>
      <c r="N892" s="198"/>
      <c r="O892" s="198"/>
      <c r="P892" s="198"/>
      <c r="Q892" s="198"/>
      <c r="R892" s="198"/>
      <c r="S892" s="198"/>
      <c r="T892" s="198"/>
      <c r="U892" s="198"/>
      <c r="V892" s="198"/>
      <c r="W892" s="198"/>
      <c r="X892" s="198"/>
    </row>
    <row r="893">
      <c r="A893" s="198"/>
      <c r="B893" s="198"/>
      <c r="C893" s="198"/>
      <c r="D893" s="198"/>
      <c r="E893" s="198"/>
      <c r="F893" s="198"/>
      <c r="G893" s="198"/>
      <c r="H893" s="198"/>
      <c r="I893" s="268"/>
      <c r="J893" s="198"/>
      <c r="K893" s="198"/>
      <c r="L893" s="198"/>
      <c r="M893" s="198"/>
      <c r="N893" s="198"/>
      <c r="O893" s="198"/>
      <c r="P893" s="198"/>
      <c r="Q893" s="198"/>
      <c r="R893" s="198"/>
      <c r="S893" s="198"/>
      <c r="T893" s="198"/>
      <c r="U893" s="198"/>
      <c r="V893" s="198"/>
      <c r="W893" s="198"/>
      <c r="X893" s="198"/>
    </row>
    <row r="894">
      <c r="A894" s="198"/>
      <c r="B894" s="198"/>
      <c r="C894" s="198"/>
      <c r="D894" s="198"/>
      <c r="E894" s="198"/>
      <c r="F894" s="198"/>
      <c r="G894" s="198"/>
      <c r="H894" s="198"/>
      <c r="I894" s="268"/>
      <c r="J894" s="198"/>
      <c r="K894" s="198"/>
      <c r="L894" s="198"/>
      <c r="M894" s="198"/>
      <c r="N894" s="198"/>
      <c r="O894" s="198"/>
      <c r="P894" s="198"/>
      <c r="Q894" s="198"/>
      <c r="R894" s="198"/>
      <c r="S894" s="198"/>
      <c r="T894" s="198"/>
      <c r="U894" s="198"/>
      <c r="V894" s="198"/>
      <c r="W894" s="198"/>
      <c r="X894" s="198"/>
    </row>
    <row r="895">
      <c r="A895" s="198"/>
      <c r="B895" s="198"/>
      <c r="C895" s="198"/>
      <c r="D895" s="198"/>
      <c r="E895" s="198"/>
      <c r="F895" s="198"/>
      <c r="G895" s="198"/>
      <c r="H895" s="198"/>
      <c r="I895" s="268"/>
      <c r="J895" s="198"/>
      <c r="K895" s="198"/>
      <c r="L895" s="198"/>
      <c r="M895" s="198"/>
      <c r="N895" s="198"/>
      <c r="O895" s="198"/>
      <c r="P895" s="198"/>
      <c r="Q895" s="198"/>
      <c r="R895" s="198"/>
      <c r="S895" s="198"/>
      <c r="T895" s="198"/>
      <c r="U895" s="198"/>
      <c r="V895" s="198"/>
      <c r="W895" s="198"/>
      <c r="X895" s="198"/>
    </row>
    <row r="896">
      <c r="A896" s="198"/>
      <c r="B896" s="198"/>
      <c r="C896" s="198"/>
      <c r="D896" s="198"/>
      <c r="E896" s="198"/>
      <c r="F896" s="198"/>
      <c r="G896" s="198"/>
      <c r="H896" s="198"/>
      <c r="I896" s="268"/>
      <c r="J896" s="198"/>
      <c r="K896" s="198"/>
      <c r="L896" s="198"/>
      <c r="M896" s="198"/>
      <c r="N896" s="198"/>
      <c r="O896" s="198"/>
      <c r="P896" s="198"/>
      <c r="Q896" s="198"/>
      <c r="R896" s="198"/>
      <c r="S896" s="198"/>
      <c r="T896" s="198"/>
      <c r="U896" s="198"/>
      <c r="V896" s="198"/>
      <c r="W896" s="198"/>
      <c r="X896" s="198"/>
    </row>
    <row r="897">
      <c r="A897" s="198"/>
      <c r="B897" s="198"/>
      <c r="C897" s="198"/>
      <c r="D897" s="198"/>
      <c r="E897" s="198"/>
      <c r="F897" s="198"/>
      <c r="G897" s="198"/>
      <c r="H897" s="198"/>
      <c r="I897" s="268"/>
      <c r="J897" s="198"/>
      <c r="K897" s="198"/>
      <c r="L897" s="198"/>
      <c r="M897" s="198"/>
      <c r="N897" s="198"/>
      <c r="O897" s="198"/>
      <c r="P897" s="198"/>
      <c r="Q897" s="198"/>
      <c r="R897" s="198"/>
      <c r="S897" s="198"/>
      <c r="T897" s="198"/>
      <c r="U897" s="198"/>
      <c r="V897" s="198"/>
      <c r="W897" s="198"/>
      <c r="X897" s="198"/>
    </row>
    <row r="898">
      <c r="A898" s="198"/>
      <c r="B898" s="198"/>
      <c r="C898" s="198"/>
      <c r="D898" s="198"/>
      <c r="E898" s="198"/>
      <c r="F898" s="198"/>
      <c r="G898" s="198"/>
      <c r="H898" s="198"/>
      <c r="I898" s="268"/>
      <c r="J898" s="198"/>
      <c r="K898" s="198"/>
      <c r="L898" s="198"/>
      <c r="M898" s="198"/>
      <c r="N898" s="198"/>
      <c r="O898" s="198"/>
      <c r="P898" s="198"/>
      <c r="Q898" s="198"/>
      <c r="R898" s="198"/>
      <c r="S898" s="198"/>
      <c r="T898" s="198"/>
      <c r="U898" s="198"/>
      <c r="V898" s="198"/>
      <c r="W898" s="198"/>
      <c r="X898" s="198"/>
    </row>
    <row r="899">
      <c r="A899" s="198"/>
      <c r="B899" s="198"/>
      <c r="C899" s="198"/>
      <c r="D899" s="198"/>
      <c r="E899" s="198"/>
      <c r="F899" s="198"/>
      <c r="G899" s="198"/>
      <c r="H899" s="198"/>
      <c r="I899" s="268"/>
      <c r="J899" s="198"/>
      <c r="K899" s="198"/>
      <c r="L899" s="198"/>
      <c r="M899" s="198"/>
      <c r="N899" s="198"/>
      <c r="O899" s="198"/>
      <c r="P899" s="198"/>
      <c r="Q899" s="198"/>
      <c r="R899" s="198"/>
      <c r="S899" s="198"/>
      <c r="T899" s="198"/>
      <c r="U899" s="198"/>
      <c r="V899" s="198"/>
      <c r="W899" s="198"/>
      <c r="X899" s="198"/>
    </row>
    <row r="900">
      <c r="A900" s="198"/>
      <c r="B900" s="198"/>
      <c r="C900" s="198"/>
      <c r="D900" s="198"/>
      <c r="E900" s="198"/>
      <c r="F900" s="198"/>
      <c r="G900" s="198"/>
      <c r="H900" s="198"/>
      <c r="I900" s="268"/>
      <c r="J900" s="198"/>
      <c r="K900" s="198"/>
      <c r="L900" s="198"/>
      <c r="M900" s="198"/>
      <c r="N900" s="198"/>
      <c r="O900" s="198"/>
      <c r="P900" s="198"/>
      <c r="Q900" s="198"/>
      <c r="R900" s="198"/>
      <c r="S900" s="198"/>
      <c r="T900" s="198"/>
      <c r="U900" s="198"/>
      <c r="V900" s="198"/>
      <c r="W900" s="198"/>
      <c r="X900" s="198"/>
    </row>
    <row r="901">
      <c r="A901" s="198"/>
      <c r="B901" s="198"/>
      <c r="C901" s="198"/>
      <c r="D901" s="198"/>
      <c r="E901" s="198"/>
      <c r="F901" s="198"/>
      <c r="G901" s="198"/>
      <c r="H901" s="198"/>
      <c r="I901" s="268"/>
      <c r="J901" s="198"/>
      <c r="K901" s="198"/>
      <c r="L901" s="198"/>
      <c r="M901" s="198"/>
      <c r="N901" s="198"/>
      <c r="O901" s="198"/>
      <c r="P901" s="198"/>
      <c r="Q901" s="198"/>
      <c r="R901" s="198"/>
      <c r="S901" s="198"/>
      <c r="T901" s="198"/>
      <c r="U901" s="198"/>
      <c r="V901" s="198"/>
      <c r="W901" s="198"/>
      <c r="X901" s="198"/>
    </row>
    <row r="902">
      <c r="A902" s="198"/>
      <c r="B902" s="198"/>
      <c r="C902" s="198"/>
      <c r="D902" s="198"/>
      <c r="E902" s="198"/>
      <c r="F902" s="198"/>
      <c r="G902" s="198"/>
      <c r="H902" s="198"/>
      <c r="I902" s="268"/>
      <c r="J902" s="198"/>
      <c r="K902" s="198"/>
      <c r="L902" s="198"/>
      <c r="M902" s="198"/>
      <c r="N902" s="198"/>
      <c r="O902" s="198"/>
      <c r="P902" s="198"/>
      <c r="Q902" s="198"/>
      <c r="R902" s="198"/>
      <c r="S902" s="198"/>
      <c r="T902" s="198"/>
      <c r="U902" s="198"/>
      <c r="V902" s="198"/>
      <c r="W902" s="198"/>
      <c r="X902" s="198"/>
    </row>
    <row r="903">
      <c r="A903" s="198"/>
      <c r="B903" s="198"/>
      <c r="C903" s="198"/>
      <c r="D903" s="198"/>
      <c r="E903" s="198"/>
      <c r="F903" s="198"/>
      <c r="G903" s="198"/>
      <c r="H903" s="198"/>
      <c r="I903" s="268"/>
      <c r="J903" s="198"/>
      <c r="K903" s="198"/>
      <c r="L903" s="198"/>
      <c r="M903" s="198"/>
      <c r="N903" s="198"/>
      <c r="O903" s="198"/>
      <c r="P903" s="198"/>
      <c r="Q903" s="198"/>
      <c r="R903" s="198"/>
      <c r="S903" s="198"/>
      <c r="T903" s="198"/>
      <c r="U903" s="198"/>
      <c r="V903" s="198"/>
      <c r="W903" s="198"/>
      <c r="X903" s="198"/>
    </row>
    <row r="904">
      <c r="A904" s="198"/>
      <c r="B904" s="198"/>
      <c r="C904" s="198"/>
      <c r="D904" s="198"/>
      <c r="E904" s="198"/>
      <c r="F904" s="198"/>
      <c r="G904" s="198"/>
      <c r="H904" s="198"/>
      <c r="I904" s="268"/>
      <c r="J904" s="198"/>
      <c r="K904" s="198"/>
      <c r="L904" s="198"/>
      <c r="M904" s="198"/>
      <c r="N904" s="198"/>
      <c r="O904" s="198"/>
      <c r="P904" s="198"/>
      <c r="Q904" s="198"/>
      <c r="R904" s="198"/>
      <c r="S904" s="198"/>
      <c r="T904" s="198"/>
      <c r="U904" s="198"/>
      <c r="V904" s="198"/>
      <c r="W904" s="198"/>
      <c r="X904" s="198"/>
    </row>
    <row r="905">
      <c r="A905" s="198"/>
      <c r="B905" s="198"/>
      <c r="C905" s="198"/>
      <c r="D905" s="198"/>
      <c r="E905" s="198"/>
      <c r="F905" s="198"/>
      <c r="G905" s="198"/>
      <c r="H905" s="198"/>
      <c r="I905" s="268"/>
      <c r="J905" s="198"/>
      <c r="K905" s="198"/>
      <c r="L905" s="198"/>
      <c r="M905" s="198"/>
      <c r="N905" s="198"/>
      <c r="O905" s="198"/>
      <c r="P905" s="198"/>
      <c r="Q905" s="198"/>
      <c r="R905" s="198"/>
      <c r="S905" s="198"/>
      <c r="T905" s="198"/>
      <c r="U905" s="198"/>
      <c r="V905" s="198"/>
      <c r="W905" s="198"/>
      <c r="X905" s="198"/>
    </row>
    <row r="906">
      <c r="A906" s="198"/>
      <c r="B906" s="198"/>
      <c r="C906" s="198"/>
      <c r="D906" s="198"/>
      <c r="E906" s="198"/>
      <c r="F906" s="198"/>
      <c r="G906" s="198"/>
      <c r="H906" s="198"/>
      <c r="I906" s="268"/>
      <c r="J906" s="198"/>
      <c r="K906" s="198"/>
      <c r="L906" s="198"/>
      <c r="M906" s="198"/>
      <c r="N906" s="198"/>
      <c r="O906" s="198"/>
      <c r="P906" s="198"/>
      <c r="Q906" s="198"/>
      <c r="R906" s="198"/>
      <c r="S906" s="198"/>
      <c r="T906" s="198"/>
      <c r="U906" s="198"/>
      <c r="V906" s="198"/>
      <c r="W906" s="198"/>
      <c r="X906" s="198"/>
    </row>
    <row r="907">
      <c r="A907" s="198"/>
      <c r="B907" s="198"/>
      <c r="C907" s="198"/>
      <c r="D907" s="198"/>
      <c r="E907" s="198"/>
      <c r="F907" s="198"/>
      <c r="G907" s="198"/>
      <c r="H907" s="198"/>
      <c r="I907" s="268"/>
      <c r="J907" s="198"/>
      <c r="K907" s="198"/>
      <c r="L907" s="198"/>
      <c r="M907" s="198"/>
      <c r="N907" s="198"/>
      <c r="O907" s="198"/>
      <c r="P907" s="198"/>
      <c r="Q907" s="198"/>
      <c r="R907" s="198"/>
      <c r="S907" s="198"/>
      <c r="T907" s="198"/>
      <c r="U907" s="198"/>
      <c r="V907" s="198"/>
      <c r="W907" s="198"/>
      <c r="X907" s="198"/>
    </row>
    <row r="908">
      <c r="A908" s="198"/>
      <c r="B908" s="198"/>
      <c r="C908" s="198"/>
      <c r="D908" s="198"/>
      <c r="E908" s="198"/>
      <c r="F908" s="198"/>
      <c r="G908" s="198"/>
      <c r="H908" s="198"/>
      <c r="I908" s="268"/>
      <c r="J908" s="198"/>
      <c r="K908" s="198"/>
      <c r="L908" s="198"/>
      <c r="M908" s="198"/>
      <c r="N908" s="198"/>
      <c r="O908" s="198"/>
      <c r="P908" s="198"/>
      <c r="Q908" s="198"/>
      <c r="R908" s="198"/>
      <c r="S908" s="198"/>
      <c r="T908" s="198"/>
      <c r="U908" s="198"/>
      <c r="V908" s="198"/>
      <c r="W908" s="198"/>
      <c r="X908" s="198"/>
    </row>
    <row r="909">
      <c r="A909" s="198"/>
      <c r="B909" s="198"/>
      <c r="C909" s="198"/>
      <c r="D909" s="198"/>
      <c r="E909" s="198"/>
      <c r="F909" s="198"/>
      <c r="G909" s="198"/>
      <c r="H909" s="198"/>
      <c r="I909" s="268"/>
      <c r="J909" s="198"/>
      <c r="K909" s="198"/>
      <c r="L909" s="198"/>
      <c r="M909" s="198"/>
      <c r="N909" s="198"/>
      <c r="O909" s="198"/>
      <c r="P909" s="198"/>
      <c r="Q909" s="198"/>
      <c r="R909" s="198"/>
      <c r="S909" s="198"/>
      <c r="T909" s="198"/>
      <c r="U909" s="198"/>
      <c r="V909" s="198"/>
      <c r="W909" s="198"/>
      <c r="X909" s="198"/>
    </row>
    <row r="910">
      <c r="A910" s="198"/>
      <c r="B910" s="198"/>
      <c r="C910" s="198"/>
      <c r="D910" s="198"/>
      <c r="E910" s="198"/>
      <c r="F910" s="198"/>
      <c r="G910" s="198"/>
      <c r="H910" s="198"/>
      <c r="I910" s="268"/>
      <c r="J910" s="198"/>
      <c r="K910" s="198"/>
      <c r="L910" s="198"/>
      <c r="M910" s="198"/>
      <c r="N910" s="198"/>
      <c r="O910" s="198"/>
      <c r="P910" s="198"/>
      <c r="Q910" s="198"/>
      <c r="R910" s="198"/>
      <c r="S910" s="198"/>
      <c r="T910" s="198"/>
      <c r="U910" s="198"/>
      <c r="V910" s="198"/>
      <c r="W910" s="198"/>
      <c r="X910" s="198"/>
    </row>
    <row r="911">
      <c r="A911" s="198"/>
      <c r="B911" s="198"/>
      <c r="C911" s="198"/>
      <c r="D911" s="198"/>
      <c r="E911" s="198"/>
      <c r="F911" s="198"/>
      <c r="G911" s="198"/>
      <c r="H911" s="198"/>
      <c r="I911" s="268"/>
      <c r="J911" s="198"/>
      <c r="K911" s="198"/>
      <c r="L911" s="198"/>
      <c r="M911" s="198"/>
      <c r="N911" s="198"/>
      <c r="O911" s="198"/>
      <c r="P911" s="198"/>
      <c r="Q911" s="198"/>
      <c r="R911" s="198"/>
      <c r="S911" s="198"/>
      <c r="T911" s="198"/>
      <c r="U911" s="198"/>
      <c r="V911" s="198"/>
      <c r="W911" s="198"/>
      <c r="X911" s="198"/>
    </row>
    <row r="912">
      <c r="A912" s="198"/>
      <c r="B912" s="198"/>
      <c r="C912" s="198"/>
      <c r="D912" s="198"/>
      <c r="E912" s="198"/>
      <c r="F912" s="198"/>
      <c r="G912" s="198"/>
      <c r="H912" s="198"/>
      <c r="I912" s="268"/>
      <c r="J912" s="198"/>
      <c r="K912" s="198"/>
      <c r="L912" s="198"/>
      <c r="M912" s="198"/>
      <c r="N912" s="198"/>
      <c r="O912" s="198"/>
      <c r="P912" s="198"/>
      <c r="Q912" s="198"/>
      <c r="R912" s="198"/>
      <c r="S912" s="198"/>
      <c r="T912" s="198"/>
      <c r="U912" s="198"/>
      <c r="V912" s="198"/>
      <c r="W912" s="198"/>
      <c r="X912" s="198"/>
    </row>
    <row r="913">
      <c r="A913" s="198"/>
      <c r="B913" s="198"/>
      <c r="C913" s="198"/>
      <c r="D913" s="198"/>
      <c r="E913" s="198"/>
      <c r="F913" s="198"/>
      <c r="G913" s="198"/>
      <c r="H913" s="198"/>
      <c r="I913" s="268"/>
      <c r="J913" s="198"/>
      <c r="K913" s="198"/>
      <c r="L913" s="198"/>
      <c r="M913" s="198"/>
      <c r="N913" s="198"/>
      <c r="O913" s="198"/>
      <c r="P913" s="198"/>
      <c r="Q913" s="198"/>
      <c r="R913" s="198"/>
      <c r="S913" s="198"/>
      <c r="T913" s="198"/>
      <c r="U913" s="198"/>
      <c r="V913" s="198"/>
      <c r="W913" s="198"/>
      <c r="X913" s="198"/>
    </row>
    <row r="914">
      <c r="A914" s="198"/>
      <c r="B914" s="198"/>
      <c r="C914" s="198"/>
      <c r="D914" s="198"/>
      <c r="E914" s="198"/>
      <c r="F914" s="198"/>
      <c r="G914" s="198"/>
      <c r="H914" s="198"/>
      <c r="I914" s="268"/>
      <c r="J914" s="198"/>
      <c r="K914" s="198"/>
      <c r="L914" s="198"/>
      <c r="M914" s="198"/>
      <c r="N914" s="198"/>
      <c r="O914" s="198"/>
      <c r="P914" s="198"/>
      <c r="Q914" s="198"/>
      <c r="R914" s="198"/>
      <c r="S914" s="198"/>
      <c r="T914" s="198"/>
      <c r="U914" s="198"/>
      <c r="V914" s="198"/>
      <c r="W914" s="198"/>
      <c r="X914" s="198"/>
    </row>
    <row r="915">
      <c r="A915" s="198"/>
      <c r="B915" s="198"/>
      <c r="C915" s="198"/>
      <c r="D915" s="198"/>
      <c r="E915" s="198"/>
      <c r="F915" s="198"/>
      <c r="G915" s="198"/>
      <c r="H915" s="198"/>
      <c r="I915" s="268"/>
      <c r="J915" s="198"/>
      <c r="K915" s="198"/>
      <c r="L915" s="198"/>
      <c r="M915" s="198"/>
      <c r="N915" s="198"/>
      <c r="O915" s="198"/>
      <c r="P915" s="198"/>
      <c r="Q915" s="198"/>
      <c r="R915" s="198"/>
      <c r="S915" s="198"/>
      <c r="T915" s="198"/>
      <c r="U915" s="198"/>
      <c r="V915" s="198"/>
      <c r="W915" s="198"/>
      <c r="X915" s="198"/>
    </row>
    <row r="916">
      <c r="A916" s="198"/>
      <c r="B916" s="198"/>
      <c r="C916" s="198"/>
      <c r="D916" s="198"/>
      <c r="E916" s="198"/>
      <c r="F916" s="198"/>
      <c r="G916" s="198"/>
      <c r="H916" s="198"/>
      <c r="I916" s="268"/>
      <c r="J916" s="198"/>
      <c r="K916" s="198"/>
      <c r="L916" s="198"/>
      <c r="M916" s="198"/>
      <c r="N916" s="198"/>
      <c r="O916" s="198"/>
      <c r="P916" s="198"/>
      <c r="Q916" s="198"/>
      <c r="R916" s="198"/>
      <c r="S916" s="198"/>
      <c r="T916" s="198"/>
      <c r="U916" s="198"/>
      <c r="V916" s="198"/>
      <c r="W916" s="198"/>
      <c r="X916" s="198"/>
    </row>
    <row r="917">
      <c r="A917" s="198"/>
      <c r="B917" s="198"/>
      <c r="C917" s="198"/>
      <c r="D917" s="198"/>
      <c r="E917" s="198"/>
      <c r="F917" s="198"/>
      <c r="G917" s="198"/>
      <c r="H917" s="198"/>
      <c r="I917" s="268"/>
      <c r="J917" s="198"/>
      <c r="K917" s="198"/>
      <c r="L917" s="198"/>
      <c r="M917" s="198"/>
      <c r="N917" s="198"/>
      <c r="O917" s="198"/>
      <c r="P917" s="198"/>
      <c r="Q917" s="198"/>
      <c r="R917" s="198"/>
      <c r="S917" s="198"/>
      <c r="T917" s="198"/>
      <c r="U917" s="198"/>
      <c r="V917" s="198"/>
      <c r="W917" s="198"/>
      <c r="X917" s="198"/>
    </row>
    <row r="918">
      <c r="A918" s="198"/>
      <c r="B918" s="198"/>
      <c r="C918" s="198"/>
      <c r="D918" s="198"/>
      <c r="E918" s="198"/>
      <c r="F918" s="198"/>
      <c r="G918" s="198"/>
      <c r="H918" s="198"/>
      <c r="I918" s="268"/>
      <c r="J918" s="198"/>
      <c r="K918" s="198"/>
      <c r="L918" s="198"/>
      <c r="M918" s="198"/>
      <c r="N918" s="198"/>
      <c r="O918" s="198"/>
      <c r="P918" s="198"/>
      <c r="Q918" s="198"/>
      <c r="R918" s="198"/>
      <c r="S918" s="198"/>
      <c r="T918" s="198"/>
      <c r="U918" s="198"/>
      <c r="V918" s="198"/>
      <c r="W918" s="198"/>
      <c r="X918" s="198"/>
    </row>
    <row r="919">
      <c r="A919" s="198"/>
      <c r="B919" s="198"/>
      <c r="C919" s="198"/>
      <c r="D919" s="198"/>
      <c r="E919" s="198"/>
      <c r="F919" s="198"/>
      <c r="G919" s="198"/>
      <c r="H919" s="198"/>
      <c r="I919" s="268"/>
      <c r="J919" s="198"/>
      <c r="K919" s="198"/>
      <c r="L919" s="198"/>
      <c r="M919" s="198"/>
      <c r="N919" s="198"/>
      <c r="O919" s="198"/>
      <c r="P919" s="198"/>
      <c r="Q919" s="198"/>
      <c r="R919" s="198"/>
      <c r="S919" s="198"/>
      <c r="T919" s="198"/>
      <c r="U919" s="198"/>
      <c r="V919" s="198"/>
      <c r="W919" s="198"/>
      <c r="X919" s="198"/>
    </row>
    <row r="920">
      <c r="A920" s="198"/>
      <c r="B920" s="198"/>
      <c r="C920" s="198"/>
      <c r="D920" s="198"/>
      <c r="E920" s="198"/>
      <c r="F920" s="198"/>
      <c r="G920" s="198"/>
      <c r="H920" s="198"/>
      <c r="I920" s="268"/>
      <c r="J920" s="198"/>
      <c r="K920" s="198"/>
      <c r="L920" s="198"/>
      <c r="M920" s="198"/>
      <c r="N920" s="198"/>
      <c r="O920" s="198"/>
      <c r="P920" s="198"/>
      <c r="Q920" s="198"/>
      <c r="R920" s="198"/>
      <c r="S920" s="198"/>
      <c r="T920" s="198"/>
      <c r="U920" s="198"/>
      <c r="V920" s="198"/>
      <c r="W920" s="198"/>
      <c r="X920" s="198"/>
    </row>
    <row r="921">
      <c r="A921" s="198"/>
      <c r="B921" s="198"/>
      <c r="C921" s="198"/>
      <c r="D921" s="198"/>
      <c r="E921" s="198"/>
      <c r="F921" s="198"/>
      <c r="G921" s="198"/>
      <c r="H921" s="198"/>
      <c r="I921" s="268"/>
      <c r="J921" s="198"/>
      <c r="K921" s="198"/>
      <c r="L921" s="198"/>
      <c r="M921" s="198"/>
      <c r="N921" s="198"/>
      <c r="O921" s="198"/>
      <c r="P921" s="198"/>
      <c r="Q921" s="198"/>
      <c r="R921" s="198"/>
      <c r="S921" s="198"/>
      <c r="T921" s="198"/>
      <c r="U921" s="198"/>
      <c r="V921" s="198"/>
      <c r="W921" s="198"/>
      <c r="X921" s="198"/>
    </row>
    <row r="922">
      <c r="A922" s="198"/>
      <c r="B922" s="198"/>
      <c r="C922" s="198"/>
      <c r="D922" s="198"/>
      <c r="E922" s="198"/>
      <c r="F922" s="198"/>
      <c r="G922" s="198"/>
      <c r="H922" s="198"/>
      <c r="I922" s="268"/>
      <c r="J922" s="198"/>
      <c r="K922" s="198"/>
      <c r="L922" s="198"/>
      <c r="M922" s="198"/>
      <c r="N922" s="198"/>
      <c r="O922" s="198"/>
      <c r="P922" s="198"/>
      <c r="Q922" s="198"/>
      <c r="R922" s="198"/>
      <c r="S922" s="198"/>
      <c r="T922" s="198"/>
      <c r="U922" s="198"/>
      <c r="V922" s="198"/>
      <c r="W922" s="198"/>
      <c r="X922" s="198"/>
    </row>
    <row r="923">
      <c r="A923" s="198"/>
      <c r="B923" s="198"/>
      <c r="C923" s="198"/>
      <c r="D923" s="198"/>
      <c r="E923" s="198"/>
      <c r="F923" s="198"/>
      <c r="G923" s="198"/>
      <c r="H923" s="198"/>
      <c r="I923" s="268"/>
      <c r="J923" s="198"/>
      <c r="K923" s="198"/>
      <c r="L923" s="198"/>
      <c r="M923" s="198"/>
      <c r="N923" s="198"/>
      <c r="O923" s="198"/>
      <c r="P923" s="198"/>
      <c r="Q923" s="198"/>
      <c r="R923" s="198"/>
      <c r="S923" s="198"/>
      <c r="T923" s="198"/>
      <c r="U923" s="198"/>
      <c r="V923" s="198"/>
      <c r="W923" s="198"/>
      <c r="X923" s="198"/>
    </row>
    <row r="924">
      <c r="A924" s="198"/>
      <c r="B924" s="198"/>
      <c r="C924" s="198"/>
      <c r="D924" s="198"/>
      <c r="E924" s="198"/>
      <c r="F924" s="198"/>
      <c r="G924" s="198"/>
      <c r="H924" s="198"/>
      <c r="I924" s="268"/>
      <c r="J924" s="198"/>
      <c r="K924" s="198"/>
      <c r="L924" s="198"/>
      <c r="M924" s="198"/>
      <c r="N924" s="198"/>
      <c r="O924" s="198"/>
      <c r="P924" s="198"/>
      <c r="Q924" s="198"/>
      <c r="R924" s="198"/>
      <c r="S924" s="198"/>
      <c r="T924" s="198"/>
      <c r="U924" s="198"/>
      <c r="V924" s="198"/>
      <c r="W924" s="198"/>
      <c r="X924" s="198"/>
    </row>
    <row r="925">
      <c r="A925" s="198"/>
      <c r="B925" s="198"/>
      <c r="C925" s="198"/>
      <c r="D925" s="198"/>
      <c r="E925" s="198"/>
      <c r="F925" s="198"/>
      <c r="G925" s="198"/>
      <c r="H925" s="198"/>
      <c r="I925" s="268"/>
      <c r="J925" s="198"/>
      <c r="K925" s="198"/>
      <c r="L925" s="198"/>
      <c r="M925" s="198"/>
      <c r="N925" s="198"/>
      <c r="O925" s="198"/>
      <c r="P925" s="198"/>
      <c r="Q925" s="198"/>
      <c r="R925" s="198"/>
      <c r="S925" s="198"/>
      <c r="T925" s="198"/>
      <c r="U925" s="198"/>
      <c r="V925" s="198"/>
      <c r="W925" s="198"/>
      <c r="X925" s="198"/>
    </row>
    <row r="926">
      <c r="A926" s="198"/>
      <c r="B926" s="198"/>
      <c r="C926" s="198"/>
      <c r="D926" s="198"/>
      <c r="E926" s="198"/>
      <c r="F926" s="198"/>
      <c r="G926" s="198"/>
      <c r="H926" s="198"/>
      <c r="I926" s="268"/>
      <c r="J926" s="198"/>
      <c r="K926" s="198"/>
      <c r="L926" s="198"/>
      <c r="M926" s="198"/>
      <c r="N926" s="198"/>
      <c r="O926" s="198"/>
      <c r="P926" s="198"/>
      <c r="Q926" s="198"/>
      <c r="R926" s="198"/>
      <c r="S926" s="198"/>
      <c r="T926" s="198"/>
      <c r="U926" s="198"/>
      <c r="V926" s="198"/>
      <c r="W926" s="198"/>
      <c r="X926" s="198"/>
    </row>
    <row r="927">
      <c r="A927" s="198"/>
      <c r="B927" s="198"/>
      <c r="C927" s="198"/>
      <c r="D927" s="198"/>
      <c r="E927" s="198"/>
      <c r="F927" s="198"/>
      <c r="G927" s="198"/>
      <c r="H927" s="198"/>
      <c r="I927" s="268"/>
      <c r="J927" s="198"/>
      <c r="K927" s="198"/>
      <c r="L927" s="198"/>
      <c r="M927" s="198"/>
      <c r="N927" s="198"/>
      <c r="O927" s="198"/>
      <c r="P927" s="198"/>
      <c r="Q927" s="198"/>
      <c r="R927" s="198"/>
      <c r="S927" s="198"/>
      <c r="T927" s="198"/>
      <c r="U927" s="198"/>
      <c r="V927" s="198"/>
      <c r="W927" s="198"/>
      <c r="X927" s="198"/>
    </row>
    <row r="928">
      <c r="A928" s="198"/>
      <c r="B928" s="198"/>
      <c r="C928" s="198"/>
      <c r="D928" s="198"/>
      <c r="E928" s="198"/>
      <c r="F928" s="198"/>
      <c r="G928" s="198"/>
      <c r="H928" s="198"/>
      <c r="I928" s="268"/>
      <c r="J928" s="198"/>
      <c r="K928" s="198"/>
      <c r="L928" s="198"/>
      <c r="M928" s="198"/>
      <c r="N928" s="198"/>
      <c r="O928" s="198"/>
      <c r="P928" s="198"/>
      <c r="Q928" s="198"/>
      <c r="R928" s="198"/>
      <c r="S928" s="198"/>
      <c r="T928" s="198"/>
      <c r="U928" s="198"/>
      <c r="V928" s="198"/>
      <c r="W928" s="198"/>
      <c r="X928" s="198"/>
    </row>
    <row r="929">
      <c r="A929" s="198"/>
      <c r="B929" s="198"/>
      <c r="C929" s="198"/>
      <c r="D929" s="198"/>
      <c r="E929" s="198"/>
      <c r="F929" s="198"/>
      <c r="G929" s="198"/>
      <c r="H929" s="198"/>
      <c r="I929" s="268"/>
      <c r="J929" s="198"/>
      <c r="K929" s="198"/>
      <c r="L929" s="198"/>
      <c r="M929" s="198"/>
      <c r="N929" s="198"/>
      <c r="O929" s="198"/>
      <c r="P929" s="198"/>
      <c r="Q929" s="198"/>
      <c r="R929" s="198"/>
      <c r="S929" s="198"/>
      <c r="T929" s="198"/>
      <c r="U929" s="198"/>
      <c r="V929" s="198"/>
      <c r="W929" s="198"/>
      <c r="X929" s="198"/>
    </row>
    <row r="930">
      <c r="A930" s="198"/>
      <c r="B930" s="198"/>
      <c r="C930" s="198"/>
      <c r="D930" s="198"/>
      <c r="E930" s="198"/>
      <c r="F930" s="198"/>
      <c r="G930" s="198"/>
      <c r="H930" s="198"/>
      <c r="I930" s="268"/>
      <c r="J930" s="198"/>
      <c r="K930" s="198"/>
      <c r="L930" s="198"/>
      <c r="M930" s="198"/>
      <c r="N930" s="198"/>
      <c r="O930" s="198"/>
      <c r="P930" s="198"/>
      <c r="Q930" s="198"/>
      <c r="R930" s="198"/>
      <c r="S930" s="198"/>
      <c r="T930" s="198"/>
      <c r="U930" s="198"/>
      <c r="V930" s="198"/>
      <c r="W930" s="198"/>
      <c r="X930" s="198"/>
    </row>
    <row r="931">
      <c r="A931" s="198"/>
      <c r="B931" s="198"/>
      <c r="C931" s="198"/>
      <c r="D931" s="198"/>
      <c r="E931" s="198"/>
      <c r="F931" s="198"/>
      <c r="G931" s="198"/>
      <c r="H931" s="198"/>
      <c r="I931" s="268"/>
      <c r="J931" s="198"/>
      <c r="K931" s="198"/>
      <c r="L931" s="198"/>
      <c r="M931" s="198"/>
      <c r="N931" s="198"/>
      <c r="O931" s="198"/>
      <c r="P931" s="198"/>
      <c r="Q931" s="198"/>
      <c r="R931" s="198"/>
      <c r="S931" s="198"/>
      <c r="T931" s="198"/>
      <c r="U931" s="198"/>
      <c r="V931" s="198"/>
      <c r="W931" s="198"/>
      <c r="X931" s="198"/>
    </row>
    <row r="932">
      <c r="A932" s="198"/>
      <c r="B932" s="198"/>
      <c r="C932" s="198"/>
      <c r="D932" s="198"/>
      <c r="E932" s="198"/>
      <c r="F932" s="198"/>
      <c r="G932" s="198"/>
      <c r="H932" s="198"/>
      <c r="I932" s="268"/>
      <c r="J932" s="198"/>
      <c r="K932" s="198"/>
      <c r="L932" s="198"/>
      <c r="M932" s="198"/>
      <c r="N932" s="198"/>
      <c r="O932" s="198"/>
      <c r="P932" s="198"/>
      <c r="Q932" s="198"/>
      <c r="R932" s="198"/>
      <c r="S932" s="198"/>
      <c r="T932" s="198"/>
      <c r="U932" s="198"/>
      <c r="V932" s="198"/>
      <c r="W932" s="198"/>
      <c r="X932" s="198"/>
    </row>
    <row r="933">
      <c r="A933" s="198"/>
      <c r="B933" s="198"/>
      <c r="C933" s="198"/>
      <c r="D933" s="198"/>
      <c r="E933" s="198"/>
      <c r="F933" s="198"/>
      <c r="G933" s="198"/>
      <c r="H933" s="198"/>
      <c r="I933" s="268"/>
      <c r="J933" s="198"/>
      <c r="K933" s="198"/>
      <c r="L933" s="198"/>
      <c r="M933" s="198"/>
      <c r="N933" s="198"/>
      <c r="O933" s="198"/>
      <c r="P933" s="198"/>
      <c r="Q933" s="198"/>
      <c r="R933" s="198"/>
      <c r="S933" s="198"/>
      <c r="T933" s="198"/>
      <c r="U933" s="198"/>
      <c r="V933" s="198"/>
      <c r="W933" s="198"/>
      <c r="X933" s="198"/>
    </row>
    <row r="934">
      <c r="A934" s="198"/>
      <c r="B934" s="198"/>
      <c r="C934" s="198"/>
      <c r="D934" s="198"/>
      <c r="E934" s="198"/>
      <c r="F934" s="198"/>
      <c r="G934" s="198"/>
      <c r="H934" s="198"/>
      <c r="I934" s="268"/>
      <c r="J934" s="198"/>
      <c r="K934" s="198"/>
      <c r="L934" s="198"/>
      <c r="M934" s="198"/>
      <c r="N934" s="198"/>
      <c r="O934" s="198"/>
      <c r="P934" s="198"/>
      <c r="Q934" s="198"/>
      <c r="R934" s="198"/>
      <c r="S934" s="198"/>
      <c r="T934" s="198"/>
      <c r="U934" s="198"/>
      <c r="V934" s="198"/>
      <c r="W934" s="198"/>
      <c r="X934" s="198"/>
    </row>
    <row r="935">
      <c r="A935" s="198"/>
      <c r="B935" s="198"/>
      <c r="C935" s="198"/>
      <c r="D935" s="198"/>
      <c r="E935" s="198"/>
      <c r="F935" s="198"/>
      <c r="G935" s="198"/>
      <c r="H935" s="198"/>
      <c r="I935" s="268"/>
      <c r="J935" s="198"/>
      <c r="K935" s="198"/>
      <c r="L935" s="198"/>
      <c r="M935" s="198"/>
      <c r="N935" s="198"/>
      <c r="O935" s="198"/>
      <c r="P935" s="198"/>
      <c r="Q935" s="198"/>
      <c r="R935" s="198"/>
      <c r="S935" s="198"/>
      <c r="T935" s="198"/>
      <c r="U935" s="198"/>
      <c r="V935" s="198"/>
      <c r="W935" s="198"/>
      <c r="X935" s="198"/>
    </row>
    <row r="936">
      <c r="A936" s="198"/>
      <c r="B936" s="198"/>
      <c r="C936" s="198"/>
      <c r="D936" s="198"/>
      <c r="E936" s="198"/>
      <c r="F936" s="198"/>
      <c r="G936" s="198"/>
      <c r="H936" s="198"/>
      <c r="I936" s="268"/>
      <c r="J936" s="198"/>
      <c r="K936" s="198"/>
      <c r="L936" s="198"/>
      <c r="M936" s="198"/>
      <c r="N936" s="198"/>
      <c r="O936" s="198"/>
      <c r="P936" s="198"/>
      <c r="Q936" s="198"/>
      <c r="R936" s="198"/>
      <c r="S936" s="198"/>
      <c r="T936" s="198"/>
      <c r="U936" s="198"/>
      <c r="V936" s="198"/>
      <c r="W936" s="198"/>
      <c r="X936" s="198"/>
    </row>
    <row r="937">
      <c r="A937" s="198"/>
      <c r="B937" s="198"/>
      <c r="C937" s="198"/>
      <c r="D937" s="198"/>
      <c r="E937" s="198"/>
      <c r="F937" s="198"/>
      <c r="G937" s="198"/>
      <c r="H937" s="198"/>
      <c r="I937" s="268"/>
      <c r="J937" s="198"/>
      <c r="K937" s="198"/>
      <c r="L937" s="198"/>
      <c r="M937" s="198"/>
      <c r="N937" s="198"/>
      <c r="O937" s="198"/>
      <c r="P937" s="198"/>
      <c r="Q937" s="198"/>
      <c r="R937" s="198"/>
      <c r="S937" s="198"/>
      <c r="T937" s="198"/>
      <c r="U937" s="198"/>
      <c r="V937" s="198"/>
      <c r="W937" s="198"/>
      <c r="X937" s="198"/>
    </row>
    <row r="938">
      <c r="A938" s="198"/>
      <c r="B938" s="198"/>
      <c r="C938" s="198"/>
      <c r="D938" s="198"/>
      <c r="E938" s="198"/>
      <c r="F938" s="198"/>
      <c r="G938" s="198"/>
      <c r="H938" s="198"/>
      <c r="I938" s="268"/>
      <c r="J938" s="198"/>
      <c r="K938" s="198"/>
      <c r="L938" s="198"/>
      <c r="M938" s="198"/>
      <c r="N938" s="198"/>
      <c r="O938" s="198"/>
      <c r="P938" s="198"/>
      <c r="Q938" s="198"/>
      <c r="R938" s="198"/>
      <c r="S938" s="198"/>
      <c r="T938" s="198"/>
      <c r="U938" s="198"/>
      <c r="V938" s="198"/>
      <c r="W938" s="198"/>
      <c r="X938" s="198"/>
    </row>
    <row r="939">
      <c r="A939" s="198"/>
      <c r="B939" s="198"/>
      <c r="C939" s="198"/>
      <c r="D939" s="198"/>
      <c r="E939" s="198"/>
      <c r="F939" s="198"/>
      <c r="G939" s="198"/>
      <c r="H939" s="198"/>
      <c r="I939" s="268"/>
      <c r="J939" s="198"/>
      <c r="K939" s="198"/>
      <c r="L939" s="198"/>
      <c r="M939" s="198"/>
      <c r="N939" s="198"/>
      <c r="O939" s="198"/>
      <c r="P939" s="198"/>
      <c r="Q939" s="198"/>
      <c r="R939" s="198"/>
      <c r="S939" s="198"/>
      <c r="T939" s="198"/>
      <c r="U939" s="198"/>
      <c r="V939" s="198"/>
      <c r="W939" s="198"/>
      <c r="X939" s="198"/>
    </row>
    <row r="940">
      <c r="A940" s="198"/>
      <c r="B940" s="198"/>
      <c r="C940" s="198"/>
      <c r="D940" s="198"/>
      <c r="E940" s="198"/>
      <c r="F940" s="198"/>
      <c r="G940" s="198"/>
      <c r="H940" s="198"/>
      <c r="I940" s="268"/>
      <c r="J940" s="198"/>
      <c r="K940" s="198"/>
      <c r="L940" s="198"/>
      <c r="M940" s="198"/>
      <c r="N940" s="198"/>
      <c r="O940" s="198"/>
      <c r="P940" s="198"/>
      <c r="Q940" s="198"/>
      <c r="R940" s="198"/>
      <c r="S940" s="198"/>
      <c r="T940" s="198"/>
      <c r="U940" s="198"/>
      <c r="V940" s="198"/>
      <c r="W940" s="198"/>
      <c r="X940" s="198"/>
    </row>
    <row r="941">
      <c r="A941" s="198"/>
      <c r="B941" s="198"/>
      <c r="C941" s="198"/>
      <c r="D941" s="198"/>
      <c r="E941" s="198"/>
      <c r="F941" s="198"/>
      <c r="G941" s="198"/>
      <c r="H941" s="198"/>
      <c r="I941" s="268"/>
      <c r="J941" s="198"/>
      <c r="K941" s="198"/>
      <c r="L941" s="198"/>
      <c r="M941" s="198"/>
      <c r="N941" s="198"/>
      <c r="O941" s="198"/>
      <c r="P941" s="198"/>
      <c r="Q941" s="198"/>
      <c r="R941" s="198"/>
      <c r="S941" s="198"/>
      <c r="T941" s="198"/>
      <c r="U941" s="198"/>
      <c r="V941" s="198"/>
      <c r="W941" s="198"/>
      <c r="X941" s="198"/>
    </row>
    <row r="942">
      <c r="A942" s="198"/>
      <c r="B942" s="198"/>
      <c r="C942" s="198"/>
      <c r="D942" s="198"/>
      <c r="E942" s="198"/>
      <c r="F942" s="198"/>
      <c r="G942" s="198"/>
      <c r="H942" s="198"/>
      <c r="I942" s="268"/>
      <c r="J942" s="198"/>
      <c r="K942" s="198"/>
      <c r="L942" s="198"/>
      <c r="M942" s="198"/>
      <c r="N942" s="198"/>
      <c r="O942" s="198"/>
      <c r="P942" s="198"/>
      <c r="Q942" s="198"/>
      <c r="R942" s="198"/>
      <c r="S942" s="198"/>
      <c r="T942" s="198"/>
      <c r="U942" s="198"/>
      <c r="V942" s="198"/>
      <c r="W942" s="198"/>
      <c r="X942" s="198"/>
    </row>
    <row r="943">
      <c r="A943" s="198"/>
      <c r="B943" s="198"/>
      <c r="C943" s="198"/>
      <c r="D943" s="198"/>
      <c r="E943" s="198"/>
      <c r="F943" s="198"/>
      <c r="G943" s="198"/>
      <c r="H943" s="198"/>
      <c r="I943" s="268"/>
      <c r="J943" s="198"/>
      <c r="K943" s="198"/>
      <c r="L943" s="198"/>
      <c r="M943" s="198"/>
      <c r="N943" s="198"/>
      <c r="O943" s="198"/>
      <c r="P943" s="198"/>
      <c r="Q943" s="198"/>
      <c r="R943" s="198"/>
      <c r="S943" s="198"/>
      <c r="T943" s="198"/>
      <c r="U943" s="198"/>
      <c r="V943" s="198"/>
      <c r="W943" s="198"/>
      <c r="X943" s="198"/>
    </row>
    <row r="944">
      <c r="A944" s="198"/>
      <c r="B944" s="198"/>
      <c r="C944" s="198"/>
      <c r="D944" s="198"/>
      <c r="E944" s="198"/>
      <c r="F944" s="198"/>
      <c r="G944" s="198"/>
      <c r="H944" s="198"/>
      <c r="I944" s="268"/>
      <c r="J944" s="198"/>
      <c r="K944" s="198"/>
      <c r="L944" s="198"/>
      <c r="M944" s="198"/>
      <c r="N944" s="198"/>
      <c r="O944" s="198"/>
      <c r="P944" s="198"/>
      <c r="Q944" s="198"/>
      <c r="R944" s="198"/>
      <c r="S944" s="198"/>
      <c r="T944" s="198"/>
      <c r="U944" s="198"/>
      <c r="V944" s="198"/>
      <c r="W944" s="198"/>
      <c r="X944" s="198"/>
    </row>
    <row r="945">
      <c r="A945" s="198"/>
      <c r="B945" s="198"/>
      <c r="C945" s="198"/>
      <c r="D945" s="198"/>
      <c r="E945" s="198"/>
      <c r="F945" s="198"/>
      <c r="G945" s="198"/>
      <c r="H945" s="198"/>
      <c r="I945" s="268"/>
      <c r="J945" s="198"/>
      <c r="K945" s="198"/>
      <c r="L945" s="198"/>
      <c r="M945" s="198"/>
      <c r="N945" s="198"/>
      <c r="O945" s="198"/>
      <c r="P945" s="198"/>
      <c r="Q945" s="198"/>
      <c r="R945" s="198"/>
      <c r="S945" s="198"/>
      <c r="T945" s="198"/>
      <c r="U945" s="198"/>
      <c r="V945" s="198"/>
      <c r="W945" s="198"/>
      <c r="X945" s="198"/>
    </row>
    <row r="946">
      <c r="A946" s="198"/>
      <c r="B946" s="198"/>
      <c r="C946" s="198"/>
      <c r="D946" s="198"/>
      <c r="E946" s="198"/>
      <c r="F946" s="198"/>
      <c r="G946" s="198"/>
      <c r="H946" s="198"/>
      <c r="I946" s="268"/>
      <c r="J946" s="198"/>
      <c r="K946" s="198"/>
      <c r="L946" s="198"/>
      <c r="M946" s="198"/>
      <c r="N946" s="198"/>
      <c r="O946" s="198"/>
      <c r="P946" s="198"/>
      <c r="Q946" s="198"/>
      <c r="R946" s="198"/>
      <c r="S946" s="198"/>
      <c r="T946" s="198"/>
      <c r="U946" s="198"/>
      <c r="V946" s="198"/>
      <c r="W946" s="198"/>
      <c r="X946" s="198"/>
    </row>
    <row r="947">
      <c r="A947" s="198"/>
      <c r="B947" s="198"/>
      <c r="C947" s="198"/>
      <c r="D947" s="198"/>
      <c r="E947" s="198"/>
      <c r="F947" s="198"/>
      <c r="G947" s="198"/>
      <c r="H947" s="198"/>
      <c r="I947" s="268"/>
      <c r="J947" s="198"/>
      <c r="K947" s="198"/>
      <c r="L947" s="198"/>
      <c r="M947" s="198"/>
      <c r="N947" s="198"/>
      <c r="O947" s="198"/>
      <c r="P947" s="198"/>
      <c r="Q947" s="198"/>
      <c r="R947" s="198"/>
      <c r="S947" s="198"/>
      <c r="T947" s="198"/>
      <c r="U947" s="198"/>
      <c r="V947" s="198"/>
      <c r="W947" s="198"/>
      <c r="X947" s="198"/>
    </row>
    <row r="948">
      <c r="A948" s="198"/>
      <c r="B948" s="198"/>
      <c r="C948" s="198"/>
      <c r="D948" s="198"/>
      <c r="E948" s="198"/>
      <c r="F948" s="198"/>
      <c r="G948" s="198"/>
      <c r="H948" s="198"/>
      <c r="I948" s="268"/>
      <c r="J948" s="198"/>
      <c r="K948" s="198"/>
      <c r="L948" s="198"/>
      <c r="M948" s="198"/>
      <c r="N948" s="198"/>
      <c r="O948" s="198"/>
      <c r="P948" s="198"/>
      <c r="Q948" s="198"/>
      <c r="R948" s="198"/>
      <c r="S948" s="198"/>
      <c r="T948" s="198"/>
      <c r="U948" s="198"/>
      <c r="V948" s="198"/>
      <c r="W948" s="198"/>
      <c r="X948" s="198"/>
    </row>
    <row r="949">
      <c r="A949" s="198"/>
      <c r="B949" s="198"/>
      <c r="C949" s="198"/>
      <c r="D949" s="198"/>
      <c r="E949" s="198"/>
      <c r="F949" s="198"/>
      <c r="G949" s="198"/>
      <c r="H949" s="198"/>
      <c r="I949" s="268"/>
      <c r="J949" s="198"/>
      <c r="K949" s="198"/>
      <c r="L949" s="198"/>
      <c r="M949" s="198"/>
      <c r="N949" s="198"/>
      <c r="O949" s="198"/>
      <c r="P949" s="198"/>
      <c r="Q949" s="198"/>
      <c r="R949" s="198"/>
      <c r="S949" s="198"/>
      <c r="T949" s="198"/>
      <c r="U949" s="198"/>
      <c r="V949" s="198"/>
      <c r="W949" s="198"/>
      <c r="X949" s="198"/>
    </row>
    <row r="950">
      <c r="A950" s="198"/>
      <c r="B950" s="198"/>
      <c r="C950" s="198"/>
      <c r="D950" s="198"/>
      <c r="E950" s="198"/>
      <c r="F950" s="198"/>
      <c r="G950" s="198"/>
      <c r="H950" s="198"/>
      <c r="I950" s="268"/>
      <c r="J950" s="198"/>
      <c r="K950" s="198"/>
      <c r="L950" s="198"/>
      <c r="M950" s="198"/>
      <c r="N950" s="198"/>
      <c r="O950" s="198"/>
      <c r="P950" s="198"/>
      <c r="Q950" s="198"/>
      <c r="R950" s="198"/>
      <c r="S950" s="198"/>
      <c r="T950" s="198"/>
      <c r="U950" s="198"/>
      <c r="V950" s="198"/>
      <c r="W950" s="198"/>
      <c r="X950" s="198"/>
    </row>
    <row r="951">
      <c r="A951" s="198"/>
      <c r="B951" s="198"/>
      <c r="C951" s="198"/>
      <c r="D951" s="198"/>
      <c r="E951" s="198"/>
      <c r="F951" s="198"/>
      <c r="G951" s="198"/>
      <c r="H951" s="198"/>
      <c r="I951" s="268"/>
      <c r="J951" s="198"/>
      <c r="K951" s="198"/>
      <c r="L951" s="198"/>
      <c r="M951" s="198"/>
      <c r="N951" s="198"/>
      <c r="O951" s="198"/>
      <c r="P951" s="198"/>
      <c r="Q951" s="198"/>
      <c r="R951" s="198"/>
      <c r="S951" s="198"/>
      <c r="T951" s="198"/>
      <c r="U951" s="198"/>
      <c r="V951" s="198"/>
      <c r="W951" s="198"/>
      <c r="X951" s="198"/>
    </row>
    <row r="952">
      <c r="A952" s="198"/>
      <c r="B952" s="198"/>
      <c r="C952" s="198"/>
      <c r="D952" s="198"/>
      <c r="E952" s="198"/>
      <c r="F952" s="198"/>
      <c r="G952" s="198"/>
      <c r="H952" s="198"/>
      <c r="I952" s="268"/>
      <c r="J952" s="198"/>
      <c r="K952" s="198"/>
      <c r="L952" s="198"/>
      <c r="M952" s="198"/>
      <c r="N952" s="198"/>
      <c r="O952" s="198"/>
      <c r="P952" s="198"/>
      <c r="Q952" s="198"/>
      <c r="R952" s="198"/>
      <c r="S952" s="198"/>
      <c r="T952" s="198"/>
      <c r="U952" s="198"/>
      <c r="V952" s="198"/>
      <c r="W952" s="198"/>
      <c r="X952" s="198"/>
    </row>
    <row r="953">
      <c r="A953" s="198"/>
      <c r="B953" s="198"/>
      <c r="C953" s="198"/>
      <c r="D953" s="198"/>
      <c r="E953" s="198"/>
      <c r="F953" s="198"/>
      <c r="G953" s="198"/>
      <c r="H953" s="198"/>
      <c r="I953" s="268"/>
      <c r="J953" s="198"/>
      <c r="K953" s="198"/>
      <c r="L953" s="198"/>
      <c r="M953" s="198"/>
      <c r="N953" s="198"/>
      <c r="O953" s="198"/>
      <c r="P953" s="198"/>
      <c r="Q953" s="198"/>
      <c r="R953" s="198"/>
      <c r="S953" s="198"/>
      <c r="T953" s="198"/>
      <c r="U953" s="198"/>
      <c r="V953" s="198"/>
      <c r="W953" s="198"/>
      <c r="X953" s="198"/>
    </row>
    <row r="954">
      <c r="A954" s="198"/>
      <c r="B954" s="198"/>
      <c r="C954" s="198"/>
      <c r="D954" s="198"/>
      <c r="E954" s="198"/>
      <c r="F954" s="198"/>
      <c r="G954" s="198"/>
      <c r="H954" s="198"/>
      <c r="I954" s="268"/>
      <c r="J954" s="198"/>
      <c r="K954" s="198"/>
      <c r="L954" s="198"/>
      <c r="M954" s="198"/>
      <c r="N954" s="198"/>
      <c r="O954" s="198"/>
      <c r="P954" s="198"/>
      <c r="Q954" s="198"/>
      <c r="R954" s="198"/>
      <c r="S954" s="198"/>
      <c r="T954" s="198"/>
      <c r="U954" s="198"/>
      <c r="V954" s="198"/>
      <c r="W954" s="198"/>
      <c r="X954" s="198"/>
    </row>
    <row r="955">
      <c r="A955" s="198"/>
      <c r="B955" s="198"/>
      <c r="C955" s="198"/>
      <c r="D955" s="198"/>
      <c r="E955" s="198"/>
      <c r="F955" s="198"/>
      <c r="G955" s="198"/>
      <c r="H955" s="198"/>
      <c r="I955" s="268"/>
      <c r="J955" s="198"/>
      <c r="K955" s="198"/>
      <c r="L955" s="198"/>
      <c r="M955" s="198"/>
      <c r="N955" s="198"/>
      <c r="O955" s="198"/>
      <c r="P955" s="198"/>
      <c r="Q955" s="198"/>
      <c r="R955" s="198"/>
      <c r="S955" s="198"/>
      <c r="T955" s="198"/>
      <c r="U955" s="198"/>
      <c r="V955" s="198"/>
      <c r="W955" s="198"/>
      <c r="X955" s="198"/>
    </row>
    <row r="956">
      <c r="A956" s="198"/>
      <c r="B956" s="198"/>
      <c r="C956" s="198"/>
      <c r="D956" s="198"/>
      <c r="E956" s="198"/>
      <c r="F956" s="198"/>
      <c r="G956" s="198"/>
      <c r="H956" s="198"/>
      <c r="I956" s="268"/>
      <c r="J956" s="198"/>
      <c r="K956" s="198"/>
      <c r="L956" s="198"/>
      <c r="M956" s="198"/>
      <c r="N956" s="198"/>
      <c r="O956" s="198"/>
      <c r="P956" s="198"/>
      <c r="Q956" s="198"/>
      <c r="R956" s="198"/>
      <c r="S956" s="198"/>
      <c r="T956" s="198"/>
      <c r="U956" s="198"/>
      <c r="V956" s="198"/>
      <c r="W956" s="198"/>
      <c r="X956" s="198"/>
    </row>
    <row r="957">
      <c r="A957" s="198"/>
      <c r="B957" s="198"/>
      <c r="C957" s="198"/>
      <c r="D957" s="198"/>
      <c r="E957" s="198"/>
      <c r="F957" s="198"/>
      <c r="G957" s="198"/>
      <c r="H957" s="198"/>
      <c r="I957" s="268"/>
      <c r="J957" s="198"/>
      <c r="K957" s="198"/>
      <c r="L957" s="198"/>
      <c r="M957" s="198"/>
      <c r="N957" s="198"/>
      <c r="O957" s="198"/>
      <c r="P957" s="198"/>
      <c r="Q957" s="198"/>
      <c r="R957" s="198"/>
      <c r="S957" s="198"/>
      <c r="T957" s="198"/>
      <c r="U957" s="198"/>
      <c r="V957" s="198"/>
      <c r="W957" s="198"/>
      <c r="X957" s="198"/>
    </row>
    <row r="958">
      <c r="A958" s="198"/>
      <c r="B958" s="198"/>
      <c r="C958" s="198"/>
      <c r="D958" s="198"/>
      <c r="E958" s="198"/>
      <c r="F958" s="198"/>
      <c r="G958" s="198"/>
      <c r="H958" s="198"/>
      <c r="I958" s="268"/>
      <c r="J958" s="198"/>
      <c r="K958" s="198"/>
      <c r="L958" s="198"/>
      <c r="M958" s="198"/>
      <c r="N958" s="198"/>
      <c r="O958" s="198"/>
      <c r="P958" s="198"/>
      <c r="Q958" s="198"/>
      <c r="R958" s="198"/>
      <c r="S958" s="198"/>
      <c r="T958" s="198"/>
      <c r="U958" s="198"/>
      <c r="V958" s="198"/>
      <c r="W958" s="198"/>
      <c r="X958" s="198"/>
    </row>
    <row r="959">
      <c r="A959" s="198"/>
      <c r="B959" s="198"/>
      <c r="C959" s="198"/>
      <c r="D959" s="198"/>
      <c r="E959" s="198"/>
      <c r="F959" s="198"/>
      <c r="G959" s="198"/>
      <c r="H959" s="198"/>
      <c r="I959" s="268"/>
      <c r="J959" s="198"/>
      <c r="K959" s="198"/>
      <c r="L959" s="198"/>
      <c r="M959" s="198"/>
      <c r="N959" s="198"/>
      <c r="O959" s="198"/>
      <c r="P959" s="198"/>
      <c r="Q959" s="198"/>
      <c r="R959" s="198"/>
      <c r="S959" s="198"/>
      <c r="T959" s="198"/>
      <c r="U959" s="198"/>
      <c r="V959" s="198"/>
      <c r="W959" s="198"/>
      <c r="X959" s="198"/>
    </row>
    <row r="960">
      <c r="A960" s="198"/>
      <c r="B960" s="198"/>
      <c r="C960" s="198"/>
      <c r="D960" s="198"/>
      <c r="E960" s="198"/>
      <c r="F960" s="198"/>
      <c r="G960" s="198"/>
      <c r="H960" s="198"/>
      <c r="I960" s="268"/>
      <c r="J960" s="198"/>
      <c r="K960" s="198"/>
      <c r="L960" s="198"/>
      <c r="M960" s="198"/>
      <c r="N960" s="198"/>
      <c r="O960" s="198"/>
      <c r="P960" s="198"/>
      <c r="Q960" s="198"/>
      <c r="R960" s="198"/>
      <c r="S960" s="198"/>
      <c r="T960" s="198"/>
      <c r="U960" s="198"/>
      <c r="V960" s="198"/>
      <c r="W960" s="198"/>
      <c r="X960" s="198"/>
    </row>
    <row r="961">
      <c r="A961" s="198"/>
      <c r="B961" s="198"/>
      <c r="C961" s="198"/>
      <c r="D961" s="198"/>
      <c r="E961" s="198"/>
      <c r="F961" s="198"/>
      <c r="G961" s="198"/>
      <c r="H961" s="198"/>
      <c r="I961" s="268"/>
      <c r="J961" s="198"/>
      <c r="K961" s="198"/>
      <c r="L961" s="198"/>
      <c r="M961" s="198"/>
      <c r="N961" s="198"/>
      <c r="O961" s="198"/>
      <c r="P961" s="198"/>
      <c r="Q961" s="198"/>
      <c r="R961" s="198"/>
      <c r="S961" s="198"/>
      <c r="T961" s="198"/>
      <c r="U961" s="198"/>
      <c r="V961" s="198"/>
      <c r="W961" s="198"/>
      <c r="X961" s="198"/>
    </row>
    <row r="962">
      <c r="A962" s="198"/>
      <c r="B962" s="198"/>
      <c r="C962" s="198"/>
      <c r="D962" s="198"/>
      <c r="E962" s="198"/>
      <c r="F962" s="198"/>
      <c r="G962" s="198"/>
      <c r="H962" s="198"/>
      <c r="I962" s="268"/>
      <c r="J962" s="198"/>
      <c r="K962" s="198"/>
      <c r="L962" s="198"/>
      <c r="M962" s="198"/>
      <c r="N962" s="198"/>
      <c r="O962" s="198"/>
      <c r="P962" s="198"/>
      <c r="Q962" s="198"/>
      <c r="R962" s="198"/>
      <c r="S962" s="198"/>
      <c r="T962" s="198"/>
      <c r="U962" s="198"/>
      <c r="V962" s="198"/>
      <c r="W962" s="198"/>
      <c r="X962" s="198"/>
    </row>
    <row r="963">
      <c r="A963" s="198"/>
      <c r="B963" s="198"/>
      <c r="C963" s="198"/>
      <c r="D963" s="198"/>
      <c r="E963" s="198"/>
      <c r="F963" s="198"/>
      <c r="G963" s="198"/>
      <c r="H963" s="198"/>
      <c r="I963" s="268"/>
      <c r="J963" s="198"/>
      <c r="K963" s="198"/>
      <c r="L963" s="198"/>
      <c r="M963" s="198"/>
      <c r="N963" s="198"/>
      <c r="O963" s="198"/>
      <c r="P963" s="198"/>
      <c r="Q963" s="198"/>
      <c r="R963" s="198"/>
      <c r="S963" s="198"/>
      <c r="T963" s="198"/>
      <c r="U963" s="198"/>
      <c r="V963" s="198"/>
      <c r="W963" s="198"/>
      <c r="X963" s="198"/>
    </row>
    <row r="964">
      <c r="A964" s="198"/>
      <c r="B964" s="198"/>
      <c r="C964" s="198"/>
      <c r="D964" s="198"/>
      <c r="E964" s="198"/>
      <c r="F964" s="198"/>
      <c r="G964" s="198"/>
      <c r="H964" s="198"/>
      <c r="I964" s="268"/>
      <c r="J964" s="198"/>
      <c r="K964" s="198"/>
      <c r="L964" s="198"/>
      <c r="M964" s="198"/>
      <c r="N964" s="198"/>
      <c r="O964" s="198"/>
      <c r="P964" s="198"/>
      <c r="Q964" s="198"/>
      <c r="R964" s="198"/>
      <c r="S964" s="198"/>
      <c r="T964" s="198"/>
      <c r="U964" s="198"/>
      <c r="V964" s="198"/>
      <c r="W964" s="198"/>
      <c r="X964" s="198"/>
    </row>
    <row r="965">
      <c r="A965" s="198"/>
      <c r="B965" s="198"/>
      <c r="C965" s="198"/>
      <c r="D965" s="198"/>
      <c r="E965" s="198"/>
      <c r="F965" s="198"/>
      <c r="G965" s="198"/>
      <c r="H965" s="198"/>
      <c r="I965" s="268"/>
      <c r="J965" s="198"/>
      <c r="K965" s="198"/>
      <c r="L965" s="198"/>
      <c r="M965" s="198"/>
      <c r="N965" s="198"/>
      <c r="O965" s="198"/>
      <c r="P965" s="198"/>
      <c r="Q965" s="198"/>
      <c r="R965" s="198"/>
      <c r="S965" s="198"/>
      <c r="T965" s="198"/>
      <c r="U965" s="198"/>
      <c r="V965" s="198"/>
      <c r="W965" s="198"/>
      <c r="X965" s="198"/>
    </row>
    <row r="966">
      <c r="A966" s="198"/>
      <c r="B966" s="198"/>
      <c r="C966" s="198"/>
      <c r="D966" s="198"/>
      <c r="E966" s="198"/>
      <c r="F966" s="198"/>
      <c r="G966" s="198"/>
      <c r="H966" s="198"/>
      <c r="I966" s="268"/>
      <c r="J966" s="198"/>
      <c r="K966" s="198"/>
      <c r="L966" s="198"/>
      <c r="M966" s="198"/>
      <c r="N966" s="198"/>
      <c r="O966" s="198"/>
      <c r="P966" s="198"/>
      <c r="Q966" s="198"/>
      <c r="R966" s="198"/>
      <c r="S966" s="198"/>
      <c r="T966" s="198"/>
      <c r="U966" s="198"/>
      <c r="V966" s="198"/>
      <c r="W966" s="198"/>
      <c r="X966" s="198"/>
    </row>
    <row r="967">
      <c r="A967" s="198"/>
      <c r="B967" s="198"/>
      <c r="C967" s="198"/>
      <c r="D967" s="198"/>
      <c r="E967" s="198"/>
      <c r="F967" s="198"/>
      <c r="G967" s="198"/>
      <c r="H967" s="198"/>
      <c r="I967" s="268"/>
      <c r="J967" s="198"/>
      <c r="K967" s="198"/>
      <c r="L967" s="198"/>
      <c r="M967" s="198"/>
      <c r="N967" s="198"/>
      <c r="O967" s="198"/>
      <c r="P967" s="198"/>
      <c r="Q967" s="198"/>
      <c r="R967" s="198"/>
      <c r="S967" s="198"/>
      <c r="T967" s="198"/>
      <c r="U967" s="198"/>
      <c r="V967" s="198"/>
      <c r="W967" s="198"/>
      <c r="X967" s="198"/>
    </row>
    <row r="968">
      <c r="A968" s="198"/>
      <c r="B968" s="198"/>
      <c r="C968" s="198"/>
      <c r="D968" s="198"/>
      <c r="E968" s="198"/>
      <c r="F968" s="198"/>
      <c r="G968" s="198"/>
      <c r="H968" s="198"/>
      <c r="I968" s="268"/>
      <c r="J968" s="198"/>
      <c r="K968" s="198"/>
      <c r="L968" s="198"/>
      <c r="M968" s="198"/>
      <c r="N968" s="198"/>
      <c r="O968" s="198"/>
      <c r="P968" s="198"/>
      <c r="Q968" s="198"/>
      <c r="R968" s="198"/>
      <c r="S968" s="198"/>
      <c r="T968" s="198"/>
      <c r="U968" s="198"/>
      <c r="V968" s="198"/>
      <c r="W968" s="198"/>
      <c r="X968" s="198"/>
    </row>
    <row r="969">
      <c r="A969" s="198"/>
      <c r="B969" s="198"/>
      <c r="C969" s="198"/>
      <c r="D969" s="198"/>
      <c r="E969" s="198"/>
      <c r="F969" s="198"/>
      <c r="G969" s="198"/>
      <c r="H969" s="198"/>
      <c r="I969" s="268"/>
      <c r="J969" s="198"/>
      <c r="K969" s="198"/>
      <c r="L969" s="198"/>
      <c r="M969" s="198"/>
      <c r="N969" s="198"/>
      <c r="O969" s="198"/>
      <c r="P969" s="198"/>
      <c r="Q969" s="198"/>
      <c r="R969" s="198"/>
      <c r="S969" s="198"/>
      <c r="T969" s="198"/>
      <c r="U969" s="198"/>
      <c r="V969" s="198"/>
      <c r="W969" s="198"/>
      <c r="X969" s="198"/>
    </row>
    <row r="970">
      <c r="A970" s="198"/>
      <c r="B970" s="198"/>
      <c r="C970" s="198"/>
      <c r="D970" s="198"/>
      <c r="E970" s="198"/>
      <c r="F970" s="198"/>
      <c r="G970" s="198"/>
      <c r="H970" s="198"/>
      <c r="I970" s="268"/>
      <c r="J970" s="198"/>
      <c r="K970" s="198"/>
      <c r="L970" s="198"/>
      <c r="M970" s="198"/>
      <c r="N970" s="198"/>
      <c r="O970" s="198"/>
      <c r="P970" s="198"/>
      <c r="Q970" s="198"/>
      <c r="R970" s="198"/>
      <c r="S970" s="198"/>
      <c r="T970" s="198"/>
      <c r="U970" s="198"/>
      <c r="V970" s="198"/>
      <c r="W970" s="198"/>
      <c r="X970" s="198"/>
    </row>
    <row r="971">
      <c r="A971" s="198"/>
      <c r="B971" s="198"/>
      <c r="C971" s="198"/>
      <c r="D971" s="198"/>
      <c r="E971" s="198"/>
      <c r="F971" s="198"/>
      <c r="G971" s="198"/>
      <c r="H971" s="198"/>
      <c r="I971" s="268"/>
      <c r="J971" s="198"/>
      <c r="K971" s="198"/>
      <c r="L971" s="198"/>
      <c r="M971" s="198"/>
      <c r="N971" s="198"/>
      <c r="O971" s="198"/>
      <c r="P971" s="198"/>
      <c r="Q971" s="198"/>
      <c r="R971" s="198"/>
      <c r="S971" s="198"/>
      <c r="T971" s="198"/>
      <c r="U971" s="198"/>
      <c r="V971" s="198"/>
      <c r="W971" s="198"/>
      <c r="X971" s="198"/>
    </row>
    <row r="972">
      <c r="A972" s="198"/>
      <c r="B972" s="198"/>
      <c r="C972" s="198"/>
      <c r="D972" s="198"/>
      <c r="E972" s="198"/>
      <c r="F972" s="198"/>
      <c r="G972" s="198"/>
      <c r="H972" s="198"/>
      <c r="I972" s="268"/>
      <c r="J972" s="198"/>
      <c r="K972" s="198"/>
      <c r="L972" s="198"/>
      <c r="M972" s="198"/>
      <c r="N972" s="198"/>
      <c r="O972" s="198"/>
      <c r="P972" s="198"/>
      <c r="Q972" s="198"/>
      <c r="R972" s="198"/>
      <c r="S972" s="198"/>
      <c r="T972" s="198"/>
      <c r="U972" s="198"/>
      <c r="V972" s="198"/>
      <c r="W972" s="198"/>
      <c r="X972" s="198"/>
    </row>
    <row r="973">
      <c r="A973" s="198"/>
      <c r="B973" s="198"/>
      <c r="C973" s="198"/>
      <c r="D973" s="198"/>
      <c r="E973" s="198"/>
      <c r="F973" s="198"/>
      <c r="G973" s="198"/>
      <c r="H973" s="198"/>
      <c r="I973" s="268"/>
      <c r="J973" s="198"/>
      <c r="K973" s="198"/>
      <c r="L973" s="198"/>
      <c r="M973" s="198"/>
      <c r="N973" s="198"/>
      <c r="O973" s="198"/>
      <c r="P973" s="198"/>
      <c r="Q973" s="198"/>
      <c r="R973" s="198"/>
      <c r="S973" s="198"/>
      <c r="T973" s="198"/>
      <c r="U973" s="198"/>
      <c r="V973" s="198"/>
      <c r="W973" s="198"/>
      <c r="X973" s="198"/>
    </row>
    <row r="974">
      <c r="A974" s="198"/>
      <c r="B974" s="198"/>
      <c r="C974" s="198"/>
      <c r="D974" s="198"/>
      <c r="E974" s="198"/>
      <c r="F974" s="198"/>
      <c r="G974" s="198"/>
      <c r="H974" s="198"/>
      <c r="I974" s="268"/>
      <c r="J974" s="198"/>
      <c r="K974" s="198"/>
      <c r="L974" s="198"/>
      <c r="M974" s="198"/>
      <c r="N974" s="198"/>
      <c r="O974" s="198"/>
      <c r="P974" s="198"/>
      <c r="Q974" s="198"/>
      <c r="R974" s="198"/>
      <c r="S974" s="198"/>
      <c r="T974" s="198"/>
      <c r="U974" s="198"/>
      <c r="V974" s="198"/>
      <c r="W974" s="198"/>
      <c r="X974" s="198"/>
    </row>
    <row r="975">
      <c r="A975" s="198"/>
      <c r="B975" s="198"/>
      <c r="C975" s="198"/>
      <c r="D975" s="198"/>
      <c r="E975" s="198"/>
      <c r="F975" s="198"/>
      <c r="G975" s="198"/>
      <c r="H975" s="198"/>
      <c r="I975" s="268"/>
      <c r="J975" s="198"/>
      <c r="K975" s="198"/>
      <c r="L975" s="198"/>
      <c r="M975" s="198"/>
      <c r="N975" s="198"/>
      <c r="O975" s="198"/>
      <c r="P975" s="198"/>
      <c r="Q975" s="198"/>
      <c r="R975" s="198"/>
      <c r="S975" s="198"/>
      <c r="T975" s="198"/>
      <c r="U975" s="198"/>
      <c r="V975" s="198"/>
      <c r="W975" s="198"/>
      <c r="X975" s="198"/>
    </row>
    <row r="976">
      <c r="A976" s="198"/>
      <c r="B976" s="198"/>
      <c r="C976" s="198"/>
      <c r="D976" s="198"/>
      <c r="E976" s="198"/>
      <c r="F976" s="198"/>
      <c r="G976" s="198"/>
      <c r="H976" s="198"/>
      <c r="I976" s="268"/>
      <c r="J976" s="198"/>
      <c r="K976" s="198"/>
      <c r="L976" s="198"/>
      <c r="M976" s="198"/>
      <c r="N976" s="198"/>
      <c r="O976" s="198"/>
      <c r="P976" s="198"/>
      <c r="Q976" s="198"/>
      <c r="R976" s="198"/>
      <c r="S976" s="198"/>
      <c r="T976" s="198"/>
      <c r="U976" s="198"/>
      <c r="V976" s="198"/>
      <c r="W976" s="198"/>
      <c r="X976" s="198"/>
    </row>
    <row r="977">
      <c r="A977" s="198"/>
      <c r="B977" s="198"/>
      <c r="C977" s="198"/>
      <c r="D977" s="198"/>
      <c r="E977" s="198"/>
      <c r="F977" s="198"/>
      <c r="G977" s="198"/>
      <c r="H977" s="198"/>
      <c r="I977" s="268"/>
      <c r="J977" s="198"/>
      <c r="K977" s="198"/>
      <c r="L977" s="198"/>
      <c r="M977" s="198"/>
      <c r="N977" s="198"/>
      <c r="O977" s="198"/>
      <c r="P977" s="198"/>
      <c r="Q977" s="198"/>
      <c r="R977" s="198"/>
      <c r="S977" s="198"/>
      <c r="T977" s="198"/>
      <c r="U977" s="198"/>
      <c r="V977" s="198"/>
      <c r="W977" s="198"/>
      <c r="X977" s="198"/>
    </row>
    <row r="978">
      <c r="A978" s="198"/>
      <c r="B978" s="198"/>
      <c r="C978" s="198"/>
      <c r="D978" s="198"/>
      <c r="E978" s="198"/>
      <c r="F978" s="198"/>
      <c r="G978" s="198"/>
      <c r="H978" s="198"/>
      <c r="I978" s="268"/>
      <c r="J978" s="198"/>
      <c r="K978" s="198"/>
      <c r="L978" s="198"/>
      <c r="M978" s="198"/>
      <c r="N978" s="198"/>
      <c r="O978" s="198"/>
      <c r="P978" s="198"/>
      <c r="Q978" s="198"/>
      <c r="R978" s="198"/>
      <c r="S978" s="198"/>
      <c r="T978" s="198"/>
      <c r="U978" s="198"/>
      <c r="V978" s="198"/>
      <c r="W978" s="198"/>
      <c r="X978" s="198"/>
    </row>
    <row r="979">
      <c r="A979" s="198"/>
      <c r="B979" s="198"/>
      <c r="C979" s="198"/>
      <c r="D979" s="198"/>
      <c r="E979" s="198"/>
      <c r="F979" s="198"/>
      <c r="G979" s="198"/>
      <c r="H979" s="198"/>
      <c r="I979" s="268"/>
      <c r="J979" s="198"/>
      <c r="K979" s="198"/>
      <c r="L979" s="198"/>
      <c r="M979" s="198"/>
      <c r="N979" s="198"/>
      <c r="O979" s="198"/>
      <c r="P979" s="198"/>
      <c r="Q979" s="198"/>
      <c r="R979" s="198"/>
      <c r="S979" s="198"/>
      <c r="T979" s="198"/>
      <c r="U979" s="198"/>
      <c r="V979" s="198"/>
      <c r="W979" s="198"/>
      <c r="X979" s="198"/>
    </row>
    <row r="980">
      <c r="A980" s="198"/>
      <c r="B980" s="198"/>
      <c r="C980" s="198"/>
      <c r="D980" s="198"/>
      <c r="E980" s="198"/>
      <c r="F980" s="198"/>
      <c r="G980" s="198"/>
      <c r="H980" s="198"/>
      <c r="I980" s="268"/>
      <c r="J980" s="198"/>
      <c r="K980" s="198"/>
      <c r="L980" s="198"/>
      <c r="M980" s="198"/>
      <c r="N980" s="198"/>
      <c r="O980" s="198"/>
      <c r="P980" s="198"/>
      <c r="Q980" s="198"/>
      <c r="R980" s="198"/>
      <c r="S980" s="198"/>
      <c r="T980" s="198"/>
      <c r="U980" s="198"/>
      <c r="V980" s="198"/>
      <c r="W980" s="198"/>
      <c r="X980" s="198"/>
    </row>
    <row r="981">
      <c r="A981" s="198"/>
      <c r="B981" s="198"/>
      <c r="C981" s="198"/>
      <c r="D981" s="198"/>
      <c r="E981" s="198"/>
      <c r="F981" s="198"/>
      <c r="G981" s="198"/>
      <c r="H981" s="198"/>
      <c r="I981" s="268"/>
      <c r="J981" s="198"/>
      <c r="K981" s="198"/>
      <c r="L981" s="198"/>
      <c r="M981" s="198"/>
      <c r="N981" s="198"/>
      <c r="O981" s="198"/>
      <c r="P981" s="198"/>
      <c r="Q981" s="198"/>
      <c r="R981" s="198"/>
      <c r="S981" s="198"/>
      <c r="T981" s="198"/>
      <c r="U981" s="198"/>
      <c r="V981" s="198"/>
      <c r="W981" s="198"/>
      <c r="X981" s="198"/>
    </row>
    <row r="982">
      <c r="A982" s="198"/>
      <c r="B982" s="198"/>
      <c r="C982" s="198"/>
      <c r="D982" s="198"/>
      <c r="E982" s="198"/>
      <c r="F982" s="198"/>
      <c r="G982" s="198"/>
      <c r="H982" s="198"/>
      <c r="I982" s="268"/>
      <c r="J982" s="198"/>
      <c r="K982" s="198"/>
      <c r="L982" s="198"/>
      <c r="M982" s="198"/>
      <c r="N982" s="198"/>
      <c r="O982" s="198"/>
      <c r="P982" s="198"/>
      <c r="Q982" s="198"/>
      <c r="R982" s="198"/>
      <c r="S982" s="198"/>
      <c r="T982" s="198"/>
      <c r="U982" s="198"/>
      <c r="V982" s="198"/>
      <c r="W982" s="198"/>
      <c r="X982" s="198"/>
    </row>
    <row r="983">
      <c r="A983" s="198"/>
      <c r="B983" s="198"/>
      <c r="C983" s="198"/>
      <c r="D983" s="198"/>
      <c r="E983" s="198"/>
      <c r="F983" s="198"/>
      <c r="G983" s="198"/>
      <c r="H983" s="198"/>
      <c r="I983" s="268"/>
      <c r="J983" s="198"/>
      <c r="K983" s="198"/>
      <c r="L983" s="198"/>
      <c r="M983" s="198"/>
      <c r="N983" s="198"/>
      <c r="O983" s="198"/>
      <c r="P983" s="198"/>
      <c r="Q983" s="198"/>
      <c r="R983" s="198"/>
      <c r="S983" s="198"/>
      <c r="T983" s="198"/>
      <c r="U983" s="198"/>
      <c r="V983" s="198"/>
      <c r="W983" s="198"/>
      <c r="X983" s="198"/>
    </row>
    <row r="984">
      <c r="A984" s="198"/>
      <c r="B984" s="198"/>
      <c r="C984" s="198"/>
      <c r="D984" s="198"/>
      <c r="E984" s="198"/>
      <c r="F984" s="198"/>
      <c r="G984" s="198"/>
      <c r="H984" s="198"/>
      <c r="I984" s="268"/>
      <c r="J984" s="198"/>
      <c r="K984" s="198"/>
      <c r="L984" s="198"/>
      <c r="M984" s="198"/>
      <c r="N984" s="198"/>
      <c r="O984" s="198"/>
      <c r="P984" s="198"/>
      <c r="Q984" s="198"/>
      <c r="R984" s="198"/>
      <c r="S984" s="198"/>
      <c r="T984" s="198"/>
      <c r="U984" s="198"/>
      <c r="V984" s="198"/>
      <c r="W984" s="198"/>
      <c r="X984" s="198"/>
    </row>
    <row r="985">
      <c r="A985" s="198"/>
      <c r="B985" s="198"/>
      <c r="C985" s="198"/>
      <c r="D985" s="198"/>
      <c r="E985" s="198"/>
      <c r="F985" s="198"/>
      <c r="G985" s="198"/>
      <c r="H985" s="198"/>
      <c r="I985" s="268"/>
      <c r="J985" s="198"/>
      <c r="K985" s="198"/>
      <c r="L985" s="198"/>
      <c r="M985" s="198"/>
      <c r="N985" s="198"/>
      <c r="O985" s="198"/>
      <c r="P985" s="198"/>
      <c r="Q985" s="198"/>
      <c r="R985" s="198"/>
      <c r="S985" s="198"/>
      <c r="T985" s="198"/>
      <c r="U985" s="198"/>
      <c r="V985" s="198"/>
      <c r="W985" s="198"/>
      <c r="X985" s="198"/>
    </row>
    <row r="986">
      <c r="A986" s="198"/>
      <c r="B986" s="198"/>
      <c r="C986" s="198"/>
      <c r="D986" s="198"/>
      <c r="E986" s="198"/>
      <c r="F986" s="198"/>
      <c r="G986" s="198"/>
      <c r="H986" s="198"/>
      <c r="I986" s="268"/>
      <c r="J986" s="198"/>
      <c r="K986" s="198"/>
      <c r="L986" s="198"/>
      <c r="M986" s="198"/>
      <c r="N986" s="198"/>
      <c r="O986" s="198"/>
      <c r="P986" s="198"/>
      <c r="Q986" s="198"/>
      <c r="R986" s="198"/>
      <c r="S986" s="198"/>
      <c r="T986" s="198"/>
      <c r="U986" s="198"/>
      <c r="V986" s="198"/>
      <c r="W986" s="198"/>
      <c r="X986" s="198"/>
    </row>
    <row r="987">
      <c r="A987" s="198"/>
      <c r="B987" s="198"/>
      <c r="C987" s="198"/>
      <c r="D987" s="198"/>
      <c r="E987" s="198"/>
      <c r="F987" s="198"/>
      <c r="G987" s="198"/>
      <c r="H987" s="198"/>
      <c r="I987" s="268"/>
      <c r="J987" s="198"/>
      <c r="K987" s="198"/>
      <c r="L987" s="198"/>
      <c r="M987" s="198"/>
      <c r="N987" s="198"/>
      <c r="O987" s="198"/>
      <c r="P987" s="198"/>
      <c r="Q987" s="198"/>
      <c r="R987" s="198"/>
      <c r="S987" s="198"/>
      <c r="T987" s="198"/>
      <c r="U987" s="198"/>
      <c r="V987" s="198"/>
      <c r="W987" s="198"/>
      <c r="X987" s="198"/>
    </row>
    <row r="988">
      <c r="A988" s="198"/>
      <c r="B988" s="198"/>
      <c r="C988" s="198"/>
      <c r="D988" s="198"/>
      <c r="E988" s="198"/>
      <c r="F988" s="198"/>
      <c r="G988" s="198"/>
      <c r="H988" s="198"/>
      <c r="I988" s="268"/>
      <c r="J988" s="198"/>
      <c r="K988" s="198"/>
      <c r="L988" s="198"/>
      <c r="M988" s="198"/>
      <c r="N988" s="198"/>
      <c r="O988" s="198"/>
      <c r="P988" s="198"/>
      <c r="Q988" s="198"/>
      <c r="R988" s="198"/>
      <c r="S988" s="198"/>
      <c r="T988" s="198"/>
      <c r="U988" s="198"/>
      <c r="V988" s="198"/>
      <c r="W988" s="198"/>
      <c r="X988" s="198"/>
    </row>
    <row r="989">
      <c r="A989" s="198"/>
      <c r="B989" s="198"/>
      <c r="C989" s="198"/>
      <c r="D989" s="198"/>
      <c r="E989" s="198"/>
      <c r="F989" s="198"/>
      <c r="G989" s="198"/>
      <c r="H989" s="198"/>
      <c r="I989" s="268"/>
      <c r="J989" s="198"/>
      <c r="K989" s="198"/>
      <c r="L989" s="198"/>
      <c r="M989" s="198"/>
      <c r="N989" s="198"/>
      <c r="O989" s="198"/>
      <c r="P989" s="198"/>
      <c r="Q989" s="198"/>
      <c r="R989" s="198"/>
      <c r="S989" s="198"/>
      <c r="T989" s="198"/>
      <c r="U989" s="198"/>
      <c r="V989" s="198"/>
      <c r="W989" s="198"/>
      <c r="X989" s="198"/>
    </row>
    <row r="990">
      <c r="A990" s="198"/>
      <c r="B990" s="198"/>
      <c r="C990" s="198"/>
      <c r="D990" s="198"/>
      <c r="E990" s="198"/>
      <c r="F990" s="198"/>
      <c r="G990" s="198"/>
      <c r="H990" s="198"/>
      <c r="I990" s="268"/>
      <c r="J990" s="198"/>
      <c r="K990" s="198"/>
      <c r="L990" s="198"/>
      <c r="M990" s="198"/>
      <c r="N990" s="198"/>
      <c r="O990" s="198"/>
      <c r="P990" s="198"/>
      <c r="Q990" s="198"/>
      <c r="R990" s="198"/>
      <c r="S990" s="198"/>
      <c r="T990" s="198"/>
      <c r="U990" s="198"/>
      <c r="V990" s="198"/>
      <c r="W990" s="198"/>
      <c r="X990" s="198"/>
    </row>
    <row r="991">
      <c r="A991" s="198"/>
      <c r="B991" s="198"/>
      <c r="C991" s="198"/>
      <c r="D991" s="198"/>
      <c r="E991" s="198"/>
      <c r="F991" s="198"/>
      <c r="G991" s="198"/>
      <c r="H991" s="198"/>
      <c r="I991" s="268"/>
      <c r="J991" s="198"/>
      <c r="K991" s="198"/>
      <c r="L991" s="198"/>
      <c r="M991" s="198"/>
      <c r="N991" s="198"/>
      <c r="O991" s="198"/>
      <c r="P991" s="198"/>
      <c r="Q991" s="198"/>
      <c r="R991" s="198"/>
      <c r="S991" s="198"/>
      <c r="T991" s="198"/>
      <c r="U991" s="198"/>
      <c r="V991" s="198"/>
      <c r="W991" s="198"/>
      <c r="X991" s="198"/>
    </row>
    <row r="992">
      <c r="A992" s="198"/>
      <c r="B992" s="198"/>
      <c r="C992" s="198"/>
      <c r="D992" s="198"/>
      <c r="E992" s="198"/>
      <c r="F992" s="198"/>
      <c r="G992" s="198"/>
      <c r="H992" s="198"/>
      <c r="I992" s="268"/>
      <c r="J992" s="198"/>
      <c r="K992" s="198"/>
      <c r="L992" s="198"/>
      <c r="M992" s="198"/>
      <c r="N992" s="198"/>
      <c r="O992" s="198"/>
      <c r="P992" s="198"/>
      <c r="Q992" s="198"/>
      <c r="R992" s="198"/>
      <c r="S992" s="198"/>
      <c r="T992" s="198"/>
      <c r="U992" s="198"/>
      <c r="V992" s="198"/>
      <c r="W992" s="198"/>
      <c r="X992" s="198"/>
    </row>
    <row r="993">
      <c r="A993" s="198"/>
      <c r="B993" s="198"/>
      <c r="C993" s="198"/>
      <c r="D993" s="198"/>
      <c r="E993" s="198"/>
      <c r="F993" s="198"/>
      <c r="G993" s="198"/>
      <c r="H993" s="198"/>
      <c r="I993" s="268"/>
      <c r="J993" s="198"/>
      <c r="K993" s="198"/>
      <c r="L993" s="198"/>
      <c r="M993" s="198"/>
      <c r="N993" s="198"/>
      <c r="O993" s="198"/>
      <c r="P993" s="198"/>
      <c r="Q993" s="198"/>
      <c r="R993" s="198"/>
      <c r="S993" s="198"/>
      <c r="T993" s="198"/>
      <c r="U993" s="198"/>
      <c r="V993" s="198"/>
      <c r="W993" s="198"/>
      <c r="X993" s="198"/>
    </row>
    <row r="994">
      <c r="A994" s="198"/>
      <c r="B994" s="198"/>
      <c r="C994" s="198"/>
      <c r="D994" s="198"/>
      <c r="E994" s="198"/>
      <c r="F994" s="198"/>
      <c r="G994" s="198"/>
      <c r="H994" s="198"/>
      <c r="I994" s="268"/>
      <c r="J994" s="198"/>
      <c r="K994" s="198"/>
      <c r="L994" s="198"/>
      <c r="M994" s="198"/>
      <c r="N994" s="198"/>
      <c r="O994" s="198"/>
      <c r="P994" s="198"/>
      <c r="Q994" s="198"/>
      <c r="R994" s="198"/>
      <c r="S994" s="198"/>
      <c r="T994" s="198"/>
      <c r="U994" s="198"/>
      <c r="V994" s="198"/>
      <c r="W994" s="198"/>
      <c r="X994" s="198"/>
    </row>
    <row r="995">
      <c r="A995" s="198"/>
      <c r="B995" s="198"/>
      <c r="C995" s="198"/>
      <c r="D995" s="198"/>
      <c r="E995" s="198"/>
      <c r="F995" s="198"/>
      <c r="G995" s="198"/>
      <c r="H995" s="198"/>
      <c r="I995" s="268"/>
      <c r="J995" s="198"/>
      <c r="K995" s="198"/>
      <c r="L995" s="198"/>
      <c r="M995" s="198"/>
      <c r="N995" s="198"/>
      <c r="O995" s="198"/>
      <c r="P995" s="198"/>
      <c r="Q995" s="198"/>
      <c r="R995" s="198"/>
      <c r="S995" s="198"/>
      <c r="T995" s="198"/>
      <c r="U995" s="198"/>
      <c r="V995" s="198"/>
      <c r="W995" s="198"/>
      <c r="X995" s="198"/>
    </row>
    <row r="996">
      <c r="A996" s="198"/>
      <c r="B996" s="198"/>
      <c r="C996" s="198"/>
      <c r="D996" s="198"/>
      <c r="E996" s="198"/>
      <c r="F996" s="198"/>
      <c r="G996" s="198"/>
      <c r="H996" s="198"/>
      <c r="I996" s="268"/>
      <c r="J996" s="198"/>
      <c r="K996" s="198"/>
      <c r="L996" s="198"/>
      <c r="M996" s="198"/>
      <c r="N996" s="198"/>
      <c r="O996" s="198"/>
      <c r="P996" s="198"/>
      <c r="Q996" s="198"/>
      <c r="R996" s="198"/>
      <c r="S996" s="198"/>
      <c r="T996" s="198"/>
      <c r="U996" s="198"/>
      <c r="V996" s="198"/>
      <c r="W996" s="198"/>
      <c r="X996" s="198"/>
    </row>
    <row r="997">
      <c r="A997" s="198"/>
      <c r="B997" s="198"/>
      <c r="C997" s="198"/>
      <c r="D997" s="198"/>
      <c r="E997" s="198"/>
      <c r="F997" s="198"/>
      <c r="G997" s="198"/>
      <c r="H997" s="198"/>
      <c r="I997" s="268"/>
      <c r="J997" s="198"/>
      <c r="K997" s="198"/>
      <c r="L997" s="198"/>
      <c r="M997" s="198"/>
      <c r="N997" s="198"/>
      <c r="O997" s="198"/>
      <c r="P997" s="198"/>
      <c r="Q997" s="198"/>
      <c r="R997" s="198"/>
      <c r="S997" s="198"/>
      <c r="T997" s="198"/>
      <c r="U997" s="198"/>
      <c r="V997" s="198"/>
      <c r="W997" s="198"/>
      <c r="X997" s="198"/>
    </row>
    <row r="998">
      <c r="A998" s="198"/>
      <c r="B998" s="198"/>
      <c r="C998" s="198"/>
      <c r="D998" s="198"/>
      <c r="E998" s="198"/>
      <c r="F998" s="198"/>
      <c r="G998" s="198"/>
      <c r="H998" s="198"/>
      <c r="I998" s="268"/>
      <c r="J998" s="198"/>
      <c r="K998" s="198"/>
      <c r="L998" s="198"/>
      <c r="M998" s="198"/>
      <c r="N998" s="198"/>
      <c r="O998" s="198"/>
      <c r="P998" s="198"/>
      <c r="Q998" s="198"/>
      <c r="R998" s="198"/>
      <c r="S998" s="198"/>
      <c r="T998" s="198"/>
      <c r="U998" s="198"/>
      <c r="V998" s="198"/>
      <c r="W998" s="198"/>
      <c r="X998" s="198"/>
    </row>
    <row r="999">
      <c r="A999" s="198"/>
      <c r="B999" s="198"/>
      <c r="C999" s="198"/>
      <c r="D999" s="198"/>
      <c r="E999" s="198"/>
      <c r="F999" s="198"/>
      <c r="G999" s="198"/>
      <c r="H999" s="198"/>
      <c r="I999" s="268"/>
      <c r="J999" s="198"/>
      <c r="K999" s="198"/>
      <c r="L999" s="198"/>
      <c r="M999" s="198"/>
      <c r="N999" s="198"/>
      <c r="O999" s="198"/>
      <c r="P999" s="198"/>
      <c r="Q999" s="198"/>
      <c r="R999" s="198"/>
      <c r="S999" s="198"/>
      <c r="T999" s="198"/>
      <c r="U999" s="198"/>
      <c r="V999" s="198"/>
      <c r="W999" s="198"/>
      <c r="X999" s="198"/>
    </row>
    <row r="1000">
      <c r="A1000" s="198"/>
      <c r="B1000" s="198"/>
      <c r="C1000" s="198"/>
      <c r="D1000" s="198"/>
      <c r="E1000" s="198"/>
      <c r="F1000" s="198"/>
      <c r="G1000" s="198"/>
      <c r="H1000" s="198"/>
      <c r="I1000" s="268"/>
      <c r="J1000" s="198"/>
      <c r="K1000" s="198"/>
      <c r="L1000" s="198"/>
      <c r="M1000" s="198"/>
      <c r="N1000" s="198"/>
      <c r="O1000" s="198"/>
      <c r="P1000" s="198"/>
      <c r="Q1000" s="198"/>
      <c r="R1000" s="198"/>
      <c r="S1000" s="198"/>
      <c r="T1000" s="198"/>
      <c r="U1000" s="198"/>
      <c r="V1000" s="198"/>
      <c r="W1000" s="198"/>
      <c r="X1000" s="198"/>
    </row>
    <row r="1001">
      <c r="A1001" s="198"/>
      <c r="B1001" s="198"/>
      <c r="C1001" s="198"/>
      <c r="D1001" s="198"/>
      <c r="E1001" s="198"/>
      <c r="F1001" s="198"/>
      <c r="G1001" s="198"/>
      <c r="H1001" s="198"/>
      <c r="I1001" s="268"/>
      <c r="J1001" s="198"/>
      <c r="K1001" s="198"/>
      <c r="L1001" s="198"/>
      <c r="M1001" s="198"/>
      <c r="N1001" s="198"/>
      <c r="O1001" s="198"/>
      <c r="P1001" s="198"/>
      <c r="Q1001" s="198"/>
      <c r="R1001" s="198"/>
      <c r="S1001" s="198"/>
      <c r="T1001" s="198"/>
      <c r="U1001" s="198"/>
      <c r="V1001" s="198"/>
      <c r="W1001" s="198"/>
      <c r="X1001" s="198"/>
    </row>
    <row r="1002">
      <c r="A1002" s="198"/>
      <c r="B1002" s="198"/>
      <c r="C1002" s="198"/>
      <c r="D1002" s="198"/>
      <c r="E1002" s="198"/>
      <c r="F1002" s="198"/>
      <c r="G1002" s="198"/>
      <c r="H1002" s="198"/>
      <c r="I1002" s="268"/>
      <c r="J1002" s="198"/>
      <c r="K1002" s="198"/>
      <c r="L1002" s="198"/>
      <c r="M1002" s="198"/>
      <c r="N1002" s="198"/>
      <c r="O1002" s="198"/>
      <c r="P1002" s="198"/>
      <c r="Q1002" s="198"/>
      <c r="R1002" s="198"/>
      <c r="S1002" s="198"/>
      <c r="T1002" s="198"/>
      <c r="U1002" s="198"/>
      <c r="V1002" s="198"/>
      <c r="W1002" s="198"/>
      <c r="X1002" s="198"/>
    </row>
    <row r="1003">
      <c r="A1003" s="198"/>
      <c r="B1003" s="198"/>
      <c r="C1003" s="198"/>
      <c r="D1003" s="198"/>
      <c r="E1003" s="198"/>
      <c r="F1003" s="198"/>
      <c r="G1003" s="198"/>
      <c r="H1003" s="198"/>
      <c r="I1003" s="268"/>
      <c r="J1003" s="198"/>
      <c r="K1003" s="198"/>
      <c r="L1003" s="198"/>
      <c r="M1003" s="198"/>
      <c r="N1003" s="198"/>
      <c r="O1003" s="198"/>
      <c r="P1003" s="198"/>
      <c r="Q1003" s="198"/>
      <c r="R1003" s="198"/>
      <c r="S1003" s="198"/>
      <c r="T1003" s="198"/>
      <c r="U1003" s="198"/>
      <c r="V1003" s="198"/>
      <c r="W1003" s="198"/>
      <c r="X1003" s="198"/>
    </row>
    <row r="1004">
      <c r="A1004" s="198"/>
      <c r="B1004" s="198"/>
      <c r="C1004" s="198"/>
      <c r="D1004" s="198"/>
      <c r="E1004" s="198"/>
      <c r="F1004" s="198"/>
      <c r="G1004" s="198"/>
      <c r="H1004" s="198"/>
      <c r="I1004" s="268"/>
      <c r="J1004" s="198"/>
      <c r="K1004" s="198"/>
      <c r="L1004" s="198"/>
      <c r="M1004" s="198"/>
      <c r="N1004" s="198"/>
      <c r="O1004" s="198"/>
      <c r="P1004" s="198"/>
      <c r="Q1004" s="198"/>
      <c r="R1004" s="198"/>
      <c r="S1004" s="198"/>
      <c r="T1004" s="198"/>
      <c r="U1004" s="198"/>
      <c r="V1004" s="198"/>
      <c r="W1004" s="198"/>
      <c r="X1004" s="198"/>
    </row>
    <row r="1005">
      <c r="A1005" s="198"/>
      <c r="B1005" s="198"/>
      <c r="C1005" s="198"/>
      <c r="D1005" s="198"/>
      <c r="E1005" s="198"/>
      <c r="F1005" s="198"/>
      <c r="G1005" s="198"/>
      <c r="H1005" s="198"/>
      <c r="I1005" s="268"/>
      <c r="J1005" s="198"/>
      <c r="K1005" s="198"/>
      <c r="L1005" s="198"/>
      <c r="M1005" s="198"/>
      <c r="N1005" s="198"/>
      <c r="O1005" s="198"/>
      <c r="P1005" s="198"/>
      <c r="Q1005" s="198"/>
      <c r="R1005" s="198"/>
      <c r="S1005" s="198"/>
      <c r="T1005" s="198"/>
      <c r="U1005" s="198"/>
      <c r="V1005" s="198"/>
      <c r="W1005" s="198"/>
      <c r="X1005" s="198"/>
    </row>
  </sheetData>
  <mergeCells count="9">
    <mergeCell ref="A158:J158"/>
    <mergeCell ref="A183:J183"/>
    <mergeCell ref="A1:J1"/>
    <mergeCell ref="B2:C2"/>
    <mergeCell ref="B3:C3"/>
    <mergeCell ref="B4:C4"/>
    <mergeCell ref="A7:J7"/>
    <mergeCell ref="A17:J17"/>
    <mergeCell ref="A27:J27"/>
  </mergeCells>
  <dataValidations>
    <dataValidation type="list" allowBlank="1" showErrorMessage="1" sqref="E8:E16 E18:E26 E28:E157 E159:E182 E184:E297">
      <formula1>"Bùi Cao Chung,Bùi Huy Hoàng,Nguyễn Văn Tiến Anh,Vũ Mạnh Cường"</formula1>
    </dataValidation>
    <dataValidation type="list" allowBlank="1" showErrorMessage="1" sqref="D8:D16 D18:D26 D28:D157 D159:D182 D184:D297">
      <formula1>"Edge,Negative,Positive"</formula1>
    </dataValidation>
    <dataValidation type="list" allowBlank="1" showErrorMessage="1" sqref="H8:H16 H18:H26 H28:H157 H159:H182 H184:H297">
      <formula1>"Untested,Pass,Fail,Blocked"</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9.25"/>
    <col customWidth="1" min="3" max="3" width="20.0"/>
    <col customWidth="1" min="4" max="4" width="27.0"/>
    <col customWidth="1" min="5" max="5" width="26.75"/>
    <col customWidth="1" min="6" max="6" width="18.25"/>
    <col customWidth="1" min="7" max="7" width="18.5"/>
    <col customWidth="1" min="11" max="11" width="20.13"/>
    <col customWidth="1" min="13" max="13" width="14.25"/>
    <col customWidth="1" min="14" max="14" width="26.38"/>
    <col customWidth="1" min="20" max="20" width="17.5"/>
    <col customWidth="1" min="21" max="21" width="19.63"/>
  </cols>
  <sheetData>
    <row r="1" ht="37.5" customHeight="1">
      <c r="A1" s="269" t="s">
        <v>3149</v>
      </c>
      <c r="M1" s="222"/>
      <c r="N1" s="222"/>
      <c r="O1" s="222"/>
      <c r="P1" s="222"/>
      <c r="Q1" s="222"/>
      <c r="R1" s="222"/>
      <c r="S1" s="222"/>
      <c r="T1" s="222"/>
      <c r="U1" s="222"/>
      <c r="V1" s="222"/>
      <c r="W1" s="222"/>
    </row>
    <row r="2">
      <c r="A2" s="270" t="s">
        <v>1398</v>
      </c>
      <c r="B2" s="270" t="s">
        <v>3150</v>
      </c>
      <c r="C2" s="270" t="s">
        <v>3151</v>
      </c>
      <c r="D2" s="270" t="s">
        <v>3152</v>
      </c>
      <c r="E2" s="270" t="s">
        <v>3153</v>
      </c>
      <c r="F2" s="270" t="s">
        <v>3139</v>
      </c>
      <c r="G2" s="270" t="s">
        <v>3154</v>
      </c>
      <c r="H2" s="270" t="s">
        <v>3155</v>
      </c>
      <c r="I2" s="270" t="s">
        <v>3156</v>
      </c>
      <c r="J2" s="270" t="s">
        <v>149</v>
      </c>
      <c r="K2" s="270" t="s">
        <v>3157</v>
      </c>
      <c r="L2" s="270" t="s">
        <v>3158</v>
      </c>
      <c r="M2" s="271"/>
      <c r="N2" s="271"/>
      <c r="O2" s="271"/>
      <c r="P2" s="271"/>
      <c r="Q2" s="271"/>
      <c r="R2" s="271"/>
      <c r="S2" s="271"/>
      <c r="T2" s="271"/>
      <c r="U2" s="271"/>
      <c r="V2" s="271"/>
      <c r="W2" s="271"/>
    </row>
    <row r="3" ht="74.25" customHeight="1">
      <c r="A3" s="272" t="s">
        <v>1583</v>
      </c>
      <c r="B3" s="273" t="s">
        <v>789</v>
      </c>
      <c r="C3" s="273" t="s">
        <v>3159</v>
      </c>
      <c r="D3" s="274" t="s">
        <v>3160</v>
      </c>
      <c r="E3" s="274" t="s">
        <v>3161</v>
      </c>
      <c r="F3" s="273" t="s">
        <v>3162</v>
      </c>
      <c r="G3" s="273" t="s">
        <v>3163</v>
      </c>
      <c r="H3" s="272" t="s">
        <v>51</v>
      </c>
      <c r="I3" s="275" t="s">
        <v>51</v>
      </c>
      <c r="J3" s="275" t="s">
        <v>3164</v>
      </c>
      <c r="K3" s="275" t="s">
        <v>92</v>
      </c>
      <c r="L3" s="276">
        <v>46146.0</v>
      </c>
      <c r="M3" s="156"/>
      <c r="N3" s="156" t="s">
        <v>3165</v>
      </c>
      <c r="O3" s="222"/>
      <c r="P3" s="277" t="s">
        <v>6</v>
      </c>
      <c r="Q3" s="277" t="s">
        <v>3</v>
      </c>
      <c r="R3" s="277" t="s">
        <v>3166</v>
      </c>
      <c r="S3" s="222"/>
      <c r="T3" s="82" t="s">
        <v>3167</v>
      </c>
      <c r="U3" s="82" t="s">
        <v>3168</v>
      </c>
      <c r="V3" s="222"/>
      <c r="W3" s="222"/>
    </row>
    <row r="4">
      <c r="A4" s="278" t="s">
        <v>1765</v>
      </c>
      <c r="B4" s="279" t="s">
        <v>868</v>
      </c>
      <c r="C4" s="279" t="s">
        <v>3169</v>
      </c>
      <c r="D4" s="279" t="s">
        <v>3170</v>
      </c>
      <c r="E4" s="280" t="s">
        <v>3171</v>
      </c>
      <c r="F4" s="279" t="s">
        <v>1764</v>
      </c>
      <c r="G4" s="279" t="s">
        <v>1763</v>
      </c>
      <c r="H4" s="278" t="s">
        <v>58</v>
      </c>
      <c r="I4" s="281" t="s">
        <v>58</v>
      </c>
      <c r="J4" s="278" t="s">
        <v>3164</v>
      </c>
      <c r="K4" s="278" t="s">
        <v>88</v>
      </c>
      <c r="L4" s="282">
        <v>46146.0</v>
      </c>
      <c r="M4" s="222"/>
      <c r="N4" s="222"/>
      <c r="O4" s="222"/>
      <c r="P4" s="87" t="s">
        <v>194</v>
      </c>
      <c r="Q4" s="87" t="s">
        <v>3172</v>
      </c>
      <c r="R4" s="87" t="s">
        <v>3173</v>
      </c>
      <c r="S4" s="222"/>
      <c r="T4" s="86" t="s">
        <v>3174</v>
      </c>
      <c r="U4" s="87" t="s">
        <v>3175</v>
      </c>
      <c r="V4" s="222"/>
      <c r="W4" s="222"/>
    </row>
    <row r="5">
      <c r="A5" s="272" t="s">
        <v>1842</v>
      </c>
      <c r="B5" s="273" t="s">
        <v>914</v>
      </c>
      <c r="C5" s="273" t="s">
        <v>3176</v>
      </c>
      <c r="D5" s="274" t="s">
        <v>3177</v>
      </c>
      <c r="E5" s="274" t="s">
        <v>3178</v>
      </c>
      <c r="F5" s="273" t="s">
        <v>3179</v>
      </c>
      <c r="G5" s="273" t="s">
        <v>1840</v>
      </c>
      <c r="H5" s="283" t="s">
        <v>12</v>
      </c>
      <c r="I5" s="275" t="s">
        <v>12</v>
      </c>
      <c r="J5" s="275" t="s">
        <v>3164</v>
      </c>
      <c r="K5" s="275" t="s">
        <v>88</v>
      </c>
      <c r="L5" s="284">
        <v>46146.0</v>
      </c>
      <c r="M5" s="222"/>
      <c r="N5" s="222"/>
      <c r="O5" s="222"/>
      <c r="P5" s="87" t="s">
        <v>58</v>
      </c>
      <c r="Q5" s="87" t="s">
        <v>3180</v>
      </c>
      <c r="R5" s="87" t="s">
        <v>3181</v>
      </c>
      <c r="S5" s="222"/>
      <c r="T5" s="86" t="s">
        <v>3164</v>
      </c>
      <c r="U5" s="87" t="s">
        <v>3182</v>
      </c>
      <c r="V5" s="222"/>
      <c r="W5" s="222"/>
    </row>
    <row r="6">
      <c r="A6" s="278" t="s">
        <v>1848</v>
      </c>
      <c r="B6" s="279" t="s">
        <v>916</v>
      </c>
      <c r="C6" s="279" t="s">
        <v>3183</v>
      </c>
      <c r="D6" s="279" t="s">
        <v>3184</v>
      </c>
      <c r="E6" s="280" t="s">
        <v>3185</v>
      </c>
      <c r="F6" s="279" t="s">
        <v>3186</v>
      </c>
      <c r="G6" s="279" t="s">
        <v>1846</v>
      </c>
      <c r="H6" s="278" t="s">
        <v>12</v>
      </c>
      <c r="I6" s="281" t="s">
        <v>51</v>
      </c>
      <c r="J6" s="278" t="s">
        <v>3164</v>
      </c>
      <c r="K6" s="278" t="s">
        <v>88</v>
      </c>
      <c r="L6" s="282">
        <v>46146.0</v>
      </c>
      <c r="M6" s="222"/>
      <c r="N6" s="222"/>
      <c r="O6" s="222"/>
      <c r="P6" s="87" t="s">
        <v>12</v>
      </c>
      <c r="Q6" s="87" t="s">
        <v>3187</v>
      </c>
      <c r="R6" s="87" t="s">
        <v>3188</v>
      </c>
      <c r="S6" s="222"/>
      <c r="T6" s="86" t="s">
        <v>3189</v>
      </c>
      <c r="U6" s="87" t="s">
        <v>3190</v>
      </c>
      <c r="V6" s="222"/>
      <c r="W6" s="222"/>
    </row>
    <row r="7">
      <c r="A7" s="278" t="s">
        <v>1869</v>
      </c>
      <c r="B7" s="279" t="s">
        <v>928</v>
      </c>
      <c r="C7" s="279" t="s">
        <v>3191</v>
      </c>
      <c r="D7" s="279" t="s">
        <v>3192</v>
      </c>
      <c r="E7" s="280" t="s">
        <v>3193</v>
      </c>
      <c r="F7" s="279" t="s">
        <v>1868</v>
      </c>
      <c r="G7" s="279" t="s">
        <v>1867</v>
      </c>
      <c r="H7" s="285" t="s">
        <v>58</v>
      </c>
      <c r="I7" s="278" t="s">
        <v>12</v>
      </c>
      <c r="J7" s="278" t="s">
        <v>3164</v>
      </c>
      <c r="K7" s="278" t="s">
        <v>88</v>
      </c>
      <c r="L7" s="284">
        <v>46146.0</v>
      </c>
      <c r="M7" s="222"/>
      <c r="N7" s="222"/>
      <c r="O7" s="222"/>
      <c r="P7" s="87" t="s">
        <v>51</v>
      </c>
      <c r="Q7" s="87" t="s">
        <v>3194</v>
      </c>
      <c r="R7" s="87" t="s">
        <v>3195</v>
      </c>
      <c r="S7" s="222"/>
      <c r="T7" s="86" t="s">
        <v>3196</v>
      </c>
      <c r="U7" s="87" t="s">
        <v>3197</v>
      </c>
      <c r="V7" s="222"/>
      <c r="W7" s="222"/>
    </row>
    <row r="8">
      <c r="A8" s="278" t="s">
        <v>1901</v>
      </c>
      <c r="B8" s="279" t="s">
        <v>947</v>
      </c>
      <c r="C8" s="279" t="s">
        <v>3198</v>
      </c>
      <c r="D8" s="279" t="s">
        <v>3199</v>
      </c>
      <c r="E8" s="280" t="s">
        <v>3200</v>
      </c>
      <c r="F8" s="279" t="s">
        <v>1900</v>
      </c>
      <c r="G8" s="279" t="s">
        <v>3201</v>
      </c>
      <c r="H8" s="278" t="s">
        <v>58</v>
      </c>
      <c r="I8" s="278" t="s">
        <v>58</v>
      </c>
      <c r="J8" s="278" t="s">
        <v>3164</v>
      </c>
      <c r="K8" s="278" t="s">
        <v>88</v>
      </c>
      <c r="L8" s="284">
        <v>46146.0</v>
      </c>
      <c r="M8" s="222"/>
      <c r="N8" s="222"/>
      <c r="O8" s="222"/>
      <c r="P8" s="222"/>
      <c r="Q8" s="222"/>
      <c r="R8" s="222"/>
      <c r="S8" s="222"/>
      <c r="T8" s="86" t="s">
        <v>3202</v>
      </c>
      <c r="U8" s="87" t="s">
        <v>3203</v>
      </c>
      <c r="V8" s="222"/>
      <c r="W8" s="222"/>
    </row>
    <row r="9">
      <c r="A9" s="281" t="s">
        <v>1914</v>
      </c>
      <c r="B9" s="279" t="s">
        <v>954</v>
      </c>
      <c r="C9" s="279" t="s">
        <v>3204</v>
      </c>
      <c r="D9" s="279" t="s">
        <v>3205</v>
      </c>
      <c r="E9" s="280" t="s">
        <v>3206</v>
      </c>
      <c r="F9" s="279" t="s">
        <v>3207</v>
      </c>
      <c r="G9" s="279" t="s">
        <v>1867</v>
      </c>
      <c r="H9" s="285" t="s">
        <v>12</v>
      </c>
      <c r="I9" s="278" t="s">
        <v>12</v>
      </c>
      <c r="J9" s="278" t="s">
        <v>3164</v>
      </c>
      <c r="K9" s="278" t="s">
        <v>88</v>
      </c>
      <c r="L9" s="284">
        <v>46146.0</v>
      </c>
      <c r="M9" s="222"/>
      <c r="N9" s="222"/>
      <c r="O9" s="222"/>
      <c r="P9" s="222"/>
      <c r="Q9" s="222"/>
      <c r="R9" s="222"/>
      <c r="S9" s="222"/>
      <c r="T9" s="86" t="s">
        <v>3208</v>
      </c>
      <c r="U9" s="87" t="s">
        <v>3209</v>
      </c>
      <c r="V9" s="222"/>
      <c r="W9" s="222"/>
    </row>
    <row r="10">
      <c r="A10" s="286" t="s">
        <v>2076</v>
      </c>
      <c r="B10" s="287" t="s">
        <v>1047</v>
      </c>
      <c r="C10" s="288" t="s">
        <v>3210</v>
      </c>
      <c r="D10" s="280" t="s">
        <v>1048</v>
      </c>
      <c r="E10" s="288" t="s">
        <v>2072</v>
      </c>
      <c r="F10" s="288" t="s">
        <v>2075</v>
      </c>
      <c r="G10" s="288" t="s">
        <v>2074</v>
      </c>
      <c r="H10" s="289" t="s">
        <v>12</v>
      </c>
      <c r="I10" s="286" t="s">
        <v>12</v>
      </c>
      <c r="J10" s="286" t="s">
        <v>3164</v>
      </c>
      <c r="K10" s="286" t="s">
        <v>94</v>
      </c>
      <c r="L10" s="290">
        <v>46146.0</v>
      </c>
      <c r="M10" s="222"/>
      <c r="N10" s="222"/>
      <c r="O10" s="222"/>
      <c r="P10" s="222"/>
      <c r="Q10" s="222"/>
      <c r="R10" s="222"/>
      <c r="S10" s="222"/>
      <c r="T10" s="86" t="s">
        <v>3211</v>
      </c>
      <c r="U10" s="87" t="s">
        <v>3212</v>
      </c>
      <c r="V10" s="222"/>
      <c r="W10" s="222"/>
    </row>
    <row r="11">
      <c r="A11" s="291" t="s">
        <v>2175</v>
      </c>
      <c r="B11" s="292" t="s">
        <v>1106</v>
      </c>
      <c r="C11" s="292" t="s">
        <v>1107</v>
      </c>
      <c r="D11" s="292" t="s">
        <v>3213</v>
      </c>
      <c r="E11" s="292" t="s">
        <v>2171</v>
      </c>
      <c r="F11" s="292" t="s">
        <v>2174</v>
      </c>
      <c r="G11" s="292" t="s">
        <v>2173</v>
      </c>
      <c r="H11" s="291" t="s">
        <v>58</v>
      </c>
      <c r="I11" s="291" t="s">
        <v>58</v>
      </c>
      <c r="J11" s="291" t="s">
        <v>3164</v>
      </c>
      <c r="K11" s="291" t="s">
        <v>90</v>
      </c>
      <c r="L11" s="293">
        <v>46146.0</v>
      </c>
      <c r="M11" s="222"/>
      <c r="N11" s="222"/>
      <c r="O11" s="222"/>
      <c r="P11" s="222"/>
      <c r="Q11" s="222"/>
      <c r="R11" s="222"/>
      <c r="S11" s="222"/>
      <c r="T11" s="86" t="s">
        <v>3214</v>
      </c>
      <c r="U11" s="87" t="s">
        <v>3215</v>
      </c>
      <c r="V11" s="222"/>
      <c r="W11" s="222"/>
    </row>
    <row r="12">
      <c r="A12" s="281" t="s">
        <v>2500</v>
      </c>
      <c r="B12" s="279" t="s">
        <v>1256</v>
      </c>
      <c r="C12" s="279" t="s">
        <v>3216</v>
      </c>
      <c r="D12" s="279" t="s">
        <v>3217</v>
      </c>
      <c r="E12" s="280" t="s">
        <v>3218</v>
      </c>
      <c r="F12" s="279" t="s">
        <v>2499</v>
      </c>
      <c r="G12" s="279" t="s">
        <v>2498</v>
      </c>
      <c r="H12" s="278" t="s">
        <v>58</v>
      </c>
      <c r="I12" s="278" t="s">
        <v>58</v>
      </c>
      <c r="J12" s="278" t="s">
        <v>3164</v>
      </c>
      <c r="K12" s="278" t="s">
        <v>88</v>
      </c>
      <c r="L12" s="284">
        <v>46146.0</v>
      </c>
      <c r="M12" s="222"/>
      <c r="N12" s="222"/>
      <c r="O12" s="222"/>
      <c r="P12" s="222"/>
      <c r="Q12" s="222"/>
      <c r="R12" s="222"/>
      <c r="S12" s="222"/>
      <c r="T12" s="86" t="s">
        <v>3219</v>
      </c>
      <c r="U12" s="87" t="s">
        <v>3220</v>
      </c>
      <c r="V12" s="222"/>
      <c r="W12" s="222"/>
    </row>
    <row r="13">
      <c r="A13" s="275" t="s">
        <v>2564</v>
      </c>
      <c r="B13" s="279" t="s">
        <v>1295</v>
      </c>
      <c r="C13" s="279" t="s">
        <v>3221</v>
      </c>
      <c r="D13" s="279" t="s">
        <v>3222</v>
      </c>
      <c r="E13" s="280" t="s">
        <v>3223</v>
      </c>
      <c r="F13" s="279" t="s">
        <v>3224</v>
      </c>
      <c r="G13" s="279" t="s">
        <v>2562</v>
      </c>
      <c r="H13" s="285" t="s">
        <v>194</v>
      </c>
      <c r="I13" s="278" t="s">
        <v>58</v>
      </c>
      <c r="J13" s="278" t="s">
        <v>3164</v>
      </c>
      <c r="K13" s="278" t="s">
        <v>88</v>
      </c>
      <c r="L13" s="284">
        <v>46146.0</v>
      </c>
      <c r="M13" s="222"/>
      <c r="N13" s="222"/>
      <c r="O13" s="222"/>
      <c r="P13" s="222"/>
      <c r="Q13" s="222"/>
      <c r="R13" s="222"/>
      <c r="S13" s="222"/>
      <c r="T13" s="86" t="s">
        <v>3225</v>
      </c>
      <c r="U13" s="87" t="s">
        <v>3226</v>
      </c>
      <c r="V13" s="222"/>
      <c r="W13" s="222"/>
    </row>
    <row r="14">
      <c r="A14" s="281" t="s">
        <v>2571</v>
      </c>
      <c r="B14" s="279" t="s">
        <v>1297</v>
      </c>
      <c r="C14" s="279" t="s">
        <v>3227</v>
      </c>
      <c r="D14" s="279" t="s">
        <v>3228</v>
      </c>
      <c r="E14" s="280" t="s">
        <v>3229</v>
      </c>
      <c r="F14" s="279" t="s">
        <v>2570</v>
      </c>
      <c r="G14" s="279" t="s">
        <v>2569</v>
      </c>
      <c r="H14" s="278" t="s">
        <v>58</v>
      </c>
      <c r="I14" s="278" t="s">
        <v>58</v>
      </c>
      <c r="J14" s="278" t="s">
        <v>3164</v>
      </c>
      <c r="K14" s="278" t="s">
        <v>88</v>
      </c>
      <c r="L14" s="284">
        <v>46146.0</v>
      </c>
      <c r="M14" s="222"/>
      <c r="N14" s="222"/>
      <c r="O14" s="222"/>
      <c r="P14" s="222"/>
      <c r="Q14" s="222"/>
      <c r="R14" s="222"/>
      <c r="S14" s="222"/>
      <c r="T14" s="86" t="s">
        <v>3230</v>
      </c>
      <c r="U14" s="87" t="s">
        <v>3231</v>
      </c>
      <c r="V14" s="222"/>
      <c r="W14" s="222"/>
    </row>
    <row r="15">
      <c r="A15" s="275" t="s">
        <v>2576</v>
      </c>
      <c r="B15" s="279" t="s">
        <v>1299</v>
      </c>
      <c r="C15" s="279" t="s">
        <v>3232</v>
      </c>
      <c r="D15" s="279" t="s">
        <v>3233</v>
      </c>
      <c r="E15" s="280" t="s">
        <v>3234</v>
      </c>
      <c r="F15" s="279" t="s">
        <v>3224</v>
      </c>
      <c r="G15" s="279" t="s">
        <v>2575</v>
      </c>
      <c r="H15" s="285" t="s">
        <v>194</v>
      </c>
      <c r="I15" s="278" t="s">
        <v>58</v>
      </c>
      <c r="J15" s="278" t="s">
        <v>3164</v>
      </c>
      <c r="K15" s="278" t="s">
        <v>88</v>
      </c>
      <c r="L15" s="284">
        <v>46146.0</v>
      </c>
      <c r="M15" s="222"/>
      <c r="N15" s="222"/>
      <c r="O15" s="222"/>
      <c r="P15" s="222"/>
      <c r="Q15" s="222"/>
      <c r="R15" s="222"/>
      <c r="S15" s="222"/>
      <c r="T15" s="86" t="s">
        <v>3235</v>
      </c>
      <c r="U15" s="87" t="s">
        <v>3236</v>
      </c>
      <c r="V15" s="222"/>
      <c r="W15" s="222"/>
    </row>
    <row r="16">
      <c r="A16" s="286" t="s">
        <v>2623</v>
      </c>
      <c r="B16" s="287" t="s">
        <v>1326</v>
      </c>
      <c r="C16" s="288" t="s">
        <v>3237</v>
      </c>
      <c r="D16" s="288" t="s">
        <v>1327</v>
      </c>
      <c r="E16" s="288" t="s">
        <v>3238</v>
      </c>
      <c r="F16" s="288" t="s">
        <v>2622</v>
      </c>
      <c r="G16" s="288" t="s">
        <v>2621</v>
      </c>
      <c r="H16" s="289" t="s">
        <v>12</v>
      </c>
      <c r="I16" s="286" t="s">
        <v>12</v>
      </c>
      <c r="J16" s="286" t="s">
        <v>3164</v>
      </c>
      <c r="K16" s="286" t="s">
        <v>94</v>
      </c>
      <c r="L16" s="290">
        <v>46146.0</v>
      </c>
      <c r="M16" s="222"/>
      <c r="N16" s="222"/>
      <c r="O16" s="222"/>
      <c r="P16" s="222"/>
      <c r="Q16" s="222"/>
      <c r="R16" s="222"/>
      <c r="S16" s="222"/>
      <c r="T16" s="222"/>
      <c r="U16" s="222"/>
      <c r="V16" s="222"/>
      <c r="W16" s="222"/>
    </row>
    <row r="17">
      <c r="A17" s="291" t="s">
        <v>2649</v>
      </c>
      <c r="B17" s="292" t="s">
        <v>1340</v>
      </c>
      <c r="C17" s="292" t="s">
        <v>3239</v>
      </c>
      <c r="D17" s="292" t="s">
        <v>1341</v>
      </c>
      <c r="E17" s="292" t="s">
        <v>2645</v>
      </c>
      <c r="F17" s="292" t="s">
        <v>2648</v>
      </c>
      <c r="G17" s="292" t="s">
        <v>2647</v>
      </c>
      <c r="H17" s="291" t="s">
        <v>58</v>
      </c>
      <c r="I17" s="291" t="s">
        <v>58</v>
      </c>
      <c r="J17" s="291" t="s">
        <v>3164</v>
      </c>
      <c r="K17" s="291" t="s">
        <v>94</v>
      </c>
      <c r="L17" s="293">
        <v>46146.0</v>
      </c>
      <c r="M17" s="222"/>
      <c r="N17" s="222"/>
      <c r="O17" s="222"/>
      <c r="P17" s="222"/>
      <c r="Q17" s="222"/>
      <c r="R17" s="222"/>
      <c r="S17" s="222"/>
      <c r="T17" s="222"/>
      <c r="U17" s="222"/>
      <c r="V17" s="222"/>
      <c r="W17" s="222"/>
    </row>
    <row r="18">
      <c r="A18" s="286" t="s">
        <v>2656</v>
      </c>
      <c r="B18" s="288" t="s">
        <v>1342</v>
      </c>
      <c r="C18" s="288" t="s">
        <v>3240</v>
      </c>
      <c r="D18" s="288" t="s">
        <v>2650</v>
      </c>
      <c r="E18" s="288" t="s">
        <v>3241</v>
      </c>
      <c r="F18" s="288" t="s">
        <v>2655</v>
      </c>
      <c r="G18" s="288" t="s">
        <v>2654</v>
      </c>
      <c r="H18" s="289" t="s">
        <v>51</v>
      </c>
      <c r="I18" s="286" t="s">
        <v>51</v>
      </c>
      <c r="J18" s="286" t="s">
        <v>3164</v>
      </c>
      <c r="K18" s="286" t="s">
        <v>94</v>
      </c>
      <c r="L18" s="290">
        <v>46146.0</v>
      </c>
      <c r="M18" s="222"/>
      <c r="N18" s="222"/>
      <c r="O18" s="222"/>
      <c r="P18" s="222"/>
      <c r="Q18" s="222"/>
      <c r="R18" s="222"/>
      <c r="S18" s="222"/>
      <c r="T18" s="222"/>
      <c r="U18" s="222"/>
      <c r="V18" s="222"/>
      <c r="W18" s="222"/>
    </row>
    <row r="19">
      <c r="A19" s="291" t="s">
        <v>2702</v>
      </c>
      <c r="B19" s="292" t="s">
        <v>1369</v>
      </c>
      <c r="C19" s="292" t="s">
        <v>3242</v>
      </c>
      <c r="D19" s="292" t="s">
        <v>1370</v>
      </c>
      <c r="E19" s="292" t="s">
        <v>3243</v>
      </c>
      <c r="F19" s="292" t="s">
        <v>2701</v>
      </c>
      <c r="G19" s="292" t="s">
        <v>2498</v>
      </c>
      <c r="H19" s="291" t="s">
        <v>58</v>
      </c>
      <c r="I19" s="291" t="s">
        <v>58</v>
      </c>
      <c r="J19" s="291" t="s">
        <v>3164</v>
      </c>
      <c r="K19" s="291" t="s">
        <v>94</v>
      </c>
      <c r="L19" s="293">
        <v>46146.0</v>
      </c>
      <c r="M19" s="222"/>
      <c r="N19" s="222"/>
      <c r="O19" s="222"/>
      <c r="P19" s="222"/>
      <c r="Q19" s="222"/>
      <c r="R19" s="222"/>
      <c r="S19" s="222"/>
      <c r="T19" s="222"/>
      <c r="U19" s="222"/>
      <c r="V19" s="222"/>
      <c r="W19" s="222"/>
    </row>
    <row r="20">
      <c r="A20" s="286" t="s">
        <v>2719</v>
      </c>
      <c r="B20" s="288" t="s">
        <v>1379</v>
      </c>
      <c r="C20" s="288" t="s">
        <v>3244</v>
      </c>
      <c r="D20" s="288" t="s">
        <v>1380</v>
      </c>
      <c r="E20" s="288" t="s">
        <v>3245</v>
      </c>
      <c r="F20" s="288" t="s">
        <v>2718</v>
      </c>
      <c r="G20" s="288" t="s">
        <v>2717</v>
      </c>
      <c r="H20" s="289" t="s">
        <v>194</v>
      </c>
      <c r="I20" s="286" t="s">
        <v>194</v>
      </c>
      <c r="J20" s="286" t="s">
        <v>3164</v>
      </c>
      <c r="K20" s="286" t="s">
        <v>94</v>
      </c>
      <c r="L20" s="290">
        <v>46146.0</v>
      </c>
      <c r="M20" s="222"/>
      <c r="N20" s="222"/>
      <c r="O20" s="222"/>
      <c r="P20" s="222"/>
      <c r="Q20" s="222"/>
      <c r="R20" s="222"/>
      <c r="S20" s="222"/>
      <c r="T20" s="222"/>
      <c r="U20" s="222"/>
      <c r="V20" s="222"/>
      <c r="W20" s="222"/>
    </row>
    <row r="21">
      <c r="A21" s="271"/>
      <c r="B21" s="222"/>
      <c r="C21" s="222"/>
      <c r="D21" s="222"/>
      <c r="E21" s="222"/>
      <c r="F21" s="222"/>
      <c r="G21" s="222"/>
      <c r="H21" s="271"/>
      <c r="I21" s="271"/>
      <c r="J21" s="271"/>
      <c r="K21" s="271"/>
      <c r="L21" s="271"/>
      <c r="M21" s="222"/>
      <c r="N21" s="222"/>
      <c r="O21" s="222"/>
      <c r="P21" s="222"/>
      <c r="Q21" s="222"/>
      <c r="R21" s="222"/>
      <c r="S21" s="222"/>
      <c r="T21" s="222"/>
      <c r="U21" s="222"/>
      <c r="V21" s="222"/>
      <c r="W21" s="222"/>
    </row>
    <row r="22">
      <c r="A22" s="271"/>
      <c r="B22" s="222"/>
      <c r="C22" s="222"/>
      <c r="D22" s="222"/>
      <c r="E22" s="222"/>
      <c r="F22" s="222"/>
      <c r="G22" s="222"/>
      <c r="H22" s="271"/>
      <c r="I22" s="271"/>
      <c r="J22" s="271"/>
      <c r="K22" s="271"/>
      <c r="L22" s="271"/>
      <c r="M22" s="222"/>
      <c r="N22" s="222"/>
      <c r="O22" s="222"/>
      <c r="P22" s="222"/>
      <c r="Q22" s="222"/>
      <c r="R22" s="222"/>
      <c r="S22" s="222"/>
      <c r="T22" s="222"/>
      <c r="U22" s="222"/>
      <c r="V22" s="222"/>
      <c r="W22" s="222"/>
    </row>
    <row r="23">
      <c r="A23" s="271"/>
      <c r="B23" s="222"/>
      <c r="C23" s="222"/>
      <c r="D23" s="222"/>
      <c r="E23" s="222"/>
      <c r="F23" s="222"/>
      <c r="G23" s="222"/>
      <c r="H23" s="271"/>
      <c r="I23" s="271"/>
      <c r="J23" s="271"/>
      <c r="K23" s="271"/>
      <c r="L23" s="271"/>
      <c r="M23" s="222"/>
      <c r="N23" s="222"/>
      <c r="O23" s="222"/>
      <c r="P23" s="222"/>
      <c r="Q23" s="222"/>
      <c r="R23" s="222"/>
      <c r="S23" s="222"/>
      <c r="T23" s="222"/>
      <c r="U23" s="222"/>
      <c r="V23" s="222"/>
      <c r="W23" s="222"/>
    </row>
    <row r="24">
      <c r="A24" s="271"/>
      <c r="B24" s="222"/>
      <c r="C24" s="222"/>
      <c r="D24" s="222"/>
      <c r="E24" s="222"/>
      <c r="F24" s="222"/>
      <c r="G24" s="222"/>
      <c r="H24" s="271"/>
      <c r="I24" s="271"/>
      <c r="J24" s="271"/>
      <c r="K24" s="271"/>
      <c r="L24" s="271"/>
      <c r="M24" s="222"/>
      <c r="N24" s="222"/>
      <c r="O24" s="222"/>
      <c r="P24" s="222"/>
      <c r="Q24" s="222"/>
      <c r="R24" s="222"/>
      <c r="S24" s="222"/>
      <c r="T24" s="222"/>
      <c r="U24" s="222"/>
      <c r="V24" s="222"/>
      <c r="W24" s="222"/>
    </row>
    <row r="25">
      <c r="A25" s="271"/>
      <c r="B25" s="222"/>
      <c r="C25" s="222"/>
      <c r="D25" s="222"/>
      <c r="E25" s="222"/>
      <c r="F25" s="222"/>
      <c r="G25" s="222"/>
      <c r="H25" s="271"/>
      <c r="I25" s="271"/>
      <c r="J25" s="271"/>
      <c r="K25" s="271"/>
      <c r="L25" s="271"/>
      <c r="M25" s="222"/>
      <c r="N25" s="222"/>
      <c r="O25" s="222"/>
      <c r="P25" s="222"/>
      <c r="Q25" s="222"/>
      <c r="R25" s="222"/>
      <c r="S25" s="222"/>
      <c r="T25" s="222"/>
      <c r="U25" s="222"/>
      <c r="V25" s="222"/>
      <c r="W25" s="222"/>
    </row>
    <row r="26">
      <c r="A26" s="271"/>
      <c r="B26" s="222"/>
      <c r="C26" s="222"/>
      <c r="D26" s="222"/>
      <c r="E26" s="222"/>
      <c r="F26" s="222"/>
      <c r="G26" s="222"/>
      <c r="H26" s="271"/>
      <c r="I26" s="271"/>
      <c r="J26" s="271"/>
      <c r="K26" s="271"/>
      <c r="L26" s="271"/>
      <c r="M26" s="222"/>
      <c r="N26" s="222"/>
      <c r="O26" s="222"/>
      <c r="P26" s="222"/>
      <c r="Q26" s="222"/>
      <c r="R26" s="222"/>
      <c r="S26" s="222"/>
      <c r="T26" s="222"/>
      <c r="U26" s="222"/>
      <c r="V26" s="222"/>
      <c r="W26" s="222"/>
    </row>
    <row r="27">
      <c r="A27" s="271"/>
      <c r="B27" s="222"/>
      <c r="C27" s="222"/>
      <c r="D27" s="222"/>
      <c r="E27" s="222"/>
      <c r="F27" s="222"/>
      <c r="G27" s="222"/>
      <c r="H27" s="271"/>
      <c r="I27" s="271"/>
      <c r="J27" s="271"/>
      <c r="K27" s="271"/>
      <c r="L27" s="271"/>
      <c r="M27" s="222"/>
      <c r="N27" s="222"/>
      <c r="O27" s="222"/>
      <c r="P27" s="222"/>
      <c r="Q27" s="222"/>
      <c r="R27" s="222"/>
      <c r="S27" s="222"/>
      <c r="T27" s="222"/>
      <c r="U27" s="222"/>
      <c r="V27" s="222"/>
      <c r="W27" s="222"/>
    </row>
    <row r="28">
      <c r="A28" s="271"/>
      <c r="B28" s="222"/>
      <c r="C28" s="222"/>
      <c r="D28" s="222"/>
      <c r="E28" s="222"/>
      <c r="F28" s="222"/>
      <c r="G28" s="222"/>
      <c r="H28" s="271"/>
      <c r="I28" s="271"/>
      <c r="J28" s="271"/>
      <c r="K28" s="271"/>
      <c r="L28" s="271"/>
      <c r="M28" s="222"/>
      <c r="N28" s="222"/>
      <c r="O28" s="222"/>
      <c r="P28" s="222"/>
      <c r="Q28" s="222"/>
      <c r="R28" s="222"/>
      <c r="S28" s="222"/>
      <c r="T28" s="222"/>
      <c r="U28" s="222"/>
      <c r="V28" s="222"/>
      <c r="W28" s="222"/>
    </row>
    <row r="29">
      <c r="A29" s="271"/>
      <c r="B29" s="222"/>
      <c r="C29" s="222"/>
      <c r="D29" s="222"/>
      <c r="E29" s="222"/>
      <c r="F29" s="222"/>
      <c r="G29" s="222"/>
      <c r="H29" s="271"/>
      <c r="I29" s="271"/>
      <c r="J29" s="271"/>
      <c r="K29" s="271"/>
      <c r="L29" s="271"/>
      <c r="M29" s="222"/>
      <c r="N29" s="222"/>
      <c r="O29" s="222"/>
      <c r="P29" s="222"/>
      <c r="Q29" s="222"/>
      <c r="R29" s="222"/>
      <c r="S29" s="222"/>
      <c r="T29" s="222"/>
      <c r="U29" s="222"/>
      <c r="V29" s="222"/>
      <c r="W29" s="222"/>
    </row>
    <row r="30">
      <c r="A30" s="271"/>
      <c r="B30" s="222"/>
      <c r="C30" s="222"/>
      <c r="D30" s="222"/>
      <c r="E30" s="222"/>
      <c r="F30" s="222"/>
      <c r="G30" s="222"/>
      <c r="H30" s="271"/>
      <c r="I30" s="271"/>
      <c r="J30" s="271"/>
      <c r="K30" s="271"/>
      <c r="L30" s="271"/>
      <c r="M30" s="222"/>
      <c r="N30" s="222"/>
      <c r="O30" s="222"/>
      <c r="P30" s="222"/>
      <c r="Q30" s="222"/>
      <c r="R30" s="222"/>
      <c r="S30" s="222"/>
      <c r="T30" s="222"/>
      <c r="U30" s="222"/>
      <c r="V30" s="222"/>
      <c r="W30" s="222"/>
    </row>
    <row r="31">
      <c r="A31" s="271"/>
      <c r="B31" s="222"/>
      <c r="C31" s="222"/>
      <c r="D31" s="222"/>
      <c r="E31" s="222"/>
      <c r="F31" s="222"/>
      <c r="G31" s="222"/>
      <c r="H31" s="271"/>
      <c r="I31" s="271"/>
      <c r="J31" s="271"/>
      <c r="K31" s="271"/>
      <c r="L31" s="271"/>
      <c r="M31" s="222"/>
      <c r="N31" s="222"/>
      <c r="O31" s="222"/>
      <c r="P31" s="222"/>
      <c r="Q31" s="222"/>
      <c r="R31" s="222"/>
      <c r="S31" s="222"/>
      <c r="T31" s="222"/>
      <c r="U31" s="222"/>
      <c r="V31" s="222"/>
      <c r="W31" s="222"/>
    </row>
    <row r="32">
      <c r="A32" s="271"/>
      <c r="B32" s="222"/>
      <c r="C32" s="222"/>
      <c r="D32" s="222"/>
      <c r="E32" s="222"/>
      <c r="F32" s="222"/>
      <c r="G32" s="222"/>
      <c r="H32" s="271"/>
      <c r="I32" s="271"/>
      <c r="J32" s="271"/>
      <c r="K32" s="271"/>
      <c r="L32" s="271"/>
      <c r="M32" s="222"/>
      <c r="N32" s="222"/>
      <c r="O32" s="222"/>
      <c r="P32" s="222"/>
      <c r="Q32" s="222"/>
      <c r="R32" s="222"/>
      <c r="S32" s="222"/>
      <c r="T32" s="222"/>
      <c r="U32" s="222"/>
      <c r="V32" s="222"/>
      <c r="W32" s="222"/>
    </row>
    <row r="33">
      <c r="A33" s="271"/>
      <c r="B33" s="222"/>
      <c r="C33" s="222"/>
      <c r="D33" s="222"/>
      <c r="E33" s="222"/>
      <c r="F33" s="222"/>
      <c r="G33" s="222"/>
      <c r="H33" s="271"/>
      <c r="I33" s="271"/>
      <c r="J33" s="271"/>
      <c r="K33" s="271"/>
      <c r="L33" s="271"/>
      <c r="M33" s="222"/>
      <c r="N33" s="222"/>
      <c r="O33" s="222"/>
      <c r="P33" s="222"/>
      <c r="Q33" s="222"/>
      <c r="R33" s="222"/>
      <c r="S33" s="222"/>
      <c r="T33" s="222"/>
      <c r="U33" s="222"/>
      <c r="V33" s="222"/>
      <c r="W33" s="222"/>
    </row>
    <row r="34">
      <c r="A34" s="271"/>
      <c r="B34" s="222"/>
      <c r="C34" s="222"/>
      <c r="D34" s="222"/>
      <c r="E34" s="222"/>
      <c r="F34" s="222"/>
      <c r="G34" s="222"/>
      <c r="H34" s="271"/>
      <c r="I34" s="271"/>
      <c r="J34" s="271"/>
      <c r="K34" s="271"/>
      <c r="L34" s="271"/>
      <c r="M34" s="222"/>
      <c r="N34" s="222"/>
      <c r="O34" s="222"/>
      <c r="P34" s="222"/>
      <c r="Q34" s="222"/>
      <c r="R34" s="222"/>
      <c r="S34" s="222"/>
      <c r="T34" s="222"/>
      <c r="U34" s="222"/>
      <c r="V34" s="222"/>
      <c r="W34" s="222"/>
    </row>
    <row r="35">
      <c r="A35" s="271"/>
      <c r="B35" s="222"/>
      <c r="C35" s="222"/>
      <c r="D35" s="222"/>
      <c r="E35" s="222"/>
      <c r="F35" s="222"/>
      <c r="G35" s="222"/>
      <c r="H35" s="271"/>
      <c r="I35" s="271"/>
      <c r="J35" s="271"/>
      <c r="K35" s="271"/>
      <c r="L35" s="271"/>
      <c r="M35" s="222"/>
      <c r="N35" s="222"/>
      <c r="O35" s="222"/>
      <c r="P35" s="222"/>
      <c r="Q35" s="222"/>
      <c r="R35" s="222"/>
      <c r="S35" s="222"/>
      <c r="T35" s="222"/>
      <c r="U35" s="222"/>
      <c r="V35" s="222"/>
      <c r="W35" s="222"/>
    </row>
    <row r="36">
      <c r="A36" s="271"/>
      <c r="B36" s="222"/>
      <c r="C36" s="222"/>
      <c r="D36" s="222"/>
      <c r="E36" s="222"/>
      <c r="F36" s="222"/>
      <c r="G36" s="222"/>
      <c r="H36" s="271"/>
      <c r="I36" s="271"/>
      <c r="J36" s="271"/>
      <c r="K36" s="271"/>
      <c r="L36" s="271"/>
      <c r="M36" s="222"/>
      <c r="N36" s="222"/>
      <c r="O36" s="222"/>
      <c r="P36" s="222"/>
      <c r="Q36" s="222"/>
      <c r="R36" s="222"/>
      <c r="S36" s="222"/>
      <c r="T36" s="222"/>
      <c r="U36" s="222"/>
      <c r="V36" s="222"/>
      <c r="W36" s="222"/>
    </row>
    <row r="37">
      <c r="A37" s="271"/>
      <c r="B37" s="222"/>
      <c r="C37" s="222"/>
      <c r="D37" s="222"/>
      <c r="E37" s="222"/>
      <c r="F37" s="222"/>
      <c r="G37" s="222"/>
      <c r="H37" s="271"/>
      <c r="I37" s="271"/>
      <c r="J37" s="271"/>
      <c r="K37" s="271"/>
      <c r="L37" s="271"/>
      <c r="M37" s="222"/>
      <c r="N37" s="222"/>
      <c r="O37" s="222"/>
      <c r="P37" s="222"/>
      <c r="Q37" s="222"/>
      <c r="R37" s="222"/>
      <c r="S37" s="222"/>
      <c r="T37" s="222"/>
      <c r="U37" s="222"/>
      <c r="V37" s="222"/>
      <c r="W37" s="222"/>
    </row>
    <row r="38">
      <c r="A38" s="271"/>
      <c r="B38" s="222"/>
      <c r="C38" s="222"/>
      <c r="D38" s="222"/>
      <c r="E38" s="222"/>
      <c r="F38" s="222"/>
      <c r="G38" s="222"/>
      <c r="H38" s="271"/>
      <c r="I38" s="271"/>
      <c r="J38" s="271"/>
      <c r="K38" s="271"/>
      <c r="L38" s="271"/>
      <c r="M38" s="222"/>
      <c r="N38" s="222"/>
      <c r="O38" s="222"/>
      <c r="P38" s="222"/>
      <c r="Q38" s="222"/>
      <c r="R38" s="222"/>
      <c r="S38" s="222"/>
      <c r="T38" s="222"/>
      <c r="U38" s="222"/>
      <c r="V38" s="222"/>
      <c r="W38" s="222"/>
    </row>
    <row r="39">
      <c r="A39" s="271"/>
      <c r="B39" s="222"/>
      <c r="C39" s="222"/>
      <c r="D39" s="222"/>
      <c r="E39" s="222"/>
      <c r="F39" s="222"/>
      <c r="G39" s="222"/>
      <c r="H39" s="271"/>
      <c r="I39" s="271"/>
      <c r="J39" s="271"/>
      <c r="K39" s="271"/>
      <c r="L39" s="271"/>
      <c r="M39" s="222"/>
      <c r="N39" s="222"/>
      <c r="O39" s="222"/>
      <c r="P39" s="222"/>
      <c r="Q39" s="222"/>
      <c r="R39" s="222"/>
      <c r="S39" s="222"/>
      <c r="T39" s="222"/>
      <c r="U39" s="222"/>
      <c r="V39" s="222"/>
      <c r="W39" s="222"/>
    </row>
    <row r="40">
      <c r="A40" s="271"/>
      <c r="B40" s="222"/>
      <c r="C40" s="222"/>
      <c r="D40" s="222"/>
      <c r="E40" s="222"/>
      <c r="F40" s="222"/>
      <c r="G40" s="222"/>
      <c r="H40" s="271"/>
      <c r="I40" s="271"/>
      <c r="J40" s="271"/>
      <c r="K40" s="271"/>
      <c r="L40" s="271"/>
      <c r="M40" s="222"/>
      <c r="N40" s="222"/>
      <c r="O40" s="222"/>
      <c r="P40" s="222"/>
      <c r="Q40" s="222"/>
      <c r="R40" s="222"/>
      <c r="S40" s="222"/>
      <c r="T40" s="222"/>
      <c r="U40" s="222"/>
      <c r="V40" s="222"/>
      <c r="W40" s="222"/>
    </row>
    <row r="41">
      <c r="A41" s="271"/>
      <c r="B41" s="222"/>
      <c r="C41" s="222"/>
      <c r="D41" s="222"/>
      <c r="E41" s="222"/>
      <c r="F41" s="222"/>
      <c r="G41" s="222"/>
      <c r="H41" s="271"/>
      <c r="I41" s="271"/>
      <c r="J41" s="271"/>
      <c r="K41" s="271"/>
      <c r="L41" s="271"/>
      <c r="M41" s="222"/>
      <c r="N41" s="222"/>
      <c r="O41" s="222"/>
      <c r="P41" s="222"/>
      <c r="Q41" s="222"/>
      <c r="R41" s="222"/>
      <c r="S41" s="222"/>
      <c r="T41" s="222"/>
      <c r="U41" s="222"/>
      <c r="V41" s="222"/>
      <c r="W41" s="222"/>
    </row>
    <row r="42">
      <c r="A42" s="271"/>
      <c r="B42" s="222"/>
      <c r="C42" s="222"/>
      <c r="D42" s="222"/>
      <c r="E42" s="222"/>
      <c r="F42" s="222"/>
      <c r="G42" s="222"/>
      <c r="H42" s="271"/>
      <c r="I42" s="271"/>
      <c r="J42" s="271"/>
      <c r="K42" s="271"/>
      <c r="L42" s="271"/>
      <c r="M42" s="222"/>
      <c r="N42" s="222"/>
      <c r="O42" s="222"/>
      <c r="P42" s="222"/>
      <c r="Q42" s="222"/>
      <c r="R42" s="222"/>
      <c r="S42" s="222"/>
      <c r="T42" s="222"/>
      <c r="U42" s="222"/>
      <c r="V42" s="222"/>
      <c r="W42" s="222"/>
    </row>
    <row r="43">
      <c r="A43" s="271"/>
      <c r="B43" s="222"/>
      <c r="C43" s="222"/>
      <c r="D43" s="222"/>
      <c r="E43" s="222"/>
      <c r="F43" s="222"/>
      <c r="G43" s="222"/>
      <c r="H43" s="271"/>
      <c r="I43" s="271"/>
      <c r="J43" s="271"/>
      <c r="K43" s="271"/>
      <c r="L43" s="271"/>
      <c r="M43" s="222"/>
      <c r="N43" s="222"/>
      <c r="O43" s="222"/>
      <c r="P43" s="222"/>
      <c r="Q43" s="222"/>
      <c r="R43" s="222"/>
      <c r="S43" s="222"/>
      <c r="T43" s="222"/>
      <c r="U43" s="222"/>
      <c r="V43" s="222"/>
      <c r="W43" s="222"/>
    </row>
    <row r="44">
      <c r="A44" s="271"/>
      <c r="B44" s="222"/>
      <c r="C44" s="222"/>
      <c r="D44" s="222"/>
      <c r="E44" s="222"/>
      <c r="F44" s="222"/>
      <c r="G44" s="222"/>
      <c r="H44" s="271"/>
      <c r="I44" s="271"/>
      <c r="J44" s="271"/>
      <c r="K44" s="271"/>
      <c r="L44" s="271"/>
      <c r="M44" s="222"/>
      <c r="N44" s="222"/>
      <c r="O44" s="222"/>
      <c r="P44" s="222"/>
      <c r="Q44" s="222"/>
      <c r="R44" s="222"/>
      <c r="S44" s="222"/>
      <c r="T44" s="222"/>
      <c r="U44" s="222"/>
      <c r="V44" s="222"/>
      <c r="W44" s="222"/>
    </row>
    <row r="45">
      <c r="A45" s="271"/>
      <c r="B45" s="222"/>
      <c r="C45" s="222"/>
      <c r="D45" s="222"/>
      <c r="E45" s="222"/>
      <c r="F45" s="222"/>
      <c r="G45" s="222"/>
      <c r="H45" s="271"/>
      <c r="I45" s="271"/>
      <c r="J45" s="271"/>
      <c r="K45" s="271"/>
      <c r="L45" s="271"/>
      <c r="M45" s="222"/>
      <c r="N45" s="222"/>
      <c r="O45" s="222"/>
      <c r="P45" s="222"/>
      <c r="Q45" s="222"/>
      <c r="R45" s="222"/>
      <c r="S45" s="222"/>
      <c r="T45" s="222"/>
      <c r="U45" s="222"/>
      <c r="V45" s="222"/>
      <c r="W45" s="222"/>
    </row>
    <row r="46">
      <c r="A46" s="271"/>
      <c r="B46" s="222"/>
      <c r="C46" s="222"/>
      <c r="D46" s="222"/>
      <c r="E46" s="222"/>
      <c r="F46" s="222"/>
      <c r="G46" s="222"/>
      <c r="H46" s="271"/>
      <c r="I46" s="271"/>
      <c r="J46" s="271"/>
      <c r="K46" s="271"/>
      <c r="L46" s="271"/>
      <c r="M46" s="222"/>
      <c r="N46" s="222"/>
      <c r="O46" s="222"/>
      <c r="P46" s="222"/>
      <c r="Q46" s="222"/>
      <c r="R46" s="222"/>
      <c r="S46" s="222"/>
      <c r="T46" s="222"/>
      <c r="U46" s="222"/>
      <c r="V46" s="222"/>
      <c r="W46" s="222"/>
    </row>
    <row r="47">
      <c r="A47" s="271"/>
      <c r="B47" s="222"/>
      <c r="C47" s="222"/>
      <c r="D47" s="222"/>
      <c r="E47" s="222"/>
      <c r="F47" s="222"/>
      <c r="G47" s="222"/>
      <c r="H47" s="271"/>
      <c r="I47" s="271"/>
      <c r="J47" s="271"/>
      <c r="K47" s="271"/>
      <c r="L47" s="271"/>
      <c r="M47" s="222"/>
      <c r="N47" s="222"/>
      <c r="O47" s="222"/>
      <c r="P47" s="222"/>
      <c r="Q47" s="222"/>
      <c r="R47" s="222"/>
      <c r="S47" s="222"/>
      <c r="T47" s="222"/>
      <c r="U47" s="222"/>
      <c r="V47" s="222"/>
      <c r="W47" s="222"/>
    </row>
    <row r="48">
      <c r="A48" s="271"/>
      <c r="B48" s="222"/>
      <c r="C48" s="222"/>
      <c r="D48" s="222"/>
      <c r="E48" s="222"/>
      <c r="F48" s="222"/>
      <c r="G48" s="222"/>
      <c r="H48" s="271"/>
      <c r="I48" s="271"/>
      <c r="J48" s="271"/>
      <c r="K48" s="271"/>
      <c r="L48" s="271"/>
      <c r="M48" s="222"/>
      <c r="N48" s="222"/>
      <c r="O48" s="222"/>
      <c r="P48" s="222"/>
      <c r="Q48" s="222"/>
      <c r="R48" s="222"/>
      <c r="S48" s="222"/>
      <c r="T48" s="222"/>
      <c r="U48" s="222"/>
      <c r="V48" s="222"/>
      <c r="W48" s="222"/>
    </row>
    <row r="49">
      <c r="A49" s="271"/>
      <c r="B49" s="222"/>
      <c r="C49" s="222"/>
      <c r="D49" s="222"/>
      <c r="E49" s="222"/>
      <c r="F49" s="222"/>
      <c r="G49" s="222"/>
      <c r="H49" s="271"/>
      <c r="I49" s="271"/>
      <c r="J49" s="271"/>
      <c r="K49" s="271"/>
      <c r="L49" s="271"/>
      <c r="M49" s="222"/>
      <c r="N49" s="222"/>
      <c r="O49" s="222"/>
      <c r="P49" s="222"/>
      <c r="Q49" s="222"/>
      <c r="R49" s="222"/>
      <c r="S49" s="222"/>
      <c r="T49" s="222"/>
      <c r="U49" s="222"/>
      <c r="V49" s="222"/>
      <c r="W49" s="222"/>
    </row>
    <row r="50">
      <c r="A50" s="271"/>
      <c r="B50" s="222"/>
      <c r="C50" s="222"/>
      <c r="D50" s="222"/>
      <c r="E50" s="222"/>
      <c r="F50" s="222"/>
      <c r="G50" s="222"/>
      <c r="H50" s="271"/>
      <c r="I50" s="271"/>
      <c r="J50" s="271"/>
      <c r="K50" s="271"/>
      <c r="L50" s="271"/>
      <c r="M50" s="222"/>
      <c r="N50" s="222"/>
      <c r="O50" s="222"/>
      <c r="P50" s="222"/>
      <c r="Q50" s="222"/>
      <c r="R50" s="222"/>
      <c r="S50" s="222"/>
      <c r="T50" s="222"/>
      <c r="U50" s="222"/>
      <c r="V50" s="222"/>
      <c r="W50" s="222"/>
    </row>
    <row r="51">
      <c r="A51" s="271"/>
      <c r="B51" s="222"/>
      <c r="C51" s="222"/>
      <c r="D51" s="222"/>
      <c r="E51" s="222"/>
      <c r="F51" s="222"/>
      <c r="G51" s="222"/>
      <c r="H51" s="271"/>
      <c r="I51" s="271"/>
      <c r="J51" s="271"/>
      <c r="K51" s="271"/>
      <c r="L51" s="271"/>
      <c r="M51" s="222"/>
      <c r="N51" s="222"/>
      <c r="O51" s="222"/>
      <c r="P51" s="222"/>
      <c r="Q51" s="222"/>
      <c r="R51" s="222"/>
      <c r="S51" s="222"/>
      <c r="T51" s="222"/>
      <c r="U51" s="222"/>
      <c r="V51" s="222"/>
      <c r="W51" s="222"/>
    </row>
    <row r="52">
      <c r="A52" s="271"/>
      <c r="B52" s="222"/>
      <c r="C52" s="222"/>
      <c r="D52" s="222"/>
      <c r="E52" s="222"/>
      <c r="F52" s="222"/>
      <c r="G52" s="222"/>
      <c r="H52" s="271"/>
      <c r="I52" s="271"/>
      <c r="J52" s="271"/>
      <c r="K52" s="271"/>
      <c r="L52" s="271"/>
      <c r="M52" s="222"/>
      <c r="N52" s="222"/>
      <c r="O52" s="222"/>
      <c r="P52" s="222"/>
      <c r="Q52" s="222"/>
      <c r="R52" s="222"/>
      <c r="S52" s="222"/>
      <c r="T52" s="222"/>
      <c r="U52" s="222"/>
      <c r="V52" s="222"/>
      <c r="W52" s="222"/>
    </row>
    <row r="53">
      <c r="A53" s="271"/>
      <c r="B53" s="222"/>
      <c r="C53" s="222"/>
      <c r="D53" s="222"/>
      <c r="E53" s="222"/>
      <c r="F53" s="222"/>
      <c r="G53" s="222"/>
      <c r="H53" s="271"/>
      <c r="I53" s="271"/>
      <c r="J53" s="271"/>
      <c r="K53" s="271"/>
      <c r="L53" s="271"/>
      <c r="M53" s="222"/>
      <c r="N53" s="222"/>
      <c r="O53" s="222"/>
      <c r="P53" s="222"/>
      <c r="Q53" s="222"/>
      <c r="R53" s="222"/>
      <c r="S53" s="222"/>
      <c r="T53" s="222"/>
      <c r="U53" s="222"/>
      <c r="V53" s="222"/>
      <c r="W53" s="222"/>
    </row>
    <row r="54">
      <c r="A54" s="271"/>
      <c r="B54" s="222"/>
      <c r="C54" s="222"/>
      <c r="D54" s="222"/>
      <c r="E54" s="222"/>
      <c r="F54" s="222"/>
      <c r="G54" s="222"/>
      <c r="H54" s="271"/>
      <c r="I54" s="271"/>
      <c r="J54" s="271"/>
      <c r="K54" s="271"/>
      <c r="L54" s="271"/>
      <c r="M54" s="222"/>
      <c r="N54" s="222"/>
      <c r="O54" s="222"/>
      <c r="P54" s="222"/>
      <c r="Q54" s="222"/>
      <c r="R54" s="222"/>
      <c r="S54" s="222"/>
      <c r="T54" s="222"/>
      <c r="U54" s="222"/>
      <c r="V54" s="222"/>
      <c r="W54" s="222"/>
    </row>
    <row r="55">
      <c r="A55" s="271"/>
      <c r="B55" s="222"/>
      <c r="C55" s="222"/>
      <c r="D55" s="222"/>
      <c r="E55" s="222"/>
      <c r="F55" s="222"/>
      <c r="G55" s="222"/>
      <c r="H55" s="271"/>
      <c r="I55" s="271"/>
      <c r="J55" s="271"/>
      <c r="K55" s="271"/>
      <c r="L55" s="271"/>
      <c r="M55" s="222"/>
      <c r="N55" s="222"/>
      <c r="O55" s="222"/>
      <c r="P55" s="222"/>
      <c r="Q55" s="222"/>
      <c r="R55" s="222"/>
      <c r="S55" s="222"/>
      <c r="T55" s="222"/>
      <c r="U55" s="222"/>
      <c r="V55" s="222"/>
      <c r="W55" s="222"/>
    </row>
    <row r="56">
      <c r="A56" s="271"/>
      <c r="B56" s="222"/>
      <c r="C56" s="222"/>
      <c r="D56" s="222"/>
      <c r="E56" s="222"/>
      <c r="F56" s="222"/>
      <c r="G56" s="222"/>
      <c r="H56" s="271"/>
      <c r="I56" s="271"/>
      <c r="J56" s="271"/>
      <c r="K56" s="271"/>
      <c r="L56" s="271"/>
      <c r="M56" s="222"/>
      <c r="N56" s="222"/>
      <c r="O56" s="222"/>
      <c r="P56" s="222"/>
      <c r="Q56" s="222"/>
      <c r="R56" s="222"/>
      <c r="S56" s="222"/>
      <c r="T56" s="222"/>
      <c r="U56" s="222"/>
      <c r="V56" s="222"/>
      <c r="W56" s="222"/>
    </row>
    <row r="57">
      <c r="A57" s="271"/>
      <c r="B57" s="222"/>
      <c r="C57" s="222"/>
      <c r="D57" s="222"/>
      <c r="E57" s="222"/>
      <c r="F57" s="222"/>
      <c r="G57" s="222"/>
      <c r="H57" s="271"/>
      <c r="I57" s="271"/>
      <c r="J57" s="271"/>
      <c r="K57" s="271"/>
      <c r="L57" s="271"/>
      <c r="M57" s="222"/>
      <c r="N57" s="222"/>
      <c r="O57" s="222"/>
      <c r="P57" s="222"/>
      <c r="Q57" s="222"/>
      <c r="R57" s="222"/>
      <c r="S57" s="222"/>
      <c r="T57" s="222"/>
      <c r="U57" s="222"/>
      <c r="V57" s="222"/>
      <c r="W57" s="222"/>
    </row>
    <row r="58">
      <c r="A58" s="271"/>
      <c r="B58" s="222"/>
      <c r="C58" s="222"/>
      <c r="D58" s="222"/>
      <c r="E58" s="222"/>
      <c r="F58" s="222"/>
      <c r="G58" s="222"/>
      <c r="H58" s="271"/>
      <c r="I58" s="271"/>
      <c r="J58" s="271"/>
      <c r="K58" s="271"/>
      <c r="L58" s="271"/>
      <c r="M58" s="222"/>
      <c r="N58" s="222"/>
      <c r="O58" s="222"/>
      <c r="P58" s="222"/>
      <c r="Q58" s="222"/>
      <c r="R58" s="222"/>
      <c r="S58" s="222"/>
      <c r="T58" s="222"/>
      <c r="U58" s="222"/>
      <c r="V58" s="222"/>
      <c r="W58" s="222"/>
    </row>
    <row r="59">
      <c r="A59" s="271"/>
      <c r="B59" s="222"/>
      <c r="C59" s="222"/>
      <c r="D59" s="222"/>
      <c r="E59" s="222"/>
      <c r="F59" s="222"/>
      <c r="G59" s="222"/>
      <c r="H59" s="271"/>
      <c r="I59" s="271"/>
      <c r="J59" s="271"/>
      <c r="K59" s="271"/>
      <c r="L59" s="271"/>
      <c r="M59" s="222"/>
      <c r="N59" s="222"/>
      <c r="O59" s="222"/>
      <c r="P59" s="222"/>
      <c r="Q59" s="222"/>
      <c r="R59" s="222"/>
      <c r="S59" s="222"/>
      <c r="T59" s="222"/>
      <c r="U59" s="222"/>
      <c r="V59" s="222"/>
      <c r="W59" s="222"/>
    </row>
    <row r="60">
      <c r="A60" s="271"/>
      <c r="B60" s="222"/>
      <c r="C60" s="222"/>
      <c r="D60" s="222"/>
      <c r="E60" s="222"/>
      <c r="F60" s="222"/>
      <c r="G60" s="222"/>
      <c r="H60" s="271"/>
      <c r="I60" s="271"/>
      <c r="J60" s="271"/>
      <c r="K60" s="271"/>
      <c r="L60" s="271"/>
      <c r="M60" s="222"/>
      <c r="N60" s="222"/>
      <c r="O60" s="222"/>
      <c r="P60" s="222"/>
      <c r="Q60" s="222"/>
      <c r="R60" s="222"/>
      <c r="S60" s="222"/>
      <c r="T60" s="222"/>
      <c r="U60" s="222"/>
      <c r="V60" s="222"/>
      <c r="W60" s="222"/>
    </row>
    <row r="61">
      <c r="A61" s="271"/>
      <c r="B61" s="222"/>
      <c r="C61" s="222"/>
      <c r="D61" s="222"/>
      <c r="E61" s="222"/>
      <c r="F61" s="222"/>
      <c r="G61" s="222"/>
      <c r="H61" s="271"/>
      <c r="I61" s="271"/>
      <c r="J61" s="271"/>
      <c r="K61" s="271"/>
      <c r="L61" s="271"/>
      <c r="M61" s="222"/>
      <c r="N61" s="222"/>
      <c r="O61" s="222"/>
      <c r="P61" s="222"/>
      <c r="Q61" s="222"/>
      <c r="R61" s="222"/>
      <c r="S61" s="222"/>
      <c r="T61" s="222"/>
      <c r="U61" s="222"/>
      <c r="V61" s="222"/>
      <c r="W61" s="222"/>
    </row>
    <row r="62">
      <c r="A62" s="271"/>
      <c r="B62" s="222"/>
      <c r="C62" s="222"/>
      <c r="D62" s="222"/>
      <c r="E62" s="222"/>
      <c r="F62" s="222"/>
      <c r="G62" s="222"/>
      <c r="H62" s="271"/>
      <c r="I62" s="271"/>
      <c r="J62" s="271"/>
      <c r="K62" s="271"/>
      <c r="L62" s="271"/>
      <c r="M62" s="222"/>
      <c r="N62" s="222"/>
      <c r="O62" s="222"/>
      <c r="P62" s="222"/>
      <c r="Q62" s="222"/>
      <c r="R62" s="222"/>
      <c r="S62" s="222"/>
      <c r="T62" s="222"/>
      <c r="U62" s="222"/>
      <c r="V62" s="222"/>
      <c r="W62" s="222"/>
    </row>
    <row r="63">
      <c r="A63" s="271"/>
      <c r="B63" s="222"/>
      <c r="C63" s="222"/>
      <c r="D63" s="222"/>
      <c r="E63" s="222"/>
      <c r="F63" s="222"/>
      <c r="G63" s="222"/>
      <c r="H63" s="271"/>
      <c r="I63" s="271"/>
      <c r="J63" s="271"/>
      <c r="K63" s="271"/>
      <c r="L63" s="271"/>
      <c r="M63" s="222"/>
      <c r="N63" s="222"/>
      <c r="O63" s="222"/>
      <c r="P63" s="222"/>
      <c r="Q63" s="222"/>
      <c r="R63" s="222"/>
      <c r="S63" s="222"/>
      <c r="T63" s="222"/>
      <c r="U63" s="222"/>
      <c r="V63" s="222"/>
      <c r="W63" s="222"/>
    </row>
    <row r="64">
      <c r="A64" s="271"/>
      <c r="B64" s="222"/>
      <c r="C64" s="222"/>
      <c r="D64" s="222"/>
      <c r="E64" s="222"/>
      <c r="F64" s="222"/>
      <c r="G64" s="222"/>
      <c r="H64" s="271"/>
      <c r="I64" s="271"/>
      <c r="J64" s="271"/>
      <c r="K64" s="271"/>
      <c r="L64" s="271"/>
      <c r="M64" s="222"/>
      <c r="N64" s="222"/>
      <c r="O64" s="222"/>
      <c r="P64" s="222"/>
      <c r="Q64" s="222"/>
      <c r="R64" s="222"/>
      <c r="S64" s="222"/>
      <c r="T64" s="222"/>
      <c r="U64" s="222"/>
      <c r="V64" s="222"/>
      <c r="W64" s="222"/>
    </row>
    <row r="65">
      <c r="A65" s="271"/>
      <c r="B65" s="222"/>
      <c r="C65" s="222"/>
      <c r="D65" s="222"/>
      <c r="E65" s="222"/>
      <c r="F65" s="222"/>
      <c r="G65" s="222"/>
      <c r="H65" s="271"/>
      <c r="I65" s="271"/>
      <c r="J65" s="271"/>
      <c r="K65" s="271"/>
      <c r="L65" s="271"/>
      <c r="M65" s="222"/>
      <c r="N65" s="222"/>
      <c r="O65" s="222"/>
      <c r="P65" s="222"/>
      <c r="Q65" s="222"/>
      <c r="R65" s="222"/>
      <c r="S65" s="222"/>
      <c r="T65" s="222"/>
      <c r="U65" s="222"/>
      <c r="V65" s="222"/>
      <c r="W65" s="222"/>
    </row>
    <row r="66">
      <c r="A66" s="271"/>
      <c r="B66" s="222"/>
      <c r="C66" s="222"/>
      <c r="D66" s="222"/>
      <c r="E66" s="222"/>
      <c r="F66" s="222"/>
      <c r="G66" s="222"/>
      <c r="H66" s="271"/>
      <c r="I66" s="271"/>
      <c r="J66" s="271"/>
      <c r="K66" s="271"/>
      <c r="L66" s="271"/>
      <c r="M66" s="222"/>
      <c r="N66" s="222"/>
      <c r="O66" s="222"/>
      <c r="P66" s="222"/>
      <c r="Q66" s="222"/>
      <c r="R66" s="222"/>
      <c r="S66" s="222"/>
      <c r="T66" s="222"/>
      <c r="U66" s="222"/>
      <c r="V66" s="222"/>
      <c r="W66" s="222"/>
    </row>
    <row r="67">
      <c r="A67" s="271"/>
      <c r="B67" s="222"/>
      <c r="C67" s="222"/>
      <c r="D67" s="222"/>
      <c r="E67" s="222"/>
      <c r="F67" s="222"/>
      <c r="G67" s="222"/>
      <c r="H67" s="271"/>
      <c r="I67" s="271"/>
      <c r="J67" s="271"/>
      <c r="K67" s="271"/>
      <c r="L67" s="271"/>
      <c r="M67" s="222"/>
      <c r="N67" s="222"/>
      <c r="O67" s="222"/>
      <c r="P67" s="222"/>
      <c r="Q67" s="222"/>
      <c r="R67" s="222"/>
      <c r="S67" s="222"/>
      <c r="T67" s="222"/>
      <c r="U67" s="222"/>
      <c r="V67" s="222"/>
      <c r="W67" s="222"/>
    </row>
    <row r="68">
      <c r="A68" s="271"/>
      <c r="B68" s="222"/>
      <c r="C68" s="222"/>
      <c r="D68" s="222"/>
      <c r="E68" s="222"/>
      <c r="F68" s="222"/>
      <c r="G68" s="222"/>
      <c r="H68" s="271"/>
      <c r="I68" s="271"/>
      <c r="J68" s="271"/>
      <c r="K68" s="271"/>
      <c r="L68" s="271"/>
      <c r="M68" s="222"/>
      <c r="N68" s="222"/>
      <c r="O68" s="222"/>
      <c r="P68" s="222"/>
      <c r="Q68" s="222"/>
      <c r="R68" s="222"/>
      <c r="S68" s="222"/>
      <c r="T68" s="222"/>
      <c r="U68" s="222"/>
      <c r="V68" s="222"/>
      <c r="W68" s="222"/>
    </row>
    <row r="69">
      <c r="A69" s="271"/>
      <c r="B69" s="222"/>
      <c r="C69" s="222"/>
      <c r="D69" s="222"/>
      <c r="E69" s="222"/>
      <c r="F69" s="222"/>
      <c r="G69" s="222"/>
      <c r="H69" s="271"/>
      <c r="I69" s="271"/>
      <c r="J69" s="271"/>
      <c r="K69" s="271"/>
      <c r="L69" s="271"/>
      <c r="M69" s="222"/>
      <c r="N69" s="222"/>
      <c r="O69" s="222"/>
      <c r="P69" s="222"/>
      <c r="Q69" s="222"/>
      <c r="R69" s="222"/>
      <c r="S69" s="222"/>
      <c r="T69" s="222"/>
      <c r="U69" s="222"/>
      <c r="V69" s="222"/>
      <c r="W69" s="222"/>
    </row>
    <row r="70">
      <c r="A70" s="271"/>
      <c r="B70" s="222"/>
      <c r="C70" s="222"/>
      <c r="D70" s="222"/>
      <c r="E70" s="222"/>
      <c r="F70" s="222"/>
      <c r="G70" s="222"/>
      <c r="H70" s="271"/>
      <c r="I70" s="271"/>
      <c r="J70" s="271"/>
      <c r="K70" s="271"/>
      <c r="L70" s="271"/>
      <c r="M70" s="222"/>
      <c r="N70" s="222"/>
      <c r="O70" s="222"/>
      <c r="P70" s="222"/>
      <c r="Q70" s="222"/>
      <c r="R70" s="222"/>
      <c r="S70" s="222"/>
      <c r="T70" s="222"/>
      <c r="U70" s="222"/>
      <c r="V70" s="222"/>
      <c r="W70" s="222"/>
    </row>
    <row r="71">
      <c r="A71" s="271"/>
      <c r="B71" s="222"/>
      <c r="C71" s="222"/>
      <c r="D71" s="222"/>
      <c r="E71" s="222"/>
      <c r="F71" s="222"/>
      <c r="G71" s="222"/>
      <c r="H71" s="271"/>
      <c r="I71" s="271"/>
      <c r="J71" s="271"/>
      <c r="K71" s="271"/>
      <c r="L71" s="271"/>
      <c r="M71" s="222"/>
      <c r="N71" s="222"/>
      <c r="O71" s="222"/>
      <c r="P71" s="222"/>
      <c r="Q71" s="222"/>
      <c r="R71" s="222"/>
      <c r="S71" s="222"/>
      <c r="T71" s="222"/>
      <c r="U71" s="222"/>
      <c r="V71" s="222"/>
      <c r="W71" s="222"/>
    </row>
    <row r="72">
      <c r="A72" s="271"/>
      <c r="B72" s="222"/>
      <c r="C72" s="222"/>
      <c r="D72" s="222"/>
      <c r="E72" s="222"/>
      <c r="F72" s="222"/>
      <c r="G72" s="222"/>
      <c r="H72" s="271"/>
      <c r="I72" s="271"/>
      <c r="J72" s="271"/>
      <c r="K72" s="271"/>
      <c r="L72" s="271"/>
      <c r="M72" s="222"/>
      <c r="N72" s="222"/>
      <c r="O72" s="222"/>
      <c r="P72" s="222"/>
      <c r="Q72" s="222"/>
      <c r="R72" s="222"/>
      <c r="S72" s="222"/>
      <c r="T72" s="222"/>
      <c r="U72" s="222"/>
      <c r="V72" s="222"/>
      <c r="W72" s="222"/>
    </row>
    <row r="73">
      <c r="A73" s="271"/>
      <c r="B73" s="222"/>
      <c r="C73" s="222"/>
      <c r="D73" s="222"/>
      <c r="E73" s="222"/>
      <c r="F73" s="222"/>
      <c r="G73" s="222"/>
      <c r="H73" s="271"/>
      <c r="I73" s="271"/>
      <c r="J73" s="271"/>
      <c r="K73" s="271"/>
      <c r="L73" s="271"/>
      <c r="M73" s="222"/>
      <c r="N73" s="222"/>
      <c r="O73" s="222"/>
      <c r="P73" s="222"/>
      <c r="Q73" s="222"/>
      <c r="R73" s="222"/>
      <c r="S73" s="222"/>
      <c r="T73" s="222"/>
      <c r="U73" s="222"/>
      <c r="V73" s="222"/>
      <c r="W73" s="222"/>
    </row>
    <row r="74">
      <c r="A74" s="271"/>
      <c r="B74" s="222"/>
      <c r="C74" s="222"/>
      <c r="D74" s="222"/>
      <c r="E74" s="222"/>
      <c r="F74" s="222"/>
      <c r="G74" s="222"/>
      <c r="H74" s="271"/>
      <c r="I74" s="271"/>
      <c r="J74" s="271"/>
      <c r="K74" s="271"/>
      <c r="L74" s="271"/>
      <c r="M74" s="222"/>
      <c r="N74" s="222"/>
      <c r="O74" s="222"/>
      <c r="P74" s="222"/>
      <c r="Q74" s="222"/>
      <c r="R74" s="222"/>
      <c r="S74" s="222"/>
      <c r="T74" s="222"/>
      <c r="U74" s="222"/>
      <c r="V74" s="222"/>
      <c r="W74" s="222"/>
    </row>
    <row r="75">
      <c r="A75" s="271"/>
      <c r="B75" s="222"/>
      <c r="C75" s="222"/>
      <c r="D75" s="222"/>
      <c r="E75" s="222"/>
      <c r="F75" s="222"/>
      <c r="G75" s="222"/>
      <c r="H75" s="271"/>
      <c r="I75" s="271"/>
      <c r="J75" s="271"/>
      <c r="K75" s="271"/>
      <c r="L75" s="271"/>
      <c r="M75" s="222"/>
      <c r="N75" s="222"/>
      <c r="O75" s="222"/>
      <c r="P75" s="222"/>
      <c r="Q75" s="222"/>
      <c r="R75" s="222"/>
      <c r="S75" s="222"/>
      <c r="T75" s="222"/>
      <c r="U75" s="222"/>
      <c r="V75" s="222"/>
      <c r="W75" s="222"/>
    </row>
    <row r="76">
      <c r="A76" s="271"/>
      <c r="B76" s="222"/>
      <c r="C76" s="222"/>
      <c r="D76" s="222"/>
      <c r="E76" s="222"/>
      <c r="F76" s="222"/>
      <c r="G76" s="222"/>
      <c r="H76" s="271"/>
      <c r="I76" s="271"/>
      <c r="J76" s="271"/>
      <c r="K76" s="271"/>
      <c r="L76" s="271"/>
      <c r="M76" s="222"/>
      <c r="N76" s="222"/>
      <c r="O76" s="222"/>
      <c r="P76" s="222"/>
      <c r="Q76" s="222"/>
      <c r="R76" s="222"/>
      <c r="S76" s="222"/>
      <c r="T76" s="222"/>
      <c r="U76" s="222"/>
      <c r="V76" s="222"/>
      <c r="W76" s="222"/>
    </row>
    <row r="77">
      <c r="A77" s="271"/>
      <c r="B77" s="222"/>
      <c r="C77" s="222"/>
      <c r="D77" s="222"/>
      <c r="E77" s="222"/>
      <c r="F77" s="222"/>
      <c r="G77" s="222"/>
      <c r="H77" s="271"/>
      <c r="I77" s="271"/>
      <c r="J77" s="271"/>
      <c r="K77" s="271"/>
      <c r="L77" s="271"/>
      <c r="M77" s="222"/>
      <c r="N77" s="222"/>
      <c r="O77" s="222"/>
      <c r="P77" s="222"/>
      <c r="Q77" s="222"/>
      <c r="R77" s="222"/>
      <c r="S77" s="222"/>
      <c r="T77" s="222"/>
      <c r="U77" s="222"/>
      <c r="V77" s="222"/>
      <c r="W77" s="222"/>
    </row>
    <row r="78">
      <c r="A78" s="271"/>
      <c r="B78" s="222"/>
      <c r="C78" s="222"/>
      <c r="D78" s="222"/>
      <c r="E78" s="222"/>
      <c r="F78" s="222"/>
      <c r="G78" s="222"/>
      <c r="H78" s="271"/>
      <c r="I78" s="271"/>
      <c r="J78" s="271"/>
      <c r="K78" s="271"/>
      <c r="L78" s="271"/>
      <c r="M78" s="222"/>
      <c r="N78" s="222"/>
      <c r="O78" s="222"/>
      <c r="P78" s="222"/>
      <c r="Q78" s="222"/>
      <c r="R78" s="222"/>
      <c r="S78" s="222"/>
      <c r="T78" s="222"/>
      <c r="U78" s="222"/>
      <c r="V78" s="222"/>
      <c r="W78" s="222"/>
    </row>
    <row r="79">
      <c r="A79" s="271"/>
      <c r="B79" s="222"/>
      <c r="C79" s="222"/>
      <c r="D79" s="222"/>
      <c r="E79" s="222"/>
      <c r="F79" s="222"/>
      <c r="G79" s="222"/>
      <c r="H79" s="271"/>
      <c r="I79" s="271"/>
      <c r="J79" s="271"/>
      <c r="K79" s="271"/>
      <c r="L79" s="271"/>
      <c r="M79" s="222"/>
      <c r="N79" s="222"/>
      <c r="O79" s="222"/>
      <c r="P79" s="222"/>
      <c r="Q79" s="222"/>
      <c r="R79" s="222"/>
      <c r="S79" s="222"/>
      <c r="T79" s="222"/>
      <c r="U79" s="222"/>
      <c r="V79" s="222"/>
      <c r="W79" s="222"/>
    </row>
    <row r="80">
      <c r="A80" s="271"/>
      <c r="B80" s="222"/>
      <c r="C80" s="222"/>
      <c r="D80" s="222"/>
      <c r="E80" s="222"/>
      <c r="F80" s="222"/>
      <c r="G80" s="222"/>
      <c r="H80" s="271"/>
      <c r="I80" s="271"/>
      <c r="J80" s="271"/>
      <c r="K80" s="271"/>
      <c r="L80" s="271"/>
      <c r="M80" s="222"/>
      <c r="N80" s="222"/>
      <c r="O80" s="222"/>
      <c r="P80" s="222"/>
      <c r="Q80" s="222"/>
      <c r="R80" s="222"/>
      <c r="S80" s="222"/>
      <c r="T80" s="222"/>
      <c r="U80" s="222"/>
      <c r="V80" s="222"/>
      <c r="W80" s="222"/>
    </row>
    <row r="81">
      <c r="A81" s="271"/>
      <c r="B81" s="222"/>
      <c r="C81" s="222"/>
      <c r="D81" s="222"/>
      <c r="E81" s="222"/>
      <c r="F81" s="222"/>
      <c r="G81" s="222"/>
      <c r="H81" s="271"/>
      <c r="I81" s="271"/>
      <c r="J81" s="271"/>
      <c r="K81" s="271"/>
      <c r="L81" s="271"/>
      <c r="M81" s="222"/>
      <c r="N81" s="222"/>
      <c r="O81" s="222"/>
      <c r="P81" s="222"/>
      <c r="Q81" s="222"/>
      <c r="R81" s="222"/>
      <c r="S81" s="222"/>
      <c r="T81" s="222"/>
      <c r="U81" s="222"/>
      <c r="V81" s="222"/>
      <c r="W81" s="222"/>
    </row>
    <row r="82">
      <c r="A82" s="271"/>
      <c r="B82" s="222"/>
      <c r="C82" s="222"/>
      <c r="D82" s="222"/>
      <c r="E82" s="222"/>
      <c r="F82" s="222"/>
      <c r="G82" s="222"/>
      <c r="H82" s="271"/>
      <c r="I82" s="271"/>
      <c r="J82" s="271"/>
      <c r="K82" s="271"/>
      <c r="L82" s="271"/>
      <c r="M82" s="222"/>
      <c r="N82" s="222"/>
      <c r="O82" s="222"/>
      <c r="P82" s="222"/>
      <c r="Q82" s="222"/>
      <c r="R82" s="222"/>
      <c r="S82" s="222"/>
      <c r="T82" s="222"/>
      <c r="U82" s="222"/>
      <c r="V82" s="222"/>
      <c r="W82" s="222"/>
    </row>
    <row r="83">
      <c r="A83" s="271"/>
      <c r="B83" s="222"/>
      <c r="C83" s="222"/>
      <c r="D83" s="222"/>
      <c r="E83" s="222"/>
      <c r="F83" s="222"/>
      <c r="G83" s="222"/>
      <c r="H83" s="271"/>
      <c r="I83" s="271"/>
      <c r="J83" s="271"/>
      <c r="K83" s="271"/>
      <c r="L83" s="271"/>
      <c r="M83" s="222"/>
      <c r="N83" s="222"/>
      <c r="O83" s="222"/>
      <c r="P83" s="222"/>
      <c r="Q83" s="222"/>
      <c r="R83" s="222"/>
      <c r="S83" s="222"/>
      <c r="T83" s="222"/>
      <c r="U83" s="222"/>
      <c r="V83" s="222"/>
      <c r="W83" s="222"/>
    </row>
    <row r="84">
      <c r="A84" s="271"/>
      <c r="B84" s="222"/>
      <c r="C84" s="222"/>
      <c r="D84" s="222"/>
      <c r="E84" s="222"/>
      <c r="F84" s="222"/>
      <c r="G84" s="222"/>
      <c r="H84" s="271"/>
      <c r="I84" s="271"/>
      <c r="J84" s="271"/>
      <c r="K84" s="271"/>
      <c r="L84" s="271"/>
      <c r="M84" s="222"/>
      <c r="N84" s="222"/>
      <c r="O84" s="222"/>
      <c r="P84" s="222"/>
      <c r="Q84" s="222"/>
      <c r="R84" s="222"/>
      <c r="S84" s="222"/>
      <c r="T84" s="222"/>
      <c r="U84" s="222"/>
      <c r="V84" s="222"/>
      <c r="W84" s="222"/>
    </row>
    <row r="85">
      <c r="A85" s="271"/>
      <c r="B85" s="222"/>
      <c r="C85" s="222"/>
      <c r="D85" s="222"/>
      <c r="E85" s="222"/>
      <c r="F85" s="222"/>
      <c r="G85" s="222"/>
      <c r="H85" s="271"/>
      <c r="I85" s="271"/>
      <c r="J85" s="271"/>
      <c r="K85" s="271"/>
      <c r="L85" s="271"/>
      <c r="M85" s="222"/>
      <c r="N85" s="222"/>
      <c r="O85" s="222"/>
      <c r="P85" s="222"/>
      <c r="Q85" s="222"/>
      <c r="R85" s="222"/>
      <c r="S85" s="222"/>
      <c r="T85" s="222"/>
      <c r="U85" s="222"/>
      <c r="V85" s="222"/>
      <c r="W85" s="222"/>
    </row>
    <row r="86">
      <c r="A86" s="271"/>
      <c r="B86" s="222"/>
      <c r="C86" s="222"/>
      <c r="D86" s="222"/>
      <c r="E86" s="222"/>
      <c r="F86" s="222"/>
      <c r="G86" s="222"/>
      <c r="H86" s="271"/>
      <c r="I86" s="271"/>
      <c r="J86" s="271"/>
      <c r="K86" s="271"/>
      <c r="L86" s="271"/>
      <c r="M86" s="222"/>
      <c r="N86" s="222"/>
      <c r="O86" s="222"/>
      <c r="P86" s="222"/>
      <c r="Q86" s="222"/>
      <c r="R86" s="222"/>
      <c r="S86" s="222"/>
      <c r="T86" s="222"/>
      <c r="U86" s="222"/>
      <c r="V86" s="222"/>
      <c r="W86" s="222"/>
    </row>
    <row r="87">
      <c r="A87" s="271"/>
      <c r="B87" s="222"/>
      <c r="C87" s="222"/>
      <c r="D87" s="222"/>
      <c r="E87" s="222"/>
      <c r="F87" s="222"/>
      <c r="G87" s="222"/>
      <c r="H87" s="271"/>
      <c r="I87" s="271"/>
      <c r="J87" s="271"/>
      <c r="K87" s="271"/>
      <c r="L87" s="271"/>
      <c r="M87" s="222"/>
      <c r="N87" s="222"/>
      <c r="O87" s="222"/>
      <c r="P87" s="222"/>
      <c r="Q87" s="222"/>
      <c r="R87" s="222"/>
      <c r="S87" s="222"/>
      <c r="T87" s="222"/>
      <c r="U87" s="222"/>
      <c r="V87" s="222"/>
      <c r="W87" s="222"/>
    </row>
    <row r="88">
      <c r="A88" s="271"/>
      <c r="B88" s="222"/>
      <c r="C88" s="222"/>
      <c r="D88" s="222"/>
      <c r="E88" s="222"/>
      <c r="F88" s="222"/>
      <c r="G88" s="222"/>
      <c r="H88" s="271"/>
      <c r="I88" s="271"/>
      <c r="J88" s="271"/>
      <c r="K88" s="271"/>
      <c r="L88" s="271"/>
      <c r="M88" s="222"/>
      <c r="N88" s="222"/>
      <c r="O88" s="222"/>
      <c r="P88" s="222"/>
      <c r="Q88" s="222"/>
      <c r="R88" s="222"/>
      <c r="S88" s="222"/>
      <c r="T88" s="222"/>
      <c r="U88" s="222"/>
      <c r="V88" s="222"/>
      <c r="W88" s="222"/>
    </row>
    <row r="89">
      <c r="A89" s="271"/>
      <c r="B89" s="222"/>
      <c r="C89" s="222"/>
      <c r="D89" s="222"/>
      <c r="E89" s="222"/>
      <c r="F89" s="222"/>
      <c r="G89" s="222"/>
      <c r="H89" s="271"/>
      <c r="I89" s="271"/>
      <c r="J89" s="271"/>
      <c r="K89" s="271"/>
      <c r="L89" s="271"/>
      <c r="M89" s="222"/>
      <c r="N89" s="222"/>
      <c r="O89" s="222"/>
      <c r="P89" s="222"/>
      <c r="Q89" s="222"/>
      <c r="R89" s="222"/>
      <c r="S89" s="222"/>
      <c r="T89" s="222"/>
      <c r="U89" s="222"/>
      <c r="V89" s="222"/>
      <c r="W89" s="222"/>
    </row>
    <row r="90">
      <c r="A90" s="271"/>
      <c r="B90" s="222"/>
      <c r="C90" s="222"/>
      <c r="D90" s="222"/>
      <c r="E90" s="222"/>
      <c r="F90" s="222"/>
      <c r="G90" s="222"/>
      <c r="H90" s="271"/>
      <c r="I90" s="271"/>
      <c r="J90" s="271"/>
      <c r="K90" s="271"/>
      <c r="L90" s="271"/>
      <c r="M90" s="222"/>
      <c r="N90" s="222"/>
      <c r="O90" s="222"/>
      <c r="P90" s="222"/>
      <c r="Q90" s="222"/>
      <c r="R90" s="222"/>
      <c r="S90" s="222"/>
      <c r="T90" s="222"/>
      <c r="U90" s="222"/>
      <c r="V90" s="222"/>
      <c r="W90" s="222"/>
    </row>
    <row r="91">
      <c r="A91" s="271"/>
      <c r="B91" s="222"/>
      <c r="C91" s="222"/>
      <c r="D91" s="222"/>
      <c r="E91" s="222"/>
      <c r="F91" s="222"/>
      <c r="G91" s="222"/>
      <c r="H91" s="271"/>
      <c r="I91" s="271"/>
      <c r="J91" s="271"/>
      <c r="K91" s="271"/>
      <c r="L91" s="271"/>
      <c r="M91" s="222"/>
      <c r="N91" s="222"/>
      <c r="O91" s="222"/>
      <c r="P91" s="222"/>
      <c r="Q91" s="222"/>
      <c r="R91" s="222"/>
      <c r="S91" s="222"/>
      <c r="T91" s="222"/>
      <c r="U91" s="222"/>
      <c r="V91" s="222"/>
      <c r="W91" s="222"/>
    </row>
    <row r="92">
      <c r="A92" s="271"/>
      <c r="B92" s="222"/>
      <c r="C92" s="222"/>
      <c r="D92" s="222"/>
      <c r="E92" s="222"/>
      <c r="F92" s="222"/>
      <c r="G92" s="222"/>
      <c r="H92" s="271"/>
      <c r="I92" s="271"/>
      <c r="J92" s="271"/>
      <c r="K92" s="271"/>
      <c r="L92" s="271"/>
      <c r="M92" s="222"/>
      <c r="N92" s="222"/>
      <c r="O92" s="222"/>
      <c r="P92" s="222"/>
      <c r="Q92" s="222"/>
      <c r="R92" s="222"/>
      <c r="S92" s="222"/>
      <c r="T92" s="222"/>
      <c r="U92" s="222"/>
      <c r="V92" s="222"/>
      <c r="W92" s="222"/>
    </row>
    <row r="93">
      <c r="A93" s="271"/>
      <c r="B93" s="222"/>
      <c r="C93" s="222"/>
      <c r="D93" s="222"/>
      <c r="E93" s="222"/>
      <c r="F93" s="222"/>
      <c r="G93" s="222"/>
      <c r="H93" s="271"/>
      <c r="I93" s="271"/>
      <c r="J93" s="271"/>
      <c r="K93" s="271"/>
      <c r="L93" s="271"/>
      <c r="M93" s="222"/>
      <c r="N93" s="222"/>
      <c r="O93" s="222"/>
      <c r="P93" s="222"/>
      <c r="Q93" s="222"/>
      <c r="R93" s="222"/>
      <c r="S93" s="222"/>
      <c r="T93" s="222"/>
      <c r="U93" s="222"/>
      <c r="V93" s="222"/>
      <c r="W93" s="222"/>
    </row>
    <row r="94">
      <c r="A94" s="271"/>
      <c r="B94" s="222"/>
      <c r="C94" s="222"/>
      <c r="D94" s="222"/>
      <c r="E94" s="222"/>
      <c r="F94" s="222"/>
      <c r="G94" s="222"/>
      <c r="H94" s="271"/>
      <c r="I94" s="271"/>
      <c r="J94" s="271"/>
      <c r="K94" s="271"/>
      <c r="L94" s="271"/>
      <c r="M94" s="222"/>
      <c r="N94" s="222"/>
      <c r="O94" s="222"/>
      <c r="P94" s="222"/>
      <c r="Q94" s="222"/>
      <c r="R94" s="222"/>
      <c r="S94" s="222"/>
      <c r="T94" s="222"/>
      <c r="U94" s="222"/>
      <c r="V94" s="222"/>
      <c r="W94" s="222"/>
    </row>
    <row r="95">
      <c r="A95" s="271"/>
      <c r="B95" s="222"/>
      <c r="C95" s="222"/>
      <c r="D95" s="222"/>
      <c r="E95" s="222"/>
      <c r="F95" s="222"/>
      <c r="G95" s="222"/>
      <c r="H95" s="271"/>
      <c r="I95" s="271"/>
      <c r="J95" s="271"/>
      <c r="K95" s="271"/>
      <c r="L95" s="271"/>
      <c r="M95" s="222"/>
      <c r="N95" s="222"/>
      <c r="O95" s="222"/>
      <c r="P95" s="222"/>
      <c r="Q95" s="222"/>
      <c r="R95" s="222"/>
      <c r="S95" s="222"/>
      <c r="T95" s="222"/>
      <c r="U95" s="222"/>
      <c r="V95" s="222"/>
      <c r="W95" s="222"/>
    </row>
    <row r="96">
      <c r="A96" s="271"/>
      <c r="B96" s="222"/>
      <c r="C96" s="222"/>
      <c r="D96" s="222"/>
      <c r="E96" s="222"/>
      <c r="F96" s="222"/>
      <c r="G96" s="222"/>
      <c r="H96" s="271"/>
      <c r="I96" s="271"/>
      <c r="J96" s="271"/>
      <c r="K96" s="271"/>
      <c r="L96" s="271"/>
      <c r="M96" s="222"/>
      <c r="N96" s="222"/>
      <c r="O96" s="222"/>
      <c r="P96" s="222"/>
      <c r="Q96" s="222"/>
      <c r="R96" s="222"/>
      <c r="S96" s="222"/>
      <c r="T96" s="222"/>
      <c r="U96" s="222"/>
      <c r="V96" s="222"/>
      <c r="W96" s="222"/>
    </row>
    <row r="97">
      <c r="A97" s="271"/>
      <c r="B97" s="222"/>
      <c r="C97" s="222"/>
      <c r="D97" s="222"/>
      <c r="E97" s="222"/>
      <c r="F97" s="222"/>
      <c r="G97" s="222"/>
      <c r="H97" s="271"/>
      <c r="I97" s="271"/>
      <c r="J97" s="271"/>
      <c r="K97" s="271"/>
      <c r="L97" s="271"/>
      <c r="M97" s="222"/>
      <c r="N97" s="222"/>
      <c r="O97" s="222"/>
      <c r="P97" s="222"/>
      <c r="Q97" s="222"/>
      <c r="R97" s="222"/>
      <c r="S97" s="222"/>
      <c r="T97" s="222"/>
      <c r="U97" s="222"/>
      <c r="V97" s="222"/>
      <c r="W97" s="222"/>
    </row>
    <row r="98">
      <c r="A98" s="271"/>
      <c r="B98" s="222"/>
      <c r="C98" s="222"/>
      <c r="D98" s="222"/>
      <c r="E98" s="222"/>
      <c r="F98" s="222"/>
      <c r="G98" s="222"/>
      <c r="H98" s="271"/>
      <c r="I98" s="271"/>
      <c r="J98" s="271"/>
      <c r="K98" s="271"/>
      <c r="L98" s="271"/>
      <c r="M98" s="222"/>
      <c r="N98" s="222"/>
      <c r="O98" s="222"/>
      <c r="P98" s="222"/>
      <c r="Q98" s="222"/>
      <c r="R98" s="222"/>
      <c r="S98" s="222"/>
      <c r="T98" s="222"/>
      <c r="U98" s="222"/>
      <c r="V98" s="222"/>
      <c r="W98" s="222"/>
    </row>
    <row r="99">
      <c r="A99" s="271"/>
      <c r="B99" s="222"/>
      <c r="C99" s="222"/>
      <c r="D99" s="222"/>
      <c r="E99" s="222"/>
      <c r="F99" s="222"/>
      <c r="G99" s="222"/>
      <c r="H99" s="271"/>
      <c r="I99" s="271"/>
      <c r="J99" s="271"/>
      <c r="K99" s="271"/>
      <c r="L99" s="271"/>
      <c r="M99" s="222"/>
      <c r="N99" s="222"/>
      <c r="O99" s="222"/>
      <c r="P99" s="222"/>
      <c r="Q99" s="222"/>
      <c r="R99" s="222"/>
      <c r="S99" s="222"/>
      <c r="T99" s="222"/>
      <c r="U99" s="222"/>
      <c r="V99" s="222"/>
      <c r="W99" s="222"/>
    </row>
    <row r="100">
      <c r="A100" s="271"/>
      <c r="B100" s="222"/>
      <c r="C100" s="222"/>
      <c r="D100" s="222"/>
      <c r="E100" s="222"/>
      <c r="F100" s="222"/>
      <c r="G100" s="222"/>
      <c r="H100" s="271"/>
      <c r="I100" s="271"/>
      <c r="J100" s="271"/>
      <c r="K100" s="271"/>
      <c r="L100" s="271"/>
      <c r="M100" s="222"/>
      <c r="N100" s="222"/>
      <c r="O100" s="222"/>
      <c r="P100" s="222"/>
      <c r="Q100" s="222"/>
      <c r="R100" s="222"/>
      <c r="S100" s="222"/>
      <c r="T100" s="222"/>
      <c r="U100" s="222"/>
      <c r="V100" s="222"/>
      <c r="W100" s="222"/>
    </row>
    <row r="101">
      <c r="A101" s="271"/>
      <c r="B101" s="222"/>
      <c r="C101" s="222"/>
      <c r="D101" s="222"/>
      <c r="E101" s="222"/>
      <c r="F101" s="222"/>
      <c r="G101" s="222"/>
      <c r="H101" s="271"/>
      <c r="I101" s="271"/>
      <c r="J101" s="271"/>
      <c r="K101" s="271"/>
      <c r="L101" s="271"/>
      <c r="M101" s="222"/>
      <c r="N101" s="222"/>
      <c r="O101" s="222"/>
      <c r="P101" s="222"/>
      <c r="Q101" s="222"/>
      <c r="R101" s="222"/>
      <c r="S101" s="222"/>
      <c r="T101" s="222"/>
      <c r="U101" s="222"/>
      <c r="V101" s="222"/>
      <c r="W101" s="222"/>
    </row>
    <row r="102">
      <c r="A102" s="271"/>
      <c r="B102" s="222"/>
      <c r="C102" s="222"/>
      <c r="D102" s="222"/>
      <c r="E102" s="222"/>
      <c r="F102" s="222"/>
      <c r="G102" s="222"/>
      <c r="H102" s="271"/>
      <c r="I102" s="271"/>
      <c r="J102" s="271"/>
      <c r="K102" s="271"/>
      <c r="L102" s="271"/>
      <c r="M102" s="222"/>
      <c r="N102" s="222"/>
      <c r="O102" s="222"/>
      <c r="P102" s="222"/>
      <c r="Q102" s="222"/>
      <c r="R102" s="222"/>
      <c r="S102" s="222"/>
      <c r="T102" s="222"/>
      <c r="U102" s="222"/>
      <c r="V102" s="222"/>
      <c r="W102" s="222"/>
    </row>
    <row r="103">
      <c r="A103" s="271"/>
      <c r="B103" s="222"/>
      <c r="C103" s="222"/>
      <c r="D103" s="222"/>
      <c r="E103" s="222"/>
      <c r="F103" s="222"/>
      <c r="G103" s="222"/>
      <c r="H103" s="271"/>
      <c r="I103" s="271"/>
      <c r="J103" s="271"/>
      <c r="K103" s="271"/>
      <c r="L103" s="271"/>
      <c r="M103" s="222"/>
      <c r="N103" s="222"/>
      <c r="O103" s="222"/>
      <c r="P103" s="222"/>
      <c r="Q103" s="222"/>
      <c r="R103" s="222"/>
      <c r="S103" s="222"/>
      <c r="T103" s="222"/>
      <c r="U103" s="222"/>
      <c r="V103" s="222"/>
      <c r="W103" s="222"/>
    </row>
    <row r="104">
      <c r="A104" s="271"/>
      <c r="B104" s="222"/>
      <c r="C104" s="222"/>
      <c r="D104" s="222"/>
      <c r="E104" s="222"/>
      <c r="F104" s="222"/>
      <c r="G104" s="222"/>
      <c r="H104" s="271"/>
      <c r="I104" s="271"/>
      <c r="J104" s="271"/>
      <c r="K104" s="271"/>
      <c r="L104" s="271"/>
      <c r="M104" s="222"/>
      <c r="N104" s="222"/>
      <c r="O104" s="222"/>
      <c r="P104" s="222"/>
      <c r="Q104" s="222"/>
      <c r="R104" s="222"/>
      <c r="S104" s="222"/>
      <c r="T104" s="222"/>
      <c r="U104" s="222"/>
      <c r="V104" s="222"/>
      <c r="W104" s="222"/>
    </row>
    <row r="105">
      <c r="A105" s="271"/>
      <c r="B105" s="222"/>
      <c r="C105" s="222"/>
      <c r="D105" s="222"/>
      <c r="E105" s="222"/>
      <c r="F105" s="222"/>
      <c r="G105" s="222"/>
      <c r="H105" s="271"/>
      <c r="I105" s="271"/>
      <c r="J105" s="271"/>
      <c r="K105" s="271"/>
      <c r="L105" s="271"/>
      <c r="M105" s="222"/>
      <c r="N105" s="222"/>
      <c r="O105" s="222"/>
      <c r="P105" s="222"/>
      <c r="Q105" s="222"/>
      <c r="R105" s="222"/>
      <c r="S105" s="222"/>
      <c r="T105" s="222"/>
      <c r="U105" s="222"/>
      <c r="V105" s="222"/>
      <c r="W105" s="222"/>
    </row>
    <row r="106">
      <c r="A106" s="271"/>
      <c r="B106" s="222"/>
      <c r="C106" s="222"/>
      <c r="D106" s="222"/>
      <c r="E106" s="222"/>
      <c r="F106" s="222"/>
      <c r="G106" s="222"/>
      <c r="H106" s="271"/>
      <c r="I106" s="271"/>
      <c r="J106" s="271"/>
      <c r="K106" s="271"/>
      <c r="L106" s="271"/>
      <c r="M106" s="222"/>
      <c r="N106" s="222"/>
      <c r="O106" s="222"/>
      <c r="P106" s="222"/>
      <c r="Q106" s="222"/>
      <c r="R106" s="222"/>
      <c r="S106" s="222"/>
      <c r="T106" s="222"/>
      <c r="U106" s="222"/>
      <c r="V106" s="222"/>
      <c r="W106" s="222"/>
    </row>
    <row r="107">
      <c r="A107" s="271"/>
      <c r="B107" s="222"/>
      <c r="C107" s="222"/>
      <c r="D107" s="222"/>
      <c r="E107" s="222"/>
      <c r="F107" s="222"/>
      <c r="G107" s="222"/>
      <c r="H107" s="271"/>
      <c r="I107" s="271"/>
      <c r="J107" s="271"/>
      <c r="K107" s="271"/>
      <c r="L107" s="271"/>
      <c r="M107" s="222"/>
      <c r="N107" s="222"/>
      <c r="O107" s="222"/>
      <c r="P107" s="222"/>
      <c r="Q107" s="222"/>
      <c r="R107" s="222"/>
      <c r="S107" s="222"/>
      <c r="T107" s="222"/>
      <c r="U107" s="222"/>
      <c r="V107" s="222"/>
      <c r="W107" s="222"/>
    </row>
    <row r="108">
      <c r="A108" s="271"/>
      <c r="B108" s="222"/>
      <c r="C108" s="222"/>
      <c r="D108" s="222"/>
      <c r="E108" s="222"/>
      <c r="F108" s="222"/>
      <c r="G108" s="222"/>
      <c r="H108" s="271"/>
      <c r="I108" s="271"/>
      <c r="J108" s="271"/>
      <c r="K108" s="271"/>
      <c r="L108" s="271"/>
      <c r="M108" s="222"/>
      <c r="N108" s="222"/>
      <c r="O108" s="222"/>
      <c r="P108" s="222"/>
      <c r="Q108" s="222"/>
      <c r="R108" s="222"/>
      <c r="S108" s="222"/>
      <c r="T108" s="222"/>
      <c r="U108" s="222"/>
      <c r="V108" s="222"/>
      <c r="W108" s="222"/>
    </row>
    <row r="109">
      <c r="A109" s="271"/>
      <c r="B109" s="222"/>
      <c r="C109" s="222"/>
      <c r="D109" s="222"/>
      <c r="E109" s="222"/>
      <c r="F109" s="222"/>
      <c r="G109" s="222"/>
      <c r="H109" s="271"/>
      <c r="I109" s="271"/>
      <c r="J109" s="271"/>
      <c r="K109" s="271"/>
      <c r="L109" s="271"/>
      <c r="M109" s="222"/>
      <c r="N109" s="222"/>
      <c r="O109" s="222"/>
      <c r="P109" s="222"/>
      <c r="Q109" s="222"/>
      <c r="R109" s="222"/>
      <c r="S109" s="222"/>
      <c r="T109" s="222"/>
      <c r="U109" s="222"/>
      <c r="V109" s="222"/>
      <c r="W109" s="222"/>
    </row>
    <row r="110">
      <c r="A110" s="271"/>
      <c r="B110" s="222"/>
      <c r="C110" s="222"/>
      <c r="D110" s="222"/>
      <c r="E110" s="222"/>
      <c r="F110" s="222"/>
      <c r="G110" s="222"/>
      <c r="H110" s="271"/>
      <c r="I110" s="271"/>
      <c r="J110" s="271"/>
      <c r="K110" s="271"/>
      <c r="L110" s="271"/>
      <c r="M110" s="222"/>
      <c r="N110" s="222"/>
      <c r="O110" s="222"/>
      <c r="P110" s="222"/>
      <c r="Q110" s="222"/>
      <c r="R110" s="222"/>
      <c r="S110" s="222"/>
      <c r="T110" s="222"/>
      <c r="U110" s="222"/>
      <c r="V110" s="222"/>
      <c r="W110" s="222"/>
    </row>
    <row r="111">
      <c r="A111" s="271"/>
      <c r="B111" s="222"/>
      <c r="C111" s="222"/>
      <c r="D111" s="222"/>
      <c r="E111" s="222"/>
      <c r="F111" s="222"/>
      <c r="G111" s="222"/>
      <c r="H111" s="271"/>
      <c r="I111" s="271"/>
      <c r="J111" s="271"/>
      <c r="K111" s="271"/>
      <c r="L111" s="271"/>
      <c r="M111" s="222"/>
      <c r="N111" s="222"/>
      <c r="O111" s="222"/>
      <c r="P111" s="222"/>
      <c r="Q111" s="222"/>
      <c r="R111" s="222"/>
      <c r="S111" s="222"/>
      <c r="T111" s="222"/>
      <c r="U111" s="222"/>
      <c r="V111" s="222"/>
      <c r="W111" s="222"/>
    </row>
    <row r="112">
      <c r="A112" s="271"/>
      <c r="B112" s="222"/>
      <c r="C112" s="222"/>
      <c r="D112" s="222"/>
      <c r="E112" s="222"/>
      <c r="F112" s="222"/>
      <c r="G112" s="222"/>
      <c r="H112" s="271"/>
      <c r="I112" s="271"/>
      <c r="J112" s="271"/>
      <c r="K112" s="271"/>
      <c r="L112" s="271"/>
      <c r="M112" s="222"/>
      <c r="N112" s="222"/>
      <c r="O112" s="222"/>
      <c r="P112" s="222"/>
      <c r="Q112" s="222"/>
      <c r="R112" s="222"/>
      <c r="S112" s="222"/>
      <c r="T112" s="222"/>
      <c r="U112" s="222"/>
      <c r="V112" s="222"/>
      <c r="W112" s="222"/>
    </row>
    <row r="113">
      <c r="A113" s="271"/>
      <c r="B113" s="222"/>
      <c r="C113" s="222"/>
      <c r="D113" s="222"/>
      <c r="E113" s="222"/>
      <c r="F113" s="222"/>
      <c r="G113" s="222"/>
      <c r="H113" s="271"/>
      <c r="I113" s="271"/>
      <c r="J113" s="271"/>
      <c r="K113" s="271"/>
      <c r="L113" s="271"/>
      <c r="M113" s="222"/>
      <c r="N113" s="222"/>
      <c r="O113" s="222"/>
      <c r="P113" s="222"/>
      <c r="Q113" s="222"/>
      <c r="R113" s="222"/>
      <c r="S113" s="222"/>
      <c r="T113" s="222"/>
      <c r="U113" s="222"/>
      <c r="V113" s="222"/>
      <c r="W113" s="222"/>
    </row>
    <row r="114">
      <c r="A114" s="271"/>
      <c r="B114" s="222"/>
      <c r="C114" s="222"/>
      <c r="D114" s="222"/>
      <c r="E114" s="222"/>
      <c r="F114" s="222"/>
      <c r="G114" s="222"/>
      <c r="H114" s="271"/>
      <c r="I114" s="271"/>
      <c r="J114" s="271"/>
      <c r="K114" s="271"/>
      <c r="L114" s="271"/>
      <c r="M114" s="222"/>
      <c r="N114" s="222"/>
      <c r="O114" s="222"/>
      <c r="P114" s="222"/>
      <c r="Q114" s="222"/>
      <c r="R114" s="222"/>
      <c r="S114" s="222"/>
      <c r="T114" s="222"/>
      <c r="U114" s="222"/>
      <c r="V114" s="222"/>
      <c r="W114" s="222"/>
    </row>
    <row r="115">
      <c r="A115" s="271"/>
      <c r="B115" s="222"/>
      <c r="C115" s="222"/>
      <c r="D115" s="222"/>
      <c r="E115" s="222"/>
      <c r="F115" s="222"/>
      <c r="G115" s="222"/>
      <c r="H115" s="271"/>
      <c r="I115" s="271"/>
      <c r="J115" s="271"/>
      <c r="K115" s="271"/>
      <c r="L115" s="271"/>
      <c r="M115" s="222"/>
      <c r="N115" s="222"/>
      <c r="O115" s="222"/>
      <c r="P115" s="222"/>
      <c r="Q115" s="222"/>
      <c r="R115" s="222"/>
      <c r="S115" s="222"/>
      <c r="T115" s="222"/>
      <c r="U115" s="222"/>
      <c r="V115" s="222"/>
      <c r="W115" s="222"/>
    </row>
    <row r="116">
      <c r="A116" s="271"/>
      <c r="B116" s="222"/>
      <c r="C116" s="222"/>
      <c r="D116" s="222"/>
      <c r="E116" s="222"/>
      <c r="F116" s="222"/>
      <c r="G116" s="222"/>
      <c r="H116" s="271"/>
      <c r="I116" s="271"/>
      <c r="J116" s="271"/>
      <c r="K116" s="271"/>
      <c r="L116" s="271"/>
      <c r="M116" s="222"/>
      <c r="N116" s="222"/>
      <c r="O116" s="222"/>
      <c r="P116" s="222"/>
      <c r="Q116" s="222"/>
      <c r="R116" s="222"/>
      <c r="S116" s="222"/>
      <c r="T116" s="222"/>
      <c r="U116" s="222"/>
      <c r="V116" s="222"/>
      <c r="W116" s="222"/>
    </row>
    <row r="117">
      <c r="A117" s="271"/>
      <c r="B117" s="222"/>
      <c r="C117" s="222"/>
      <c r="D117" s="222"/>
      <c r="E117" s="222"/>
      <c r="F117" s="222"/>
      <c r="G117" s="222"/>
      <c r="H117" s="271"/>
      <c r="I117" s="271"/>
      <c r="J117" s="271"/>
      <c r="K117" s="271"/>
      <c r="L117" s="271"/>
      <c r="M117" s="222"/>
      <c r="N117" s="222"/>
      <c r="O117" s="222"/>
      <c r="P117" s="222"/>
      <c r="Q117" s="222"/>
      <c r="R117" s="222"/>
      <c r="S117" s="222"/>
      <c r="T117" s="222"/>
      <c r="U117" s="222"/>
      <c r="V117" s="222"/>
      <c r="W117" s="222"/>
    </row>
    <row r="118">
      <c r="A118" s="271"/>
      <c r="B118" s="222"/>
      <c r="C118" s="222"/>
      <c r="D118" s="222"/>
      <c r="E118" s="222"/>
      <c r="F118" s="222"/>
      <c r="G118" s="222"/>
      <c r="H118" s="271"/>
      <c r="I118" s="271"/>
      <c r="J118" s="271"/>
      <c r="K118" s="271"/>
      <c r="L118" s="271"/>
      <c r="M118" s="222"/>
      <c r="N118" s="222"/>
      <c r="O118" s="222"/>
      <c r="P118" s="222"/>
      <c r="Q118" s="222"/>
      <c r="R118" s="222"/>
      <c r="S118" s="222"/>
      <c r="T118" s="222"/>
      <c r="U118" s="222"/>
      <c r="V118" s="222"/>
      <c r="W118" s="222"/>
    </row>
    <row r="119">
      <c r="A119" s="271"/>
      <c r="B119" s="222"/>
      <c r="C119" s="222"/>
      <c r="D119" s="222"/>
      <c r="E119" s="222"/>
      <c r="F119" s="222"/>
      <c r="G119" s="222"/>
      <c r="H119" s="271"/>
      <c r="I119" s="271"/>
      <c r="J119" s="271"/>
      <c r="K119" s="271"/>
      <c r="L119" s="271"/>
      <c r="M119" s="222"/>
      <c r="N119" s="222"/>
      <c r="O119" s="222"/>
      <c r="P119" s="222"/>
      <c r="Q119" s="222"/>
      <c r="R119" s="222"/>
      <c r="S119" s="222"/>
      <c r="T119" s="222"/>
      <c r="U119" s="222"/>
      <c r="V119" s="222"/>
      <c r="W119" s="222"/>
    </row>
    <row r="120">
      <c r="A120" s="271"/>
      <c r="B120" s="222"/>
      <c r="C120" s="222"/>
      <c r="D120" s="222"/>
      <c r="E120" s="222"/>
      <c r="F120" s="222"/>
      <c r="G120" s="222"/>
      <c r="H120" s="271"/>
      <c r="I120" s="271"/>
      <c r="J120" s="271"/>
      <c r="K120" s="271"/>
      <c r="L120" s="271"/>
      <c r="M120" s="222"/>
      <c r="N120" s="222"/>
      <c r="O120" s="222"/>
      <c r="P120" s="222"/>
      <c r="Q120" s="222"/>
      <c r="R120" s="222"/>
      <c r="S120" s="222"/>
      <c r="T120" s="222"/>
      <c r="U120" s="222"/>
      <c r="V120" s="222"/>
      <c r="W120" s="222"/>
    </row>
    <row r="121">
      <c r="A121" s="271"/>
      <c r="B121" s="222"/>
      <c r="C121" s="222"/>
      <c r="D121" s="222"/>
      <c r="E121" s="222"/>
      <c r="F121" s="222"/>
      <c r="G121" s="222"/>
      <c r="H121" s="271"/>
      <c r="I121" s="271"/>
      <c r="J121" s="271"/>
      <c r="K121" s="271"/>
      <c r="L121" s="271"/>
      <c r="M121" s="222"/>
      <c r="N121" s="222"/>
      <c r="O121" s="222"/>
      <c r="P121" s="222"/>
      <c r="Q121" s="222"/>
      <c r="R121" s="222"/>
      <c r="S121" s="222"/>
      <c r="T121" s="222"/>
      <c r="U121" s="222"/>
      <c r="V121" s="222"/>
      <c r="W121" s="222"/>
    </row>
    <row r="122">
      <c r="A122" s="271"/>
      <c r="B122" s="222"/>
      <c r="C122" s="222"/>
      <c r="D122" s="222"/>
      <c r="E122" s="222"/>
      <c r="F122" s="222"/>
      <c r="G122" s="222"/>
      <c r="H122" s="271"/>
      <c r="I122" s="271"/>
      <c r="J122" s="271"/>
      <c r="K122" s="271"/>
      <c r="L122" s="271"/>
      <c r="M122" s="222"/>
      <c r="N122" s="222"/>
      <c r="O122" s="222"/>
      <c r="P122" s="222"/>
      <c r="Q122" s="222"/>
      <c r="R122" s="222"/>
      <c r="S122" s="222"/>
      <c r="T122" s="222"/>
      <c r="U122" s="222"/>
      <c r="V122" s="222"/>
      <c r="W122" s="222"/>
    </row>
    <row r="123">
      <c r="A123" s="271"/>
      <c r="B123" s="222"/>
      <c r="C123" s="222"/>
      <c r="D123" s="222"/>
      <c r="E123" s="222"/>
      <c r="F123" s="222"/>
      <c r="G123" s="222"/>
      <c r="H123" s="271"/>
      <c r="I123" s="271"/>
      <c r="J123" s="271"/>
      <c r="K123" s="271"/>
      <c r="L123" s="271"/>
      <c r="M123" s="222"/>
      <c r="N123" s="222"/>
      <c r="O123" s="222"/>
      <c r="P123" s="222"/>
      <c r="Q123" s="222"/>
      <c r="R123" s="222"/>
      <c r="S123" s="222"/>
      <c r="T123" s="222"/>
      <c r="U123" s="222"/>
      <c r="V123" s="222"/>
      <c r="W123" s="222"/>
    </row>
    <row r="124">
      <c r="A124" s="271"/>
      <c r="B124" s="222"/>
      <c r="C124" s="222"/>
      <c r="D124" s="222"/>
      <c r="E124" s="222"/>
      <c r="F124" s="222"/>
      <c r="G124" s="222"/>
      <c r="H124" s="271"/>
      <c r="I124" s="271"/>
      <c r="J124" s="271"/>
      <c r="K124" s="271"/>
      <c r="L124" s="271"/>
      <c r="M124" s="222"/>
      <c r="N124" s="222"/>
      <c r="O124" s="222"/>
      <c r="P124" s="222"/>
      <c r="Q124" s="222"/>
      <c r="R124" s="222"/>
      <c r="S124" s="222"/>
      <c r="T124" s="222"/>
      <c r="U124" s="222"/>
      <c r="V124" s="222"/>
      <c r="W124" s="222"/>
    </row>
    <row r="125">
      <c r="A125" s="271"/>
      <c r="B125" s="222"/>
      <c r="C125" s="222"/>
      <c r="D125" s="222"/>
      <c r="E125" s="222"/>
      <c r="F125" s="222"/>
      <c r="G125" s="222"/>
      <c r="H125" s="271"/>
      <c r="I125" s="271"/>
      <c r="J125" s="271"/>
      <c r="K125" s="271"/>
      <c r="L125" s="271"/>
      <c r="M125" s="222"/>
      <c r="N125" s="222"/>
      <c r="O125" s="222"/>
      <c r="P125" s="222"/>
      <c r="Q125" s="222"/>
      <c r="R125" s="222"/>
      <c r="S125" s="222"/>
      <c r="T125" s="222"/>
      <c r="U125" s="222"/>
      <c r="V125" s="222"/>
      <c r="W125" s="222"/>
    </row>
    <row r="126">
      <c r="A126" s="271"/>
      <c r="B126" s="222"/>
      <c r="C126" s="222"/>
      <c r="D126" s="222"/>
      <c r="E126" s="222"/>
      <c r="F126" s="222"/>
      <c r="G126" s="222"/>
      <c r="H126" s="271"/>
      <c r="I126" s="271"/>
      <c r="J126" s="271"/>
      <c r="K126" s="271"/>
      <c r="L126" s="271"/>
      <c r="M126" s="222"/>
      <c r="N126" s="222"/>
      <c r="O126" s="222"/>
      <c r="P126" s="222"/>
      <c r="Q126" s="222"/>
      <c r="R126" s="222"/>
      <c r="S126" s="222"/>
      <c r="T126" s="222"/>
      <c r="U126" s="222"/>
      <c r="V126" s="222"/>
      <c r="W126" s="222"/>
    </row>
    <row r="127">
      <c r="A127" s="271"/>
      <c r="B127" s="222"/>
      <c r="C127" s="222"/>
      <c r="D127" s="222"/>
      <c r="E127" s="222"/>
      <c r="F127" s="222"/>
      <c r="G127" s="222"/>
      <c r="H127" s="271"/>
      <c r="I127" s="271"/>
      <c r="J127" s="271"/>
      <c r="K127" s="271"/>
      <c r="L127" s="271"/>
      <c r="M127" s="222"/>
      <c r="N127" s="222"/>
      <c r="O127" s="222"/>
      <c r="P127" s="222"/>
      <c r="Q127" s="222"/>
      <c r="R127" s="222"/>
      <c r="S127" s="222"/>
      <c r="T127" s="222"/>
      <c r="U127" s="222"/>
      <c r="V127" s="222"/>
      <c r="W127" s="222"/>
    </row>
    <row r="128">
      <c r="A128" s="271"/>
      <c r="B128" s="222"/>
      <c r="C128" s="222"/>
      <c r="D128" s="222"/>
      <c r="E128" s="222"/>
      <c r="F128" s="222"/>
      <c r="G128" s="222"/>
      <c r="H128" s="271"/>
      <c r="I128" s="271"/>
      <c r="J128" s="271"/>
      <c r="K128" s="271"/>
      <c r="L128" s="271"/>
      <c r="M128" s="222"/>
      <c r="N128" s="222"/>
      <c r="O128" s="222"/>
      <c r="P128" s="222"/>
      <c r="Q128" s="222"/>
      <c r="R128" s="222"/>
      <c r="S128" s="222"/>
      <c r="T128" s="222"/>
      <c r="U128" s="222"/>
      <c r="V128" s="222"/>
      <c r="W128" s="222"/>
    </row>
    <row r="129">
      <c r="A129" s="271"/>
      <c r="B129" s="222"/>
      <c r="C129" s="222"/>
      <c r="D129" s="222"/>
      <c r="E129" s="222"/>
      <c r="F129" s="222"/>
      <c r="G129" s="222"/>
      <c r="H129" s="271"/>
      <c r="I129" s="271"/>
      <c r="J129" s="271"/>
      <c r="K129" s="271"/>
      <c r="L129" s="271"/>
      <c r="M129" s="222"/>
      <c r="N129" s="222"/>
      <c r="O129" s="222"/>
      <c r="P129" s="222"/>
      <c r="Q129" s="222"/>
      <c r="R129" s="222"/>
      <c r="S129" s="222"/>
      <c r="T129" s="222"/>
      <c r="U129" s="222"/>
      <c r="V129" s="222"/>
      <c r="W129" s="222"/>
    </row>
    <row r="130">
      <c r="A130" s="271"/>
      <c r="B130" s="222"/>
      <c r="C130" s="222"/>
      <c r="D130" s="222"/>
      <c r="E130" s="222"/>
      <c r="F130" s="222"/>
      <c r="G130" s="222"/>
      <c r="H130" s="271"/>
      <c r="I130" s="271"/>
      <c r="J130" s="271"/>
      <c r="K130" s="271"/>
      <c r="L130" s="271"/>
      <c r="M130" s="222"/>
      <c r="N130" s="222"/>
      <c r="O130" s="222"/>
      <c r="P130" s="222"/>
      <c r="Q130" s="222"/>
      <c r="R130" s="222"/>
      <c r="S130" s="222"/>
      <c r="T130" s="222"/>
      <c r="U130" s="222"/>
      <c r="V130" s="222"/>
      <c r="W130" s="222"/>
    </row>
    <row r="131">
      <c r="A131" s="271"/>
      <c r="B131" s="222"/>
      <c r="C131" s="222"/>
      <c r="D131" s="222"/>
      <c r="E131" s="222"/>
      <c r="F131" s="222"/>
      <c r="G131" s="222"/>
      <c r="H131" s="271"/>
      <c r="I131" s="271"/>
      <c r="J131" s="271"/>
      <c r="K131" s="271"/>
      <c r="L131" s="271"/>
      <c r="M131" s="222"/>
      <c r="N131" s="222"/>
      <c r="O131" s="222"/>
      <c r="P131" s="222"/>
      <c r="Q131" s="222"/>
      <c r="R131" s="222"/>
      <c r="S131" s="222"/>
      <c r="T131" s="222"/>
      <c r="U131" s="222"/>
      <c r="V131" s="222"/>
      <c r="W131" s="222"/>
    </row>
    <row r="132">
      <c r="A132" s="271"/>
      <c r="B132" s="222"/>
      <c r="C132" s="222"/>
      <c r="D132" s="222"/>
      <c r="E132" s="222"/>
      <c r="F132" s="222"/>
      <c r="G132" s="222"/>
      <c r="H132" s="271"/>
      <c r="I132" s="271"/>
      <c r="J132" s="271"/>
      <c r="K132" s="271"/>
      <c r="L132" s="271"/>
      <c r="M132" s="222"/>
      <c r="N132" s="222"/>
      <c r="O132" s="222"/>
      <c r="P132" s="222"/>
      <c r="Q132" s="222"/>
      <c r="R132" s="222"/>
      <c r="S132" s="222"/>
      <c r="T132" s="222"/>
      <c r="U132" s="222"/>
      <c r="V132" s="222"/>
      <c r="W132" s="222"/>
    </row>
    <row r="133">
      <c r="A133" s="271"/>
      <c r="B133" s="222"/>
      <c r="C133" s="222"/>
      <c r="D133" s="222"/>
      <c r="E133" s="222"/>
      <c r="F133" s="222"/>
      <c r="G133" s="222"/>
      <c r="H133" s="271"/>
      <c r="I133" s="271"/>
      <c r="J133" s="271"/>
      <c r="K133" s="271"/>
      <c r="L133" s="271"/>
      <c r="M133" s="222"/>
      <c r="N133" s="222"/>
      <c r="O133" s="222"/>
      <c r="P133" s="222"/>
      <c r="Q133" s="222"/>
      <c r="R133" s="222"/>
      <c r="S133" s="222"/>
      <c r="T133" s="222"/>
      <c r="U133" s="222"/>
      <c r="V133" s="222"/>
      <c r="W133" s="222"/>
    </row>
    <row r="134">
      <c r="A134" s="271"/>
      <c r="B134" s="222"/>
      <c r="C134" s="222"/>
      <c r="D134" s="222"/>
      <c r="E134" s="222"/>
      <c r="F134" s="222"/>
      <c r="G134" s="222"/>
      <c r="H134" s="271"/>
      <c r="I134" s="271"/>
      <c r="J134" s="271"/>
      <c r="K134" s="271"/>
      <c r="L134" s="271"/>
      <c r="M134" s="222"/>
      <c r="N134" s="222"/>
      <c r="O134" s="222"/>
      <c r="P134" s="222"/>
      <c r="Q134" s="222"/>
      <c r="R134" s="222"/>
      <c r="S134" s="222"/>
      <c r="T134" s="222"/>
      <c r="U134" s="222"/>
      <c r="V134" s="222"/>
      <c r="W134" s="222"/>
    </row>
    <row r="135">
      <c r="A135" s="271"/>
      <c r="B135" s="222"/>
      <c r="C135" s="222"/>
      <c r="D135" s="222"/>
      <c r="E135" s="222"/>
      <c r="F135" s="222"/>
      <c r="G135" s="222"/>
      <c r="H135" s="271"/>
      <c r="I135" s="271"/>
      <c r="J135" s="271"/>
      <c r="K135" s="271"/>
      <c r="L135" s="271"/>
      <c r="M135" s="222"/>
      <c r="N135" s="222"/>
      <c r="O135" s="222"/>
      <c r="P135" s="222"/>
      <c r="Q135" s="222"/>
      <c r="R135" s="222"/>
      <c r="S135" s="222"/>
      <c r="T135" s="222"/>
      <c r="U135" s="222"/>
      <c r="V135" s="222"/>
      <c r="W135" s="222"/>
    </row>
    <row r="136">
      <c r="A136" s="271"/>
      <c r="B136" s="222"/>
      <c r="C136" s="222"/>
      <c r="D136" s="222"/>
      <c r="E136" s="222"/>
      <c r="F136" s="222"/>
      <c r="G136" s="222"/>
      <c r="H136" s="271"/>
      <c r="I136" s="271"/>
      <c r="J136" s="271"/>
      <c r="K136" s="271"/>
      <c r="L136" s="271"/>
      <c r="M136" s="222"/>
      <c r="N136" s="222"/>
      <c r="O136" s="222"/>
      <c r="P136" s="222"/>
      <c r="Q136" s="222"/>
      <c r="R136" s="222"/>
      <c r="S136" s="222"/>
      <c r="T136" s="222"/>
      <c r="U136" s="222"/>
      <c r="V136" s="222"/>
      <c r="W136" s="222"/>
    </row>
    <row r="137">
      <c r="A137" s="271"/>
      <c r="B137" s="222"/>
      <c r="C137" s="222"/>
      <c r="D137" s="222"/>
      <c r="E137" s="222"/>
      <c r="F137" s="222"/>
      <c r="G137" s="222"/>
      <c r="H137" s="271"/>
      <c r="I137" s="271"/>
      <c r="J137" s="271"/>
      <c r="K137" s="271"/>
      <c r="L137" s="271"/>
      <c r="M137" s="222"/>
      <c r="N137" s="222"/>
      <c r="O137" s="222"/>
      <c r="P137" s="222"/>
      <c r="Q137" s="222"/>
      <c r="R137" s="222"/>
      <c r="S137" s="222"/>
      <c r="T137" s="222"/>
      <c r="U137" s="222"/>
      <c r="V137" s="222"/>
      <c r="W137" s="222"/>
    </row>
    <row r="138">
      <c r="A138" s="271"/>
      <c r="B138" s="222"/>
      <c r="C138" s="222"/>
      <c r="D138" s="222"/>
      <c r="E138" s="222"/>
      <c r="F138" s="222"/>
      <c r="G138" s="222"/>
      <c r="H138" s="271"/>
      <c r="I138" s="271"/>
      <c r="J138" s="271"/>
      <c r="K138" s="271"/>
      <c r="L138" s="271"/>
      <c r="M138" s="222"/>
      <c r="N138" s="222"/>
      <c r="O138" s="222"/>
      <c r="P138" s="222"/>
      <c r="Q138" s="222"/>
      <c r="R138" s="222"/>
      <c r="S138" s="222"/>
      <c r="T138" s="222"/>
      <c r="U138" s="222"/>
      <c r="V138" s="222"/>
      <c r="W138" s="222"/>
    </row>
    <row r="139">
      <c r="A139" s="271"/>
      <c r="B139" s="222"/>
      <c r="C139" s="222"/>
      <c r="D139" s="222"/>
      <c r="E139" s="222"/>
      <c r="F139" s="222"/>
      <c r="G139" s="222"/>
      <c r="H139" s="271"/>
      <c r="I139" s="271"/>
      <c r="J139" s="271"/>
      <c r="K139" s="271"/>
      <c r="L139" s="271"/>
      <c r="M139" s="222"/>
      <c r="N139" s="222"/>
      <c r="O139" s="222"/>
      <c r="P139" s="222"/>
      <c r="Q139" s="222"/>
      <c r="R139" s="222"/>
      <c r="S139" s="222"/>
      <c r="T139" s="222"/>
      <c r="U139" s="222"/>
      <c r="V139" s="222"/>
      <c r="W139" s="222"/>
    </row>
    <row r="140">
      <c r="A140" s="271"/>
      <c r="B140" s="222"/>
      <c r="C140" s="222"/>
      <c r="D140" s="222"/>
      <c r="E140" s="222"/>
      <c r="F140" s="222"/>
      <c r="G140" s="222"/>
      <c r="H140" s="271"/>
      <c r="I140" s="271"/>
      <c r="J140" s="271"/>
      <c r="K140" s="271"/>
      <c r="L140" s="271"/>
      <c r="M140" s="222"/>
      <c r="N140" s="222"/>
      <c r="O140" s="222"/>
      <c r="P140" s="222"/>
      <c r="Q140" s="222"/>
      <c r="R140" s="222"/>
      <c r="S140" s="222"/>
      <c r="T140" s="222"/>
      <c r="U140" s="222"/>
      <c r="V140" s="222"/>
      <c r="W140" s="222"/>
    </row>
    <row r="141">
      <c r="A141" s="271"/>
      <c r="B141" s="222"/>
      <c r="C141" s="222"/>
      <c r="D141" s="222"/>
      <c r="E141" s="222"/>
      <c r="F141" s="222"/>
      <c r="G141" s="222"/>
      <c r="H141" s="271"/>
      <c r="I141" s="271"/>
      <c r="J141" s="271"/>
      <c r="K141" s="271"/>
      <c r="L141" s="271"/>
      <c r="M141" s="222"/>
      <c r="N141" s="222"/>
      <c r="O141" s="222"/>
      <c r="P141" s="222"/>
      <c r="Q141" s="222"/>
      <c r="R141" s="222"/>
      <c r="S141" s="222"/>
      <c r="T141" s="222"/>
      <c r="U141" s="222"/>
      <c r="V141" s="222"/>
      <c r="W141" s="222"/>
    </row>
    <row r="142">
      <c r="A142" s="271"/>
      <c r="B142" s="222"/>
      <c r="C142" s="222"/>
      <c r="D142" s="222"/>
      <c r="E142" s="222"/>
      <c r="F142" s="222"/>
      <c r="G142" s="222"/>
      <c r="H142" s="271"/>
      <c r="I142" s="271"/>
      <c r="J142" s="271"/>
      <c r="K142" s="271"/>
      <c r="L142" s="271"/>
      <c r="M142" s="222"/>
      <c r="N142" s="222"/>
      <c r="O142" s="222"/>
      <c r="P142" s="222"/>
      <c r="Q142" s="222"/>
      <c r="R142" s="222"/>
      <c r="S142" s="222"/>
      <c r="T142" s="222"/>
      <c r="U142" s="222"/>
      <c r="V142" s="222"/>
      <c r="W142" s="222"/>
    </row>
    <row r="143">
      <c r="A143" s="271"/>
      <c r="B143" s="222"/>
      <c r="C143" s="222"/>
      <c r="D143" s="222"/>
      <c r="E143" s="222"/>
      <c r="F143" s="222"/>
      <c r="G143" s="222"/>
      <c r="H143" s="271"/>
      <c r="I143" s="271"/>
      <c r="J143" s="271"/>
      <c r="K143" s="271"/>
      <c r="L143" s="271"/>
      <c r="M143" s="222"/>
      <c r="N143" s="222"/>
      <c r="O143" s="222"/>
      <c r="P143" s="222"/>
      <c r="Q143" s="222"/>
      <c r="R143" s="222"/>
      <c r="S143" s="222"/>
      <c r="T143" s="222"/>
      <c r="U143" s="222"/>
      <c r="V143" s="222"/>
      <c r="W143" s="222"/>
    </row>
    <row r="144">
      <c r="A144" s="271"/>
      <c r="B144" s="222"/>
      <c r="C144" s="222"/>
      <c r="D144" s="222"/>
      <c r="E144" s="222"/>
      <c r="F144" s="222"/>
      <c r="G144" s="222"/>
      <c r="H144" s="271"/>
      <c r="I144" s="271"/>
      <c r="J144" s="271"/>
      <c r="K144" s="271"/>
      <c r="L144" s="271"/>
      <c r="M144" s="222"/>
      <c r="N144" s="222"/>
      <c r="O144" s="222"/>
      <c r="P144" s="222"/>
      <c r="Q144" s="222"/>
      <c r="R144" s="222"/>
      <c r="S144" s="222"/>
      <c r="T144" s="222"/>
      <c r="U144" s="222"/>
      <c r="V144" s="222"/>
      <c r="W144" s="222"/>
    </row>
    <row r="145">
      <c r="A145" s="271"/>
      <c r="B145" s="222"/>
      <c r="C145" s="222"/>
      <c r="D145" s="222"/>
      <c r="E145" s="222"/>
      <c r="F145" s="222"/>
      <c r="G145" s="222"/>
      <c r="H145" s="271"/>
      <c r="I145" s="271"/>
      <c r="J145" s="271"/>
      <c r="K145" s="271"/>
      <c r="L145" s="271"/>
      <c r="M145" s="222"/>
      <c r="N145" s="222"/>
      <c r="O145" s="222"/>
      <c r="P145" s="222"/>
      <c r="Q145" s="222"/>
      <c r="R145" s="222"/>
      <c r="S145" s="222"/>
      <c r="T145" s="222"/>
      <c r="U145" s="222"/>
      <c r="V145" s="222"/>
      <c r="W145" s="222"/>
    </row>
    <row r="146">
      <c r="A146" s="271"/>
      <c r="B146" s="222"/>
      <c r="C146" s="222"/>
      <c r="D146" s="222"/>
      <c r="E146" s="222"/>
      <c r="F146" s="222"/>
      <c r="G146" s="222"/>
      <c r="H146" s="271"/>
      <c r="I146" s="271"/>
      <c r="J146" s="271"/>
      <c r="K146" s="271"/>
      <c r="L146" s="271"/>
      <c r="M146" s="222"/>
      <c r="N146" s="222"/>
      <c r="O146" s="222"/>
      <c r="P146" s="222"/>
      <c r="Q146" s="222"/>
      <c r="R146" s="222"/>
      <c r="S146" s="222"/>
      <c r="T146" s="222"/>
      <c r="U146" s="222"/>
      <c r="V146" s="222"/>
      <c r="W146" s="222"/>
    </row>
    <row r="147">
      <c r="A147" s="271"/>
      <c r="B147" s="222"/>
      <c r="C147" s="222"/>
      <c r="D147" s="222"/>
      <c r="E147" s="222"/>
      <c r="F147" s="222"/>
      <c r="G147" s="222"/>
      <c r="H147" s="271"/>
      <c r="I147" s="271"/>
      <c r="J147" s="271"/>
      <c r="K147" s="271"/>
      <c r="L147" s="271"/>
      <c r="M147" s="222"/>
      <c r="N147" s="222"/>
      <c r="O147" s="222"/>
      <c r="P147" s="222"/>
      <c r="Q147" s="222"/>
      <c r="R147" s="222"/>
      <c r="S147" s="222"/>
      <c r="T147" s="222"/>
      <c r="U147" s="222"/>
      <c r="V147" s="222"/>
      <c r="W147" s="222"/>
    </row>
    <row r="148">
      <c r="A148" s="271"/>
      <c r="B148" s="222"/>
      <c r="C148" s="222"/>
      <c r="D148" s="222"/>
      <c r="E148" s="222"/>
      <c r="F148" s="222"/>
      <c r="G148" s="222"/>
      <c r="H148" s="271"/>
      <c r="I148" s="271"/>
      <c r="J148" s="271"/>
      <c r="K148" s="271"/>
      <c r="L148" s="271"/>
      <c r="M148" s="222"/>
      <c r="N148" s="222"/>
      <c r="O148" s="222"/>
      <c r="P148" s="222"/>
      <c r="Q148" s="222"/>
      <c r="R148" s="222"/>
      <c r="S148" s="222"/>
      <c r="T148" s="222"/>
      <c r="U148" s="222"/>
      <c r="V148" s="222"/>
      <c r="W148" s="222"/>
    </row>
    <row r="149">
      <c r="A149" s="271"/>
      <c r="B149" s="222"/>
      <c r="C149" s="222"/>
      <c r="D149" s="222"/>
      <c r="E149" s="222"/>
      <c r="F149" s="222"/>
      <c r="G149" s="222"/>
      <c r="H149" s="271"/>
      <c r="I149" s="271"/>
      <c r="J149" s="271"/>
      <c r="K149" s="271"/>
      <c r="L149" s="271"/>
      <c r="M149" s="222"/>
      <c r="N149" s="222"/>
      <c r="O149" s="222"/>
      <c r="P149" s="222"/>
      <c r="Q149" s="222"/>
      <c r="R149" s="222"/>
      <c r="S149" s="222"/>
      <c r="T149" s="222"/>
      <c r="U149" s="222"/>
      <c r="V149" s="222"/>
      <c r="W149" s="222"/>
    </row>
    <row r="150">
      <c r="A150" s="271"/>
      <c r="B150" s="222"/>
      <c r="C150" s="222"/>
      <c r="D150" s="222"/>
      <c r="E150" s="222"/>
      <c r="F150" s="222"/>
      <c r="G150" s="222"/>
      <c r="H150" s="271"/>
      <c r="I150" s="271"/>
      <c r="J150" s="271"/>
      <c r="K150" s="271"/>
      <c r="L150" s="271"/>
      <c r="M150" s="222"/>
      <c r="N150" s="222"/>
      <c r="O150" s="222"/>
      <c r="P150" s="222"/>
      <c r="Q150" s="222"/>
      <c r="R150" s="222"/>
      <c r="S150" s="222"/>
      <c r="T150" s="222"/>
      <c r="U150" s="222"/>
      <c r="V150" s="222"/>
      <c r="W150" s="222"/>
    </row>
    <row r="151">
      <c r="A151" s="271"/>
      <c r="B151" s="222"/>
      <c r="C151" s="222"/>
      <c r="D151" s="222"/>
      <c r="E151" s="222"/>
      <c r="F151" s="222"/>
      <c r="G151" s="222"/>
      <c r="H151" s="271"/>
      <c r="I151" s="271"/>
      <c r="J151" s="271"/>
      <c r="K151" s="271"/>
      <c r="L151" s="271"/>
      <c r="M151" s="222"/>
      <c r="N151" s="222"/>
      <c r="O151" s="222"/>
      <c r="P151" s="222"/>
      <c r="Q151" s="222"/>
      <c r="R151" s="222"/>
      <c r="S151" s="222"/>
      <c r="T151" s="222"/>
      <c r="U151" s="222"/>
      <c r="V151" s="222"/>
      <c r="W151" s="222"/>
    </row>
    <row r="152">
      <c r="A152" s="271"/>
      <c r="B152" s="222"/>
      <c r="C152" s="222"/>
      <c r="D152" s="222"/>
      <c r="E152" s="222"/>
      <c r="F152" s="222"/>
      <c r="G152" s="222"/>
      <c r="H152" s="271"/>
      <c r="I152" s="271"/>
      <c r="J152" s="271"/>
      <c r="K152" s="271"/>
      <c r="L152" s="271"/>
      <c r="M152" s="222"/>
      <c r="N152" s="222"/>
      <c r="O152" s="222"/>
      <c r="P152" s="222"/>
      <c r="Q152" s="222"/>
      <c r="R152" s="222"/>
      <c r="S152" s="222"/>
      <c r="T152" s="222"/>
      <c r="U152" s="222"/>
      <c r="V152" s="222"/>
      <c r="W152" s="222"/>
    </row>
    <row r="153">
      <c r="A153" s="271"/>
      <c r="B153" s="222"/>
      <c r="C153" s="222"/>
      <c r="D153" s="222"/>
      <c r="E153" s="222"/>
      <c r="F153" s="222"/>
      <c r="G153" s="222"/>
      <c r="H153" s="271"/>
      <c r="I153" s="271"/>
      <c r="J153" s="271"/>
      <c r="K153" s="271"/>
      <c r="L153" s="271"/>
      <c r="M153" s="222"/>
      <c r="N153" s="222"/>
      <c r="O153" s="222"/>
      <c r="P153" s="222"/>
      <c r="Q153" s="222"/>
      <c r="R153" s="222"/>
      <c r="S153" s="222"/>
      <c r="T153" s="222"/>
      <c r="U153" s="222"/>
      <c r="V153" s="222"/>
      <c r="W153" s="222"/>
    </row>
    <row r="154">
      <c r="A154" s="271"/>
      <c r="B154" s="222"/>
      <c r="C154" s="222"/>
      <c r="D154" s="222"/>
      <c r="E154" s="222"/>
      <c r="F154" s="222"/>
      <c r="G154" s="222"/>
      <c r="H154" s="271"/>
      <c r="I154" s="271"/>
      <c r="J154" s="271"/>
      <c r="K154" s="271"/>
      <c r="L154" s="271"/>
      <c r="M154" s="222"/>
      <c r="N154" s="222"/>
      <c r="O154" s="222"/>
      <c r="P154" s="222"/>
      <c r="Q154" s="222"/>
      <c r="R154" s="222"/>
      <c r="S154" s="222"/>
      <c r="T154" s="222"/>
      <c r="U154" s="222"/>
      <c r="V154" s="222"/>
      <c r="W154" s="222"/>
    </row>
    <row r="155">
      <c r="A155" s="271"/>
      <c r="B155" s="222"/>
      <c r="C155" s="222"/>
      <c r="D155" s="222"/>
      <c r="E155" s="222"/>
      <c r="F155" s="222"/>
      <c r="G155" s="222"/>
      <c r="H155" s="271"/>
      <c r="I155" s="271"/>
      <c r="J155" s="271"/>
      <c r="K155" s="271"/>
      <c r="L155" s="271"/>
      <c r="M155" s="222"/>
      <c r="N155" s="222"/>
      <c r="O155" s="222"/>
      <c r="P155" s="222"/>
      <c r="Q155" s="222"/>
      <c r="R155" s="222"/>
      <c r="S155" s="222"/>
      <c r="T155" s="222"/>
      <c r="U155" s="222"/>
      <c r="V155" s="222"/>
      <c r="W155" s="222"/>
    </row>
    <row r="156">
      <c r="A156" s="271"/>
      <c r="B156" s="222"/>
      <c r="C156" s="222"/>
      <c r="D156" s="222"/>
      <c r="E156" s="222"/>
      <c r="F156" s="222"/>
      <c r="G156" s="222"/>
      <c r="H156" s="271"/>
      <c r="I156" s="271"/>
      <c r="J156" s="271"/>
      <c r="K156" s="271"/>
      <c r="L156" s="271"/>
      <c r="M156" s="222"/>
      <c r="N156" s="222"/>
      <c r="O156" s="222"/>
      <c r="P156" s="222"/>
      <c r="Q156" s="222"/>
      <c r="R156" s="222"/>
      <c r="S156" s="222"/>
      <c r="T156" s="222"/>
      <c r="U156" s="222"/>
      <c r="V156" s="222"/>
      <c r="W156" s="222"/>
    </row>
    <row r="157">
      <c r="A157" s="271"/>
      <c r="B157" s="222"/>
      <c r="C157" s="222"/>
      <c r="D157" s="222"/>
      <c r="E157" s="222"/>
      <c r="F157" s="222"/>
      <c r="G157" s="222"/>
      <c r="H157" s="271"/>
      <c r="I157" s="271"/>
      <c r="J157" s="271"/>
      <c r="K157" s="271"/>
      <c r="L157" s="271"/>
      <c r="M157" s="222"/>
      <c r="N157" s="222"/>
      <c r="O157" s="222"/>
      <c r="P157" s="222"/>
      <c r="Q157" s="222"/>
      <c r="R157" s="222"/>
      <c r="S157" s="222"/>
      <c r="T157" s="222"/>
      <c r="U157" s="222"/>
      <c r="V157" s="222"/>
      <c r="W157" s="222"/>
    </row>
    <row r="158">
      <c r="A158" s="271"/>
      <c r="B158" s="222"/>
      <c r="C158" s="222"/>
      <c r="D158" s="222"/>
      <c r="E158" s="222"/>
      <c r="F158" s="222"/>
      <c r="G158" s="222"/>
      <c r="H158" s="271"/>
      <c r="I158" s="271"/>
      <c r="J158" s="271"/>
      <c r="K158" s="271"/>
      <c r="L158" s="271"/>
      <c r="M158" s="222"/>
      <c r="N158" s="222"/>
      <c r="O158" s="222"/>
      <c r="P158" s="222"/>
      <c r="Q158" s="222"/>
      <c r="R158" s="222"/>
      <c r="S158" s="222"/>
      <c r="T158" s="222"/>
      <c r="U158" s="222"/>
      <c r="V158" s="222"/>
      <c r="W158" s="222"/>
    </row>
    <row r="159">
      <c r="A159" s="271"/>
      <c r="B159" s="222"/>
      <c r="C159" s="222"/>
      <c r="D159" s="222"/>
      <c r="E159" s="222"/>
      <c r="F159" s="222"/>
      <c r="G159" s="222"/>
      <c r="H159" s="271"/>
      <c r="I159" s="271"/>
      <c r="J159" s="271"/>
      <c r="K159" s="271"/>
      <c r="L159" s="271"/>
      <c r="M159" s="222"/>
      <c r="N159" s="222"/>
      <c r="O159" s="222"/>
      <c r="P159" s="222"/>
      <c r="Q159" s="222"/>
      <c r="R159" s="222"/>
      <c r="S159" s="222"/>
      <c r="T159" s="222"/>
      <c r="U159" s="222"/>
      <c r="V159" s="222"/>
      <c r="W159" s="222"/>
    </row>
    <row r="160">
      <c r="A160" s="271"/>
      <c r="B160" s="222"/>
      <c r="C160" s="222"/>
      <c r="D160" s="222"/>
      <c r="E160" s="222"/>
      <c r="F160" s="222"/>
      <c r="G160" s="222"/>
      <c r="H160" s="271"/>
      <c r="I160" s="271"/>
      <c r="J160" s="271"/>
      <c r="K160" s="271"/>
      <c r="L160" s="271"/>
      <c r="M160" s="222"/>
      <c r="N160" s="222"/>
      <c r="O160" s="222"/>
      <c r="P160" s="222"/>
      <c r="Q160" s="222"/>
      <c r="R160" s="222"/>
      <c r="S160" s="222"/>
      <c r="T160" s="222"/>
      <c r="U160" s="222"/>
      <c r="V160" s="222"/>
      <c r="W160" s="222"/>
    </row>
    <row r="161">
      <c r="A161" s="271"/>
      <c r="B161" s="222"/>
      <c r="C161" s="222"/>
      <c r="D161" s="222"/>
      <c r="E161" s="222"/>
      <c r="F161" s="222"/>
      <c r="G161" s="222"/>
      <c r="H161" s="271"/>
      <c r="I161" s="271"/>
      <c r="J161" s="271"/>
      <c r="K161" s="271"/>
      <c r="L161" s="271"/>
      <c r="M161" s="222"/>
      <c r="N161" s="222"/>
      <c r="O161" s="222"/>
      <c r="P161" s="222"/>
      <c r="Q161" s="222"/>
      <c r="R161" s="222"/>
      <c r="S161" s="222"/>
      <c r="T161" s="222"/>
      <c r="U161" s="222"/>
      <c r="V161" s="222"/>
      <c r="W161" s="222"/>
    </row>
    <row r="162">
      <c r="A162" s="271"/>
      <c r="B162" s="222"/>
      <c r="C162" s="222"/>
      <c r="D162" s="222"/>
      <c r="E162" s="222"/>
      <c r="F162" s="222"/>
      <c r="G162" s="222"/>
      <c r="H162" s="271"/>
      <c r="I162" s="271"/>
      <c r="J162" s="271"/>
      <c r="K162" s="271"/>
      <c r="L162" s="271"/>
      <c r="M162" s="222"/>
      <c r="N162" s="222"/>
      <c r="O162" s="222"/>
      <c r="P162" s="222"/>
      <c r="Q162" s="222"/>
      <c r="R162" s="222"/>
      <c r="S162" s="222"/>
      <c r="T162" s="222"/>
      <c r="U162" s="222"/>
      <c r="V162" s="222"/>
      <c r="W162" s="222"/>
    </row>
    <row r="163">
      <c r="A163" s="271"/>
      <c r="B163" s="222"/>
      <c r="C163" s="222"/>
      <c r="D163" s="222"/>
      <c r="E163" s="222"/>
      <c r="F163" s="222"/>
      <c r="G163" s="222"/>
      <c r="H163" s="271"/>
      <c r="I163" s="271"/>
      <c r="J163" s="271"/>
      <c r="K163" s="271"/>
      <c r="L163" s="271"/>
      <c r="M163" s="222"/>
      <c r="N163" s="222"/>
      <c r="O163" s="222"/>
      <c r="P163" s="222"/>
      <c r="Q163" s="222"/>
      <c r="R163" s="222"/>
      <c r="S163" s="222"/>
      <c r="T163" s="222"/>
      <c r="U163" s="222"/>
      <c r="V163" s="222"/>
      <c r="W163" s="222"/>
    </row>
    <row r="164">
      <c r="A164" s="271"/>
      <c r="B164" s="222"/>
      <c r="C164" s="222"/>
      <c r="D164" s="222"/>
      <c r="E164" s="222"/>
      <c r="F164" s="222"/>
      <c r="G164" s="222"/>
      <c r="H164" s="271"/>
      <c r="I164" s="271"/>
      <c r="J164" s="271"/>
      <c r="K164" s="271"/>
      <c r="L164" s="271"/>
      <c r="M164" s="222"/>
      <c r="N164" s="222"/>
      <c r="O164" s="222"/>
      <c r="P164" s="222"/>
      <c r="Q164" s="222"/>
      <c r="R164" s="222"/>
      <c r="S164" s="222"/>
      <c r="T164" s="222"/>
      <c r="U164" s="222"/>
      <c r="V164" s="222"/>
      <c r="W164" s="222"/>
    </row>
    <row r="165">
      <c r="A165" s="271"/>
      <c r="B165" s="222"/>
      <c r="C165" s="222"/>
      <c r="D165" s="222"/>
      <c r="E165" s="222"/>
      <c r="F165" s="222"/>
      <c r="G165" s="222"/>
      <c r="H165" s="271"/>
      <c r="I165" s="271"/>
      <c r="J165" s="271"/>
      <c r="K165" s="271"/>
      <c r="L165" s="271"/>
      <c r="M165" s="222"/>
      <c r="N165" s="222"/>
      <c r="O165" s="222"/>
      <c r="P165" s="222"/>
      <c r="Q165" s="222"/>
      <c r="R165" s="222"/>
      <c r="S165" s="222"/>
      <c r="T165" s="222"/>
      <c r="U165" s="222"/>
      <c r="V165" s="222"/>
      <c r="W165" s="222"/>
    </row>
    <row r="166">
      <c r="A166" s="271"/>
      <c r="B166" s="222"/>
      <c r="C166" s="222"/>
      <c r="D166" s="222"/>
      <c r="E166" s="222"/>
      <c r="F166" s="222"/>
      <c r="G166" s="222"/>
      <c r="H166" s="271"/>
      <c r="I166" s="271"/>
      <c r="J166" s="271"/>
      <c r="K166" s="271"/>
      <c r="L166" s="271"/>
      <c r="M166" s="222"/>
      <c r="N166" s="222"/>
      <c r="O166" s="222"/>
      <c r="P166" s="222"/>
      <c r="Q166" s="222"/>
      <c r="R166" s="222"/>
      <c r="S166" s="222"/>
      <c r="T166" s="222"/>
      <c r="U166" s="222"/>
      <c r="V166" s="222"/>
      <c r="W166" s="222"/>
    </row>
    <row r="167">
      <c r="A167" s="271"/>
      <c r="B167" s="222"/>
      <c r="C167" s="222"/>
      <c r="D167" s="222"/>
      <c r="E167" s="222"/>
      <c r="F167" s="222"/>
      <c r="G167" s="222"/>
      <c r="H167" s="271"/>
      <c r="I167" s="271"/>
      <c r="J167" s="271"/>
      <c r="K167" s="271"/>
      <c r="L167" s="271"/>
      <c r="M167" s="222"/>
      <c r="N167" s="222"/>
      <c r="O167" s="222"/>
      <c r="P167" s="222"/>
      <c r="Q167" s="222"/>
      <c r="R167" s="222"/>
      <c r="S167" s="222"/>
      <c r="T167" s="222"/>
      <c r="U167" s="222"/>
      <c r="V167" s="222"/>
      <c r="W167" s="222"/>
    </row>
    <row r="168">
      <c r="A168" s="271"/>
      <c r="B168" s="222"/>
      <c r="C168" s="222"/>
      <c r="D168" s="222"/>
      <c r="E168" s="222"/>
      <c r="F168" s="222"/>
      <c r="G168" s="222"/>
      <c r="H168" s="271"/>
      <c r="I168" s="271"/>
      <c r="J168" s="271"/>
      <c r="K168" s="271"/>
      <c r="L168" s="271"/>
      <c r="M168" s="222"/>
      <c r="N168" s="222"/>
      <c r="O168" s="222"/>
      <c r="P168" s="222"/>
      <c r="Q168" s="222"/>
      <c r="R168" s="222"/>
      <c r="S168" s="222"/>
      <c r="T168" s="222"/>
      <c r="U168" s="222"/>
      <c r="V168" s="222"/>
      <c r="W168" s="222"/>
    </row>
    <row r="169">
      <c r="A169" s="271"/>
      <c r="B169" s="222"/>
      <c r="C169" s="222"/>
      <c r="D169" s="222"/>
      <c r="E169" s="222"/>
      <c r="F169" s="222"/>
      <c r="G169" s="222"/>
      <c r="H169" s="271"/>
      <c r="I169" s="271"/>
      <c r="J169" s="271"/>
      <c r="K169" s="271"/>
      <c r="L169" s="271"/>
      <c r="M169" s="222"/>
      <c r="N169" s="222"/>
      <c r="O169" s="222"/>
      <c r="P169" s="222"/>
      <c r="Q169" s="222"/>
      <c r="R169" s="222"/>
      <c r="S169" s="222"/>
      <c r="T169" s="222"/>
      <c r="U169" s="222"/>
      <c r="V169" s="222"/>
      <c r="W169" s="222"/>
    </row>
    <row r="170">
      <c r="A170" s="271"/>
      <c r="B170" s="222"/>
      <c r="C170" s="222"/>
      <c r="D170" s="222"/>
      <c r="E170" s="222"/>
      <c r="F170" s="222"/>
      <c r="G170" s="222"/>
      <c r="H170" s="271"/>
      <c r="I170" s="271"/>
      <c r="J170" s="271"/>
      <c r="K170" s="271"/>
      <c r="L170" s="271"/>
      <c r="M170" s="222"/>
      <c r="N170" s="222"/>
      <c r="O170" s="222"/>
      <c r="P170" s="222"/>
      <c r="Q170" s="222"/>
      <c r="R170" s="222"/>
      <c r="S170" s="222"/>
      <c r="T170" s="222"/>
      <c r="U170" s="222"/>
      <c r="V170" s="222"/>
      <c r="W170" s="222"/>
    </row>
    <row r="171">
      <c r="A171" s="271"/>
      <c r="B171" s="222"/>
      <c r="C171" s="222"/>
      <c r="D171" s="222"/>
      <c r="E171" s="222"/>
      <c r="F171" s="222"/>
      <c r="G171" s="222"/>
      <c r="H171" s="271"/>
      <c r="I171" s="271"/>
      <c r="J171" s="271"/>
      <c r="K171" s="271"/>
      <c r="L171" s="271"/>
      <c r="M171" s="222"/>
      <c r="N171" s="222"/>
      <c r="O171" s="222"/>
      <c r="P171" s="222"/>
      <c r="Q171" s="222"/>
      <c r="R171" s="222"/>
      <c r="S171" s="222"/>
      <c r="T171" s="222"/>
      <c r="U171" s="222"/>
      <c r="V171" s="222"/>
      <c r="W171" s="222"/>
    </row>
    <row r="172">
      <c r="A172" s="271"/>
      <c r="B172" s="222"/>
      <c r="C172" s="222"/>
      <c r="D172" s="222"/>
      <c r="E172" s="222"/>
      <c r="F172" s="222"/>
      <c r="G172" s="222"/>
      <c r="H172" s="271"/>
      <c r="I172" s="271"/>
      <c r="J172" s="271"/>
      <c r="K172" s="271"/>
      <c r="L172" s="271"/>
      <c r="M172" s="222"/>
      <c r="N172" s="222"/>
      <c r="O172" s="222"/>
      <c r="P172" s="222"/>
      <c r="Q172" s="222"/>
      <c r="R172" s="222"/>
      <c r="S172" s="222"/>
      <c r="T172" s="222"/>
      <c r="U172" s="222"/>
      <c r="V172" s="222"/>
      <c r="W172" s="222"/>
    </row>
    <row r="173">
      <c r="A173" s="271"/>
      <c r="B173" s="222"/>
      <c r="C173" s="222"/>
      <c r="D173" s="222"/>
      <c r="E173" s="222"/>
      <c r="F173" s="222"/>
      <c r="G173" s="222"/>
      <c r="H173" s="271"/>
      <c r="I173" s="271"/>
      <c r="J173" s="271"/>
      <c r="K173" s="271"/>
      <c r="L173" s="271"/>
      <c r="M173" s="222"/>
      <c r="N173" s="222"/>
      <c r="O173" s="222"/>
      <c r="P173" s="222"/>
      <c r="Q173" s="222"/>
      <c r="R173" s="222"/>
      <c r="S173" s="222"/>
      <c r="T173" s="222"/>
      <c r="U173" s="222"/>
      <c r="V173" s="222"/>
      <c r="W173" s="222"/>
    </row>
    <row r="174">
      <c r="A174" s="271"/>
      <c r="B174" s="222"/>
      <c r="C174" s="222"/>
      <c r="D174" s="222"/>
      <c r="E174" s="222"/>
      <c r="F174" s="222"/>
      <c r="G174" s="222"/>
      <c r="H174" s="271"/>
      <c r="I174" s="271"/>
      <c r="J174" s="271"/>
      <c r="K174" s="271"/>
      <c r="L174" s="271"/>
      <c r="M174" s="222"/>
      <c r="N174" s="222"/>
      <c r="O174" s="222"/>
      <c r="P174" s="222"/>
      <c r="Q174" s="222"/>
      <c r="R174" s="222"/>
      <c r="S174" s="222"/>
      <c r="T174" s="222"/>
      <c r="U174" s="222"/>
      <c r="V174" s="222"/>
      <c r="W174" s="222"/>
    </row>
    <row r="175">
      <c r="A175" s="271"/>
      <c r="B175" s="222"/>
      <c r="C175" s="222"/>
      <c r="D175" s="222"/>
      <c r="E175" s="222"/>
      <c r="F175" s="222"/>
      <c r="G175" s="222"/>
      <c r="H175" s="271"/>
      <c r="I175" s="271"/>
      <c r="J175" s="271"/>
      <c r="K175" s="271"/>
      <c r="L175" s="271"/>
      <c r="M175" s="222"/>
      <c r="N175" s="222"/>
      <c r="O175" s="222"/>
      <c r="P175" s="222"/>
      <c r="Q175" s="222"/>
      <c r="R175" s="222"/>
      <c r="S175" s="222"/>
      <c r="T175" s="222"/>
      <c r="U175" s="222"/>
      <c r="V175" s="222"/>
      <c r="W175" s="222"/>
    </row>
    <row r="176">
      <c r="A176" s="271"/>
      <c r="B176" s="222"/>
      <c r="C176" s="222"/>
      <c r="D176" s="222"/>
      <c r="E176" s="222"/>
      <c r="F176" s="222"/>
      <c r="G176" s="222"/>
      <c r="H176" s="271"/>
      <c r="I176" s="271"/>
      <c r="J176" s="271"/>
      <c r="K176" s="271"/>
      <c r="L176" s="271"/>
      <c r="M176" s="222"/>
      <c r="N176" s="222"/>
      <c r="O176" s="222"/>
      <c r="P176" s="222"/>
      <c r="Q176" s="222"/>
      <c r="R176" s="222"/>
      <c r="S176" s="222"/>
      <c r="T176" s="222"/>
      <c r="U176" s="222"/>
      <c r="V176" s="222"/>
      <c r="W176" s="222"/>
    </row>
    <row r="177">
      <c r="A177" s="271"/>
      <c r="B177" s="222"/>
      <c r="C177" s="222"/>
      <c r="D177" s="222"/>
      <c r="E177" s="222"/>
      <c r="F177" s="222"/>
      <c r="G177" s="222"/>
      <c r="H177" s="271"/>
      <c r="I177" s="271"/>
      <c r="J177" s="271"/>
      <c r="K177" s="271"/>
      <c r="L177" s="271"/>
      <c r="M177" s="222"/>
      <c r="N177" s="222"/>
      <c r="O177" s="222"/>
      <c r="P177" s="222"/>
      <c r="Q177" s="222"/>
      <c r="R177" s="222"/>
      <c r="S177" s="222"/>
      <c r="T177" s="222"/>
      <c r="U177" s="222"/>
      <c r="V177" s="222"/>
      <c r="W177" s="222"/>
    </row>
    <row r="178">
      <c r="A178" s="271"/>
      <c r="B178" s="222"/>
      <c r="C178" s="222"/>
      <c r="D178" s="222"/>
      <c r="E178" s="222"/>
      <c r="F178" s="222"/>
      <c r="G178" s="222"/>
      <c r="H178" s="271"/>
      <c r="I178" s="271"/>
      <c r="J178" s="271"/>
      <c r="K178" s="271"/>
      <c r="L178" s="271"/>
      <c r="M178" s="222"/>
      <c r="N178" s="222"/>
      <c r="O178" s="222"/>
      <c r="P178" s="222"/>
      <c r="Q178" s="222"/>
      <c r="R178" s="222"/>
      <c r="S178" s="222"/>
      <c r="T178" s="222"/>
      <c r="U178" s="222"/>
      <c r="V178" s="222"/>
      <c r="W178" s="222"/>
    </row>
    <row r="179">
      <c r="A179" s="271"/>
      <c r="B179" s="222"/>
      <c r="C179" s="222"/>
      <c r="D179" s="222"/>
      <c r="E179" s="222"/>
      <c r="F179" s="222"/>
      <c r="G179" s="222"/>
      <c r="H179" s="271"/>
      <c r="I179" s="271"/>
      <c r="J179" s="271"/>
      <c r="K179" s="271"/>
      <c r="L179" s="271"/>
      <c r="M179" s="222"/>
      <c r="N179" s="222"/>
      <c r="O179" s="222"/>
      <c r="P179" s="222"/>
      <c r="Q179" s="222"/>
      <c r="R179" s="222"/>
      <c r="S179" s="222"/>
      <c r="T179" s="222"/>
      <c r="U179" s="222"/>
      <c r="V179" s="222"/>
      <c r="W179" s="222"/>
    </row>
    <row r="180">
      <c r="A180" s="271"/>
      <c r="B180" s="222"/>
      <c r="C180" s="222"/>
      <c r="D180" s="222"/>
      <c r="E180" s="222"/>
      <c r="F180" s="222"/>
      <c r="G180" s="222"/>
      <c r="H180" s="271"/>
      <c r="I180" s="271"/>
      <c r="J180" s="271"/>
      <c r="K180" s="271"/>
      <c r="L180" s="271"/>
      <c r="M180" s="222"/>
      <c r="N180" s="222"/>
      <c r="O180" s="222"/>
      <c r="P180" s="222"/>
      <c r="Q180" s="222"/>
      <c r="R180" s="222"/>
      <c r="S180" s="222"/>
      <c r="T180" s="222"/>
      <c r="U180" s="222"/>
      <c r="V180" s="222"/>
      <c r="W180" s="222"/>
    </row>
    <row r="181">
      <c r="A181" s="271"/>
      <c r="B181" s="222"/>
      <c r="C181" s="222"/>
      <c r="D181" s="222"/>
      <c r="E181" s="222"/>
      <c r="F181" s="222"/>
      <c r="G181" s="222"/>
      <c r="H181" s="271"/>
      <c r="I181" s="271"/>
      <c r="J181" s="271"/>
      <c r="K181" s="271"/>
      <c r="L181" s="271"/>
      <c r="M181" s="222"/>
      <c r="N181" s="222"/>
      <c r="O181" s="222"/>
      <c r="P181" s="222"/>
      <c r="Q181" s="222"/>
      <c r="R181" s="222"/>
      <c r="S181" s="222"/>
      <c r="T181" s="222"/>
      <c r="U181" s="222"/>
      <c r="V181" s="222"/>
      <c r="W181" s="222"/>
    </row>
    <row r="182">
      <c r="A182" s="271"/>
      <c r="B182" s="222"/>
      <c r="C182" s="222"/>
      <c r="D182" s="222"/>
      <c r="E182" s="222"/>
      <c r="F182" s="222"/>
      <c r="G182" s="222"/>
      <c r="H182" s="271"/>
      <c r="I182" s="271"/>
      <c r="J182" s="271"/>
      <c r="K182" s="271"/>
      <c r="L182" s="271"/>
      <c r="M182" s="222"/>
      <c r="N182" s="222"/>
      <c r="O182" s="222"/>
      <c r="P182" s="222"/>
      <c r="Q182" s="222"/>
      <c r="R182" s="222"/>
      <c r="S182" s="222"/>
      <c r="T182" s="222"/>
      <c r="U182" s="222"/>
      <c r="V182" s="222"/>
      <c r="W182" s="222"/>
    </row>
    <row r="183">
      <c r="A183" s="271"/>
      <c r="B183" s="222"/>
      <c r="C183" s="222"/>
      <c r="D183" s="222"/>
      <c r="E183" s="222"/>
      <c r="F183" s="222"/>
      <c r="G183" s="222"/>
      <c r="H183" s="271"/>
      <c r="I183" s="271"/>
      <c r="J183" s="271"/>
      <c r="K183" s="271"/>
      <c r="L183" s="271"/>
      <c r="M183" s="222"/>
      <c r="N183" s="222"/>
      <c r="O183" s="222"/>
      <c r="P183" s="222"/>
      <c r="Q183" s="222"/>
      <c r="R183" s="222"/>
      <c r="S183" s="222"/>
      <c r="T183" s="222"/>
      <c r="U183" s="222"/>
      <c r="V183" s="222"/>
      <c r="W183" s="222"/>
    </row>
    <row r="184">
      <c r="A184" s="271"/>
      <c r="B184" s="222"/>
      <c r="C184" s="222"/>
      <c r="D184" s="222"/>
      <c r="E184" s="222"/>
      <c r="F184" s="222"/>
      <c r="G184" s="222"/>
      <c r="H184" s="271"/>
      <c r="I184" s="271"/>
      <c r="J184" s="271"/>
      <c r="K184" s="271"/>
      <c r="L184" s="271"/>
      <c r="M184" s="222"/>
      <c r="N184" s="222"/>
      <c r="O184" s="222"/>
      <c r="P184" s="222"/>
      <c r="Q184" s="222"/>
      <c r="R184" s="222"/>
      <c r="S184" s="222"/>
      <c r="T184" s="222"/>
      <c r="U184" s="222"/>
      <c r="V184" s="222"/>
      <c r="W184" s="222"/>
    </row>
    <row r="185">
      <c r="A185" s="271"/>
      <c r="B185" s="222"/>
      <c r="C185" s="222"/>
      <c r="D185" s="222"/>
      <c r="E185" s="222"/>
      <c r="F185" s="222"/>
      <c r="G185" s="222"/>
      <c r="H185" s="271"/>
      <c r="I185" s="271"/>
      <c r="J185" s="271"/>
      <c r="K185" s="271"/>
      <c r="L185" s="271"/>
      <c r="M185" s="222"/>
      <c r="N185" s="222"/>
      <c r="O185" s="222"/>
      <c r="P185" s="222"/>
      <c r="Q185" s="222"/>
      <c r="R185" s="222"/>
      <c r="S185" s="222"/>
      <c r="T185" s="222"/>
      <c r="U185" s="222"/>
      <c r="V185" s="222"/>
      <c r="W185" s="222"/>
    </row>
    <row r="186">
      <c r="A186" s="271"/>
      <c r="B186" s="222"/>
      <c r="C186" s="222"/>
      <c r="D186" s="222"/>
      <c r="E186" s="222"/>
      <c r="F186" s="222"/>
      <c r="G186" s="222"/>
      <c r="H186" s="271"/>
      <c r="I186" s="271"/>
      <c r="J186" s="271"/>
      <c r="K186" s="271"/>
      <c r="L186" s="271"/>
      <c r="M186" s="222"/>
      <c r="N186" s="222"/>
      <c r="O186" s="222"/>
      <c r="P186" s="222"/>
      <c r="Q186" s="222"/>
      <c r="R186" s="222"/>
      <c r="S186" s="222"/>
      <c r="T186" s="222"/>
      <c r="U186" s="222"/>
      <c r="V186" s="222"/>
      <c r="W186" s="222"/>
    </row>
    <row r="187">
      <c r="A187" s="271"/>
      <c r="B187" s="222"/>
      <c r="C187" s="222"/>
      <c r="D187" s="222"/>
      <c r="E187" s="222"/>
      <c r="F187" s="222"/>
      <c r="G187" s="222"/>
      <c r="H187" s="271"/>
      <c r="I187" s="271"/>
      <c r="J187" s="271"/>
      <c r="K187" s="271"/>
      <c r="L187" s="271"/>
      <c r="M187" s="222"/>
      <c r="N187" s="222"/>
      <c r="O187" s="222"/>
      <c r="P187" s="222"/>
      <c r="Q187" s="222"/>
      <c r="R187" s="222"/>
      <c r="S187" s="222"/>
      <c r="T187" s="222"/>
      <c r="U187" s="222"/>
      <c r="V187" s="222"/>
      <c r="W187" s="222"/>
    </row>
    <row r="188">
      <c r="A188" s="271"/>
      <c r="B188" s="222"/>
      <c r="C188" s="222"/>
      <c r="D188" s="222"/>
      <c r="E188" s="222"/>
      <c r="F188" s="222"/>
      <c r="G188" s="222"/>
      <c r="H188" s="271"/>
      <c r="I188" s="271"/>
      <c r="J188" s="271"/>
      <c r="K188" s="271"/>
      <c r="L188" s="271"/>
      <c r="M188" s="222"/>
      <c r="N188" s="222"/>
      <c r="O188" s="222"/>
      <c r="P188" s="222"/>
      <c r="Q188" s="222"/>
      <c r="R188" s="222"/>
      <c r="S188" s="222"/>
      <c r="T188" s="222"/>
      <c r="U188" s="222"/>
      <c r="V188" s="222"/>
      <c r="W188" s="222"/>
    </row>
    <row r="189">
      <c r="A189" s="271"/>
      <c r="B189" s="222"/>
      <c r="C189" s="222"/>
      <c r="D189" s="222"/>
      <c r="E189" s="222"/>
      <c r="F189" s="222"/>
      <c r="G189" s="222"/>
      <c r="H189" s="271"/>
      <c r="I189" s="271"/>
      <c r="J189" s="271"/>
      <c r="K189" s="271"/>
      <c r="L189" s="271"/>
      <c r="M189" s="222"/>
      <c r="N189" s="222"/>
      <c r="O189" s="222"/>
      <c r="P189" s="222"/>
      <c r="Q189" s="222"/>
      <c r="R189" s="222"/>
      <c r="S189" s="222"/>
      <c r="T189" s="222"/>
      <c r="U189" s="222"/>
      <c r="V189" s="222"/>
      <c r="W189" s="222"/>
    </row>
    <row r="190">
      <c r="A190" s="271"/>
      <c r="B190" s="222"/>
      <c r="C190" s="222"/>
      <c r="D190" s="222"/>
      <c r="E190" s="222"/>
      <c r="F190" s="222"/>
      <c r="G190" s="222"/>
      <c r="H190" s="271"/>
      <c r="I190" s="271"/>
      <c r="J190" s="271"/>
      <c r="K190" s="271"/>
      <c r="L190" s="271"/>
      <c r="M190" s="222"/>
      <c r="N190" s="222"/>
      <c r="O190" s="222"/>
      <c r="P190" s="222"/>
      <c r="Q190" s="222"/>
      <c r="R190" s="222"/>
      <c r="S190" s="222"/>
      <c r="T190" s="222"/>
      <c r="U190" s="222"/>
      <c r="V190" s="222"/>
      <c r="W190" s="222"/>
    </row>
    <row r="191">
      <c r="A191" s="271"/>
      <c r="B191" s="222"/>
      <c r="C191" s="222"/>
      <c r="D191" s="222"/>
      <c r="E191" s="222"/>
      <c r="F191" s="222"/>
      <c r="G191" s="222"/>
      <c r="H191" s="271"/>
      <c r="I191" s="271"/>
      <c r="J191" s="271"/>
      <c r="K191" s="271"/>
      <c r="L191" s="271"/>
      <c r="M191" s="222"/>
      <c r="N191" s="222"/>
      <c r="O191" s="222"/>
      <c r="P191" s="222"/>
      <c r="Q191" s="222"/>
      <c r="R191" s="222"/>
      <c r="S191" s="222"/>
      <c r="T191" s="222"/>
      <c r="U191" s="222"/>
      <c r="V191" s="222"/>
      <c r="W191" s="222"/>
    </row>
    <row r="192">
      <c r="A192" s="271"/>
      <c r="B192" s="222"/>
      <c r="C192" s="222"/>
      <c r="D192" s="222"/>
      <c r="E192" s="222"/>
      <c r="F192" s="222"/>
      <c r="G192" s="222"/>
      <c r="H192" s="271"/>
      <c r="I192" s="271"/>
      <c r="J192" s="271"/>
      <c r="K192" s="271"/>
      <c r="L192" s="271"/>
      <c r="M192" s="222"/>
      <c r="N192" s="222"/>
      <c r="O192" s="222"/>
      <c r="P192" s="222"/>
      <c r="Q192" s="222"/>
      <c r="R192" s="222"/>
      <c r="S192" s="222"/>
      <c r="T192" s="222"/>
      <c r="U192" s="222"/>
      <c r="V192" s="222"/>
      <c r="W192" s="222"/>
    </row>
    <row r="193">
      <c r="A193" s="271"/>
      <c r="B193" s="222"/>
      <c r="C193" s="222"/>
      <c r="D193" s="222"/>
      <c r="E193" s="222"/>
      <c r="F193" s="222"/>
      <c r="G193" s="222"/>
      <c r="H193" s="271"/>
      <c r="I193" s="271"/>
      <c r="J193" s="271"/>
      <c r="K193" s="271"/>
      <c r="L193" s="271"/>
      <c r="M193" s="222"/>
      <c r="N193" s="222"/>
      <c r="O193" s="222"/>
      <c r="P193" s="222"/>
      <c r="Q193" s="222"/>
      <c r="R193" s="222"/>
      <c r="S193" s="222"/>
      <c r="T193" s="222"/>
      <c r="U193" s="222"/>
      <c r="V193" s="222"/>
      <c r="W193" s="222"/>
    </row>
    <row r="194">
      <c r="A194" s="271"/>
      <c r="B194" s="222"/>
      <c r="C194" s="222"/>
      <c r="D194" s="222"/>
      <c r="E194" s="222"/>
      <c r="F194" s="222"/>
      <c r="G194" s="222"/>
      <c r="H194" s="271"/>
      <c r="I194" s="271"/>
      <c r="J194" s="271"/>
      <c r="K194" s="271"/>
      <c r="L194" s="271"/>
      <c r="M194" s="222"/>
      <c r="N194" s="222"/>
      <c r="O194" s="222"/>
      <c r="P194" s="222"/>
      <c r="Q194" s="222"/>
      <c r="R194" s="222"/>
      <c r="S194" s="222"/>
      <c r="T194" s="222"/>
      <c r="U194" s="222"/>
      <c r="V194" s="222"/>
      <c r="W194" s="222"/>
    </row>
    <row r="195">
      <c r="A195" s="271"/>
      <c r="B195" s="222"/>
      <c r="C195" s="222"/>
      <c r="D195" s="222"/>
      <c r="E195" s="222"/>
      <c r="F195" s="222"/>
      <c r="G195" s="222"/>
      <c r="H195" s="271"/>
      <c r="I195" s="271"/>
      <c r="J195" s="271"/>
      <c r="K195" s="271"/>
      <c r="L195" s="271"/>
      <c r="M195" s="222"/>
      <c r="N195" s="222"/>
      <c r="O195" s="222"/>
      <c r="P195" s="222"/>
      <c r="Q195" s="222"/>
      <c r="R195" s="222"/>
      <c r="S195" s="222"/>
      <c r="T195" s="222"/>
      <c r="U195" s="222"/>
      <c r="V195" s="222"/>
      <c r="W195" s="222"/>
    </row>
    <row r="196">
      <c r="A196" s="271"/>
      <c r="B196" s="222"/>
      <c r="C196" s="222"/>
      <c r="D196" s="222"/>
      <c r="E196" s="222"/>
      <c r="F196" s="222"/>
      <c r="G196" s="222"/>
      <c r="H196" s="271"/>
      <c r="I196" s="271"/>
      <c r="J196" s="271"/>
      <c r="K196" s="271"/>
      <c r="L196" s="271"/>
      <c r="M196" s="222"/>
      <c r="N196" s="222"/>
      <c r="O196" s="222"/>
      <c r="P196" s="222"/>
      <c r="Q196" s="222"/>
      <c r="R196" s="222"/>
      <c r="S196" s="222"/>
      <c r="T196" s="222"/>
      <c r="U196" s="222"/>
      <c r="V196" s="222"/>
      <c r="W196" s="222"/>
    </row>
    <row r="197">
      <c r="A197" s="271"/>
      <c r="B197" s="222"/>
      <c r="C197" s="222"/>
      <c r="D197" s="222"/>
      <c r="E197" s="222"/>
      <c r="F197" s="222"/>
      <c r="G197" s="222"/>
      <c r="H197" s="271"/>
      <c r="I197" s="271"/>
      <c r="J197" s="271"/>
      <c r="K197" s="271"/>
      <c r="L197" s="271"/>
      <c r="M197" s="222"/>
      <c r="N197" s="222"/>
      <c r="O197" s="222"/>
      <c r="P197" s="222"/>
      <c r="Q197" s="222"/>
      <c r="R197" s="222"/>
      <c r="S197" s="222"/>
      <c r="T197" s="222"/>
      <c r="U197" s="222"/>
      <c r="V197" s="222"/>
      <c r="W197" s="222"/>
    </row>
    <row r="198">
      <c r="A198" s="271"/>
      <c r="B198" s="222"/>
      <c r="C198" s="222"/>
      <c r="D198" s="222"/>
      <c r="E198" s="222"/>
      <c r="F198" s="222"/>
      <c r="G198" s="222"/>
      <c r="H198" s="271"/>
      <c r="I198" s="271"/>
      <c r="J198" s="271"/>
      <c r="K198" s="271"/>
      <c r="L198" s="271"/>
      <c r="M198" s="222"/>
      <c r="N198" s="222"/>
      <c r="O198" s="222"/>
      <c r="P198" s="222"/>
      <c r="Q198" s="222"/>
      <c r="R198" s="222"/>
      <c r="S198" s="222"/>
      <c r="T198" s="222"/>
      <c r="U198" s="222"/>
      <c r="V198" s="222"/>
      <c r="W198" s="222"/>
    </row>
    <row r="199">
      <c r="A199" s="271"/>
      <c r="B199" s="222"/>
      <c r="C199" s="222"/>
      <c r="D199" s="222"/>
      <c r="E199" s="222"/>
      <c r="F199" s="222"/>
      <c r="G199" s="222"/>
      <c r="H199" s="271"/>
      <c r="I199" s="271"/>
      <c r="J199" s="271"/>
      <c r="K199" s="271"/>
      <c r="L199" s="271"/>
      <c r="M199" s="222"/>
      <c r="N199" s="222"/>
      <c r="O199" s="222"/>
      <c r="P199" s="222"/>
      <c r="Q199" s="222"/>
      <c r="R199" s="222"/>
      <c r="S199" s="222"/>
      <c r="T199" s="222"/>
      <c r="U199" s="222"/>
      <c r="V199" s="222"/>
      <c r="W199" s="222"/>
    </row>
    <row r="200">
      <c r="A200" s="271"/>
      <c r="B200" s="222"/>
      <c r="C200" s="222"/>
      <c r="D200" s="222"/>
      <c r="E200" s="222"/>
      <c r="F200" s="222"/>
      <c r="G200" s="222"/>
      <c r="H200" s="271"/>
      <c r="I200" s="271"/>
      <c r="J200" s="271"/>
      <c r="K200" s="271"/>
      <c r="L200" s="271"/>
      <c r="M200" s="222"/>
      <c r="N200" s="222"/>
      <c r="O200" s="222"/>
      <c r="P200" s="222"/>
      <c r="Q200" s="222"/>
      <c r="R200" s="222"/>
      <c r="S200" s="222"/>
      <c r="T200" s="222"/>
      <c r="U200" s="222"/>
      <c r="V200" s="222"/>
      <c r="W200" s="222"/>
    </row>
    <row r="201">
      <c r="A201" s="271"/>
      <c r="B201" s="222"/>
      <c r="C201" s="222"/>
      <c r="D201" s="222"/>
      <c r="E201" s="222"/>
      <c r="F201" s="222"/>
      <c r="G201" s="222"/>
      <c r="H201" s="271"/>
      <c r="I201" s="271"/>
      <c r="J201" s="271"/>
      <c r="K201" s="271"/>
      <c r="L201" s="271"/>
      <c r="M201" s="222"/>
      <c r="N201" s="222"/>
      <c r="O201" s="222"/>
      <c r="P201" s="222"/>
      <c r="Q201" s="222"/>
      <c r="R201" s="222"/>
      <c r="S201" s="222"/>
      <c r="T201" s="222"/>
      <c r="U201" s="222"/>
      <c r="V201" s="222"/>
      <c r="W201" s="222"/>
    </row>
    <row r="202">
      <c r="A202" s="271"/>
      <c r="B202" s="222"/>
      <c r="C202" s="222"/>
      <c r="D202" s="222"/>
      <c r="E202" s="222"/>
      <c r="F202" s="222"/>
      <c r="G202" s="222"/>
      <c r="H202" s="271"/>
      <c r="I202" s="271"/>
      <c r="J202" s="271"/>
      <c r="K202" s="271"/>
      <c r="L202" s="271"/>
      <c r="M202" s="222"/>
      <c r="N202" s="222"/>
      <c r="O202" s="222"/>
      <c r="P202" s="222"/>
      <c r="Q202" s="222"/>
      <c r="R202" s="222"/>
      <c r="S202" s="222"/>
      <c r="T202" s="222"/>
      <c r="U202" s="222"/>
      <c r="V202" s="222"/>
      <c r="W202" s="222"/>
    </row>
    <row r="203">
      <c r="A203" s="271"/>
      <c r="B203" s="222"/>
      <c r="C203" s="222"/>
      <c r="D203" s="222"/>
      <c r="E203" s="222"/>
      <c r="F203" s="222"/>
      <c r="G203" s="222"/>
      <c r="H203" s="271"/>
      <c r="I203" s="271"/>
      <c r="J203" s="271"/>
      <c r="K203" s="271"/>
      <c r="L203" s="271"/>
      <c r="M203" s="222"/>
      <c r="N203" s="222"/>
      <c r="O203" s="222"/>
      <c r="P203" s="222"/>
      <c r="Q203" s="222"/>
      <c r="R203" s="222"/>
      <c r="S203" s="222"/>
      <c r="T203" s="222"/>
      <c r="U203" s="222"/>
      <c r="V203" s="222"/>
      <c r="W203" s="222"/>
    </row>
    <row r="204">
      <c r="A204" s="271"/>
      <c r="B204" s="222"/>
      <c r="C204" s="222"/>
      <c r="D204" s="222"/>
      <c r="E204" s="222"/>
      <c r="F204" s="222"/>
      <c r="G204" s="222"/>
      <c r="H204" s="271"/>
      <c r="I204" s="271"/>
      <c r="J204" s="271"/>
      <c r="K204" s="271"/>
      <c r="L204" s="271"/>
      <c r="M204" s="222"/>
      <c r="N204" s="222"/>
      <c r="O204" s="222"/>
      <c r="P204" s="222"/>
      <c r="Q204" s="222"/>
      <c r="R204" s="222"/>
      <c r="S204" s="222"/>
      <c r="T204" s="222"/>
      <c r="U204" s="222"/>
      <c r="V204" s="222"/>
      <c r="W204" s="222"/>
    </row>
    <row r="205">
      <c r="A205" s="271"/>
      <c r="B205" s="222"/>
      <c r="C205" s="222"/>
      <c r="D205" s="222"/>
      <c r="E205" s="222"/>
      <c r="F205" s="222"/>
      <c r="G205" s="222"/>
      <c r="H205" s="271"/>
      <c r="I205" s="271"/>
      <c r="J205" s="271"/>
      <c r="K205" s="271"/>
      <c r="L205" s="271"/>
      <c r="M205" s="222"/>
      <c r="N205" s="222"/>
      <c r="O205" s="222"/>
      <c r="P205" s="222"/>
      <c r="Q205" s="222"/>
      <c r="R205" s="222"/>
      <c r="S205" s="222"/>
      <c r="T205" s="222"/>
      <c r="U205" s="222"/>
      <c r="V205" s="222"/>
      <c r="W205" s="222"/>
    </row>
    <row r="206">
      <c r="A206" s="271"/>
      <c r="B206" s="222"/>
      <c r="C206" s="222"/>
      <c r="D206" s="222"/>
      <c r="E206" s="222"/>
      <c r="F206" s="222"/>
      <c r="G206" s="222"/>
      <c r="H206" s="271"/>
      <c r="I206" s="271"/>
      <c r="J206" s="271"/>
      <c r="K206" s="271"/>
      <c r="L206" s="271"/>
      <c r="M206" s="222"/>
      <c r="N206" s="222"/>
      <c r="O206" s="222"/>
      <c r="P206" s="222"/>
      <c r="Q206" s="222"/>
      <c r="R206" s="222"/>
      <c r="S206" s="222"/>
      <c r="T206" s="222"/>
      <c r="U206" s="222"/>
      <c r="V206" s="222"/>
      <c r="W206" s="222"/>
    </row>
    <row r="207">
      <c r="A207" s="271"/>
      <c r="B207" s="222"/>
      <c r="C207" s="222"/>
      <c r="D207" s="222"/>
      <c r="E207" s="222"/>
      <c r="F207" s="222"/>
      <c r="G207" s="222"/>
      <c r="H207" s="271"/>
      <c r="I207" s="271"/>
      <c r="J207" s="271"/>
      <c r="K207" s="271"/>
      <c r="L207" s="271"/>
      <c r="M207" s="222"/>
      <c r="N207" s="222"/>
      <c r="O207" s="222"/>
      <c r="P207" s="222"/>
      <c r="Q207" s="222"/>
      <c r="R207" s="222"/>
      <c r="S207" s="222"/>
      <c r="T207" s="222"/>
      <c r="U207" s="222"/>
      <c r="V207" s="222"/>
      <c r="W207" s="222"/>
    </row>
    <row r="208">
      <c r="A208" s="271"/>
      <c r="B208" s="222"/>
      <c r="C208" s="222"/>
      <c r="D208" s="222"/>
      <c r="E208" s="222"/>
      <c r="F208" s="222"/>
      <c r="G208" s="222"/>
      <c r="H208" s="271"/>
      <c r="I208" s="271"/>
      <c r="J208" s="271"/>
      <c r="K208" s="271"/>
      <c r="L208" s="271"/>
      <c r="M208" s="222"/>
      <c r="N208" s="222"/>
      <c r="O208" s="222"/>
      <c r="P208" s="222"/>
      <c r="Q208" s="222"/>
      <c r="R208" s="222"/>
      <c r="S208" s="222"/>
      <c r="T208" s="222"/>
      <c r="U208" s="222"/>
      <c r="V208" s="222"/>
      <c r="W208" s="222"/>
    </row>
    <row r="209">
      <c r="A209" s="271"/>
      <c r="B209" s="222"/>
      <c r="C209" s="222"/>
      <c r="D209" s="222"/>
      <c r="E209" s="222"/>
      <c r="F209" s="222"/>
      <c r="G209" s="222"/>
      <c r="H209" s="271"/>
      <c r="I209" s="271"/>
      <c r="J209" s="271"/>
      <c r="K209" s="271"/>
      <c r="L209" s="271"/>
      <c r="M209" s="222"/>
      <c r="N209" s="222"/>
      <c r="O209" s="222"/>
      <c r="P209" s="222"/>
      <c r="Q209" s="222"/>
      <c r="R209" s="222"/>
      <c r="S209" s="222"/>
      <c r="T209" s="222"/>
      <c r="U209" s="222"/>
      <c r="V209" s="222"/>
      <c r="W209" s="222"/>
    </row>
    <row r="210">
      <c r="A210" s="271"/>
      <c r="B210" s="222"/>
      <c r="C210" s="222"/>
      <c r="D210" s="222"/>
      <c r="E210" s="222"/>
      <c r="F210" s="222"/>
      <c r="G210" s="222"/>
      <c r="H210" s="271"/>
      <c r="I210" s="271"/>
      <c r="J210" s="271"/>
      <c r="K210" s="271"/>
      <c r="L210" s="271"/>
      <c r="M210" s="222"/>
      <c r="N210" s="222"/>
      <c r="O210" s="222"/>
      <c r="P210" s="222"/>
      <c r="Q210" s="222"/>
      <c r="R210" s="222"/>
      <c r="S210" s="222"/>
      <c r="T210" s="222"/>
      <c r="U210" s="222"/>
      <c r="V210" s="222"/>
      <c r="W210" s="222"/>
    </row>
    <row r="211">
      <c r="A211" s="271"/>
      <c r="B211" s="222"/>
      <c r="C211" s="222"/>
      <c r="D211" s="222"/>
      <c r="E211" s="222"/>
      <c r="F211" s="222"/>
      <c r="G211" s="222"/>
      <c r="H211" s="271"/>
      <c r="I211" s="271"/>
      <c r="J211" s="271"/>
      <c r="K211" s="271"/>
      <c r="L211" s="271"/>
      <c r="M211" s="222"/>
      <c r="N211" s="222"/>
      <c r="O211" s="222"/>
      <c r="P211" s="222"/>
      <c r="Q211" s="222"/>
      <c r="R211" s="222"/>
      <c r="S211" s="222"/>
      <c r="T211" s="222"/>
      <c r="U211" s="222"/>
      <c r="V211" s="222"/>
      <c r="W211" s="222"/>
    </row>
    <row r="212">
      <c r="A212" s="271"/>
      <c r="B212" s="222"/>
      <c r="C212" s="222"/>
      <c r="D212" s="222"/>
      <c r="E212" s="222"/>
      <c r="F212" s="222"/>
      <c r="G212" s="222"/>
      <c r="H212" s="271"/>
      <c r="I212" s="271"/>
      <c r="J212" s="271"/>
      <c r="K212" s="271"/>
      <c r="L212" s="271"/>
      <c r="M212" s="222"/>
      <c r="N212" s="222"/>
      <c r="O212" s="222"/>
      <c r="P212" s="222"/>
      <c r="Q212" s="222"/>
      <c r="R212" s="222"/>
      <c r="S212" s="222"/>
      <c r="T212" s="222"/>
      <c r="U212" s="222"/>
      <c r="V212" s="222"/>
      <c r="W212" s="222"/>
    </row>
    <row r="213">
      <c r="A213" s="271"/>
      <c r="B213" s="222"/>
      <c r="C213" s="222"/>
      <c r="D213" s="222"/>
      <c r="E213" s="222"/>
      <c r="F213" s="222"/>
      <c r="G213" s="222"/>
      <c r="H213" s="271"/>
      <c r="I213" s="271"/>
      <c r="J213" s="271"/>
      <c r="K213" s="271"/>
      <c r="L213" s="271"/>
      <c r="M213" s="222"/>
      <c r="N213" s="222"/>
      <c r="O213" s="222"/>
      <c r="P213" s="222"/>
      <c r="Q213" s="222"/>
      <c r="R213" s="222"/>
      <c r="S213" s="222"/>
      <c r="T213" s="222"/>
      <c r="U213" s="222"/>
      <c r="V213" s="222"/>
      <c r="W213" s="222"/>
    </row>
    <row r="214">
      <c r="A214" s="271"/>
      <c r="B214" s="222"/>
      <c r="C214" s="222"/>
      <c r="D214" s="222"/>
      <c r="E214" s="222"/>
      <c r="F214" s="222"/>
      <c r="G214" s="222"/>
      <c r="H214" s="271"/>
      <c r="I214" s="271"/>
      <c r="J214" s="271"/>
      <c r="K214" s="271"/>
      <c r="L214" s="271"/>
      <c r="M214" s="222"/>
      <c r="N214" s="222"/>
      <c r="O214" s="222"/>
      <c r="P214" s="222"/>
      <c r="Q214" s="222"/>
      <c r="R214" s="222"/>
      <c r="S214" s="222"/>
      <c r="T214" s="222"/>
      <c r="U214" s="222"/>
      <c r="V214" s="222"/>
      <c r="W214" s="222"/>
    </row>
    <row r="215">
      <c r="A215" s="271"/>
      <c r="B215" s="222"/>
      <c r="C215" s="222"/>
      <c r="D215" s="222"/>
      <c r="E215" s="222"/>
      <c r="F215" s="222"/>
      <c r="G215" s="222"/>
      <c r="H215" s="271"/>
      <c r="I215" s="271"/>
      <c r="J215" s="271"/>
      <c r="K215" s="271"/>
      <c r="L215" s="271"/>
      <c r="M215" s="222"/>
      <c r="N215" s="222"/>
      <c r="O215" s="222"/>
      <c r="P215" s="222"/>
      <c r="Q215" s="222"/>
      <c r="R215" s="222"/>
      <c r="S215" s="222"/>
      <c r="T215" s="222"/>
      <c r="U215" s="222"/>
      <c r="V215" s="222"/>
      <c r="W215" s="222"/>
    </row>
    <row r="216">
      <c r="A216" s="271"/>
      <c r="B216" s="222"/>
      <c r="C216" s="222"/>
      <c r="D216" s="222"/>
      <c r="E216" s="222"/>
      <c r="F216" s="222"/>
      <c r="G216" s="222"/>
      <c r="H216" s="271"/>
      <c r="I216" s="271"/>
      <c r="J216" s="271"/>
      <c r="K216" s="271"/>
      <c r="L216" s="271"/>
      <c r="M216" s="222"/>
      <c r="N216" s="222"/>
      <c r="O216" s="222"/>
      <c r="P216" s="222"/>
      <c r="Q216" s="222"/>
      <c r="R216" s="222"/>
      <c r="S216" s="222"/>
      <c r="T216" s="222"/>
      <c r="U216" s="222"/>
      <c r="V216" s="222"/>
      <c r="W216" s="222"/>
    </row>
    <row r="217">
      <c r="A217" s="271"/>
      <c r="B217" s="222"/>
      <c r="C217" s="222"/>
      <c r="D217" s="222"/>
      <c r="E217" s="222"/>
      <c r="F217" s="222"/>
      <c r="G217" s="222"/>
      <c r="H217" s="271"/>
      <c r="I217" s="271"/>
      <c r="J217" s="271"/>
      <c r="K217" s="271"/>
      <c r="L217" s="271"/>
      <c r="M217" s="222"/>
      <c r="N217" s="222"/>
      <c r="O217" s="222"/>
      <c r="P217" s="222"/>
      <c r="Q217" s="222"/>
      <c r="R217" s="222"/>
      <c r="S217" s="222"/>
      <c r="T217" s="222"/>
      <c r="U217" s="222"/>
      <c r="V217" s="222"/>
      <c r="W217" s="222"/>
    </row>
    <row r="218">
      <c r="A218" s="271"/>
      <c r="B218" s="222"/>
      <c r="C218" s="222"/>
      <c r="D218" s="222"/>
      <c r="E218" s="222"/>
      <c r="F218" s="222"/>
      <c r="G218" s="222"/>
      <c r="H218" s="271"/>
      <c r="I218" s="271"/>
      <c r="J218" s="271"/>
      <c r="K218" s="271"/>
      <c r="L218" s="271"/>
      <c r="M218" s="222"/>
      <c r="N218" s="222"/>
      <c r="O218" s="222"/>
      <c r="P218" s="222"/>
      <c r="Q218" s="222"/>
      <c r="R218" s="222"/>
      <c r="S218" s="222"/>
      <c r="T218" s="222"/>
      <c r="U218" s="222"/>
      <c r="V218" s="222"/>
      <c r="W218" s="222"/>
    </row>
    <row r="219">
      <c r="A219" s="271"/>
      <c r="B219" s="222"/>
      <c r="C219" s="222"/>
      <c r="D219" s="222"/>
      <c r="E219" s="222"/>
      <c r="F219" s="222"/>
      <c r="G219" s="222"/>
      <c r="H219" s="271"/>
      <c r="I219" s="271"/>
      <c r="J219" s="271"/>
      <c r="K219" s="271"/>
      <c r="L219" s="271"/>
      <c r="M219" s="222"/>
      <c r="N219" s="222"/>
      <c r="O219" s="222"/>
      <c r="P219" s="222"/>
      <c r="Q219" s="222"/>
      <c r="R219" s="222"/>
      <c r="S219" s="222"/>
      <c r="T219" s="222"/>
      <c r="U219" s="222"/>
      <c r="V219" s="222"/>
      <c r="W219" s="222"/>
    </row>
    <row r="220">
      <c r="A220" s="271"/>
      <c r="B220" s="222"/>
      <c r="C220" s="222"/>
      <c r="D220" s="222"/>
      <c r="E220" s="222"/>
      <c r="F220" s="222"/>
      <c r="G220" s="222"/>
      <c r="H220" s="271"/>
      <c r="I220" s="271"/>
      <c r="J220" s="271"/>
      <c r="K220" s="271"/>
      <c r="L220" s="271"/>
      <c r="M220" s="222"/>
      <c r="N220" s="222"/>
      <c r="O220" s="222"/>
      <c r="P220" s="222"/>
      <c r="Q220" s="222"/>
      <c r="R220" s="222"/>
      <c r="S220" s="222"/>
      <c r="T220" s="222"/>
      <c r="U220" s="222"/>
      <c r="V220" s="222"/>
      <c r="W220" s="222"/>
    </row>
    <row r="221">
      <c r="A221" s="271"/>
      <c r="B221" s="222"/>
      <c r="C221" s="222"/>
      <c r="D221" s="222"/>
      <c r="E221" s="222"/>
      <c r="F221" s="222"/>
      <c r="G221" s="222"/>
      <c r="H221" s="271"/>
      <c r="I221" s="271"/>
      <c r="J221" s="271"/>
      <c r="K221" s="271"/>
      <c r="L221" s="271"/>
      <c r="M221" s="222"/>
      <c r="N221" s="222"/>
      <c r="O221" s="222"/>
      <c r="P221" s="222"/>
      <c r="Q221" s="222"/>
      <c r="R221" s="222"/>
      <c r="S221" s="222"/>
      <c r="T221" s="222"/>
      <c r="U221" s="222"/>
      <c r="V221" s="222"/>
      <c r="W221" s="222"/>
    </row>
    <row r="222">
      <c r="A222" s="271"/>
      <c r="B222" s="222"/>
      <c r="C222" s="222"/>
      <c r="D222" s="222"/>
      <c r="E222" s="222"/>
      <c r="F222" s="222"/>
      <c r="G222" s="222"/>
      <c r="H222" s="271"/>
      <c r="I222" s="271"/>
      <c r="J222" s="271"/>
      <c r="K222" s="271"/>
      <c r="L222" s="271"/>
      <c r="M222" s="222"/>
      <c r="N222" s="222"/>
      <c r="O222" s="222"/>
      <c r="P222" s="222"/>
      <c r="Q222" s="222"/>
      <c r="R222" s="222"/>
      <c r="S222" s="222"/>
      <c r="T222" s="222"/>
      <c r="U222" s="222"/>
      <c r="V222" s="222"/>
      <c r="W222" s="222"/>
    </row>
    <row r="223">
      <c r="A223" s="271"/>
      <c r="B223" s="222"/>
      <c r="C223" s="222"/>
      <c r="D223" s="222"/>
      <c r="E223" s="222"/>
      <c r="F223" s="222"/>
      <c r="G223" s="222"/>
      <c r="H223" s="271"/>
      <c r="I223" s="271"/>
      <c r="J223" s="271"/>
      <c r="K223" s="271"/>
      <c r="L223" s="271"/>
      <c r="M223" s="222"/>
      <c r="N223" s="222"/>
      <c r="O223" s="222"/>
      <c r="P223" s="222"/>
      <c r="Q223" s="222"/>
      <c r="R223" s="222"/>
      <c r="S223" s="222"/>
      <c r="T223" s="222"/>
      <c r="U223" s="222"/>
      <c r="V223" s="222"/>
      <c r="W223" s="222"/>
    </row>
    <row r="224">
      <c r="A224" s="271"/>
      <c r="B224" s="222"/>
      <c r="C224" s="222"/>
      <c r="D224" s="222"/>
      <c r="E224" s="222"/>
      <c r="F224" s="222"/>
      <c r="G224" s="222"/>
      <c r="H224" s="271"/>
      <c r="I224" s="271"/>
      <c r="J224" s="271"/>
      <c r="K224" s="271"/>
      <c r="L224" s="271"/>
      <c r="M224" s="222"/>
      <c r="N224" s="222"/>
      <c r="O224" s="222"/>
      <c r="P224" s="222"/>
      <c r="Q224" s="222"/>
      <c r="R224" s="222"/>
      <c r="S224" s="222"/>
      <c r="T224" s="222"/>
      <c r="U224" s="222"/>
      <c r="V224" s="222"/>
      <c r="W224" s="222"/>
    </row>
    <row r="225">
      <c r="A225" s="271"/>
      <c r="B225" s="222"/>
      <c r="C225" s="222"/>
      <c r="D225" s="222"/>
      <c r="E225" s="222"/>
      <c r="F225" s="222"/>
      <c r="G225" s="222"/>
      <c r="H225" s="271"/>
      <c r="I225" s="271"/>
      <c r="J225" s="271"/>
      <c r="K225" s="271"/>
      <c r="L225" s="271"/>
      <c r="M225" s="222"/>
      <c r="N225" s="222"/>
      <c r="O225" s="222"/>
      <c r="P225" s="222"/>
      <c r="Q225" s="222"/>
      <c r="R225" s="222"/>
      <c r="S225" s="222"/>
      <c r="T225" s="222"/>
      <c r="U225" s="222"/>
      <c r="V225" s="222"/>
      <c r="W225" s="222"/>
    </row>
    <row r="226">
      <c r="A226" s="271"/>
      <c r="B226" s="222"/>
      <c r="C226" s="222"/>
      <c r="D226" s="222"/>
      <c r="E226" s="222"/>
      <c r="F226" s="222"/>
      <c r="G226" s="222"/>
      <c r="H226" s="271"/>
      <c r="I226" s="271"/>
      <c r="J226" s="271"/>
      <c r="K226" s="271"/>
      <c r="L226" s="271"/>
      <c r="M226" s="222"/>
      <c r="N226" s="222"/>
      <c r="O226" s="222"/>
      <c r="P226" s="222"/>
      <c r="Q226" s="222"/>
      <c r="R226" s="222"/>
      <c r="S226" s="222"/>
      <c r="T226" s="222"/>
      <c r="U226" s="222"/>
      <c r="V226" s="222"/>
      <c r="W226" s="222"/>
    </row>
    <row r="227">
      <c r="A227" s="271"/>
      <c r="B227" s="222"/>
      <c r="C227" s="222"/>
      <c r="D227" s="222"/>
      <c r="E227" s="222"/>
      <c r="F227" s="222"/>
      <c r="G227" s="222"/>
      <c r="H227" s="271"/>
      <c r="I227" s="271"/>
      <c r="J227" s="271"/>
      <c r="K227" s="271"/>
      <c r="L227" s="271"/>
      <c r="M227" s="222"/>
      <c r="N227" s="222"/>
      <c r="O227" s="222"/>
      <c r="P227" s="222"/>
      <c r="Q227" s="222"/>
      <c r="R227" s="222"/>
      <c r="S227" s="222"/>
      <c r="T227" s="222"/>
      <c r="U227" s="222"/>
      <c r="V227" s="222"/>
      <c r="W227" s="222"/>
    </row>
    <row r="228">
      <c r="A228" s="271"/>
      <c r="B228" s="222"/>
      <c r="C228" s="222"/>
      <c r="D228" s="222"/>
      <c r="E228" s="222"/>
      <c r="F228" s="222"/>
      <c r="G228" s="222"/>
      <c r="H228" s="271"/>
      <c r="I228" s="271"/>
      <c r="J228" s="271"/>
      <c r="K228" s="271"/>
      <c r="L228" s="271"/>
      <c r="M228" s="222"/>
      <c r="N228" s="222"/>
      <c r="O228" s="222"/>
      <c r="P228" s="222"/>
      <c r="Q228" s="222"/>
      <c r="R228" s="222"/>
      <c r="S228" s="222"/>
      <c r="T228" s="222"/>
      <c r="U228" s="222"/>
      <c r="V228" s="222"/>
      <c r="W228" s="222"/>
    </row>
    <row r="229">
      <c r="A229" s="271"/>
      <c r="B229" s="222"/>
      <c r="C229" s="222"/>
      <c r="D229" s="222"/>
      <c r="E229" s="222"/>
      <c r="F229" s="222"/>
      <c r="G229" s="222"/>
      <c r="H229" s="271"/>
      <c r="I229" s="271"/>
      <c r="J229" s="271"/>
      <c r="K229" s="271"/>
      <c r="L229" s="271"/>
      <c r="M229" s="222"/>
      <c r="N229" s="222"/>
      <c r="O229" s="222"/>
      <c r="P229" s="222"/>
      <c r="Q229" s="222"/>
      <c r="R229" s="222"/>
      <c r="S229" s="222"/>
      <c r="T229" s="222"/>
      <c r="U229" s="222"/>
      <c r="V229" s="222"/>
      <c r="W229" s="222"/>
    </row>
    <row r="230">
      <c r="A230" s="271"/>
      <c r="B230" s="222"/>
      <c r="C230" s="222"/>
      <c r="D230" s="222"/>
      <c r="E230" s="222"/>
      <c r="F230" s="222"/>
      <c r="G230" s="222"/>
      <c r="H230" s="271"/>
      <c r="I230" s="271"/>
      <c r="J230" s="271"/>
      <c r="K230" s="271"/>
      <c r="L230" s="271"/>
      <c r="M230" s="222"/>
      <c r="N230" s="222"/>
      <c r="O230" s="222"/>
      <c r="P230" s="222"/>
      <c r="Q230" s="222"/>
      <c r="R230" s="222"/>
      <c r="S230" s="222"/>
      <c r="T230" s="222"/>
      <c r="U230" s="222"/>
      <c r="V230" s="222"/>
      <c r="W230" s="222"/>
    </row>
    <row r="231">
      <c r="A231" s="271"/>
      <c r="B231" s="222"/>
      <c r="C231" s="222"/>
      <c r="D231" s="222"/>
      <c r="E231" s="222"/>
      <c r="F231" s="222"/>
      <c r="G231" s="222"/>
      <c r="H231" s="271"/>
      <c r="I231" s="271"/>
      <c r="J231" s="271"/>
      <c r="K231" s="271"/>
      <c r="L231" s="271"/>
      <c r="M231" s="222"/>
      <c r="N231" s="222"/>
      <c r="O231" s="222"/>
      <c r="P231" s="222"/>
      <c r="Q231" s="222"/>
      <c r="R231" s="222"/>
      <c r="S231" s="222"/>
      <c r="T231" s="222"/>
      <c r="U231" s="222"/>
      <c r="V231" s="222"/>
      <c r="W231" s="222"/>
    </row>
    <row r="232">
      <c r="A232" s="271"/>
      <c r="B232" s="222"/>
      <c r="C232" s="222"/>
      <c r="D232" s="222"/>
      <c r="E232" s="222"/>
      <c r="F232" s="222"/>
      <c r="G232" s="222"/>
      <c r="H232" s="271"/>
      <c r="I232" s="271"/>
      <c r="J232" s="271"/>
      <c r="K232" s="271"/>
      <c r="L232" s="271"/>
      <c r="M232" s="222"/>
      <c r="N232" s="222"/>
      <c r="O232" s="222"/>
      <c r="P232" s="222"/>
      <c r="Q232" s="222"/>
      <c r="R232" s="222"/>
      <c r="S232" s="222"/>
      <c r="T232" s="222"/>
      <c r="U232" s="222"/>
      <c r="V232" s="222"/>
      <c r="W232" s="222"/>
    </row>
    <row r="233">
      <c r="A233" s="271"/>
      <c r="B233" s="222"/>
      <c r="C233" s="222"/>
      <c r="D233" s="222"/>
      <c r="E233" s="222"/>
      <c r="F233" s="222"/>
      <c r="G233" s="222"/>
      <c r="H233" s="271"/>
      <c r="I233" s="271"/>
      <c r="J233" s="271"/>
      <c r="K233" s="271"/>
      <c r="L233" s="271"/>
      <c r="M233" s="222"/>
      <c r="N233" s="222"/>
      <c r="O233" s="222"/>
      <c r="P233" s="222"/>
      <c r="Q233" s="222"/>
      <c r="R233" s="222"/>
      <c r="S233" s="222"/>
      <c r="T233" s="222"/>
      <c r="U233" s="222"/>
      <c r="V233" s="222"/>
      <c r="W233" s="222"/>
    </row>
    <row r="234">
      <c r="A234" s="271"/>
      <c r="B234" s="222"/>
      <c r="C234" s="222"/>
      <c r="D234" s="222"/>
      <c r="E234" s="222"/>
      <c r="F234" s="222"/>
      <c r="G234" s="222"/>
      <c r="H234" s="271"/>
      <c r="I234" s="271"/>
      <c r="J234" s="271"/>
      <c r="K234" s="271"/>
      <c r="L234" s="271"/>
      <c r="M234" s="222"/>
      <c r="N234" s="222"/>
      <c r="O234" s="222"/>
      <c r="P234" s="222"/>
      <c r="Q234" s="222"/>
      <c r="R234" s="222"/>
      <c r="S234" s="222"/>
      <c r="T234" s="222"/>
      <c r="U234" s="222"/>
      <c r="V234" s="222"/>
      <c r="W234" s="222"/>
    </row>
    <row r="235">
      <c r="A235" s="271"/>
      <c r="B235" s="222"/>
      <c r="C235" s="222"/>
      <c r="D235" s="222"/>
      <c r="E235" s="222"/>
      <c r="F235" s="222"/>
      <c r="G235" s="222"/>
      <c r="H235" s="271"/>
      <c r="I235" s="271"/>
      <c r="J235" s="271"/>
      <c r="K235" s="271"/>
      <c r="L235" s="271"/>
      <c r="M235" s="222"/>
      <c r="N235" s="222"/>
      <c r="O235" s="222"/>
      <c r="P235" s="222"/>
      <c r="Q235" s="222"/>
      <c r="R235" s="222"/>
      <c r="S235" s="222"/>
      <c r="T235" s="222"/>
      <c r="U235" s="222"/>
      <c r="V235" s="222"/>
      <c r="W235" s="222"/>
    </row>
    <row r="236">
      <c r="A236" s="271"/>
      <c r="B236" s="222"/>
      <c r="C236" s="222"/>
      <c r="D236" s="222"/>
      <c r="E236" s="222"/>
      <c r="F236" s="222"/>
      <c r="G236" s="222"/>
      <c r="H236" s="271"/>
      <c r="I236" s="271"/>
      <c r="J236" s="271"/>
      <c r="K236" s="271"/>
      <c r="L236" s="271"/>
      <c r="M236" s="222"/>
      <c r="N236" s="222"/>
      <c r="O236" s="222"/>
      <c r="P236" s="222"/>
      <c r="Q236" s="222"/>
      <c r="R236" s="222"/>
      <c r="S236" s="222"/>
      <c r="T236" s="222"/>
      <c r="U236" s="222"/>
      <c r="V236" s="222"/>
      <c r="W236" s="222"/>
    </row>
    <row r="237">
      <c r="A237" s="271"/>
      <c r="B237" s="222"/>
      <c r="C237" s="222"/>
      <c r="D237" s="222"/>
      <c r="E237" s="222"/>
      <c r="F237" s="222"/>
      <c r="G237" s="222"/>
      <c r="H237" s="271"/>
      <c r="I237" s="271"/>
      <c r="J237" s="271"/>
      <c r="K237" s="271"/>
      <c r="L237" s="271"/>
      <c r="M237" s="222"/>
      <c r="N237" s="222"/>
      <c r="O237" s="222"/>
      <c r="P237" s="222"/>
      <c r="Q237" s="222"/>
      <c r="R237" s="222"/>
      <c r="S237" s="222"/>
      <c r="T237" s="222"/>
      <c r="U237" s="222"/>
      <c r="V237" s="222"/>
      <c r="W237" s="222"/>
    </row>
    <row r="238">
      <c r="A238" s="271"/>
      <c r="B238" s="222"/>
      <c r="C238" s="222"/>
      <c r="D238" s="222"/>
      <c r="E238" s="222"/>
      <c r="F238" s="222"/>
      <c r="G238" s="222"/>
      <c r="H238" s="271"/>
      <c r="I238" s="271"/>
      <c r="J238" s="271"/>
      <c r="K238" s="271"/>
      <c r="L238" s="271"/>
      <c r="M238" s="222"/>
      <c r="N238" s="222"/>
      <c r="O238" s="222"/>
      <c r="P238" s="222"/>
      <c r="Q238" s="222"/>
      <c r="R238" s="222"/>
      <c r="S238" s="222"/>
      <c r="T238" s="222"/>
      <c r="U238" s="222"/>
      <c r="V238" s="222"/>
      <c r="W238" s="222"/>
    </row>
    <row r="239">
      <c r="A239" s="271"/>
      <c r="B239" s="222"/>
      <c r="C239" s="222"/>
      <c r="D239" s="222"/>
      <c r="E239" s="222"/>
      <c r="F239" s="222"/>
      <c r="G239" s="222"/>
      <c r="H239" s="271"/>
      <c r="I239" s="271"/>
      <c r="J239" s="271"/>
      <c r="K239" s="271"/>
      <c r="L239" s="271"/>
      <c r="M239" s="222"/>
      <c r="N239" s="222"/>
      <c r="O239" s="222"/>
      <c r="P239" s="222"/>
      <c r="Q239" s="222"/>
      <c r="R239" s="222"/>
      <c r="S239" s="222"/>
      <c r="T239" s="222"/>
      <c r="U239" s="222"/>
      <c r="V239" s="222"/>
      <c r="W239" s="222"/>
    </row>
    <row r="240">
      <c r="A240" s="271"/>
      <c r="B240" s="222"/>
      <c r="C240" s="222"/>
      <c r="D240" s="222"/>
      <c r="E240" s="222"/>
      <c r="F240" s="222"/>
      <c r="G240" s="222"/>
      <c r="H240" s="271"/>
      <c r="I240" s="271"/>
      <c r="J240" s="271"/>
      <c r="K240" s="271"/>
      <c r="L240" s="271"/>
      <c r="M240" s="222"/>
      <c r="N240" s="222"/>
      <c r="O240" s="222"/>
      <c r="P240" s="222"/>
      <c r="Q240" s="222"/>
      <c r="R240" s="222"/>
      <c r="S240" s="222"/>
      <c r="T240" s="222"/>
      <c r="U240" s="222"/>
      <c r="V240" s="222"/>
      <c r="W240" s="222"/>
    </row>
    <row r="241">
      <c r="A241" s="271"/>
      <c r="B241" s="222"/>
      <c r="C241" s="222"/>
      <c r="D241" s="222"/>
      <c r="E241" s="222"/>
      <c r="F241" s="222"/>
      <c r="G241" s="222"/>
      <c r="H241" s="271"/>
      <c r="I241" s="271"/>
      <c r="J241" s="271"/>
      <c r="K241" s="271"/>
      <c r="L241" s="271"/>
      <c r="M241" s="222"/>
      <c r="N241" s="222"/>
      <c r="O241" s="222"/>
      <c r="P241" s="222"/>
      <c r="Q241" s="222"/>
      <c r="R241" s="222"/>
      <c r="S241" s="222"/>
      <c r="T241" s="222"/>
      <c r="U241" s="222"/>
      <c r="V241" s="222"/>
      <c r="W241" s="222"/>
    </row>
    <row r="242">
      <c r="A242" s="271"/>
      <c r="B242" s="222"/>
      <c r="C242" s="222"/>
      <c r="D242" s="222"/>
      <c r="E242" s="222"/>
      <c r="F242" s="222"/>
      <c r="G242" s="222"/>
      <c r="H242" s="271"/>
      <c r="I242" s="271"/>
      <c r="J242" s="271"/>
      <c r="K242" s="271"/>
      <c r="L242" s="271"/>
      <c r="M242" s="222"/>
      <c r="N242" s="222"/>
      <c r="O242" s="222"/>
      <c r="P242" s="222"/>
      <c r="Q242" s="222"/>
      <c r="R242" s="222"/>
      <c r="S242" s="222"/>
      <c r="T242" s="222"/>
      <c r="U242" s="222"/>
      <c r="V242" s="222"/>
      <c r="W242" s="222"/>
    </row>
    <row r="243">
      <c r="A243" s="271"/>
      <c r="B243" s="222"/>
      <c r="C243" s="222"/>
      <c r="D243" s="222"/>
      <c r="E243" s="222"/>
      <c r="F243" s="222"/>
      <c r="G243" s="222"/>
      <c r="H243" s="271"/>
      <c r="I243" s="271"/>
      <c r="J243" s="271"/>
      <c r="K243" s="271"/>
      <c r="L243" s="271"/>
      <c r="M243" s="222"/>
      <c r="N243" s="222"/>
      <c r="O243" s="222"/>
      <c r="P243" s="222"/>
      <c r="Q243" s="222"/>
      <c r="R243" s="222"/>
      <c r="S243" s="222"/>
      <c r="T243" s="222"/>
      <c r="U243" s="222"/>
      <c r="V243" s="222"/>
      <c r="W243" s="222"/>
    </row>
    <row r="244">
      <c r="A244" s="271"/>
      <c r="B244" s="222"/>
      <c r="C244" s="222"/>
      <c r="D244" s="222"/>
      <c r="E244" s="222"/>
      <c r="F244" s="222"/>
      <c r="G244" s="222"/>
      <c r="H244" s="271"/>
      <c r="I244" s="271"/>
      <c r="J244" s="271"/>
      <c r="K244" s="271"/>
      <c r="L244" s="271"/>
      <c r="M244" s="222"/>
      <c r="N244" s="222"/>
      <c r="O244" s="222"/>
      <c r="P244" s="222"/>
      <c r="Q244" s="222"/>
      <c r="R244" s="222"/>
      <c r="S244" s="222"/>
      <c r="T244" s="222"/>
      <c r="U244" s="222"/>
      <c r="V244" s="222"/>
      <c r="W244" s="222"/>
    </row>
    <row r="245">
      <c r="A245" s="271"/>
      <c r="B245" s="222"/>
      <c r="C245" s="222"/>
      <c r="D245" s="222"/>
      <c r="E245" s="222"/>
      <c r="F245" s="222"/>
      <c r="G245" s="222"/>
      <c r="H245" s="271"/>
      <c r="I245" s="271"/>
      <c r="J245" s="271"/>
      <c r="K245" s="271"/>
      <c r="L245" s="271"/>
      <c r="M245" s="222"/>
      <c r="N245" s="222"/>
      <c r="O245" s="222"/>
      <c r="P245" s="222"/>
      <c r="Q245" s="222"/>
      <c r="R245" s="222"/>
      <c r="S245" s="222"/>
      <c r="T245" s="222"/>
      <c r="U245" s="222"/>
      <c r="V245" s="222"/>
      <c r="W245" s="222"/>
    </row>
    <row r="246">
      <c r="A246" s="271"/>
      <c r="B246" s="222"/>
      <c r="C246" s="222"/>
      <c r="D246" s="222"/>
      <c r="E246" s="222"/>
      <c r="F246" s="222"/>
      <c r="G246" s="222"/>
      <c r="H246" s="271"/>
      <c r="I246" s="271"/>
      <c r="J246" s="271"/>
      <c r="K246" s="271"/>
      <c r="L246" s="271"/>
      <c r="M246" s="222"/>
      <c r="N246" s="222"/>
      <c r="O246" s="222"/>
      <c r="P246" s="222"/>
      <c r="Q246" s="222"/>
      <c r="R246" s="222"/>
      <c r="S246" s="222"/>
      <c r="T246" s="222"/>
      <c r="U246" s="222"/>
      <c r="V246" s="222"/>
      <c r="W246" s="222"/>
    </row>
    <row r="247">
      <c r="A247" s="271"/>
      <c r="B247" s="222"/>
      <c r="C247" s="222"/>
      <c r="D247" s="222"/>
      <c r="E247" s="222"/>
      <c r="F247" s="222"/>
      <c r="G247" s="222"/>
      <c r="H247" s="271"/>
      <c r="I247" s="271"/>
      <c r="J247" s="271"/>
      <c r="K247" s="271"/>
      <c r="L247" s="271"/>
      <c r="M247" s="222"/>
      <c r="N247" s="222"/>
      <c r="O247" s="222"/>
      <c r="P247" s="222"/>
      <c r="Q247" s="222"/>
      <c r="R247" s="222"/>
      <c r="S247" s="222"/>
      <c r="T247" s="222"/>
      <c r="U247" s="222"/>
      <c r="V247" s="222"/>
      <c r="W247" s="222"/>
    </row>
    <row r="248">
      <c r="A248" s="271"/>
      <c r="B248" s="222"/>
      <c r="C248" s="222"/>
      <c r="D248" s="222"/>
      <c r="E248" s="222"/>
      <c r="F248" s="222"/>
      <c r="G248" s="222"/>
      <c r="H248" s="271"/>
      <c r="I248" s="271"/>
      <c r="J248" s="271"/>
      <c r="K248" s="271"/>
      <c r="L248" s="271"/>
      <c r="M248" s="222"/>
      <c r="N248" s="222"/>
      <c r="O248" s="222"/>
      <c r="P248" s="222"/>
      <c r="Q248" s="222"/>
      <c r="R248" s="222"/>
      <c r="S248" s="222"/>
      <c r="T248" s="222"/>
      <c r="U248" s="222"/>
      <c r="V248" s="222"/>
      <c r="W248" s="222"/>
    </row>
    <row r="249">
      <c r="A249" s="271"/>
      <c r="B249" s="222"/>
      <c r="C249" s="222"/>
      <c r="D249" s="222"/>
      <c r="E249" s="222"/>
      <c r="F249" s="222"/>
      <c r="G249" s="222"/>
      <c r="H249" s="271"/>
      <c r="I249" s="271"/>
      <c r="J249" s="271"/>
      <c r="K249" s="271"/>
      <c r="L249" s="271"/>
      <c r="M249" s="222"/>
      <c r="N249" s="222"/>
      <c r="O249" s="222"/>
      <c r="P249" s="222"/>
      <c r="Q249" s="222"/>
      <c r="R249" s="222"/>
      <c r="S249" s="222"/>
      <c r="T249" s="222"/>
      <c r="U249" s="222"/>
      <c r="V249" s="222"/>
      <c r="W249" s="222"/>
    </row>
    <row r="250">
      <c r="A250" s="271"/>
      <c r="B250" s="222"/>
      <c r="C250" s="222"/>
      <c r="D250" s="222"/>
      <c r="E250" s="222"/>
      <c r="F250" s="222"/>
      <c r="G250" s="222"/>
      <c r="H250" s="271"/>
      <c r="I250" s="271"/>
      <c r="J250" s="271"/>
      <c r="K250" s="271"/>
      <c r="L250" s="271"/>
      <c r="M250" s="222"/>
      <c r="N250" s="222"/>
      <c r="O250" s="222"/>
      <c r="P250" s="222"/>
      <c r="Q250" s="222"/>
      <c r="R250" s="222"/>
      <c r="S250" s="222"/>
      <c r="T250" s="222"/>
      <c r="U250" s="222"/>
      <c r="V250" s="222"/>
      <c r="W250" s="222"/>
    </row>
    <row r="251">
      <c r="A251" s="271"/>
      <c r="B251" s="222"/>
      <c r="C251" s="222"/>
      <c r="D251" s="222"/>
      <c r="E251" s="222"/>
      <c r="F251" s="222"/>
      <c r="G251" s="222"/>
      <c r="H251" s="271"/>
      <c r="I251" s="271"/>
      <c r="J251" s="271"/>
      <c r="K251" s="271"/>
      <c r="L251" s="271"/>
      <c r="M251" s="222"/>
      <c r="N251" s="222"/>
      <c r="O251" s="222"/>
      <c r="P251" s="222"/>
      <c r="Q251" s="222"/>
      <c r="R251" s="222"/>
      <c r="S251" s="222"/>
      <c r="T251" s="222"/>
      <c r="U251" s="222"/>
      <c r="V251" s="222"/>
      <c r="W251" s="222"/>
    </row>
    <row r="252">
      <c r="A252" s="271"/>
      <c r="B252" s="222"/>
      <c r="C252" s="222"/>
      <c r="D252" s="222"/>
      <c r="E252" s="222"/>
      <c r="F252" s="222"/>
      <c r="G252" s="222"/>
      <c r="H252" s="271"/>
      <c r="I252" s="271"/>
      <c r="J252" s="271"/>
      <c r="K252" s="271"/>
      <c r="L252" s="271"/>
      <c r="M252" s="222"/>
      <c r="N252" s="222"/>
      <c r="O252" s="222"/>
      <c r="P252" s="222"/>
      <c r="Q252" s="222"/>
      <c r="R252" s="222"/>
      <c r="S252" s="222"/>
      <c r="T252" s="222"/>
      <c r="U252" s="222"/>
      <c r="V252" s="222"/>
      <c r="W252" s="222"/>
    </row>
    <row r="253">
      <c r="A253" s="271"/>
      <c r="B253" s="222"/>
      <c r="C253" s="222"/>
      <c r="D253" s="222"/>
      <c r="E253" s="222"/>
      <c r="F253" s="222"/>
      <c r="G253" s="222"/>
      <c r="H253" s="271"/>
      <c r="I253" s="271"/>
      <c r="J253" s="271"/>
      <c r="K253" s="271"/>
      <c r="L253" s="271"/>
      <c r="M253" s="222"/>
      <c r="N253" s="222"/>
      <c r="O253" s="222"/>
      <c r="P253" s="222"/>
      <c r="Q253" s="222"/>
      <c r="R253" s="222"/>
      <c r="S253" s="222"/>
      <c r="T253" s="222"/>
      <c r="U253" s="222"/>
      <c r="V253" s="222"/>
      <c r="W253" s="222"/>
    </row>
    <row r="254">
      <c r="A254" s="271"/>
      <c r="B254" s="222"/>
      <c r="C254" s="222"/>
      <c r="D254" s="222"/>
      <c r="E254" s="222"/>
      <c r="F254" s="222"/>
      <c r="G254" s="222"/>
      <c r="H254" s="271"/>
      <c r="I254" s="271"/>
      <c r="J254" s="271"/>
      <c r="K254" s="271"/>
      <c r="L254" s="271"/>
      <c r="M254" s="222"/>
      <c r="N254" s="222"/>
      <c r="O254" s="222"/>
      <c r="P254" s="222"/>
      <c r="Q254" s="222"/>
      <c r="R254" s="222"/>
      <c r="S254" s="222"/>
      <c r="T254" s="222"/>
      <c r="U254" s="222"/>
      <c r="V254" s="222"/>
      <c r="W254" s="222"/>
    </row>
    <row r="255">
      <c r="A255" s="271"/>
      <c r="B255" s="222"/>
      <c r="C255" s="222"/>
      <c r="D255" s="222"/>
      <c r="E255" s="222"/>
      <c r="F255" s="222"/>
      <c r="G255" s="222"/>
      <c r="H255" s="271"/>
      <c r="I255" s="271"/>
      <c r="J255" s="271"/>
      <c r="K255" s="271"/>
      <c r="L255" s="271"/>
      <c r="M255" s="222"/>
      <c r="N255" s="222"/>
      <c r="O255" s="222"/>
      <c r="P255" s="222"/>
      <c r="Q255" s="222"/>
      <c r="R255" s="222"/>
      <c r="S255" s="222"/>
      <c r="T255" s="222"/>
      <c r="U255" s="222"/>
      <c r="V255" s="222"/>
      <c r="W255" s="222"/>
    </row>
    <row r="256">
      <c r="A256" s="271"/>
      <c r="B256" s="222"/>
      <c r="C256" s="222"/>
      <c r="D256" s="222"/>
      <c r="E256" s="222"/>
      <c r="F256" s="222"/>
      <c r="G256" s="222"/>
      <c r="H256" s="271"/>
      <c r="I256" s="271"/>
      <c r="J256" s="271"/>
      <c r="K256" s="271"/>
      <c r="L256" s="271"/>
      <c r="M256" s="222"/>
      <c r="N256" s="222"/>
      <c r="O256" s="222"/>
      <c r="P256" s="222"/>
      <c r="Q256" s="222"/>
      <c r="R256" s="222"/>
      <c r="S256" s="222"/>
      <c r="T256" s="222"/>
      <c r="U256" s="222"/>
      <c r="V256" s="222"/>
      <c r="W256" s="222"/>
    </row>
    <row r="257">
      <c r="A257" s="271"/>
      <c r="B257" s="222"/>
      <c r="C257" s="222"/>
      <c r="D257" s="222"/>
      <c r="E257" s="222"/>
      <c r="F257" s="222"/>
      <c r="G257" s="222"/>
      <c r="H257" s="271"/>
      <c r="I257" s="271"/>
      <c r="J257" s="271"/>
      <c r="K257" s="271"/>
      <c r="L257" s="271"/>
      <c r="M257" s="222"/>
      <c r="N257" s="222"/>
      <c r="O257" s="222"/>
      <c r="P257" s="222"/>
      <c r="Q257" s="222"/>
      <c r="R257" s="222"/>
      <c r="S257" s="222"/>
      <c r="T257" s="222"/>
      <c r="U257" s="222"/>
      <c r="V257" s="222"/>
      <c r="W257" s="222"/>
    </row>
    <row r="258">
      <c r="A258" s="271"/>
      <c r="B258" s="222"/>
      <c r="C258" s="222"/>
      <c r="D258" s="222"/>
      <c r="E258" s="222"/>
      <c r="F258" s="222"/>
      <c r="G258" s="222"/>
      <c r="H258" s="271"/>
      <c r="I258" s="271"/>
      <c r="J258" s="271"/>
      <c r="K258" s="271"/>
      <c r="L258" s="271"/>
      <c r="M258" s="222"/>
      <c r="N258" s="222"/>
      <c r="O258" s="222"/>
      <c r="P258" s="222"/>
      <c r="Q258" s="222"/>
      <c r="R258" s="222"/>
      <c r="S258" s="222"/>
      <c r="T258" s="222"/>
      <c r="U258" s="222"/>
      <c r="V258" s="222"/>
      <c r="W258" s="222"/>
    </row>
    <row r="259">
      <c r="A259" s="271"/>
      <c r="B259" s="222"/>
      <c r="C259" s="222"/>
      <c r="D259" s="222"/>
      <c r="E259" s="222"/>
      <c r="F259" s="222"/>
      <c r="G259" s="222"/>
      <c r="H259" s="271"/>
      <c r="I259" s="271"/>
      <c r="J259" s="271"/>
      <c r="K259" s="271"/>
      <c r="L259" s="271"/>
      <c r="M259" s="222"/>
      <c r="N259" s="222"/>
      <c r="O259" s="222"/>
      <c r="P259" s="222"/>
      <c r="Q259" s="222"/>
      <c r="R259" s="222"/>
      <c r="S259" s="222"/>
      <c r="T259" s="222"/>
      <c r="U259" s="222"/>
      <c r="V259" s="222"/>
      <c r="W259" s="222"/>
    </row>
    <row r="260">
      <c r="A260" s="271"/>
      <c r="B260" s="222"/>
      <c r="C260" s="222"/>
      <c r="D260" s="222"/>
      <c r="E260" s="222"/>
      <c r="F260" s="222"/>
      <c r="G260" s="222"/>
      <c r="H260" s="271"/>
      <c r="I260" s="271"/>
      <c r="J260" s="271"/>
      <c r="K260" s="271"/>
      <c r="L260" s="271"/>
      <c r="M260" s="222"/>
      <c r="N260" s="222"/>
      <c r="O260" s="222"/>
      <c r="P260" s="222"/>
      <c r="Q260" s="222"/>
      <c r="R260" s="222"/>
      <c r="S260" s="222"/>
      <c r="T260" s="222"/>
      <c r="U260" s="222"/>
      <c r="V260" s="222"/>
      <c r="W260" s="222"/>
    </row>
    <row r="261">
      <c r="A261" s="271"/>
      <c r="B261" s="222"/>
      <c r="C261" s="222"/>
      <c r="D261" s="222"/>
      <c r="E261" s="222"/>
      <c r="F261" s="222"/>
      <c r="G261" s="222"/>
      <c r="H261" s="271"/>
      <c r="I261" s="271"/>
      <c r="J261" s="271"/>
      <c r="K261" s="271"/>
      <c r="L261" s="271"/>
      <c r="M261" s="222"/>
      <c r="N261" s="222"/>
      <c r="O261" s="222"/>
      <c r="P261" s="222"/>
      <c r="Q261" s="222"/>
      <c r="R261" s="222"/>
      <c r="S261" s="222"/>
      <c r="T261" s="222"/>
      <c r="U261" s="222"/>
      <c r="V261" s="222"/>
      <c r="W261" s="222"/>
    </row>
    <row r="262">
      <c r="A262" s="271"/>
      <c r="B262" s="222"/>
      <c r="C262" s="222"/>
      <c r="D262" s="222"/>
      <c r="E262" s="222"/>
      <c r="F262" s="222"/>
      <c r="G262" s="222"/>
      <c r="H262" s="271"/>
      <c r="I262" s="271"/>
      <c r="J262" s="271"/>
      <c r="K262" s="271"/>
      <c r="L262" s="271"/>
      <c r="M262" s="222"/>
      <c r="N262" s="222"/>
      <c r="O262" s="222"/>
      <c r="P262" s="222"/>
      <c r="Q262" s="222"/>
      <c r="R262" s="222"/>
      <c r="S262" s="222"/>
      <c r="T262" s="222"/>
      <c r="U262" s="222"/>
      <c r="V262" s="222"/>
      <c r="W262" s="222"/>
    </row>
    <row r="263">
      <c r="A263" s="271"/>
      <c r="B263" s="222"/>
      <c r="C263" s="222"/>
      <c r="D263" s="222"/>
      <c r="E263" s="222"/>
      <c r="F263" s="222"/>
      <c r="G263" s="222"/>
      <c r="H263" s="271"/>
      <c r="I263" s="271"/>
      <c r="J263" s="271"/>
      <c r="K263" s="271"/>
      <c r="L263" s="271"/>
      <c r="M263" s="222"/>
      <c r="N263" s="222"/>
      <c r="O263" s="222"/>
      <c r="P263" s="222"/>
      <c r="Q263" s="222"/>
      <c r="R263" s="222"/>
      <c r="S263" s="222"/>
      <c r="T263" s="222"/>
      <c r="U263" s="222"/>
      <c r="V263" s="222"/>
      <c r="W263" s="222"/>
    </row>
    <row r="264">
      <c r="A264" s="271"/>
      <c r="B264" s="222"/>
      <c r="C264" s="222"/>
      <c r="D264" s="222"/>
      <c r="E264" s="222"/>
      <c r="F264" s="222"/>
      <c r="G264" s="222"/>
      <c r="H264" s="271"/>
      <c r="I264" s="271"/>
      <c r="J264" s="271"/>
      <c r="K264" s="271"/>
      <c r="L264" s="271"/>
      <c r="M264" s="222"/>
      <c r="N264" s="222"/>
      <c r="O264" s="222"/>
      <c r="P264" s="222"/>
      <c r="Q264" s="222"/>
      <c r="R264" s="222"/>
      <c r="S264" s="222"/>
      <c r="T264" s="222"/>
      <c r="U264" s="222"/>
      <c r="V264" s="222"/>
      <c r="W264" s="222"/>
    </row>
    <row r="265">
      <c r="A265" s="271"/>
      <c r="B265" s="222"/>
      <c r="C265" s="222"/>
      <c r="D265" s="222"/>
      <c r="E265" s="222"/>
      <c r="F265" s="222"/>
      <c r="G265" s="222"/>
      <c r="H265" s="271"/>
      <c r="I265" s="271"/>
      <c r="J265" s="271"/>
      <c r="K265" s="271"/>
      <c r="L265" s="271"/>
      <c r="M265" s="222"/>
      <c r="N265" s="222"/>
      <c r="O265" s="222"/>
      <c r="P265" s="222"/>
      <c r="Q265" s="222"/>
      <c r="R265" s="222"/>
      <c r="S265" s="222"/>
      <c r="T265" s="222"/>
      <c r="U265" s="222"/>
      <c r="V265" s="222"/>
      <c r="W265" s="222"/>
    </row>
    <row r="266">
      <c r="A266" s="271"/>
      <c r="B266" s="222"/>
      <c r="C266" s="222"/>
      <c r="D266" s="222"/>
      <c r="E266" s="222"/>
      <c r="F266" s="222"/>
      <c r="G266" s="222"/>
      <c r="H266" s="271"/>
      <c r="I266" s="271"/>
      <c r="J266" s="271"/>
      <c r="K266" s="271"/>
      <c r="L266" s="271"/>
      <c r="M266" s="222"/>
      <c r="N266" s="222"/>
      <c r="O266" s="222"/>
      <c r="P266" s="222"/>
      <c r="Q266" s="222"/>
      <c r="R266" s="222"/>
      <c r="S266" s="222"/>
      <c r="T266" s="222"/>
      <c r="U266" s="222"/>
      <c r="V266" s="222"/>
      <c r="W266" s="222"/>
    </row>
    <row r="267">
      <c r="A267" s="271"/>
      <c r="B267" s="222"/>
      <c r="C267" s="222"/>
      <c r="D267" s="222"/>
      <c r="E267" s="222"/>
      <c r="F267" s="222"/>
      <c r="G267" s="222"/>
      <c r="H267" s="271"/>
      <c r="I267" s="271"/>
      <c r="J267" s="271"/>
      <c r="K267" s="271"/>
      <c r="L267" s="271"/>
      <c r="M267" s="222"/>
      <c r="N267" s="222"/>
      <c r="O267" s="222"/>
      <c r="P267" s="222"/>
      <c r="Q267" s="222"/>
      <c r="R267" s="222"/>
      <c r="S267" s="222"/>
      <c r="T267" s="222"/>
      <c r="U267" s="222"/>
      <c r="V267" s="222"/>
      <c r="W267" s="222"/>
    </row>
    <row r="268">
      <c r="A268" s="271"/>
      <c r="B268" s="222"/>
      <c r="C268" s="222"/>
      <c r="D268" s="222"/>
      <c r="E268" s="222"/>
      <c r="F268" s="222"/>
      <c r="G268" s="222"/>
      <c r="H268" s="271"/>
      <c r="I268" s="271"/>
      <c r="J268" s="271"/>
      <c r="K268" s="271"/>
      <c r="L268" s="271"/>
      <c r="M268" s="222"/>
      <c r="N268" s="222"/>
      <c r="O268" s="222"/>
      <c r="P268" s="222"/>
      <c r="Q268" s="222"/>
      <c r="R268" s="222"/>
      <c r="S268" s="222"/>
      <c r="T268" s="222"/>
      <c r="U268" s="222"/>
      <c r="V268" s="222"/>
      <c r="W268" s="222"/>
    </row>
    <row r="269">
      <c r="A269" s="271"/>
      <c r="B269" s="222"/>
      <c r="C269" s="222"/>
      <c r="D269" s="222"/>
      <c r="E269" s="222"/>
      <c r="F269" s="222"/>
      <c r="G269" s="222"/>
      <c r="H269" s="271"/>
      <c r="I269" s="271"/>
      <c r="J269" s="271"/>
      <c r="K269" s="271"/>
      <c r="L269" s="271"/>
      <c r="M269" s="222"/>
      <c r="N269" s="222"/>
      <c r="O269" s="222"/>
      <c r="P269" s="222"/>
      <c r="Q269" s="222"/>
      <c r="R269" s="222"/>
      <c r="S269" s="222"/>
      <c r="T269" s="222"/>
      <c r="U269" s="222"/>
      <c r="V269" s="222"/>
      <c r="W269" s="222"/>
    </row>
    <row r="270">
      <c r="A270" s="271"/>
      <c r="B270" s="222"/>
      <c r="C270" s="222"/>
      <c r="D270" s="222"/>
      <c r="E270" s="222"/>
      <c r="F270" s="222"/>
      <c r="G270" s="222"/>
      <c r="H270" s="271"/>
      <c r="I270" s="271"/>
      <c r="J270" s="271"/>
      <c r="K270" s="271"/>
      <c r="L270" s="271"/>
      <c r="M270" s="222"/>
      <c r="N270" s="222"/>
      <c r="O270" s="222"/>
      <c r="P270" s="222"/>
      <c r="Q270" s="222"/>
      <c r="R270" s="222"/>
      <c r="S270" s="222"/>
      <c r="T270" s="222"/>
      <c r="U270" s="222"/>
      <c r="V270" s="222"/>
      <c r="W270" s="222"/>
    </row>
    <row r="271">
      <c r="A271" s="271"/>
      <c r="B271" s="222"/>
      <c r="C271" s="222"/>
      <c r="D271" s="222"/>
      <c r="E271" s="222"/>
      <c r="F271" s="222"/>
      <c r="G271" s="222"/>
      <c r="H271" s="271"/>
      <c r="I271" s="271"/>
      <c r="J271" s="271"/>
      <c r="K271" s="271"/>
      <c r="L271" s="271"/>
      <c r="M271" s="222"/>
      <c r="N271" s="222"/>
      <c r="O271" s="222"/>
      <c r="P271" s="222"/>
      <c r="Q271" s="222"/>
      <c r="R271" s="222"/>
      <c r="S271" s="222"/>
      <c r="T271" s="222"/>
      <c r="U271" s="222"/>
      <c r="V271" s="222"/>
      <c r="W271" s="222"/>
    </row>
    <row r="272">
      <c r="A272" s="271"/>
      <c r="B272" s="222"/>
      <c r="C272" s="222"/>
      <c r="D272" s="222"/>
      <c r="E272" s="222"/>
      <c r="F272" s="222"/>
      <c r="G272" s="222"/>
      <c r="H272" s="271"/>
      <c r="I272" s="271"/>
      <c r="J272" s="271"/>
      <c r="K272" s="271"/>
      <c r="L272" s="271"/>
      <c r="M272" s="222"/>
      <c r="N272" s="222"/>
      <c r="O272" s="222"/>
      <c r="P272" s="222"/>
      <c r="Q272" s="222"/>
      <c r="R272" s="222"/>
      <c r="S272" s="222"/>
      <c r="T272" s="222"/>
      <c r="U272" s="222"/>
      <c r="V272" s="222"/>
      <c r="W272" s="222"/>
    </row>
    <row r="273">
      <c r="A273" s="271"/>
      <c r="B273" s="222"/>
      <c r="C273" s="222"/>
      <c r="D273" s="222"/>
      <c r="E273" s="222"/>
      <c r="F273" s="222"/>
      <c r="G273" s="222"/>
      <c r="H273" s="271"/>
      <c r="I273" s="271"/>
      <c r="J273" s="271"/>
      <c r="K273" s="271"/>
      <c r="L273" s="271"/>
      <c r="M273" s="222"/>
      <c r="N273" s="222"/>
      <c r="O273" s="222"/>
      <c r="P273" s="222"/>
      <c r="Q273" s="222"/>
      <c r="R273" s="222"/>
      <c r="S273" s="222"/>
      <c r="T273" s="222"/>
      <c r="U273" s="222"/>
      <c r="V273" s="222"/>
      <c r="W273" s="222"/>
    </row>
    <row r="274">
      <c r="A274" s="271"/>
      <c r="B274" s="222"/>
      <c r="C274" s="222"/>
      <c r="D274" s="222"/>
      <c r="E274" s="222"/>
      <c r="F274" s="222"/>
      <c r="G274" s="222"/>
      <c r="H274" s="271"/>
      <c r="I274" s="271"/>
      <c r="J274" s="271"/>
      <c r="K274" s="271"/>
      <c r="L274" s="271"/>
      <c r="M274" s="222"/>
      <c r="N274" s="222"/>
      <c r="O274" s="222"/>
      <c r="P274" s="222"/>
      <c r="Q274" s="222"/>
      <c r="R274" s="222"/>
      <c r="S274" s="222"/>
      <c r="T274" s="222"/>
      <c r="U274" s="222"/>
      <c r="V274" s="222"/>
      <c r="W274" s="222"/>
    </row>
    <row r="275">
      <c r="A275" s="271"/>
      <c r="B275" s="222"/>
      <c r="C275" s="222"/>
      <c r="D275" s="222"/>
      <c r="E275" s="222"/>
      <c r="F275" s="222"/>
      <c r="G275" s="222"/>
      <c r="H275" s="271"/>
      <c r="I275" s="271"/>
      <c r="J275" s="271"/>
      <c r="K275" s="271"/>
      <c r="L275" s="271"/>
      <c r="M275" s="222"/>
      <c r="N275" s="222"/>
      <c r="O275" s="222"/>
      <c r="P275" s="222"/>
      <c r="Q275" s="222"/>
      <c r="R275" s="222"/>
      <c r="S275" s="222"/>
      <c r="T275" s="222"/>
      <c r="U275" s="222"/>
      <c r="V275" s="222"/>
      <c r="W275" s="222"/>
    </row>
    <row r="276">
      <c r="A276" s="271"/>
      <c r="B276" s="222"/>
      <c r="C276" s="222"/>
      <c r="D276" s="222"/>
      <c r="E276" s="222"/>
      <c r="F276" s="222"/>
      <c r="G276" s="222"/>
      <c r="H276" s="271"/>
      <c r="I276" s="271"/>
      <c r="J276" s="271"/>
      <c r="K276" s="271"/>
      <c r="L276" s="271"/>
      <c r="M276" s="222"/>
      <c r="N276" s="222"/>
      <c r="O276" s="222"/>
      <c r="P276" s="222"/>
      <c r="Q276" s="222"/>
      <c r="R276" s="222"/>
      <c r="S276" s="222"/>
      <c r="T276" s="222"/>
      <c r="U276" s="222"/>
      <c r="V276" s="222"/>
      <c r="W276" s="222"/>
    </row>
    <row r="277">
      <c r="A277" s="271"/>
      <c r="B277" s="222"/>
      <c r="C277" s="222"/>
      <c r="D277" s="222"/>
      <c r="E277" s="222"/>
      <c r="F277" s="222"/>
      <c r="G277" s="222"/>
      <c r="H277" s="271"/>
      <c r="I277" s="271"/>
      <c r="J277" s="271"/>
      <c r="K277" s="271"/>
      <c r="L277" s="271"/>
      <c r="M277" s="222"/>
      <c r="N277" s="222"/>
      <c r="O277" s="222"/>
      <c r="P277" s="222"/>
      <c r="Q277" s="222"/>
      <c r="R277" s="222"/>
      <c r="S277" s="222"/>
      <c r="T277" s="222"/>
      <c r="U277" s="222"/>
      <c r="V277" s="222"/>
      <c r="W277" s="222"/>
    </row>
    <row r="278">
      <c r="A278" s="271"/>
      <c r="B278" s="222"/>
      <c r="C278" s="222"/>
      <c r="D278" s="222"/>
      <c r="E278" s="222"/>
      <c r="F278" s="222"/>
      <c r="G278" s="222"/>
      <c r="H278" s="271"/>
      <c r="I278" s="271"/>
      <c r="J278" s="271"/>
      <c r="K278" s="271"/>
      <c r="L278" s="271"/>
      <c r="M278" s="222"/>
      <c r="N278" s="222"/>
      <c r="O278" s="222"/>
      <c r="P278" s="222"/>
      <c r="Q278" s="222"/>
      <c r="R278" s="222"/>
      <c r="S278" s="222"/>
      <c r="T278" s="222"/>
      <c r="U278" s="222"/>
      <c r="V278" s="222"/>
      <c r="W278" s="222"/>
    </row>
    <row r="279">
      <c r="A279" s="271"/>
      <c r="B279" s="222"/>
      <c r="C279" s="222"/>
      <c r="D279" s="222"/>
      <c r="E279" s="222"/>
      <c r="F279" s="222"/>
      <c r="G279" s="222"/>
      <c r="H279" s="271"/>
      <c r="I279" s="271"/>
      <c r="J279" s="271"/>
      <c r="K279" s="271"/>
      <c r="L279" s="271"/>
      <c r="M279" s="222"/>
      <c r="N279" s="222"/>
      <c r="O279" s="222"/>
      <c r="P279" s="222"/>
      <c r="Q279" s="222"/>
      <c r="R279" s="222"/>
      <c r="S279" s="222"/>
      <c r="T279" s="222"/>
      <c r="U279" s="222"/>
      <c r="V279" s="222"/>
      <c r="W279" s="222"/>
    </row>
    <row r="280">
      <c r="A280" s="271"/>
      <c r="B280" s="222"/>
      <c r="C280" s="222"/>
      <c r="D280" s="222"/>
      <c r="E280" s="222"/>
      <c r="F280" s="222"/>
      <c r="G280" s="222"/>
      <c r="H280" s="271"/>
      <c r="I280" s="271"/>
      <c r="J280" s="271"/>
      <c r="K280" s="271"/>
      <c r="L280" s="271"/>
      <c r="M280" s="222"/>
      <c r="N280" s="222"/>
      <c r="O280" s="222"/>
      <c r="P280" s="222"/>
      <c r="Q280" s="222"/>
      <c r="R280" s="222"/>
      <c r="S280" s="222"/>
      <c r="T280" s="222"/>
      <c r="U280" s="222"/>
      <c r="V280" s="222"/>
      <c r="W280" s="222"/>
    </row>
    <row r="281">
      <c r="A281" s="271"/>
      <c r="B281" s="222"/>
      <c r="C281" s="222"/>
      <c r="D281" s="222"/>
      <c r="E281" s="222"/>
      <c r="F281" s="222"/>
      <c r="G281" s="222"/>
      <c r="H281" s="271"/>
      <c r="I281" s="271"/>
      <c r="J281" s="271"/>
      <c r="K281" s="271"/>
      <c r="L281" s="271"/>
      <c r="M281" s="222"/>
      <c r="N281" s="222"/>
      <c r="O281" s="222"/>
      <c r="P281" s="222"/>
      <c r="Q281" s="222"/>
      <c r="R281" s="222"/>
      <c r="S281" s="222"/>
      <c r="T281" s="222"/>
      <c r="U281" s="222"/>
      <c r="V281" s="222"/>
      <c r="W281" s="222"/>
    </row>
    <row r="282">
      <c r="A282" s="271"/>
      <c r="B282" s="222"/>
      <c r="C282" s="222"/>
      <c r="D282" s="222"/>
      <c r="E282" s="222"/>
      <c r="F282" s="222"/>
      <c r="G282" s="222"/>
      <c r="H282" s="271"/>
      <c r="I282" s="271"/>
      <c r="J282" s="271"/>
      <c r="K282" s="271"/>
      <c r="L282" s="271"/>
      <c r="M282" s="222"/>
      <c r="N282" s="222"/>
      <c r="O282" s="222"/>
      <c r="P282" s="222"/>
      <c r="Q282" s="222"/>
      <c r="R282" s="222"/>
      <c r="S282" s="222"/>
      <c r="T282" s="222"/>
      <c r="U282" s="222"/>
      <c r="V282" s="222"/>
      <c r="W282" s="222"/>
    </row>
    <row r="283">
      <c r="A283" s="271"/>
      <c r="B283" s="222"/>
      <c r="C283" s="222"/>
      <c r="D283" s="222"/>
      <c r="E283" s="222"/>
      <c r="F283" s="222"/>
      <c r="G283" s="222"/>
      <c r="H283" s="271"/>
      <c r="I283" s="271"/>
      <c r="J283" s="271"/>
      <c r="K283" s="271"/>
      <c r="L283" s="271"/>
      <c r="M283" s="222"/>
      <c r="N283" s="222"/>
      <c r="O283" s="222"/>
      <c r="P283" s="222"/>
      <c r="Q283" s="222"/>
      <c r="R283" s="222"/>
      <c r="S283" s="222"/>
      <c r="T283" s="222"/>
      <c r="U283" s="222"/>
      <c r="V283" s="222"/>
      <c r="W283" s="222"/>
    </row>
    <row r="284">
      <c r="A284" s="271"/>
      <c r="B284" s="222"/>
      <c r="C284" s="222"/>
      <c r="D284" s="222"/>
      <c r="E284" s="222"/>
      <c r="F284" s="222"/>
      <c r="G284" s="222"/>
      <c r="H284" s="271"/>
      <c r="I284" s="271"/>
      <c r="J284" s="271"/>
      <c r="K284" s="271"/>
      <c r="L284" s="271"/>
      <c r="M284" s="222"/>
      <c r="N284" s="222"/>
      <c r="O284" s="222"/>
      <c r="P284" s="222"/>
      <c r="Q284" s="222"/>
      <c r="R284" s="222"/>
      <c r="S284" s="222"/>
      <c r="T284" s="222"/>
      <c r="U284" s="222"/>
      <c r="V284" s="222"/>
      <c r="W284" s="222"/>
    </row>
    <row r="285">
      <c r="A285" s="271"/>
      <c r="B285" s="222"/>
      <c r="C285" s="222"/>
      <c r="D285" s="222"/>
      <c r="E285" s="222"/>
      <c r="F285" s="222"/>
      <c r="G285" s="222"/>
      <c r="H285" s="271"/>
      <c r="I285" s="271"/>
      <c r="J285" s="271"/>
      <c r="K285" s="271"/>
      <c r="L285" s="271"/>
      <c r="M285" s="222"/>
      <c r="N285" s="222"/>
      <c r="O285" s="222"/>
      <c r="P285" s="222"/>
      <c r="Q285" s="222"/>
      <c r="R285" s="222"/>
      <c r="S285" s="222"/>
      <c r="T285" s="222"/>
      <c r="U285" s="222"/>
      <c r="V285" s="222"/>
      <c r="W285" s="222"/>
    </row>
    <row r="286">
      <c r="A286" s="271"/>
      <c r="B286" s="222"/>
      <c r="C286" s="222"/>
      <c r="D286" s="222"/>
      <c r="E286" s="222"/>
      <c r="F286" s="222"/>
      <c r="G286" s="222"/>
      <c r="H286" s="271"/>
      <c r="I286" s="271"/>
      <c r="J286" s="271"/>
      <c r="K286" s="271"/>
      <c r="L286" s="271"/>
      <c r="M286" s="222"/>
      <c r="N286" s="222"/>
      <c r="O286" s="222"/>
      <c r="P286" s="222"/>
      <c r="Q286" s="222"/>
      <c r="R286" s="222"/>
      <c r="S286" s="222"/>
      <c r="T286" s="222"/>
      <c r="U286" s="222"/>
      <c r="V286" s="222"/>
      <c r="W286" s="222"/>
    </row>
    <row r="287">
      <c r="A287" s="271"/>
      <c r="B287" s="222"/>
      <c r="C287" s="222"/>
      <c r="D287" s="222"/>
      <c r="E287" s="222"/>
      <c r="F287" s="222"/>
      <c r="G287" s="222"/>
      <c r="H287" s="271"/>
      <c r="I287" s="271"/>
      <c r="J287" s="271"/>
      <c r="K287" s="271"/>
      <c r="L287" s="271"/>
      <c r="M287" s="222"/>
      <c r="N287" s="222"/>
      <c r="O287" s="222"/>
      <c r="P287" s="222"/>
      <c r="Q287" s="222"/>
      <c r="R287" s="222"/>
      <c r="S287" s="222"/>
      <c r="T287" s="222"/>
      <c r="U287" s="222"/>
      <c r="V287" s="222"/>
      <c r="W287" s="222"/>
    </row>
    <row r="288">
      <c r="A288" s="271"/>
      <c r="B288" s="222"/>
      <c r="C288" s="222"/>
      <c r="D288" s="222"/>
      <c r="E288" s="222"/>
      <c r="F288" s="222"/>
      <c r="G288" s="222"/>
      <c r="H288" s="271"/>
      <c r="I288" s="271"/>
      <c r="J288" s="271"/>
      <c r="K288" s="271"/>
      <c r="L288" s="271"/>
      <c r="M288" s="222"/>
      <c r="N288" s="222"/>
      <c r="O288" s="222"/>
      <c r="P288" s="222"/>
      <c r="Q288" s="222"/>
      <c r="R288" s="222"/>
      <c r="S288" s="222"/>
      <c r="T288" s="222"/>
      <c r="U288" s="222"/>
      <c r="V288" s="222"/>
      <c r="W288" s="222"/>
    </row>
    <row r="289">
      <c r="A289" s="271"/>
      <c r="B289" s="222"/>
      <c r="C289" s="222"/>
      <c r="D289" s="222"/>
      <c r="E289" s="222"/>
      <c r="F289" s="222"/>
      <c r="G289" s="222"/>
      <c r="H289" s="271"/>
      <c r="I289" s="271"/>
      <c r="J289" s="271"/>
      <c r="K289" s="271"/>
      <c r="L289" s="271"/>
      <c r="M289" s="222"/>
      <c r="N289" s="222"/>
      <c r="O289" s="222"/>
      <c r="P289" s="222"/>
      <c r="Q289" s="222"/>
      <c r="R289" s="222"/>
      <c r="S289" s="222"/>
      <c r="T289" s="222"/>
      <c r="U289" s="222"/>
      <c r="V289" s="222"/>
      <c r="W289" s="222"/>
    </row>
    <row r="290">
      <c r="A290" s="271"/>
      <c r="B290" s="222"/>
      <c r="C290" s="222"/>
      <c r="D290" s="222"/>
      <c r="E290" s="222"/>
      <c r="F290" s="222"/>
      <c r="G290" s="222"/>
      <c r="H290" s="271"/>
      <c r="I290" s="271"/>
      <c r="J290" s="271"/>
      <c r="K290" s="271"/>
      <c r="L290" s="271"/>
      <c r="M290" s="222"/>
      <c r="N290" s="222"/>
      <c r="O290" s="222"/>
      <c r="P290" s="222"/>
      <c r="Q290" s="222"/>
      <c r="R290" s="222"/>
      <c r="S290" s="222"/>
      <c r="T290" s="222"/>
      <c r="U290" s="222"/>
      <c r="V290" s="222"/>
      <c r="W290" s="222"/>
    </row>
    <row r="291">
      <c r="A291" s="271"/>
      <c r="B291" s="222"/>
      <c r="C291" s="222"/>
      <c r="D291" s="222"/>
      <c r="E291" s="222"/>
      <c r="F291" s="222"/>
      <c r="G291" s="222"/>
      <c r="H291" s="271"/>
      <c r="I291" s="271"/>
      <c r="J291" s="271"/>
      <c r="K291" s="271"/>
      <c r="L291" s="271"/>
      <c r="M291" s="222"/>
      <c r="N291" s="222"/>
      <c r="O291" s="222"/>
      <c r="P291" s="222"/>
      <c r="Q291" s="222"/>
      <c r="R291" s="222"/>
      <c r="S291" s="222"/>
      <c r="T291" s="222"/>
      <c r="U291" s="222"/>
      <c r="V291" s="222"/>
      <c r="W291" s="222"/>
    </row>
    <row r="292">
      <c r="A292" s="271"/>
      <c r="B292" s="222"/>
      <c r="C292" s="222"/>
      <c r="D292" s="222"/>
      <c r="E292" s="222"/>
      <c r="F292" s="222"/>
      <c r="G292" s="222"/>
      <c r="H292" s="271"/>
      <c r="I292" s="271"/>
      <c r="J292" s="271"/>
      <c r="K292" s="271"/>
      <c r="L292" s="271"/>
      <c r="M292" s="222"/>
      <c r="N292" s="222"/>
      <c r="O292" s="222"/>
      <c r="P292" s="222"/>
      <c r="Q292" s="222"/>
      <c r="R292" s="222"/>
      <c r="S292" s="222"/>
      <c r="T292" s="222"/>
      <c r="U292" s="222"/>
      <c r="V292" s="222"/>
      <c r="W292" s="222"/>
    </row>
    <row r="293">
      <c r="A293" s="271"/>
      <c r="B293" s="222"/>
      <c r="C293" s="222"/>
      <c r="D293" s="222"/>
      <c r="E293" s="222"/>
      <c r="F293" s="222"/>
      <c r="G293" s="222"/>
      <c r="H293" s="271"/>
      <c r="I293" s="271"/>
      <c r="J293" s="271"/>
      <c r="K293" s="271"/>
      <c r="L293" s="271"/>
      <c r="M293" s="222"/>
      <c r="N293" s="222"/>
      <c r="O293" s="222"/>
      <c r="P293" s="222"/>
      <c r="Q293" s="222"/>
      <c r="R293" s="222"/>
      <c r="S293" s="222"/>
      <c r="T293" s="222"/>
      <c r="U293" s="222"/>
      <c r="V293" s="222"/>
      <c r="W293" s="222"/>
    </row>
    <row r="294">
      <c r="A294" s="271"/>
      <c r="B294" s="222"/>
      <c r="C294" s="222"/>
      <c r="D294" s="222"/>
      <c r="E294" s="222"/>
      <c r="F294" s="222"/>
      <c r="G294" s="222"/>
      <c r="H294" s="271"/>
      <c r="I294" s="271"/>
      <c r="J294" s="271"/>
      <c r="K294" s="271"/>
      <c r="L294" s="271"/>
      <c r="M294" s="222"/>
      <c r="N294" s="222"/>
      <c r="O294" s="222"/>
      <c r="P294" s="222"/>
      <c r="Q294" s="222"/>
      <c r="R294" s="222"/>
      <c r="S294" s="222"/>
      <c r="T294" s="222"/>
      <c r="U294" s="222"/>
      <c r="V294" s="222"/>
      <c r="W294" s="222"/>
    </row>
    <row r="295">
      <c r="A295" s="271"/>
      <c r="B295" s="222"/>
      <c r="C295" s="222"/>
      <c r="D295" s="222"/>
      <c r="E295" s="222"/>
      <c r="F295" s="222"/>
      <c r="G295" s="222"/>
      <c r="H295" s="271"/>
      <c r="I295" s="271"/>
      <c r="J295" s="271"/>
      <c r="K295" s="271"/>
      <c r="L295" s="271"/>
      <c r="M295" s="222"/>
      <c r="N295" s="222"/>
      <c r="O295" s="222"/>
      <c r="P295" s="222"/>
      <c r="Q295" s="222"/>
      <c r="R295" s="222"/>
      <c r="S295" s="222"/>
      <c r="T295" s="222"/>
      <c r="U295" s="222"/>
      <c r="V295" s="222"/>
      <c r="W295" s="222"/>
    </row>
    <row r="296">
      <c r="A296" s="271"/>
      <c r="B296" s="222"/>
      <c r="C296" s="222"/>
      <c r="D296" s="222"/>
      <c r="E296" s="222"/>
      <c r="F296" s="222"/>
      <c r="G296" s="222"/>
      <c r="H296" s="271"/>
      <c r="I296" s="271"/>
      <c r="J296" s="271"/>
      <c r="K296" s="271"/>
      <c r="L296" s="271"/>
      <c r="M296" s="222"/>
      <c r="N296" s="222"/>
      <c r="O296" s="222"/>
      <c r="P296" s="222"/>
      <c r="Q296" s="222"/>
      <c r="R296" s="222"/>
      <c r="S296" s="222"/>
      <c r="T296" s="222"/>
      <c r="U296" s="222"/>
      <c r="V296" s="222"/>
      <c r="W296" s="222"/>
    </row>
    <row r="297">
      <c r="A297" s="271"/>
      <c r="B297" s="222"/>
      <c r="C297" s="222"/>
      <c r="D297" s="222"/>
      <c r="E297" s="222"/>
      <c r="F297" s="222"/>
      <c r="G297" s="222"/>
      <c r="H297" s="271"/>
      <c r="I297" s="271"/>
      <c r="J297" s="271"/>
      <c r="K297" s="271"/>
      <c r="L297" s="271"/>
      <c r="M297" s="222"/>
      <c r="N297" s="222"/>
      <c r="O297" s="222"/>
      <c r="P297" s="222"/>
      <c r="Q297" s="222"/>
      <c r="R297" s="222"/>
      <c r="S297" s="222"/>
      <c r="T297" s="222"/>
      <c r="U297" s="222"/>
      <c r="V297" s="222"/>
      <c r="W297" s="222"/>
    </row>
    <row r="298">
      <c r="A298" s="271"/>
      <c r="B298" s="222"/>
      <c r="C298" s="222"/>
      <c r="D298" s="222"/>
      <c r="E298" s="222"/>
      <c r="F298" s="222"/>
      <c r="G298" s="222"/>
      <c r="H298" s="271"/>
      <c r="I298" s="271"/>
      <c r="J298" s="271"/>
      <c r="K298" s="271"/>
      <c r="L298" s="271"/>
      <c r="M298" s="222"/>
      <c r="N298" s="222"/>
      <c r="O298" s="222"/>
      <c r="P298" s="222"/>
      <c r="Q298" s="222"/>
      <c r="R298" s="222"/>
      <c r="S298" s="222"/>
      <c r="T298" s="222"/>
      <c r="U298" s="222"/>
      <c r="V298" s="222"/>
      <c r="W298" s="222"/>
    </row>
    <row r="299">
      <c r="A299" s="271"/>
      <c r="B299" s="222"/>
      <c r="C299" s="222"/>
      <c r="D299" s="222"/>
      <c r="E299" s="222"/>
      <c r="F299" s="222"/>
      <c r="G299" s="222"/>
      <c r="H299" s="271"/>
      <c r="I299" s="271"/>
      <c r="J299" s="271"/>
      <c r="K299" s="271"/>
      <c r="L299" s="271"/>
      <c r="M299" s="222"/>
      <c r="N299" s="222"/>
      <c r="O299" s="222"/>
      <c r="P299" s="222"/>
      <c r="Q299" s="222"/>
      <c r="R299" s="222"/>
      <c r="S299" s="222"/>
      <c r="T299" s="222"/>
      <c r="U299" s="222"/>
      <c r="V299" s="222"/>
      <c r="W299" s="222"/>
    </row>
    <row r="300">
      <c r="A300" s="271"/>
      <c r="B300" s="222"/>
      <c r="C300" s="222"/>
      <c r="D300" s="222"/>
      <c r="E300" s="222"/>
      <c r="F300" s="222"/>
      <c r="G300" s="222"/>
      <c r="H300" s="271"/>
      <c r="I300" s="271"/>
      <c r="J300" s="271"/>
      <c r="K300" s="271"/>
      <c r="L300" s="271"/>
      <c r="M300" s="222"/>
      <c r="N300" s="222"/>
      <c r="O300" s="222"/>
      <c r="P300" s="222"/>
      <c r="Q300" s="222"/>
      <c r="R300" s="222"/>
      <c r="S300" s="222"/>
      <c r="T300" s="222"/>
      <c r="U300" s="222"/>
      <c r="V300" s="222"/>
      <c r="W300" s="222"/>
    </row>
    <row r="301">
      <c r="A301" s="271"/>
      <c r="B301" s="222"/>
      <c r="C301" s="222"/>
      <c r="D301" s="222"/>
      <c r="E301" s="222"/>
      <c r="F301" s="222"/>
      <c r="G301" s="222"/>
      <c r="H301" s="271"/>
      <c r="I301" s="271"/>
      <c r="J301" s="271"/>
      <c r="K301" s="271"/>
      <c r="L301" s="271"/>
      <c r="M301" s="222"/>
      <c r="N301" s="222"/>
      <c r="O301" s="222"/>
      <c r="P301" s="222"/>
      <c r="Q301" s="222"/>
      <c r="R301" s="222"/>
      <c r="S301" s="222"/>
      <c r="T301" s="222"/>
      <c r="U301" s="222"/>
      <c r="V301" s="222"/>
      <c r="W301" s="222"/>
    </row>
    <row r="302">
      <c r="A302" s="271"/>
      <c r="B302" s="222"/>
      <c r="C302" s="222"/>
      <c r="D302" s="222"/>
      <c r="E302" s="222"/>
      <c r="F302" s="222"/>
      <c r="G302" s="222"/>
      <c r="H302" s="271"/>
      <c r="I302" s="271"/>
      <c r="J302" s="271"/>
      <c r="K302" s="271"/>
      <c r="L302" s="271"/>
      <c r="M302" s="222"/>
      <c r="N302" s="222"/>
      <c r="O302" s="222"/>
      <c r="P302" s="222"/>
      <c r="Q302" s="222"/>
      <c r="R302" s="222"/>
      <c r="S302" s="222"/>
      <c r="T302" s="222"/>
      <c r="U302" s="222"/>
      <c r="V302" s="222"/>
      <c r="W302" s="222"/>
    </row>
    <row r="303">
      <c r="A303" s="271"/>
      <c r="B303" s="222"/>
      <c r="C303" s="222"/>
      <c r="D303" s="222"/>
      <c r="E303" s="222"/>
      <c r="F303" s="222"/>
      <c r="G303" s="222"/>
      <c r="H303" s="271"/>
      <c r="I303" s="271"/>
      <c r="J303" s="271"/>
      <c r="K303" s="271"/>
      <c r="L303" s="271"/>
      <c r="M303" s="222"/>
      <c r="N303" s="222"/>
      <c r="O303" s="222"/>
      <c r="P303" s="222"/>
      <c r="Q303" s="222"/>
      <c r="R303" s="222"/>
      <c r="S303" s="222"/>
      <c r="T303" s="222"/>
      <c r="U303" s="222"/>
      <c r="V303" s="222"/>
      <c r="W303" s="222"/>
    </row>
    <row r="304">
      <c r="A304" s="271"/>
      <c r="B304" s="222"/>
      <c r="C304" s="222"/>
      <c r="D304" s="222"/>
      <c r="E304" s="222"/>
      <c r="F304" s="222"/>
      <c r="G304" s="222"/>
      <c r="H304" s="271"/>
      <c r="I304" s="271"/>
      <c r="J304" s="271"/>
      <c r="K304" s="271"/>
      <c r="L304" s="271"/>
      <c r="M304" s="222"/>
      <c r="N304" s="222"/>
      <c r="O304" s="222"/>
      <c r="P304" s="222"/>
      <c r="Q304" s="222"/>
      <c r="R304" s="222"/>
      <c r="S304" s="222"/>
      <c r="T304" s="222"/>
      <c r="U304" s="222"/>
      <c r="V304" s="222"/>
      <c r="W304" s="222"/>
    </row>
    <row r="305">
      <c r="A305" s="271"/>
      <c r="B305" s="222"/>
      <c r="C305" s="222"/>
      <c r="D305" s="222"/>
      <c r="E305" s="222"/>
      <c r="F305" s="222"/>
      <c r="G305" s="222"/>
      <c r="H305" s="271"/>
      <c r="I305" s="271"/>
      <c r="J305" s="271"/>
      <c r="K305" s="271"/>
      <c r="L305" s="271"/>
      <c r="M305" s="222"/>
      <c r="N305" s="222"/>
      <c r="O305" s="222"/>
      <c r="P305" s="222"/>
      <c r="Q305" s="222"/>
      <c r="R305" s="222"/>
      <c r="S305" s="222"/>
      <c r="T305" s="222"/>
      <c r="U305" s="222"/>
      <c r="V305" s="222"/>
      <c r="W305" s="222"/>
    </row>
    <row r="306">
      <c r="A306" s="271"/>
      <c r="B306" s="222"/>
      <c r="C306" s="222"/>
      <c r="D306" s="222"/>
      <c r="E306" s="222"/>
      <c r="F306" s="222"/>
      <c r="G306" s="222"/>
      <c r="H306" s="271"/>
      <c r="I306" s="271"/>
      <c r="J306" s="271"/>
      <c r="K306" s="271"/>
      <c r="L306" s="271"/>
      <c r="M306" s="222"/>
      <c r="N306" s="222"/>
      <c r="O306" s="222"/>
      <c r="P306" s="222"/>
      <c r="Q306" s="222"/>
      <c r="R306" s="222"/>
      <c r="S306" s="222"/>
      <c r="T306" s="222"/>
      <c r="U306" s="222"/>
      <c r="V306" s="222"/>
      <c r="W306" s="222"/>
    </row>
    <row r="307">
      <c r="A307" s="271"/>
      <c r="B307" s="222"/>
      <c r="C307" s="222"/>
      <c r="D307" s="222"/>
      <c r="E307" s="222"/>
      <c r="F307" s="222"/>
      <c r="G307" s="222"/>
      <c r="H307" s="271"/>
      <c r="I307" s="271"/>
      <c r="J307" s="271"/>
      <c r="K307" s="271"/>
      <c r="L307" s="271"/>
      <c r="M307" s="222"/>
      <c r="N307" s="222"/>
      <c r="O307" s="222"/>
      <c r="P307" s="222"/>
      <c r="Q307" s="222"/>
      <c r="R307" s="222"/>
      <c r="S307" s="222"/>
      <c r="T307" s="222"/>
      <c r="U307" s="222"/>
      <c r="V307" s="222"/>
      <c r="W307" s="222"/>
    </row>
    <row r="308">
      <c r="A308" s="271"/>
      <c r="B308" s="222"/>
      <c r="C308" s="222"/>
      <c r="D308" s="222"/>
      <c r="E308" s="222"/>
      <c r="F308" s="222"/>
      <c r="G308" s="222"/>
      <c r="H308" s="271"/>
      <c r="I308" s="271"/>
      <c r="J308" s="271"/>
      <c r="K308" s="271"/>
      <c r="L308" s="271"/>
      <c r="M308" s="222"/>
      <c r="N308" s="222"/>
      <c r="O308" s="222"/>
      <c r="P308" s="222"/>
      <c r="Q308" s="222"/>
      <c r="R308" s="222"/>
      <c r="S308" s="222"/>
      <c r="T308" s="222"/>
      <c r="U308" s="222"/>
      <c r="V308" s="222"/>
      <c r="W308" s="222"/>
    </row>
    <row r="309">
      <c r="A309" s="271"/>
      <c r="B309" s="222"/>
      <c r="C309" s="222"/>
      <c r="D309" s="222"/>
      <c r="E309" s="222"/>
      <c r="F309" s="222"/>
      <c r="G309" s="222"/>
      <c r="H309" s="271"/>
      <c r="I309" s="271"/>
      <c r="J309" s="271"/>
      <c r="K309" s="271"/>
      <c r="L309" s="271"/>
      <c r="M309" s="222"/>
      <c r="N309" s="222"/>
      <c r="O309" s="222"/>
      <c r="P309" s="222"/>
      <c r="Q309" s="222"/>
      <c r="R309" s="222"/>
      <c r="S309" s="222"/>
      <c r="T309" s="222"/>
      <c r="U309" s="222"/>
      <c r="V309" s="222"/>
      <c r="W309" s="222"/>
    </row>
    <row r="310">
      <c r="A310" s="271"/>
      <c r="B310" s="222"/>
      <c r="C310" s="222"/>
      <c r="D310" s="222"/>
      <c r="E310" s="222"/>
      <c r="F310" s="222"/>
      <c r="G310" s="222"/>
      <c r="H310" s="271"/>
      <c r="I310" s="271"/>
      <c r="J310" s="271"/>
      <c r="K310" s="271"/>
      <c r="L310" s="271"/>
      <c r="M310" s="222"/>
      <c r="N310" s="222"/>
      <c r="O310" s="222"/>
      <c r="P310" s="222"/>
      <c r="Q310" s="222"/>
      <c r="R310" s="222"/>
      <c r="S310" s="222"/>
      <c r="T310" s="222"/>
      <c r="U310" s="222"/>
      <c r="V310" s="222"/>
      <c r="W310" s="222"/>
    </row>
    <row r="311">
      <c r="A311" s="271"/>
      <c r="B311" s="222"/>
      <c r="C311" s="222"/>
      <c r="D311" s="222"/>
      <c r="E311" s="222"/>
      <c r="F311" s="222"/>
      <c r="G311" s="222"/>
      <c r="H311" s="271"/>
      <c r="I311" s="271"/>
      <c r="J311" s="271"/>
      <c r="K311" s="271"/>
      <c r="L311" s="271"/>
      <c r="M311" s="222"/>
      <c r="N311" s="222"/>
      <c r="O311" s="222"/>
      <c r="P311" s="222"/>
      <c r="Q311" s="222"/>
      <c r="R311" s="222"/>
      <c r="S311" s="222"/>
      <c r="T311" s="222"/>
      <c r="U311" s="222"/>
      <c r="V311" s="222"/>
      <c r="W311" s="222"/>
    </row>
    <row r="312">
      <c r="A312" s="271"/>
      <c r="B312" s="222"/>
      <c r="C312" s="222"/>
      <c r="D312" s="222"/>
      <c r="E312" s="222"/>
      <c r="F312" s="222"/>
      <c r="G312" s="222"/>
      <c r="H312" s="271"/>
      <c r="I312" s="271"/>
      <c r="J312" s="271"/>
      <c r="K312" s="271"/>
      <c r="L312" s="271"/>
      <c r="M312" s="222"/>
      <c r="N312" s="222"/>
      <c r="O312" s="222"/>
      <c r="P312" s="222"/>
      <c r="Q312" s="222"/>
      <c r="R312" s="222"/>
      <c r="S312" s="222"/>
      <c r="T312" s="222"/>
      <c r="U312" s="222"/>
      <c r="V312" s="222"/>
      <c r="W312" s="222"/>
    </row>
    <row r="313">
      <c r="A313" s="271"/>
      <c r="B313" s="222"/>
      <c r="C313" s="222"/>
      <c r="D313" s="222"/>
      <c r="E313" s="222"/>
      <c r="F313" s="222"/>
      <c r="G313" s="222"/>
      <c r="H313" s="271"/>
      <c r="I313" s="271"/>
      <c r="J313" s="271"/>
      <c r="K313" s="271"/>
      <c r="L313" s="271"/>
      <c r="M313" s="222"/>
      <c r="N313" s="222"/>
      <c r="O313" s="222"/>
      <c r="P313" s="222"/>
      <c r="Q313" s="222"/>
      <c r="R313" s="222"/>
      <c r="S313" s="222"/>
      <c r="T313" s="222"/>
      <c r="U313" s="222"/>
      <c r="V313" s="222"/>
      <c r="W313" s="222"/>
    </row>
    <row r="314">
      <c r="A314" s="271"/>
      <c r="B314" s="222"/>
      <c r="C314" s="222"/>
      <c r="D314" s="222"/>
      <c r="E314" s="222"/>
      <c r="F314" s="222"/>
      <c r="G314" s="222"/>
      <c r="H314" s="271"/>
      <c r="I314" s="271"/>
      <c r="J314" s="271"/>
      <c r="K314" s="271"/>
      <c r="L314" s="271"/>
      <c r="M314" s="222"/>
      <c r="N314" s="222"/>
      <c r="O314" s="222"/>
      <c r="P314" s="222"/>
      <c r="Q314" s="222"/>
      <c r="R314" s="222"/>
      <c r="S314" s="222"/>
      <c r="T314" s="222"/>
      <c r="U314" s="222"/>
      <c r="V314" s="222"/>
      <c r="W314" s="222"/>
    </row>
    <row r="315">
      <c r="A315" s="271"/>
      <c r="B315" s="222"/>
      <c r="C315" s="222"/>
      <c r="D315" s="222"/>
      <c r="E315" s="222"/>
      <c r="F315" s="222"/>
      <c r="G315" s="222"/>
      <c r="H315" s="271"/>
      <c r="I315" s="271"/>
      <c r="J315" s="271"/>
      <c r="K315" s="271"/>
      <c r="L315" s="271"/>
      <c r="M315" s="222"/>
      <c r="N315" s="222"/>
      <c r="O315" s="222"/>
      <c r="P315" s="222"/>
      <c r="Q315" s="222"/>
      <c r="R315" s="222"/>
      <c r="S315" s="222"/>
      <c r="T315" s="222"/>
      <c r="U315" s="222"/>
      <c r="V315" s="222"/>
      <c r="W315" s="222"/>
    </row>
    <row r="316">
      <c r="A316" s="271"/>
      <c r="B316" s="222"/>
      <c r="C316" s="222"/>
      <c r="D316" s="222"/>
      <c r="E316" s="222"/>
      <c r="F316" s="222"/>
      <c r="G316" s="222"/>
      <c r="H316" s="271"/>
      <c r="I316" s="271"/>
      <c r="J316" s="271"/>
      <c r="K316" s="271"/>
      <c r="L316" s="271"/>
      <c r="M316" s="222"/>
      <c r="N316" s="222"/>
      <c r="O316" s="222"/>
      <c r="P316" s="222"/>
      <c r="Q316" s="222"/>
      <c r="R316" s="222"/>
      <c r="S316" s="222"/>
      <c r="T316" s="222"/>
      <c r="U316" s="222"/>
      <c r="V316" s="222"/>
      <c r="W316" s="222"/>
    </row>
    <row r="317">
      <c r="A317" s="271"/>
      <c r="B317" s="222"/>
      <c r="C317" s="222"/>
      <c r="D317" s="222"/>
      <c r="E317" s="222"/>
      <c r="F317" s="222"/>
      <c r="G317" s="222"/>
      <c r="H317" s="271"/>
      <c r="I317" s="271"/>
      <c r="J317" s="271"/>
      <c r="K317" s="271"/>
      <c r="L317" s="271"/>
      <c r="M317" s="222"/>
      <c r="N317" s="222"/>
      <c r="O317" s="222"/>
      <c r="P317" s="222"/>
      <c r="Q317" s="222"/>
      <c r="R317" s="222"/>
      <c r="S317" s="222"/>
      <c r="T317" s="222"/>
      <c r="U317" s="222"/>
      <c r="V317" s="222"/>
      <c r="W317" s="222"/>
    </row>
    <row r="318">
      <c r="A318" s="271"/>
      <c r="B318" s="222"/>
      <c r="C318" s="222"/>
      <c r="D318" s="222"/>
      <c r="E318" s="222"/>
      <c r="F318" s="222"/>
      <c r="G318" s="222"/>
      <c r="H318" s="271"/>
      <c r="I318" s="271"/>
      <c r="J318" s="271"/>
      <c r="K318" s="271"/>
      <c r="L318" s="271"/>
      <c r="M318" s="222"/>
      <c r="N318" s="222"/>
      <c r="O318" s="222"/>
      <c r="P318" s="222"/>
      <c r="Q318" s="222"/>
      <c r="R318" s="222"/>
      <c r="S318" s="222"/>
      <c r="T318" s="222"/>
      <c r="U318" s="222"/>
      <c r="V318" s="222"/>
      <c r="W318" s="222"/>
    </row>
    <row r="319">
      <c r="A319" s="271"/>
      <c r="B319" s="222"/>
      <c r="C319" s="222"/>
      <c r="D319" s="222"/>
      <c r="E319" s="222"/>
      <c r="F319" s="222"/>
      <c r="G319" s="222"/>
      <c r="H319" s="271"/>
      <c r="I319" s="271"/>
      <c r="J319" s="271"/>
      <c r="K319" s="271"/>
      <c r="L319" s="271"/>
      <c r="M319" s="222"/>
      <c r="N319" s="222"/>
      <c r="O319" s="222"/>
      <c r="P319" s="222"/>
      <c r="Q319" s="222"/>
      <c r="R319" s="222"/>
      <c r="S319" s="222"/>
      <c r="T319" s="222"/>
      <c r="U319" s="222"/>
      <c r="V319" s="222"/>
      <c r="W319" s="222"/>
    </row>
    <row r="320">
      <c r="A320" s="271"/>
      <c r="B320" s="222"/>
      <c r="C320" s="222"/>
      <c r="D320" s="222"/>
      <c r="E320" s="222"/>
      <c r="F320" s="222"/>
      <c r="G320" s="222"/>
      <c r="H320" s="271"/>
      <c r="I320" s="271"/>
      <c r="J320" s="271"/>
      <c r="K320" s="271"/>
      <c r="L320" s="271"/>
      <c r="M320" s="222"/>
      <c r="N320" s="222"/>
      <c r="O320" s="222"/>
      <c r="P320" s="222"/>
      <c r="Q320" s="222"/>
      <c r="R320" s="222"/>
      <c r="S320" s="222"/>
      <c r="T320" s="222"/>
      <c r="U320" s="222"/>
      <c r="V320" s="222"/>
      <c r="W320" s="222"/>
    </row>
    <row r="321">
      <c r="A321" s="271"/>
      <c r="B321" s="222"/>
      <c r="C321" s="222"/>
      <c r="D321" s="222"/>
      <c r="E321" s="222"/>
      <c r="F321" s="222"/>
      <c r="G321" s="222"/>
      <c r="H321" s="271"/>
      <c r="I321" s="271"/>
      <c r="J321" s="271"/>
      <c r="K321" s="271"/>
      <c r="L321" s="271"/>
      <c r="M321" s="222"/>
      <c r="N321" s="222"/>
      <c r="O321" s="222"/>
      <c r="P321" s="222"/>
      <c r="Q321" s="222"/>
      <c r="R321" s="222"/>
      <c r="S321" s="222"/>
      <c r="T321" s="222"/>
      <c r="U321" s="222"/>
      <c r="V321" s="222"/>
      <c r="W321" s="222"/>
    </row>
    <row r="322">
      <c r="A322" s="271"/>
      <c r="B322" s="222"/>
      <c r="C322" s="222"/>
      <c r="D322" s="222"/>
      <c r="E322" s="222"/>
      <c r="F322" s="222"/>
      <c r="G322" s="222"/>
      <c r="H322" s="271"/>
      <c r="I322" s="271"/>
      <c r="J322" s="271"/>
      <c r="K322" s="271"/>
      <c r="L322" s="271"/>
      <c r="M322" s="222"/>
      <c r="N322" s="222"/>
      <c r="O322" s="222"/>
      <c r="P322" s="222"/>
      <c r="Q322" s="222"/>
      <c r="R322" s="222"/>
      <c r="S322" s="222"/>
      <c r="T322" s="222"/>
      <c r="U322" s="222"/>
      <c r="V322" s="222"/>
      <c r="W322" s="222"/>
    </row>
    <row r="323">
      <c r="A323" s="271"/>
      <c r="B323" s="222"/>
      <c r="C323" s="222"/>
      <c r="D323" s="222"/>
      <c r="E323" s="222"/>
      <c r="F323" s="222"/>
      <c r="G323" s="222"/>
      <c r="H323" s="271"/>
      <c r="I323" s="271"/>
      <c r="J323" s="271"/>
      <c r="K323" s="271"/>
      <c r="L323" s="271"/>
      <c r="M323" s="222"/>
      <c r="N323" s="222"/>
      <c r="O323" s="222"/>
      <c r="P323" s="222"/>
      <c r="Q323" s="222"/>
      <c r="R323" s="222"/>
      <c r="S323" s="222"/>
      <c r="T323" s="222"/>
      <c r="U323" s="222"/>
      <c r="V323" s="222"/>
      <c r="W323" s="222"/>
    </row>
    <row r="324">
      <c r="A324" s="271"/>
      <c r="B324" s="222"/>
      <c r="C324" s="222"/>
      <c r="D324" s="222"/>
      <c r="E324" s="222"/>
      <c r="F324" s="222"/>
      <c r="G324" s="222"/>
      <c r="H324" s="271"/>
      <c r="I324" s="271"/>
      <c r="J324" s="271"/>
      <c r="K324" s="271"/>
      <c r="L324" s="271"/>
      <c r="M324" s="222"/>
      <c r="N324" s="222"/>
      <c r="O324" s="222"/>
      <c r="P324" s="222"/>
      <c r="Q324" s="222"/>
      <c r="R324" s="222"/>
      <c r="S324" s="222"/>
      <c r="T324" s="222"/>
      <c r="U324" s="222"/>
      <c r="V324" s="222"/>
      <c r="W324" s="222"/>
    </row>
    <row r="325">
      <c r="A325" s="271"/>
      <c r="B325" s="222"/>
      <c r="C325" s="222"/>
      <c r="D325" s="222"/>
      <c r="E325" s="222"/>
      <c r="F325" s="222"/>
      <c r="G325" s="222"/>
      <c r="H325" s="271"/>
      <c r="I325" s="271"/>
      <c r="J325" s="271"/>
      <c r="K325" s="271"/>
      <c r="L325" s="271"/>
      <c r="M325" s="222"/>
      <c r="N325" s="222"/>
      <c r="O325" s="222"/>
      <c r="P325" s="222"/>
      <c r="Q325" s="222"/>
      <c r="R325" s="222"/>
      <c r="S325" s="222"/>
      <c r="T325" s="222"/>
      <c r="U325" s="222"/>
      <c r="V325" s="222"/>
      <c r="W325" s="222"/>
    </row>
    <row r="326">
      <c r="A326" s="271"/>
      <c r="B326" s="222"/>
      <c r="C326" s="222"/>
      <c r="D326" s="222"/>
      <c r="E326" s="222"/>
      <c r="F326" s="222"/>
      <c r="G326" s="222"/>
      <c r="H326" s="271"/>
      <c r="I326" s="271"/>
      <c r="J326" s="271"/>
      <c r="K326" s="271"/>
      <c r="L326" s="271"/>
      <c r="M326" s="222"/>
      <c r="N326" s="222"/>
      <c r="O326" s="222"/>
      <c r="P326" s="222"/>
      <c r="Q326" s="222"/>
      <c r="R326" s="222"/>
      <c r="S326" s="222"/>
      <c r="T326" s="222"/>
      <c r="U326" s="222"/>
      <c r="V326" s="222"/>
      <c r="W326" s="222"/>
    </row>
    <row r="327">
      <c r="A327" s="271"/>
      <c r="B327" s="222"/>
      <c r="C327" s="222"/>
      <c r="D327" s="222"/>
      <c r="E327" s="222"/>
      <c r="F327" s="222"/>
      <c r="G327" s="222"/>
      <c r="H327" s="271"/>
      <c r="I327" s="271"/>
      <c r="J327" s="271"/>
      <c r="K327" s="271"/>
      <c r="L327" s="271"/>
      <c r="M327" s="222"/>
      <c r="N327" s="222"/>
      <c r="O327" s="222"/>
      <c r="P327" s="222"/>
      <c r="Q327" s="222"/>
      <c r="R327" s="222"/>
      <c r="S327" s="222"/>
      <c r="T327" s="222"/>
      <c r="U327" s="222"/>
      <c r="V327" s="222"/>
      <c r="W327" s="222"/>
    </row>
    <row r="328">
      <c r="A328" s="271"/>
      <c r="B328" s="222"/>
      <c r="C328" s="222"/>
      <c r="D328" s="222"/>
      <c r="E328" s="222"/>
      <c r="F328" s="222"/>
      <c r="G328" s="222"/>
      <c r="H328" s="271"/>
      <c r="I328" s="271"/>
      <c r="J328" s="271"/>
      <c r="K328" s="271"/>
      <c r="L328" s="271"/>
      <c r="M328" s="222"/>
      <c r="N328" s="222"/>
      <c r="O328" s="222"/>
      <c r="P328" s="222"/>
      <c r="Q328" s="222"/>
      <c r="R328" s="222"/>
      <c r="S328" s="222"/>
      <c r="T328" s="222"/>
      <c r="U328" s="222"/>
      <c r="V328" s="222"/>
      <c r="W328" s="222"/>
    </row>
    <row r="329">
      <c r="A329" s="271"/>
      <c r="B329" s="222"/>
      <c r="C329" s="222"/>
      <c r="D329" s="222"/>
      <c r="E329" s="222"/>
      <c r="F329" s="222"/>
      <c r="G329" s="222"/>
      <c r="H329" s="271"/>
      <c r="I329" s="271"/>
      <c r="J329" s="271"/>
      <c r="K329" s="271"/>
      <c r="L329" s="271"/>
      <c r="M329" s="222"/>
      <c r="N329" s="222"/>
      <c r="O329" s="222"/>
      <c r="P329" s="222"/>
      <c r="Q329" s="222"/>
      <c r="R329" s="222"/>
      <c r="S329" s="222"/>
      <c r="T329" s="222"/>
      <c r="U329" s="222"/>
      <c r="V329" s="222"/>
      <c r="W329" s="222"/>
    </row>
    <row r="330">
      <c r="A330" s="271"/>
      <c r="B330" s="222"/>
      <c r="C330" s="222"/>
      <c r="D330" s="222"/>
      <c r="E330" s="222"/>
      <c r="F330" s="222"/>
      <c r="G330" s="222"/>
      <c r="H330" s="271"/>
      <c r="I330" s="271"/>
      <c r="J330" s="271"/>
      <c r="K330" s="271"/>
      <c r="L330" s="271"/>
      <c r="M330" s="222"/>
      <c r="N330" s="222"/>
      <c r="O330" s="222"/>
      <c r="P330" s="222"/>
      <c r="Q330" s="222"/>
      <c r="R330" s="222"/>
      <c r="S330" s="222"/>
      <c r="T330" s="222"/>
      <c r="U330" s="222"/>
      <c r="V330" s="222"/>
      <c r="W330" s="222"/>
    </row>
    <row r="331">
      <c r="A331" s="271"/>
      <c r="B331" s="222"/>
      <c r="C331" s="222"/>
      <c r="D331" s="222"/>
      <c r="E331" s="222"/>
      <c r="F331" s="222"/>
      <c r="G331" s="222"/>
      <c r="H331" s="271"/>
      <c r="I331" s="271"/>
      <c r="J331" s="271"/>
      <c r="K331" s="271"/>
      <c r="L331" s="271"/>
      <c r="M331" s="222"/>
      <c r="N331" s="222"/>
      <c r="O331" s="222"/>
      <c r="P331" s="222"/>
      <c r="Q331" s="222"/>
      <c r="R331" s="222"/>
      <c r="S331" s="222"/>
      <c r="T331" s="222"/>
      <c r="U331" s="222"/>
      <c r="V331" s="222"/>
      <c r="W331" s="222"/>
    </row>
    <row r="332">
      <c r="A332" s="271"/>
      <c r="B332" s="222"/>
      <c r="C332" s="222"/>
      <c r="D332" s="222"/>
      <c r="E332" s="222"/>
      <c r="F332" s="222"/>
      <c r="G332" s="222"/>
      <c r="H332" s="271"/>
      <c r="I332" s="271"/>
      <c r="J332" s="271"/>
      <c r="K332" s="271"/>
      <c r="L332" s="271"/>
      <c r="M332" s="222"/>
      <c r="N332" s="222"/>
      <c r="O332" s="222"/>
      <c r="P332" s="222"/>
      <c r="Q332" s="222"/>
      <c r="R332" s="222"/>
      <c r="S332" s="222"/>
      <c r="T332" s="222"/>
      <c r="U332" s="222"/>
      <c r="V332" s="222"/>
      <c r="W332" s="222"/>
    </row>
    <row r="333">
      <c r="A333" s="271"/>
      <c r="B333" s="222"/>
      <c r="C333" s="222"/>
      <c r="D333" s="222"/>
      <c r="E333" s="222"/>
      <c r="F333" s="222"/>
      <c r="G333" s="222"/>
      <c r="H333" s="271"/>
      <c r="I333" s="271"/>
      <c r="J333" s="271"/>
      <c r="K333" s="271"/>
      <c r="L333" s="271"/>
      <c r="M333" s="222"/>
      <c r="N333" s="222"/>
      <c r="O333" s="222"/>
      <c r="P333" s="222"/>
      <c r="Q333" s="222"/>
      <c r="R333" s="222"/>
      <c r="S333" s="222"/>
      <c r="T333" s="222"/>
      <c r="U333" s="222"/>
      <c r="V333" s="222"/>
      <c r="W333" s="222"/>
    </row>
    <row r="334">
      <c r="A334" s="271"/>
      <c r="B334" s="222"/>
      <c r="C334" s="222"/>
      <c r="D334" s="222"/>
      <c r="E334" s="222"/>
      <c r="F334" s="222"/>
      <c r="G334" s="222"/>
      <c r="H334" s="271"/>
      <c r="I334" s="271"/>
      <c r="J334" s="271"/>
      <c r="K334" s="271"/>
      <c r="L334" s="271"/>
      <c r="M334" s="222"/>
      <c r="N334" s="222"/>
      <c r="O334" s="222"/>
      <c r="P334" s="222"/>
      <c r="Q334" s="222"/>
      <c r="R334" s="222"/>
      <c r="S334" s="222"/>
      <c r="T334" s="222"/>
      <c r="U334" s="222"/>
      <c r="V334" s="222"/>
      <c r="W334" s="222"/>
    </row>
    <row r="335">
      <c r="A335" s="271"/>
      <c r="B335" s="222"/>
      <c r="C335" s="222"/>
      <c r="D335" s="222"/>
      <c r="E335" s="222"/>
      <c r="F335" s="222"/>
      <c r="G335" s="222"/>
      <c r="H335" s="271"/>
      <c r="I335" s="271"/>
      <c r="J335" s="271"/>
      <c r="K335" s="271"/>
      <c r="L335" s="271"/>
      <c r="M335" s="222"/>
      <c r="N335" s="222"/>
      <c r="O335" s="222"/>
      <c r="P335" s="222"/>
      <c r="Q335" s="222"/>
      <c r="R335" s="222"/>
      <c r="S335" s="222"/>
      <c r="T335" s="222"/>
      <c r="U335" s="222"/>
      <c r="V335" s="222"/>
      <c r="W335" s="222"/>
    </row>
    <row r="336">
      <c r="A336" s="271"/>
      <c r="B336" s="222"/>
      <c r="C336" s="222"/>
      <c r="D336" s="222"/>
      <c r="E336" s="222"/>
      <c r="F336" s="222"/>
      <c r="G336" s="222"/>
      <c r="H336" s="271"/>
      <c r="I336" s="271"/>
      <c r="J336" s="271"/>
      <c r="K336" s="271"/>
      <c r="L336" s="271"/>
      <c r="M336" s="222"/>
      <c r="N336" s="222"/>
      <c r="O336" s="222"/>
      <c r="P336" s="222"/>
      <c r="Q336" s="222"/>
      <c r="R336" s="222"/>
      <c r="S336" s="222"/>
      <c r="T336" s="222"/>
      <c r="U336" s="222"/>
      <c r="V336" s="222"/>
      <c r="W336" s="222"/>
    </row>
    <row r="337">
      <c r="A337" s="271"/>
      <c r="B337" s="222"/>
      <c r="C337" s="222"/>
      <c r="D337" s="222"/>
      <c r="E337" s="222"/>
      <c r="F337" s="222"/>
      <c r="G337" s="222"/>
      <c r="H337" s="271"/>
      <c r="I337" s="271"/>
      <c r="J337" s="271"/>
      <c r="K337" s="271"/>
      <c r="L337" s="271"/>
      <c r="M337" s="222"/>
      <c r="N337" s="222"/>
      <c r="O337" s="222"/>
      <c r="P337" s="222"/>
      <c r="Q337" s="222"/>
      <c r="R337" s="222"/>
      <c r="S337" s="222"/>
      <c r="T337" s="222"/>
      <c r="U337" s="222"/>
      <c r="V337" s="222"/>
      <c r="W337" s="222"/>
    </row>
    <row r="338">
      <c r="A338" s="271"/>
      <c r="B338" s="222"/>
      <c r="C338" s="222"/>
      <c r="D338" s="222"/>
      <c r="E338" s="222"/>
      <c r="F338" s="222"/>
      <c r="G338" s="222"/>
      <c r="H338" s="271"/>
      <c r="I338" s="271"/>
      <c r="J338" s="271"/>
      <c r="K338" s="271"/>
      <c r="L338" s="271"/>
      <c r="M338" s="222"/>
      <c r="N338" s="222"/>
      <c r="O338" s="222"/>
      <c r="P338" s="222"/>
      <c r="Q338" s="222"/>
      <c r="R338" s="222"/>
      <c r="S338" s="222"/>
      <c r="T338" s="222"/>
      <c r="U338" s="222"/>
      <c r="V338" s="222"/>
      <c r="W338" s="222"/>
    </row>
    <row r="339">
      <c r="A339" s="271"/>
      <c r="B339" s="222"/>
      <c r="C339" s="222"/>
      <c r="D339" s="222"/>
      <c r="E339" s="222"/>
      <c r="F339" s="222"/>
      <c r="G339" s="222"/>
      <c r="H339" s="271"/>
      <c r="I339" s="271"/>
      <c r="J339" s="271"/>
      <c r="K339" s="271"/>
      <c r="L339" s="271"/>
      <c r="M339" s="222"/>
      <c r="N339" s="222"/>
      <c r="O339" s="222"/>
      <c r="P339" s="222"/>
      <c r="Q339" s="222"/>
      <c r="R339" s="222"/>
      <c r="S339" s="222"/>
      <c r="T339" s="222"/>
      <c r="U339" s="222"/>
      <c r="V339" s="222"/>
      <c r="W339" s="222"/>
    </row>
    <row r="340">
      <c r="A340" s="271"/>
      <c r="B340" s="222"/>
      <c r="C340" s="222"/>
      <c r="D340" s="222"/>
      <c r="E340" s="222"/>
      <c r="F340" s="222"/>
      <c r="G340" s="222"/>
      <c r="H340" s="271"/>
      <c r="I340" s="271"/>
      <c r="J340" s="271"/>
      <c r="K340" s="271"/>
      <c r="L340" s="271"/>
      <c r="M340" s="222"/>
      <c r="N340" s="222"/>
      <c r="O340" s="222"/>
      <c r="P340" s="222"/>
      <c r="Q340" s="222"/>
      <c r="R340" s="222"/>
      <c r="S340" s="222"/>
      <c r="T340" s="222"/>
      <c r="U340" s="222"/>
      <c r="V340" s="222"/>
      <c r="W340" s="222"/>
    </row>
    <row r="341">
      <c r="A341" s="271"/>
      <c r="B341" s="222"/>
      <c r="C341" s="222"/>
      <c r="D341" s="222"/>
      <c r="E341" s="222"/>
      <c r="F341" s="222"/>
      <c r="G341" s="222"/>
      <c r="H341" s="271"/>
      <c r="I341" s="271"/>
      <c r="J341" s="271"/>
      <c r="K341" s="271"/>
      <c r="L341" s="271"/>
      <c r="M341" s="222"/>
      <c r="N341" s="222"/>
      <c r="O341" s="222"/>
      <c r="P341" s="222"/>
      <c r="Q341" s="222"/>
      <c r="R341" s="222"/>
      <c r="S341" s="222"/>
      <c r="T341" s="222"/>
      <c r="U341" s="222"/>
      <c r="V341" s="222"/>
      <c r="W341" s="222"/>
    </row>
    <row r="342">
      <c r="A342" s="271"/>
      <c r="B342" s="222"/>
      <c r="C342" s="222"/>
      <c r="D342" s="222"/>
      <c r="E342" s="222"/>
      <c r="F342" s="222"/>
      <c r="G342" s="222"/>
      <c r="H342" s="271"/>
      <c r="I342" s="271"/>
      <c r="J342" s="271"/>
      <c r="K342" s="271"/>
      <c r="L342" s="271"/>
      <c r="M342" s="222"/>
      <c r="N342" s="222"/>
      <c r="O342" s="222"/>
      <c r="P342" s="222"/>
      <c r="Q342" s="222"/>
      <c r="R342" s="222"/>
      <c r="S342" s="222"/>
      <c r="T342" s="222"/>
      <c r="U342" s="222"/>
      <c r="V342" s="222"/>
      <c r="W342" s="222"/>
    </row>
    <row r="343">
      <c r="A343" s="271"/>
      <c r="B343" s="222"/>
      <c r="C343" s="222"/>
      <c r="D343" s="222"/>
      <c r="E343" s="222"/>
      <c r="F343" s="222"/>
      <c r="G343" s="222"/>
      <c r="H343" s="271"/>
      <c r="I343" s="271"/>
      <c r="J343" s="271"/>
      <c r="K343" s="271"/>
      <c r="L343" s="271"/>
      <c r="M343" s="222"/>
      <c r="N343" s="222"/>
      <c r="O343" s="222"/>
      <c r="P343" s="222"/>
      <c r="Q343" s="222"/>
      <c r="R343" s="222"/>
      <c r="S343" s="222"/>
      <c r="T343" s="222"/>
      <c r="U343" s="222"/>
      <c r="V343" s="222"/>
      <c r="W343" s="222"/>
    </row>
    <row r="344">
      <c r="A344" s="271"/>
      <c r="B344" s="222"/>
      <c r="C344" s="222"/>
      <c r="D344" s="222"/>
      <c r="E344" s="222"/>
      <c r="F344" s="222"/>
      <c r="G344" s="222"/>
      <c r="H344" s="271"/>
      <c r="I344" s="271"/>
      <c r="J344" s="271"/>
      <c r="K344" s="271"/>
      <c r="L344" s="271"/>
      <c r="M344" s="222"/>
      <c r="N344" s="222"/>
      <c r="O344" s="222"/>
      <c r="P344" s="222"/>
      <c r="Q344" s="222"/>
      <c r="R344" s="222"/>
      <c r="S344" s="222"/>
      <c r="T344" s="222"/>
      <c r="U344" s="222"/>
      <c r="V344" s="222"/>
      <c r="W344" s="222"/>
    </row>
    <row r="345">
      <c r="A345" s="271"/>
      <c r="B345" s="222"/>
      <c r="C345" s="222"/>
      <c r="D345" s="222"/>
      <c r="E345" s="222"/>
      <c r="F345" s="222"/>
      <c r="G345" s="222"/>
      <c r="H345" s="271"/>
      <c r="I345" s="271"/>
      <c r="J345" s="271"/>
      <c r="K345" s="271"/>
      <c r="L345" s="271"/>
      <c r="M345" s="222"/>
      <c r="N345" s="222"/>
      <c r="O345" s="222"/>
      <c r="P345" s="222"/>
      <c r="Q345" s="222"/>
      <c r="R345" s="222"/>
      <c r="S345" s="222"/>
      <c r="T345" s="222"/>
      <c r="U345" s="222"/>
      <c r="V345" s="222"/>
      <c r="W345" s="222"/>
    </row>
    <row r="346">
      <c r="A346" s="271"/>
      <c r="B346" s="222"/>
      <c r="C346" s="222"/>
      <c r="D346" s="222"/>
      <c r="E346" s="222"/>
      <c r="F346" s="222"/>
      <c r="G346" s="222"/>
      <c r="H346" s="271"/>
      <c r="I346" s="271"/>
      <c r="J346" s="271"/>
      <c r="K346" s="271"/>
      <c r="L346" s="271"/>
      <c r="M346" s="222"/>
      <c r="N346" s="222"/>
      <c r="O346" s="222"/>
      <c r="P346" s="222"/>
      <c r="Q346" s="222"/>
      <c r="R346" s="222"/>
      <c r="S346" s="222"/>
      <c r="T346" s="222"/>
      <c r="U346" s="222"/>
      <c r="V346" s="222"/>
      <c r="W346" s="222"/>
    </row>
    <row r="347">
      <c r="A347" s="271"/>
      <c r="B347" s="222"/>
      <c r="C347" s="222"/>
      <c r="D347" s="222"/>
      <c r="E347" s="222"/>
      <c r="F347" s="222"/>
      <c r="G347" s="222"/>
      <c r="H347" s="271"/>
      <c r="I347" s="271"/>
      <c r="J347" s="271"/>
      <c r="K347" s="271"/>
      <c r="L347" s="271"/>
      <c r="M347" s="222"/>
      <c r="N347" s="222"/>
      <c r="O347" s="222"/>
      <c r="P347" s="222"/>
      <c r="Q347" s="222"/>
      <c r="R347" s="222"/>
      <c r="S347" s="222"/>
      <c r="T347" s="222"/>
      <c r="U347" s="222"/>
      <c r="V347" s="222"/>
      <c r="W347" s="222"/>
    </row>
    <row r="348">
      <c r="A348" s="271"/>
      <c r="B348" s="222"/>
      <c r="C348" s="222"/>
      <c r="D348" s="222"/>
      <c r="E348" s="222"/>
      <c r="F348" s="222"/>
      <c r="G348" s="222"/>
      <c r="H348" s="271"/>
      <c r="I348" s="271"/>
      <c r="J348" s="271"/>
      <c r="K348" s="271"/>
      <c r="L348" s="271"/>
      <c r="M348" s="222"/>
      <c r="N348" s="222"/>
      <c r="O348" s="222"/>
      <c r="P348" s="222"/>
      <c r="Q348" s="222"/>
      <c r="R348" s="222"/>
      <c r="S348" s="222"/>
      <c r="T348" s="222"/>
      <c r="U348" s="222"/>
      <c r="V348" s="222"/>
      <c r="W348" s="222"/>
    </row>
    <row r="349">
      <c r="A349" s="271"/>
      <c r="B349" s="222"/>
      <c r="C349" s="222"/>
      <c r="D349" s="222"/>
      <c r="E349" s="222"/>
      <c r="F349" s="222"/>
      <c r="G349" s="222"/>
      <c r="H349" s="271"/>
      <c r="I349" s="271"/>
      <c r="J349" s="271"/>
      <c r="K349" s="271"/>
      <c r="L349" s="271"/>
      <c r="M349" s="222"/>
      <c r="N349" s="222"/>
      <c r="O349" s="222"/>
      <c r="P349" s="222"/>
      <c r="Q349" s="222"/>
      <c r="R349" s="222"/>
      <c r="S349" s="222"/>
      <c r="T349" s="222"/>
      <c r="U349" s="222"/>
      <c r="V349" s="222"/>
      <c r="W349" s="222"/>
    </row>
    <row r="350">
      <c r="A350" s="271"/>
      <c r="B350" s="222"/>
      <c r="C350" s="222"/>
      <c r="D350" s="222"/>
      <c r="E350" s="222"/>
      <c r="F350" s="222"/>
      <c r="G350" s="222"/>
      <c r="H350" s="271"/>
      <c r="I350" s="271"/>
      <c r="J350" s="271"/>
      <c r="K350" s="271"/>
      <c r="L350" s="271"/>
      <c r="M350" s="222"/>
      <c r="N350" s="222"/>
      <c r="O350" s="222"/>
      <c r="P350" s="222"/>
      <c r="Q350" s="222"/>
      <c r="R350" s="222"/>
      <c r="S350" s="222"/>
      <c r="T350" s="222"/>
      <c r="U350" s="222"/>
      <c r="V350" s="222"/>
      <c r="W350" s="222"/>
    </row>
    <row r="351">
      <c r="A351" s="271"/>
      <c r="B351" s="222"/>
      <c r="C351" s="222"/>
      <c r="D351" s="222"/>
      <c r="E351" s="222"/>
      <c r="F351" s="222"/>
      <c r="G351" s="222"/>
      <c r="H351" s="271"/>
      <c r="I351" s="271"/>
      <c r="J351" s="271"/>
      <c r="K351" s="271"/>
      <c r="L351" s="271"/>
      <c r="M351" s="222"/>
      <c r="N351" s="222"/>
      <c r="O351" s="222"/>
      <c r="P351" s="222"/>
      <c r="Q351" s="222"/>
      <c r="R351" s="222"/>
      <c r="S351" s="222"/>
      <c r="T351" s="222"/>
      <c r="U351" s="222"/>
      <c r="V351" s="222"/>
      <c r="W351" s="222"/>
    </row>
    <row r="352">
      <c r="A352" s="271"/>
      <c r="B352" s="222"/>
      <c r="C352" s="222"/>
      <c r="D352" s="222"/>
      <c r="E352" s="222"/>
      <c r="F352" s="222"/>
      <c r="G352" s="222"/>
      <c r="H352" s="271"/>
      <c r="I352" s="271"/>
      <c r="J352" s="271"/>
      <c r="K352" s="271"/>
      <c r="L352" s="271"/>
      <c r="M352" s="222"/>
      <c r="N352" s="222"/>
      <c r="O352" s="222"/>
      <c r="P352" s="222"/>
      <c r="Q352" s="222"/>
      <c r="R352" s="222"/>
      <c r="S352" s="222"/>
      <c r="T352" s="222"/>
      <c r="U352" s="222"/>
      <c r="V352" s="222"/>
      <c r="W352" s="222"/>
    </row>
    <row r="353">
      <c r="A353" s="271"/>
      <c r="B353" s="222"/>
      <c r="C353" s="222"/>
      <c r="D353" s="222"/>
      <c r="E353" s="222"/>
      <c r="F353" s="222"/>
      <c r="G353" s="222"/>
      <c r="H353" s="271"/>
      <c r="I353" s="271"/>
      <c r="J353" s="271"/>
      <c r="K353" s="271"/>
      <c r="L353" s="271"/>
      <c r="M353" s="222"/>
      <c r="N353" s="222"/>
      <c r="O353" s="222"/>
      <c r="P353" s="222"/>
      <c r="Q353" s="222"/>
      <c r="R353" s="222"/>
      <c r="S353" s="222"/>
      <c r="T353" s="222"/>
      <c r="U353" s="222"/>
      <c r="V353" s="222"/>
      <c r="W353" s="222"/>
    </row>
    <row r="354">
      <c r="A354" s="271"/>
      <c r="B354" s="222"/>
      <c r="C354" s="222"/>
      <c r="D354" s="222"/>
      <c r="E354" s="222"/>
      <c r="F354" s="222"/>
      <c r="G354" s="222"/>
      <c r="H354" s="271"/>
      <c r="I354" s="271"/>
      <c r="J354" s="271"/>
      <c r="K354" s="271"/>
      <c r="L354" s="271"/>
      <c r="M354" s="222"/>
      <c r="N354" s="222"/>
      <c r="O354" s="222"/>
      <c r="P354" s="222"/>
      <c r="Q354" s="222"/>
      <c r="R354" s="222"/>
      <c r="S354" s="222"/>
      <c r="T354" s="222"/>
      <c r="U354" s="222"/>
      <c r="V354" s="222"/>
      <c r="W354" s="222"/>
    </row>
    <row r="355">
      <c r="A355" s="271"/>
      <c r="B355" s="222"/>
      <c r="C355" s="222"/>
      <c r="D355" s="222"/>
      <c r="E355" s="222"/>
      <c r="F355" s="222"/>
      <c r="G355" s="222"/>
      <c r="H355" s="271"/>
      <c r="I355" s="271"/>
      <c r="J355" s="271"/>
      <c r="K355" s="271"/>
      <c r="L355" s="271"/>
      <c r="M355" s="222"/>
      <c r="N355" s="222"/>
      <c r="O355" s="222"/>
      <c r="P355" s="222"/>
      <c r="Q355" s="222"/>
      <c r="R355" s="222"/>
      <c r="S355" s="222"/>
      <c r="T355" s="222"/>
      <c r="U355" s="222"/>
      <c r="V355" s="222"/>
      <c r="W355" s="222"/>
    </row>
    <row r="356">
      <c r="A356" s="271"/>
      <c r="B356" s="222"/>
      <c r="C356" s="222"/>
      <c r="D356" s="222"/>
      <c r="E356" s="222"/>
      <c r="F356" s="222"/>
      <c r="G356" s="222"/>
      <c r="H356" s="271"/>
      <c r="I356" s="271"/>
      <c r="J356" s="271"/>
      <c r="K356" s="271"/>
      <c r="L356" s="271"/>
      <c r="M356" s="222"/>
      <c r="N356" s="222"/>
      <c r="O356" s="222"/>
      <c r="P356" s="222"/>
      <c r="Q356" s="222"/>
      <c r="R356" s="222"/>
      <c r="S356" s="222"/>
      <c r="T356" s="222"/>
      <c r="U356" s="222"/>
      <c r="V356" s="222"/>
      <c r="W356" s="222"/>
    </row>
    <row r="357">
      <c r="A357" s="271"/>
      <c r="B357" s="222"/>
      <c r="C357" s="222"/>
      <c r="D357" s="222"/>
      <c r="E357" s="222"/>
      <c r="F357" s="222"/>
      <c r="G357" s="222"/>
      <c r="H357" s="271"/>
      <c r="I357" s="271"/>
      <c r="J357" s="271"/>
      <c r="K357" s="271"/>
      <c r="L357" s="271"/>
      <c r="M357" s="222"/>
      <c r="N357" s="222"/>
      <c r="O357" s="222"/>
      <c r="P357" s="222"/>
      <c r="Q357" s="222"/>
      <c r="R357" s="222"/>
      <c r="S357" s="222"/>
      <c r="T357" s="222"/>
      <c r="U357" s="222"/>
      <c r="V357" s="222"/>
      <c r="W357" s="222"/>
    </row>
    <row r="358">
      <c r="A358" s="271"/>
      <c r="B358" s="222"/>
      <c r="C358" s="222"/>
      <c r="D358" s="222"/>
      <c r="E358" s="222"/>
      <c r="F358" s="222"/>
      <c r="G358" s="222"/>
      <c r="H358" s="271"/>
      <c r="I358" s="271"/>
      <c r="J358" s="271"/>
      <c r="K358" s="271"/>
      <c r="L358" s="271"/>
      <c r="M358" s="222"/>
      <c r="N358" s="222"/>
      <c r="O358" s="222"/>
      <c r="P358" s="222"/>
      <c r="Q358" s="222"/>
      <c r="R358" s="222"/>
      <c r="S358" s="222"/>
      <c r="T358" s="222"/>
      <c r="U358" s="222"/>
      <c r="V358" s="222"/>
      <c r="W358" s="222"/>
    </row>
    <row r="359">
      <c r="A359" s="271"/>
      <c r="B359" s="222"/>
      <c r="C359" s="222"/>
      <c r="D359" s="222"/>
      <c r="E359" s="222"/>
      <c r="F359" s="222"/>
      <c r="G359" s="222"/>
      <c r="H359" s="271"/>
      <c r="I359" s="271"/>
      <c r="J359" s="271"/>
      <c r="K359" s="271"/>
      <c r="L359" s="271"/>
      <c r="M359" s="222"/>
      <c r="N359" s="222"/>
      <c r="O359" s="222"/>
      <c r="P359" s="222"/>
      <c r="Q359" s="222"/>
      <c r="R359" s="222"/>
      <c r="S359" s="222"/>
      <c r="T359" s="222"/>
      <c r="U359" s="222"/>
      <c r="V359" s="222"/>
      <c r="W359" s="222"/>
    </row>
    <row r="360">
      <c r="A360" s="271"/>
      <c r="B360" s="222"/>
      <c r="C360" s="222"/>
      <c r="D360" s="222"/>
      <c r="E360" s="222"/>
      <c r="F360" s="222"/>
      <c r="G360" s="222"/>
      <c r="H360" s="271"/>
      <c r="I360" s="271"/>
      <c r="J360" s="271"/>
      <c r="K360" s="271"/>
      <c r="L360" s="271"/>
      <c r="M360" s="222"/>
      <c r="N360" s="222"/>
      <c r="O360" s="222"/>
      <c r="P360" s="222"/>
      <c r="Q360" s="222"/>
      <c r="R360" s="222"/>
      <c r="S360" s="222"/>
      <c r="T360" s="222"/>
      <c r="U360" s="222"/>
      <c r="V360" s="222"/>
      <c r="W360" s="222"/>
    </row>
    <row r="361">
      <c r="A361" s="271"/>
      <c r="B361" s="222"/>
      <c r="C361" s="222"/>
      <c r="D361" s="222"/>
      <c r="E361" s="222"/>
      <c r="F361" s="222"/>
      <c r="G361" s="222"/>
      <c r="H361" s="271"/>
      <c r="I361" s="271"/>
      <c r="J361" s="271"/>
      <c r="K361" s="271"/>
      <c r="L361" s="271"/>
      <c r="M361" s="222"/>
      <c r="N361" s="222"/>
      <c r="O361" s="222"/>
      <c r="P361" s="222"/>
      <c r="Q361" s="222"/>
      <c r="R361" s="222"/>
      <c r="S361" s="222"/>
      <c r="T361" s="222"/>
      <c r="U361" s="222"/>
      <c r="V361" s="222"/>
      <c r="W361" s="222"/>
    </row>
    <row r="362">
      <c r="A362" s="271"/>
      <c r="B362" s="222"/>
      <c r="C362" s="222"/>
      <c r="D362" s="222"/>
      <c r="E362" s="222"/>
      <c r="F362" s="222"/>
      <c r="G362" s="222"/>
      <c r="H362" s="271"/>
      <c r="I362" s="271"/>
      <c r="J362" s="271"/>
      <c r="K362" s="271"/>
      <c r="L362" s="271"/>
      <c r="M362" s="222"/>
      <c r="N362" s="222"/>
      <c r="O362" s="222"/>
      <c r="P362" s="222"/>
      <c r="Q362" s="222"/>
      <c r="R362" s="222"/>
      <c r="S362" s="222"/>
      <c r="T362" s="222"/>
      <c r="U362" s="222"/>
      <c r="V362" s="222"/>
      <c r="W362" s="222"/>
    </row>
    <row r="363">
      <c r="A363" s="271"/>
      <c r="B363" s="222"/>
      <c r="C363" s="222"/>
      <c r="D363" s="222"/>
      <c r="E363" s="222"/>
      <c r="F363" s="222"/>
      <c r="G363" s="222"/>
      <c r="H363" s="271"/>
      <c r="I363" s="271"/>
      <c r="J363" s="271"/>
      <c r="K363" s="271"/>
      <c r="L363" s="271"/>
      <c r="M363" s="222"/>
      <c r="N363" s="222"/>
      <c r="O363" s="222"/>
      <c r="P363" s="222"/>
      <c r="Q363" s="222"/>
      <c r="R363" s="222"/>
      <c r="S363" s="222"/>
      <c r="T363" s="222"/>
      <c r="U363" s="222"/>
      <c r="V363" s="222"/>
      <c r="W363" s="222"/>
    </row>
    <row r="364">
      <c r="A364" s="271"/>
      <c r="B364" s="222"/>
      <c r="C364" s="222"/>
      <c r="D364" s="222"/>
      <c r="E364" s="222"/>
      <c r="F364" s="222"/>
      <c r="G364" s="222"/>
      <c r="H364" s="271"/>
      <c r="I364" s="271"/>
      <c r="J364" s="271"/>
      <c r="K364" s="271"/>
      <c r="L364" s="271"/>
      <c r="M364" s="222"/>
      <c r="N364" s="222"/>
      <c r="O364" s="222"/>
      <c r="P364" s="222"/>
      <c r="Q364" s="222"/>
      <c r="R364" s="222"/>
      <c r="S364" s="222"/>
      <c r="T364" s="222"/>
      <c r="U364" s="222"/>
      <c r="V364" s="222"/>
      <c r="W364" s="222"/>
    </row>
    <row r="365">
      <c r="A365" s="271"/>
      <c r="B365" s="222"/>
      <c r="C365" s="222"/>
      <c r="D365" s="222"/>
      <c r="E365" s="222"/>
      <c r="F365" s="222"/>
      <c r="G365" s="222"/>
      <c r="H365" s="271"/>
      <c r="I365" s="271"/>
      <c r="J365" s="271"/>
      <c r="K365" s="271"/>
      <c r="L365" s="271"/>
      <c r="M365" s="222"/>
      <c r="N365" s="222"/>
      <c r="O365" s="222"/>
      <c r="P365" s="222"/>
      <c r="Q365" s="222"/>
      <c r="R365" s="222"/>
      <c r="S365" s="222"/>
      <c r="T365" s="222"/>
      <c r="U365" s="222"/>
      <c r="V365" s="222"/>
      <c r="W365" s="222"/>
    </row>
    <row r="366">
      <c r="A366" s="271"/>
      <c r="B366" s="222"/>
      <c r="C366" s="222"/>
      <c r="D366" s="222"/>
      <c r="E366" s="222"/>
      <c r="F366" s="222"/>
      <c r="G366" s="222"/>
      <c r="H366" s="271"/>
      <c r="I366" s="271"/>
      <c r="J366" s="271"/>
      <c r="K366" s="271"/>
      <c r="L366" s="271"/>
      <c r="M366" s="222"/>
      <c r="N366" s="222"/>
      <c r="O366" s="222"/>
      <c r="P366" s="222"/>
      <c r="Q366" s="222"/>
      <c r="R366" s="222"/>
      <c r="S366" s="222"/>
      <c r="T366" s="222"/>
      <c r="U366" s="222"/>
      <c r="V366" s="222"/>
      <c r="W366" s="222"/>
    </row>
    <row r="367">
      <c r="A367" s="271"/>
      <c r="B367" s="222"/>
      <c r="C367" s="222"/>
      <c r="D367" s="222"/>
      <c r="E367" s="222"/>
      <c r="F367" s="222"/>
      <c r="G367" s="222"/>
      <c r="H367" s="271"/>
      <c r="I367" s="271"/>
      <c r="J367" s="271"/>
      <c r="K367" s="271"/>
      <c r="L367" s="271"/>
      <c r="M367" s="222"/>
      <c r="N367" s="222"/>
      <c r="O367" s="222"/>
      <c r="P367" s="222"/>
      <c r="Q367" s="222"/>
      <c r="R367" s="222"/>
      <c r="S367" s="222"/>
      <c r="T367" s="222"/>
      <c r="U367" s="222"/>
      <c r="V367" s="222"/>
      <c r="W367" s="222"/>
    </row>
    <row r="368">
      <c r="A368" s="271"/>
      <c r="B368" s="222"/>
      <c r="C368" s="222"/>
      <c r="D368" s="222"/>
      <c r="E368" s="222"/>
      <c r="F368" s="222"/>
      <c r="G368" s="222"/>
      <c r="H368" s="271"/>
      <c r="I368" s="271"/>
      <c r="J368" s="271"/>
      <c r="K368" s="271"/>
      <c r="L368" s="271"/>
      <c r="M368" s="222"/>
      <c r="N368" s="222"/>
      <c r="O368" s="222"/>
      <c r="P368" s="222"/>
      <c r="Q368" s="222"/>
      <c r="R368" s="222"/>
      <c r="S368" s="222"/>
      <c r="T368" s="222"/>
      <c r="U368" s="222"/>
      <c r="V368" s="222"/>
      <c r="W368" s="222"/>
    </row>
    <row r="369">
      <c r="A369" s="271"/>
      <c r="B369" s="222"/>
      <c r="C369" s="222"/>
      <c r="D369" s="222"/>
      <c r="E369" s="222"/>
      <c r="F369" s="222"/>
      <c r="G369" s="222"/>
      <c r="H369" s="271"/>
      <c r="I369" s="271"/>
      <c r="J369" s="271"/>
      <c r="K369" s="271"/>
      <c r="L369" s="271"/>
      <c r="M369" s="222"/>
      <c r="N369" s="222"/>
      <c r="O369" s="222"/>
      <c r="P369" s="222"/>
      <c r="Q369" s="222"/>
      <c r="R369" s="222"/>
      <c r="S369" s="222"/>
      <c r="T369" s="222"/>
      <c r="U369" s="222"/>
      <c r="V369" s="222"/>
      <c r="W369" s="222"/>
    </row>
    <row r="370">
      <c r="A370" s="271"/>
      <c r="B370" s="222"/>
      <c r="C370" s="222"/>
      <c r="D370" s="222"/>
      <c r="E370" s="222"/>
      <c r="F370" s="222"/>
      <c r="G370" s="222"/>
      <c r="H370" s="271"/>
      <c r="I370" s="271"/>
      <c r="J370" s="271"/>
      <c r="K370" s="271"/>
      <c r="L370" s="271"/>
      <c r="M370" s="222"/>
      <c r="N370" s="222"/>
      <c r="O370" s="222"/>
      <c r="P370" s="222"/>
      <c r="Q370" s="222"/>
      <c r="R370" s="222"/>
      <c r="S370" s="222"/>
      <c r="T370" s="222"/>
      <c r="U370" s="222"/>
      <c r="V370" s="222"/>
      <c r="W370" s="222"/>
    </row>
    <row r="371">
      <c r="A371" s="271"/>
      <c r="B371" s="222"/>
      <c r="C371" s="222"/>
      <c r="D371" s="222"/>
      <c r="E371" s="222"/>
      <c r="F371" s="222"/>
      <c r="G371" s="222"/>
      <c r="H371" s="271"/>
      <c r="I371" s="271"/>
      <c r="J371" s="271"/>
      <c r="K371" s="271"/>
      <c r="L371" s="271"/>
      <c r="M371" s="222"/>
      <c r="N371" s="222"/>
      <c r="O371" s="222"/>
      <c r="P371" s="222"/>
      <c r="Q371" s="222"/>
      <c r="R371" s="222"/>
      <c r="S371" s="222"/>
      <c r="T371" s="222"/>
      <c r="U371" s="222"/>
      <c r="V371" s="222"/>
      <c r="W371" s="222"/>
    </row>
    <row r="372">
      <c r="A372" s="271"/>
      <c r="B372" s="222"/>
      <c r="C372" s="222"/>
      <c r="D372" s="222"/>
      <c r="E372" s="222"/>
      <c r="F372" s="222"/>
      <c r="G372" s="222"/>
      <c r="H372" s="271"/>
      <c r="I372" s="271"/>
      <c r="J372" s="271"/>
      <c r="K372" s="271"/>
      <c r="L372" s="271"/>
      <c r="M372" s="222"/>
      <c r="N372" s="222"/>
      <c r="O372" s="222"/>
      <c r="P372" s="222"/>
      <c r="Q372" s="222"/>
      <c r="R372" s="222"/>
      <c r="S372" s="222"/>
      <c r="T372" s="222"/>
      <c r="U372" s="222"/>
      <c r="V372" s="222"/>
      <c r="W372" s="222"/>
    </row>
    <row r="373">
      <c r="A373" s="271"/>
      <c r="B373" s="222"/>
      <c r="C373" s="222"/>
      <c r="D373" s="222"/>
      <c r="E373" s="222"/>
      <c r="F373" s="222"/>
      <c r="G373" s="222"/>
      <c r="H373" s="271"/>
      <c r="I373" s="271"/>
      <c r="J373" s="271"/>
      <c r="K373" s="271"/>
      <c r="L373" s="271"/>
      <c r="M373" s="222"/>
      <c r="N373" s="222"/>
      <c r="O373" s="222"/>
      <c r="P373" s="222"/>
      <c r="Q373" s="222"/>
      <c r="R373" s="222"/>
      <c r="S373" s="222"/>
      <c r="T373" s="222"/>
      <c r="U373" s="222"/>
      <c r="V373" s="222"/>
      <c r="W373" s="222"/>
    </row>
    <row r="374">
      <c r="A374" s="271"/>
      <c r="B374" s="222"/>
      <c r="C374" s="222"/>
      <c r="D374" s="222"/>
      <c r="E374" s="222"/>
      <c r="F374" s="222"/>
      <c r="G374" s="222"/>
      <c r="H374" s="271"/>
      <c r="I374" s="271"/>
      <c r="J374" s="271"/>
      <c r="K374" s="271"/>
      <c r="L374" s="271"/>
      <c r="M374" s="222"/>
      <c r="N374" s="222"/>
      <c r="O374" s="222"/>
      <c r="P374" s="222"/>
      <c r="Q374" s="222"/>
      <c r="R374" s="222"/>
      <c r="S374" s="222"/>
      <c r="T374" s="222"/>
      <c r="U374" s="222"/>
      <c r="V374" s="222"/>
      <c r="W374" s="222"/>
    </row>
    <row r="375">
      <c r="A375" s="271"/>
      <c r="B375" s="222"/>
      <c r="C375" s="222"/>
      <c r="D375" s="222"/>
      <c r="E375" s="222"/>
      <c r="F375" s="222"/>
      <c r="G375" s="222"/>
      <c r="H375" s="271"/>
      <c r="I375" s="271"/>
      <c r="J375" s="271"/>
      <c r="K375" s="271"/>
      <c r="L375" s="271"/>
      <c r="M375" s="222"/>
      <c r="N375" s="222"/>
      <c r="O375" s="222"/>
      <c r="P375" s="222"/>
      <c r="Q375" s="222"/>
      <c r="R375" s="222"/>
      <c r="S375" s="222"/>
      <c r="T375" s="222"/>
      <c r="U375" s="222"/>
      <c r="V375" s="222"/>
      <c r="W375" s="222"/>
    </row>
    <row r="376">
      <c r="A376" s="271"/>
      <c r="B376" s="222"/>
      <c r="C376" s="222"/>
      <c r="D376" s="222"/>
      <c r="E376" s="222"/>
      <c r="F376" s="222"/>
      <c r="G376" s="222"/>
      <c r="H376" s="271"/>
      <c r="I376" s="271"/>
      <c r="J376" s="271"/>
      <c r="K376" s="271"/>
      <c r="L376" s="271"/>
      <c r="M376" s="222"/>
      <c r="N376" s="222"/>
      <c r="O376" s="222"/>
      <c r="P376" s="222"/>
      <c r="Q376" s="222"/>
      <c r="R376" s="222"/>
      <c r="S376" s="222"/>
      <c r="T376" s="222"/>
      <c r="U376" s="222"/>
      <c r="V376" s="222"/>
      <c r="W376" s="222"/>
    </row>
    <row r="377">
      <c r="A377" s="271"/>
      <c r="B377" s="222"/>
      <c r="C377" s="222"/>
      <c r="D377" s="222"/>
      <c r="E377" s="222"/>
      <c r="F377" s="222"/>
      <c r="G377" s="222"/>
      <c r="H377" s="271"/>
      <c r="I377" s="271"/>
      <c r="J377" s="271"/>
      <c r="K377" s="271"/>
      <c r="L377" s="271"/>
      <c r="M377" s="222"/>
      <c r="N377" s="222"/>
      <c r="O377" s="222"/>
      <c r="P377" s="222"/>
      <c r="Q377" s="222"/>
      <c r="R377" s="222"/>
      <c r="S377" s="222"/>
      <c r="T377" s="222"/>
      <c r="U377" s="222"/>
      <c r="V377" s="222"/>
      <c r="W377" s="222"/>
    </row>
    <row r="378">
      <c r="A378" s="271"/>
      <c r="B378" s="222"/>
      <c r="C378" s="222"/>
      <c r="D378" s="222"/>
      <c r="E378" s="222"/>
      <c r="F378" s="222"/>
      <c r="G378" s="222"/>
      <c r="H378" s="271"/>
      <c r="I378" s="271"/>
      <c r="J378" s="271"/>
      <c r="K378" s="271"/>
      <c r="L378" s="271"/>
      <c r="M378" s="222"/>
      <c r="N378" s="222"/>
      <c r="O378" s="222"/>
      <c r="P378" s="222"/>
      <c r="Q378" s="222"/>
      <c r="R378" s="222"/>
      <c r="S378" s="222"/>
      <c r="T378" s="222"/>
      <c r="U378" s="222"/>
      <c r="V378" s="222"/>
      <c r="W378" s="222"/>
    </row>
    <row r="379">
      <c r="A379" s="271"/>
      <c r="B379" s="222"/>
      <c r="C379" s="222"/>
      <c r="D379" s="222"/>
      <c r="E379" s="222"/>
      <c r="F379" s="222"/>
      <c r="G379" s="222"/>
      <c r="H379" s="271"/>
      <c r="I379" s="271"/>
      <c r="J379" s="271"/>
      <c r="K379" s="271"/>
      <c r="L379" s="271"/>
      <c r="M379" s="222"/>
      <c r="N379" s="222"/>
      <c r="O379" s="222"/>
      <c r="P379" s="222"/>
      <c r="Q379" s="222"/>
      <c r="R379" s="222"/>
      <c r="S379" s="222"/>
      <c r="T379" s="222"/>
      <c r="U379" s="222"/>
      <c r="V379" s="222"/>
      <c r="W379" s="222"/>
    </row>
    <row r="380">
      <c r="A380" s="271"/>
      <c r="B380" s="222"/>
      <c r="C380" s="222"/>
      <c r="D380" s="222"/>
      <c r="E380" s="222"/>
      <c r="F380" s="222"/>
      <c r="G380" s="222"/>
      <c r="H380" s="271"/>
      <c r="I380" s="271"/>
      <c r="J380" s="271"/>
      <c r="K380" s="271"/>
      <c r="L380" s="271"/>
      <c r="M380" s="222"/>
      <c r="N380" s="222"/>
      <c r="O380" s="222"/>
      <c r="P380" s="222"/>
      <c r="Q380" s="222"/>
      <c r="R380" s="222"/>
      <c r="S380" s="222"/>
      <c r="T380" s="222"/>
      <c r="U380" s="222"/>
      <c r="V380" s="222"/>
      <c r="W380" s="222"/>
    </row>
    <row r="381">
      <c r="A381" s="271"/>
      <c r="B381" s="222"/>
      <c r="C381" s="222"/>
      <c r="D381" s="222"/>
      <c r="E381" s="222"/>
      <c r="F381" s="222"/>
      <c r="G381" s="222"/>
      <c r="H381" s="271"/>
      <c r="I381" s="271"/>
      <c r="J381" s="271"/>
      <c r="K381" s="271"/>
      <c r="L381" s="271"/>
      <c r="M381" s="222"/>
      <c r="N381" s="222"/>
      <c r="O381" s="222"/>
      <c r="P381" s="222"/>
      <c r="Q381" s="222"/>
      <c r="R381" s="222"/>
      <c r="S381" s="222"/>
      <c r="T381" s="222"/>
      <c r="U381" s="222"/>
      <c r="V381" s="222"/>
      <c r="W381" s="222"/>
    </row>
    <row r="382">
      <c r="A382" s="271"/>
      <c r="B382" s="222"/>
      <c r="C382" s="222"/>
      <c r="D382" s="222"/>
      <c r="E382" s="222"/>
      <c r="F382" s="222"/>
      <c r="G382" s="222"/>
      <c r="H382" s="271"/>
      <c r="I382" s="271"/>
      <c r="J382" s="271"/>
      <c r="K382" s="271"/>
      <c r="L382" s="271"/>
      <c r="M382" s="222"/>
      <c r="N382" s="222"/>
      <c r="O382" s="222"/>
      <c r="P382" s="222"/>
      <c r="Q382" s="222"/>
      <c r="R382" s="222"/>
      <c r="S382" s="222"/>
      <c r="T382" s="222"/>
      <c r="U382" s="222"/>
      <c r="V382" s="222"/>
      <c r="W382" s="222"/>
    </row>
    <row r="383">
      <c r="A383" s="271"/>
      <c r="B383" s="222"/>
      <c r="C383" s="222"/>
      <c r="D383" s="222"/>
      <c r="E383" s="222"/>
      <c r="F383" s="222"/>
      <c r="G383" s="222"/>
      <c r="H383" s="271"/>
      <c r="I383" s="271"/>
      <c r="J383" s="271"/>
      <c r="K383" s="271"/>
      <c r="L383" s="271"/>
      <c r="M383" s="222"/>
      <c r="N383" s="222"/>
      <c r="O383" s="222"/>
      <c r="P383" s="222"/>
      <c r="Q383" s="222"/>
      <c r="R383" s="222"/>
      <c r="S383" s="222"/>
      <c r="T383" s="222"/>
      <c r="U383" s="222"/>
      <c r="V383" s="222"/>
      <c r="W383" s="222"/>
    </row>
    <row r="384">
      <c r="A384" s="271"/>
      <c r="B384" s="222"/>
      <c r="C384" s="222"/>
      <c r="D384" s="222"/>
      <c r="E384" s="222"/>
      <c r="F384" s="222"/>
      <c r="G384" s="222"/>
      <c r="H384" s="271"/>
      <c r="I384" s="271"/>
      <c r="J384" s="271"/>
      <c r="K384" s="271"/>
      <c r="L384" s="271"/>
      <c r="M384" s="222"/>
      <c r="N384" s="222"/>
      <c r="O384" s="222"/>
      <c r="P384" s="222"/>
      <c r="Q384" s="222"/>
      <c r="R384" s="222"/>
      <c r="S384" s="222"/>
      <c r="T384" s="222"/>
      <c r="U384" s="222"/>
      <c r="V384" s="222"/>
      <c r="W384" s="222"/>
    </row>
    <row r="385">
      <c r="A385" s="271"/>
      <c r="B385" s="222"/>
      <c r="C385" s="222"/>
      <c r="D385" s="222"/>
      <c r="E385" s="222"/>
      <c r="F385" s="222"/>
      <c r="G385" s="222"/>
      <c r="H385" s="271"/>
      <c r="I385" s="271"/>
      <c r="J385" s="271"/>
      <c r="K385" s="271"/>
      <c r="L385" s="271"/>
      <c r="M385" s="222"/>
      <c r="N385" s="222"/>
      <c r="O385" s="222"/>
      <c r="P385" s="222"/>
      <c r="Q385" s="222"/>
      <c r="R385" s="222"/>
      <c r="S385" s="222"/>
      <c r="T385" s="222"/>
      <c r="U385" s="222"/>
      <c r="V385" s="222"/>
      <c r="W385" s="222"/>
    </row>
    <row r="386">
      <c r="A386" s="271"/>
      <c r="B386" s="222"/>
      <c r="C386" s="222"/>
      <c r="D386" s="222"/>
      <c r="E386" s="222"/>
      <c r="F386" s="222"/>
      <c r="G386" s="222"/>
      <c r="H386" s="271"/>
      <c r="I386" s="271"/>
      <c r="J386" s="271"/>
      <c r="K386" s="271"/>
      <c r="L386" s="271"/>
      <c r="M386" s="222"/>
      <c r="N386" s="222"/>
      <c r="O386" s="222"/>
      <c r="P386" s="222"/>
      <c r="Q386" s="222"/>
      <c r="R386" s="222"/>
      <c r="S386" s="222"/>
      <c r="T386" s="222"/>
      <c r="U386" s="222"/>
      <c r="V386" s="222"/>
      <c r="W386" s="222"/>
    </row>
    <row r="387">
      <c r="A387" s="271"/>
      <c r="B387" s="222"/>
      <c r="C387" s="222"/>
      <c r="D387" s="222"/>
      <c r="E387" s="222"/>
      <c r="F387" s="222"/>
      <c r="G387" s="222"/>
      <c r="H387" s="271"/>
      <c r="I387" s="271"/>
      <c r="J387" s="271"/>
      <c r="K387" s="271"/>
      <c r="L387" s="271"/>
      <c r="M387" s="222"/>
      <c r="N387" s="222"/>
      <c r="O387" s="222"/>
      <c r="P387" s="222"/>
      <c r="Q387" s="222"/>
      <c r="R387" s="222"/>
      <c r="S387" s="222"/>
      <c r="T387" s="222"/>
      <c r="U387" s="222"/>
      <c r="V387" s="222"/>
      <c r="W387" s="222"/>
    </row>
    <row r="388">
      <c r="A388" s="271"/>
      <c r="B388" s="222"/>
      <c r="C388" s="222"/>
      <c r="D388" s="222"/>
      <c r="E388" s="222"/>
      <c r="F388" s="222"/>
      <c r="G388" s="222"/>
      <c r="H388" s="271"/>
      <c r="I388" s="271"/>
      <c r="J388" s="271"/>
      <c r="K388" s="271"/>
      <c r="L388" s="271"/>
      <c r="M388" s="222"/>
      <c r="N388" s="222"/>
      <c r="O388" s="222"/>
      <c r="P388" s="222"/>
      <c r="Q388" s="222"/>
      <c r="R388" s="222"/>
      <c r="S388" s="222"/>
      <c r="T388" s="222"/>
      <c r="U388" s="222"/>
      <c r="V388" s="222"/>
      <c r="W388" s="222"/>
    </row>
    <row r="389">
      <c r="A389" s="271"/>
      <c r="B389" s="222"/>
      <c r="C389" s="222"/>
      <c r="D389" s="222"/>
      <c r="E389" s="222"/>
      <c r="F389" s="222"/>
      <c r="G389" s="222"/>
      <c r="H389" s="271"/>
      <c r="I389" s="271"/>
      <c r="J389" s="271"/>
      <c r="K389" s="271"/>
      <c r="L389" s="271"/>
      <c r="M389" s="222"/>
      <c r="N389" s="222"/>
      <c r="O389" s="222"/>
      <c r="P389" s="222"/>
      <c r="Q389" s="222"/>
      <c r="R389" s="222"/>
      <c r="S389" s="222"/>
      <c r="T389" s="222"/>
      <c r="U389" s="222"/>
      <c r="V389" s="222"/>
      <c r="W389" s="222"/>
    </row>
    <row r="390">
      <c r="A390" s="271"/>
      <c r="B390" s="222"/>
      <c r="C390" s="222"/>
      <c r="D390" s="222"/>
      <c r="E390" s="222"/>
      <c r="F390" s="222"/>
      <c r="G390" s="222"/>
      <c r="H390" s="271"/>
      <c r="I390" s="271"/>
      <c r="J390" s="271"/>
      <c r="K390" s="271"/>
      <c r="L390" s="271"/>
      <c r="M390" s="222"/>
      <c r="N390" s="222"/>
      <c r="O390" s="222"/>
      <c r="P390" s="222"/>
      <c r="Q390" s="222"/>
      <c r="R390" s="222"/>
      <c r="S390" s="222"/>
      <c r="T390" s="222"/>
      <c r="U390" s="222"/>
      <c r="V390" s="222"/>
      <c r="W390" s="222"/>
    </row>
    <row r="391">
      <c r="A391" s="271"/>
      <c r="B391" s="222"/>
      <c r="C391" s="222"/>
      <c r="D391" s="222"/>
      <c r="E391" s="222"/>
      <c r="F391" s="222"/>
      <c r="G391" s="222"/>
      <c r="H391" s="271"/>
      <c r="I391" s="271"/>
      <c r="J391" s="271"/>
      <c r="K391" s="271"/>
      <c r="L391" s="271"/>
      <c r="M391" s="222"/>
      <c r="N391" s="222"/>
      <c r="O391" s="222"/>
      <c r="P391" s="222"/>
      <c r="Q391" s="222"/>
      <c r="R391" s="222"/>
      <c r="S391" s="222"/>
      <c r="T391" s="222"/>
      <c r="U391" s="222"/>
      <c r="V391" s="222"/>
      <c r="W391" s="222"/>
    </row>
    <row r="392">
      <c r="A392" s="271"/>
      <c r="B392" s="222"/>
      <c r="C392" s="222"/>
      <c r="D392" s="222"/>
      <c r="E392" s="222"/>
      <c r="F392" s="222"/>
      <c r="G392" s="222"/>
      <c r="H392" s="271"/>
      <c r="I392" s="271"/>
      <c r="J392" s="271"/>
      <c r="K392" s="271"/>
      <c r="L392" s="271"/>
      <c r="M392" s="222"/>
      <c r="N392" s="222"/>
      <c r="O392" s="222"/>
      <c r="P392" s="222"/>
      <c r="Q392" s="222"/>
      <c r="R392" s="222"/>
      <c r="S392" s="222"/>
      <c r="T392" s="222"/>
      <c r="U392" s="222"/>
      <c r="V392" s="222"/>
      <c r="W392" s="222"/>
    </row>
    <row r="393">
      <c r="A393" s="271"/>
      <c r="B393" s="222"/>
      <c r="C393" s="222"/>
      <c r="D393" s="222"/>
      <c r="E393" s="222"/>
      <c r="F393" s="222"/>
      <c r="G393" s="222"/>
      <c r="H393" s="271"/>
      <c r="I393" s="271"/>
      <c r="J393" s="271"/>
      <c r="K393" s="271"/>
      <c r="L393" s="271"/>
      <c r="M393" s="222"/>
      <c r="N393" s="222"/>
      <c r="O393" s="222"/>
      <c r="P393" s="222"/>
      <c r="Q393" s="222"/>
      <c r="R393" s="222"/>
      <c r="S393" s="222"/>
      <c r="T393" s="222"/>
      <c r="U393" s="222"/>
      <c r="V393" s="222"/>
      <c r="W393" s="222"/>
    </row>
    <row r="394">
      <c r="A394" s="271"/>
      <c r="B394" s="222"/>
      <c r="C394" s="222"/>
      <c r="D394" s="222"/>
      <c r="E394" s="222"/>
      <c r="F394" s="222"/>
      <c r="G394" s="222"/>
      <c r="H394" s="271"/>
      <c r="I394" s="271"/>
      <c r="J394" s="271"/>
      <c r="K394" s="271"/>
      <c r="L394" s="271"/>
      <c r="M394" s="222"/>
      <c r="N394" s="222"/>
      <c r="O394" s="222"/>
      <c r="P394" s="222"/>
      <c r="Q394" s="222"/>
      <c r="R394" s="222"/>
      <c r="S394" s="222"/>
      <c r="T394" s="222"/>
      <c r="U394" s="222"/>
      <c r="V394" s="222"/>
      <c r="W394" s="222"/>
    </row>
    <row r="395">
      <c r="A395" s="271"/>
      <c r="B395" s="222"/>
      <c r="C395" s="222"/>
      <c r="D395" s="222"/>
      <c r="E395" s="222"/>
      <c r="F395" s="222"/>
      <c r="G395" s="222"/>
      <c r="H395" s="271"/>
      <c r="I395" s="271"/>
      <c r="J395" s="271"/>
      <c r="K395" s="271"/>
      <c r="L395" s="271"/>
      <c r="M395" s="222"/>
      <c r="N395" s="222"/>
      <c r="O395" s="222"/>
      <c r="P395" s="222"/>
      <c r="Q395" s="222"/>
      <c r="R395" s="222"/>
      <c r="S395" s="222"/>
      <c r="T395" s="222"/>
      <c r="U395" s="222"/>
      <c r="V395" s="222"/>
      <c r="W395" s="222"/>
    </row>
    <row r="396">
      <c r="A396" s="271"/>
      <c r="B396" s="222"/>
      <c r="C396" s="222"/>
      <c r="D396" s="222"/>
      <c r="E396" s="222"/>
      <c r="F396" s="222"/>
      <c r="G396" s="222"/>
      <c r="H396" s="271"/>
      <c r="I396" s="271"/>
      <c r="J396" s="271"/>
      <c r="K396" s="271"/>
      <c r="L396" s="271"/>
      <c r="M396" s="222"/>
      <c r="N396" s="222"/>
      <c r="O396" s="222"/>
      <c r="P396" s="222"/>
      <c r="Q396" s="222"/>
      <c r="R396" s="222"/>
      <c r="S396" s="222"/>
      <c r="T396" s="222"/>
      <c r="U396" s="222"/>
      <c r="V396" s="222"/>
      <c r="W396" s="222"/>
    </row>
    <row r="397">
      <c r="A397" s="271"/>
      <c r="B397" s="222"/>
      <c r="C397" s="222"/>
      <c r="D397" s="222"/>
      <c r="E397" s="222"/>
      <c r="F397" s="222"/>
      <c r="G397" s="222"/>
      <c r="H397" s="271"/>
      <c r="I397" s="271"/>
      <c r="J397" s="271"/>
      <c r="K397" s="271"/>
      <c r="L397" s="271"/>
      <c r="M397" s="222"/>
      <c r="N397" s="222"/>
      <c r="O397" s="222"/>
      <c r="P397" s="222"/>
      <c r="Q397" s="222"/>
      <c r="R397" s="222"/>
      <c r="S397" s="222"/>
      <c r="T397" s="222"/>
      <c r="U397" s="222"/>
      <c r="V397" s="222"/>
      <c r="W397" s="222"/>
    </row>
    <row r="398">
      <c r="A398" s="271"/>
      <c r="B398" s="222"/>
      <c r="C398" s="222"/>
      <c r="D398" s="222"/>
      <c r="E398" s="222"/>
      <c r="F398" s="222"/>
      <c r="G398" s="222"/>
      <c r="H398" s="271"/>
      <c r="I398" s="271"/>
      <c r="J398" s="271"/>
      <c r="K398" s="271"/>
      <c r="L398" s="271"/>
      <c r="M398" s="222"/>
      <c r="N398" s="222"/>
      <c r="O398" s="222"/>
      <c r="P398" s="222"/>
      <c r="Q398" s="222"/>
      <c r="R398" s="222"/>
      <c r="S398" s="222"/>
      <c r="T398" s="222"/>
      <c r="U398" s="222"/>
      <c r="V398" s="222"/>
      <c r="W398" s="222"/>
    </row>
    <row r="399">
      <c r="A399" s="271"/>
      <c r="B399" s="222"/>
      <c r="C399" s="222"/>
      <c r="D399" s="222"/>
      <c r="E399" s="222"/>
      <c r="F399" s="222"/>
      <c r="G399" s="222"/>
      <c r="H399" s="271"/>
      <c r="I399" s="271"/>
      <c r="J399" s="271"/>
      <c r="K399" s="271"/>
      <c r="L399" s="271"/>
      <c r="M399" s="222"/>
      <c r="N399" s="222"/>
      <c r="O399" s="222"/>
      <c r="P399" s="222"/>
      <c r="Q399" s="222"/>
      <c r="R399" s="222"/>
      <c r="S399" s="222"/>
      <c r="T399" s="222"/>
      <c r="U399" s="222"/>
      <c r="V399" s="222"/>
      <c r="W399" s="222"/>
    </row>
    <row r="400">
      <c r="A400" s="271"/>
      <c r="B400" s="222"/>
      <c r="C400" s="222"/>
      <c r="D400" s="222"/>
      <c r="E400" s="222"/>
      <c r="F400" s="222"/>
      <c r="G400" s="222"/>
      <c r="H400" s="271"/>
      <c r="I400" s="271"/>
      <c r="J400" s="271"/>
      <c r="K400" s="271"/>
      <c r="L400" s="271"/>
      <c r="M400" s="222"/>
      <c r="N400" s="222"/>
      <c r="O400" s="222"/>
      <c r="P400" s="222"/>
      <c r="Q400" s="222"/>
      <c r="R400" s="222"/>
      <c r="S400" s="222"/>
      <c r="T400" s="222"/>
      <c r="U400" s="222"/>
      <c r="V400" s="222"/>
      <c r="W400" s="222"/>
    </row>
    <row r="401">
      <c r="A401" s="271"/>
      <c r="B401" s="222"/>
      <c r="C401" s="222"/>
      <c r="D401" s="222"/>
      <c r="E401" s="222"/>
      <c r="F401" s="222"/>
      <c r="G401" s="222"/>
      <c r="H401" s="271"/>
      <c r="I401" s="271"/>
      <c r="J401" s="271"/>
      <c r="K401" s="271"/>
      <c r="L401" s="271"/>
      <c r="M401" s="222"/>
      <c r="N401" s="222"/>
      <c r="O401" s="222"/>
      <c r="P401" s="222"/>
      <c r="Q401" s="222"/>
      <c r="R401" s="222"/>
      <c r="S401" s="222"/>
      <c r="T401" s="222"/>
      <c r="U401" s="222"/>
      <c r="V401" s="222"/>
      <c r="W401" s="222"/>
    </row>
    <row r="402">
      <c r="A402" s="271"/>
      <c r="B402" s="222"/>
      <c r="C402" s="222"/>
      <c r="D402" s="222"/>
      <c r="E402" s="222"/>
      <c r="F402" s="222"/>
      <c r="G402" s="222"/>
      <c r="H402" s="271"/>
      <c r="I402" s="271"/>
      <c r="J402" s="271"/>
      <c r="K402" s="271"/>
      <c r="L402" s="271"/>
      <c r="M402" s="222"/>
      <c r="N402" s="222"/>
      <c r="O402" s="222"/>
      <c r="P402" s="222"/>
      <c r="Q402" s="222"/>
      <c r="R402" s="222"/>
      <c r="S402" s="222"/>
      <c r="T402" s="222"/>
      <c r="U402" s="222"/>
      <c r="V402" s="222"/>
      <c r="W402" s="222"/>
    </row>
    <row r="403">
      <c r="A403" s="271"/>
      <c r="B403" s="222"/>
      <c r="C403" s="222"/>
      <c r="D403" s="222"/>
      <c r="E403" s="222"/>
      <c r="F403" s="222"/>
      <c r="G403" s="222"/>
      <c r="H403" s="271"/>
      <c r="I403" s="271"/>
      <c r="J403" s="271"/>
      <c r="K403" s="271"/>
      <c r="L403" s="271"/>
      <c r="M403" s="222"/>
      <c r="N403" s="222"/>
      <c r="O403" s="222"/>
      <c r="P403" s="222"/>
      <c r="Q403" s="222"/>
      <c r="R403" s="222"/>
      <c r="S403" s="222"/>
      <c r="T403" s="222"/>
      <c r="U403" s="222"/>
      <c r="V403" s="222"/>
      <c r="W403" s="222"/>
    </row>
    <row r="404">
      <c r="A404" s="271"/>
      <c r="B404" s="222"/>
      <c r="C404" s="222"/>
      <c r="D404" s="222"/>
      <c r="E404" s="222"/>
      <c r="F404" s="222"/>
      <c r="G404" s="222"/>
      <c r="H404" s="271"/>
      <c r="I404" s="271"/>
      <c r="J404" s="271"/>
      <c r="K404" s="271"/>
      <c r="L404" s="271"/>
      <c r="M404" s="222"/>
      <c r="N404" s="222"/>
      <c r="O404" s="222"/>
      <c r="P404" s="222"/>
      <c r="Q404" s="222"/>
      <c r="R404" s="222"/>
      <c r="S404" s="222"/>
      <c r="T404" s="222"/>
      <c r="U404" s="222"/>
      <c r="V404" s="222"/>
      <c r="W404" s="222"/>
    </row>
    <row r="405">
      <c r="A405" s="271"/>
      <c r="B405" s="222"/>
      <c r="C405" s="222"/>
      <c r="D405" s="222"/>
      <c r="E405" s="222"/>
      <c r="F405" s="222"/>
      <c r="G405" s="222"/>
      <c r="H405" s="271"/>
      <c r="I405" s="271"/>
      <c r="J405" s="271"/>
      <c r="K405" s="271"/>
      <c r="L405" s="271"/>
      <c r="M405" s="222"/>
      <c r="N405" s="222"/>
      <c r="O405" s="222"/>
      <c r="P405" s="222"/>
      <c r="Q405" s="222"/>
      <c r="R405" s="222"/>
      <c r="S405" s="222"/>
      <c r="T405" s="222"/>
      <c r="U405" s="222"/>
      <c r="V405" s="222"/>
      <c r="W405" s="222"/>
    </row>
    <row r="406">
      <c r="A406" s="271"/>
      <c r="B406" s="222"/>
      <c r="C406" s="222"/>
      <c r="D406" s="222"/>
      <c r="E406" s="222"/>
      <c r="F406" s="222"/>
      <c r="G406" s="222"/>
      <c r="H406" s="271"/>
      <c r="I406" s="271"/>
      <c r="J406" s="271"/>
      <c r="K406" s="271"/>
      <c r="L406" s="271"/>
      <c r="M406" s="222"/>
      <c r="N406" s="222"/>
      <c r="O406" s="222"/>
      <c r="P406" s="222"/>
      <c r="Q406" s="222"/>
      <c r="R406" s="222"/>
      <c r="S406" s="222"/>
      <c r="T406" s="222"/>
      <c r="U406" s="222"/>
      <c r="V406" s="222"/>
      <c r="W406" s="222"/>
    </row>
    <row r="407">
      <c r="A407" s="271"/>
      <c r="B407" s="222"/>
      <c r="C407" s="222"/>
      <c r="D407" s="222"/>
      <c r="E407" s="222"/>
      <c r="F407" s="222"/>
      <c r="G407" s="222"/>
      <c r="H407" s="271"/>
      <c r="I407" s="271"/>
      <c r="J407" s="271"/>
      <c r="K407" s="271"/>
      <c r="L407" s="271"/>
      <c r="M407" s="222"/>
      <c r="N407" s="222"/>
      <c r="O407" s="222"/>
      <c r="P407" s="222"/>
      <c r="Q407" s="222"/>
      <c r="R407" s="222"/>
      <c r="S407" s="222"/>
      <c r="T407" s="222"/>
      <c r="U407" s="222"/>
      <c r="V407" s="222"/>
      <c r="W407" s="222"/>
    </row>
    <row r="408">
      <c r="A408" s="271"/>
      <c r="B408" s="222"/>
      <c r="C408" s="222"/>
      <c r="D408" s="222"/>
      <c r="E408" s="222"/>
      <c r="F408" s="222"/>
      <c r="G408" s="222"/>
      <c r="H408" s="271"/>
      <c r="I408" s="271"/>
      <c r="J408" s="271"/>
      <c r="K408" s="271"/>
      <c r="L408" s="271"/>
      <c r="M408" s="222"/>
      <c r="N408" s="222"/>
      <c r="O408" s="222"/>
      <c r="P408" s="222"/>
      <c r="Q408" s="222"/>
      <c r="R408" s="222"/>
      <c r="S408" s="222"/>
      <c r="T408" s="222"/>
      <c r="U408" s="222"/>
      <c r="V408" s="222"/>
      <c r="W408" s="222"/>
    </row>
    <row r="409">
      <c r="A409" s="271"/>
      <c r="B409" s="222"/>
      <c r="C409" s="222"/>
      <c r="D409" s="222"/>
      <c r="E409" s="222"/>
      <c r="F409" s="222"/>
      <c r="G409" s="222"/>
      <c r="H409" s="271"/>
      <c r="I409" s="271"/>
      <c r="J409" s="271"/>
      <c r="K409" s="271"/>
      <c r="L409" s="271"/>
      <c r="M409" s="222"/>
      <c r="N409" s="222"/>
      <c r="O409" s="222"/>
      <c r="P409" s="222"/>
      <c r="Q409" s="222"/>
      <c r="R409" s="222"/>
      <c r="S409" s="222"/>
      <c r="T409" s="222"/>
      <c r="U409" s="222"/>
      <c r="V409" s="222"/>
      <c r="W409" s="222"/>
    </row>
    <row r="410">
      <c r="A410" s="271"/>
      <c r="B410" s="222"/>
      <c r="C410" s="222"/>
      <c r="D410" s="222"/>
      <c r="E410" s="222"/>
      <c r="F410" s="222"/>
      <c r="G410" s="222"/>
      <c r="H410" s="271"/>
      <c r="I410" s="271"/>
      <c r="J410" s="271"/>
      <c r="K410" s="271"/>
      <c r="L410" s="271"/>
      <c r="M410" s="222"/>
      <c r="N410" s="222"/>
      <c r="O410" s="222"/>
      <c r="P410" s="222"/>
      <c r="Q410" s="222"/>
      <c r="R410" s="222"/>
      <c r="S410" s="222"/>
      <c r="T410" s="222"/>
      <c r="U410" s="222"/>
      <c r="V410" s="222"/>
      <c r="W410" s="222"/>
    </row>
    <row r="411">
      <c r="A411" s="271"/>
      <c r="B411" s="222"/>
      <c r="C411" s="222"/>
      <c r="D411" s="222"/>
      <c r="E411" s="222"/>
      <c r="F411" s="222"/>
      <c r="G411" s="222"/>
      <c r="H411" s="271"/>
      <c r="I411" s="271"/>
      <c r="J411" s="271"/>
      <c r="K411" s="271"/>
      <c r="L411" s="271"/>
      <c r="M411" s="222"/>
      <c r="N411" s="222"/>
      <c r="O411" s="222"/>
      <c r="P411" s="222"/>
      <c r="Q411" s="222"/>
      <c r="R411" s="222"/>
      <c r="S411" s="222"/>
      <c r="T411" s="222"/>
      <c r="U411" s="222"/>
      <c r="V411" s="222"/>
      <c r="W411" s="222"/>
    </row>
    <row r="412">
      <c r="A412" s="271"/>
      <c r="B412" s="222"/>
      <c r="C412" s="222"/>
      <c r="D412" s="222"/>
      <c r="E412" s="222"/>
      <c r="F412" s="222"/>
      <c r="G412" s="222"/>
      <c r="H412" s="271"/>
      <c r="I412" s="271"/>
      <c r="J412" s="271"/>
      <c r="K412" s="271"/>
      <c r="L412" s="271"/>
      <c r="M412" s="222"/>
      <c r="N412" s="222"/>
      <c r="O412" s="222"/>
      <c r="P412" s="222"/>
      <c r="Q412" s="222"/>
      <c r="R412" s="222"/>
      <c r="S412" s="222"/>
      <c r="T412" s="222"/>
      <c r="U412" s="222"/>
      <c r="V412" s="222"/>
      <c r="W412" s="222"/>
    </row>
    <row r="413">
      <c r="A413" s="271"/>
      <c r="B413" s="222"/>
      <c r="C413" s="222"/>
      <c r="D413" s="222"/>
      <c r="E413" s="222"/>
      <c r="F413" s="222"/>
      <c r="G413" s="222"/>
      <c r="H413" s="271"/>
      <c r="I413" s="271"/>
      <c r="J413" s="271"/>
      <c r="K413" s="271"/>
      <c r="L413" s="271"/>
      <c r="M413" s="222"/>
      <c r="N413" s="222"/>
      <c r="O413" s="222"/>
      <c r="P413" s="222"/>
      <c r="Q413" s="222"/>
      <c r="R413" s="222"/>
      <c r="S413" s="222"/>
      <c r="T413" s="222"/>
      <c r="U413" s="222"/>
      <c r="V413" s="222"/>
      <c r="W413" s="222"/>
    </row>
    <row r="414">
      <c r="A414" s="271"/>
      <c r="B414" s="222"/>
      <c r="C414" s="222"/>
      <c r="D414" s="222"/>
      <c r="E414" s="222"/>
      <c r="F414" s="222"/>
      <c r="G414" s="222"/>
      <c r="H414" s="271"/>
      <c r="I414" s="271"/>
      <c r="J414" s="271"/>
      <c r="K414" s="271"/>
      <c r="L414" s="271"/>
      <c r="M414" s="222"/>
      <c r="N414" s="222"/>
      <c r="O414" s="222"/>
      <c r="P414" s="222"/>
      <c r="Q414" s="222"/>
      <c r="R414" s="222"/>
      <c r="S414" s="222"/>
      <c r="T414" s="222"/>
      <c r="U414" s="222"/>
      <c r="V414" s="222"/>
      <c r="W414" s="222"/>
    </row>
    <row r="415">
      <c r="A415" s="271"/>
      <c r="B415" s="222"/>
      <c r="C415" s="222"/>
      <c r="D415" s="222"/>
      <c r="E415" s="222"/>
      <c r="F415" s="222"/>
      <c r="G415" s="222"/>
      <c r="H415" s="271"/>
      <c r="I415" s="271"/>
      <c r="J415" s="271"/>
      <c r="K415" s="271"/>
      <c r="L415" s="271"/>
      <c r="M415" s="222"/>
      <c r="N415" s="222"/>
      <c r="O415" s="222"/>
      <c r="P415" s="222"/>
      <c r="Q415" s="222"/>
      <c r="R415" s="222"/>
      <c r="S415" s="222"/>
      <c r="T415" s="222"/>
      <c r="U415" s="222"/>
      <c r="V415" s="222"/>
      <c r="W415" s="222"/>
    </row>
    <row r="416">
      <c r="A416" s="271"/>
      <c r="B416" s="222"/>
      <c r="C416" s="222"/>
      <c r="D416" s="222"/>
      <c r="E416" s="222"/>
      <c r="F416" s="222"/>
      <c r="G416" s="222"/>
      <c r="H416" s="271"/>
      <c r="I416" s="271"/>
      <c r="J416" s="271"/>
      <c r="K416" s="271"/>
      <c r="L416" s="271"/>
      <c r="M416" s="222"/>
      <c r="N416" s="222"/>
      <c r="O416" s="222"/>
      <c r="P416" s="222"/>
      <c r="Q416" s="222"/>
      <c r="R416" s="222"/>
      <c r="S416" s="222"/>
      <c r="T416" s="222"/>
      <c r="U416" s="222"/>
      <c r="V416" s="222"/>
      <c r="W416" s="222"/>
    </row>
    <row r="417">
      <c r="A417" s="271"/>
      <c r="B417" s="222"/>
      <c r="C417" s="222"/>
      <c r="D417" s="222"/>
      <c r="E417" s="222"/>
      <c r="F417" s="222"/>
      <c r="G417" s="222"/>
      <c r="H417" s="271"/>
      <c r="I417" s="271"/>
      <c r="J417" s="271"/>
      <c r="K417" s="271"/>
      <c r="L417" s="271"/>
      <c r="M417" s="222"/>
      <c r="N417" s="222"/>
      <c r="O417" s="222"/>
      <c r="P417" s="222"/>
      <c r="Q417" s="222"/>
      <c r="R417" s="222"/>
      <c r="S417" s="222"/>
      <c r="T417" s="222"/>
      <c r="U417" s="222"/>
      <c r="V417" s="222"/>
      <c r="W417" s="222"/>
    </row>
    <row r="418">
      <c r="A418" s="271"/>
      <c r="B418" s="222"/>
      <c r="C418" s="222"/>
      <c r="D418" s="222"/>
      <c r="E418" s="222"/>
      <c r="F418" s="222"/>
      <c r="G418" s="222"/>
      <c r="H418" s="271"/>
      <c r="I418" s="271"/>
      <c r="J418" s="271"/>
      <c r="K418" s="271"/>
      <c r="L418" s="271"/>
      <c r="M418" s="222"/>
      <c r="N418" s="222"/>
      <c r="O418" s="222"/>
      <c r="P418" s="222"/>
      <c r="Q418" s="222"/>
      <c r="R418" s="222"/>
      <c r="S418" s="222"/>
      <c r="T418" s="222"/>
      <c r="U418" s="222"/>
      <c r="V418" s="222"/>
      <c r="W418" s="222"/>
    </row>
    <row r="419">
      <c r="A419" s="271"/>
      <c r="B419" s="222"/>
      <c r="C419" s="222"/>
      <c r="D419" s="222"/>
      <c r="E419" s="222"/>
      <c r="F419" s="222"/>
      <c r="G419" s="222"/>
      <c r="H419" s="271"/>
      <c r="I419" s="271"/>
      <c r="J419" s="271"/>
      <c r="K419" s="271"/>
      <c r="L419" s="271"/>
      <c r="M419" s="222"/>
      <c r="N419" s="222"/>
      <c r="O419" s="222"/>
      <c r="P419" s="222"/>
      <c r="Q419" s="222"/>
      <c r="R419" s="222"/>
      <c r="S419" s="222"/>
      <c r="T419" s="222"/>
      <c r="U419" s="222"/>
      <c r="V419" s="222"/>
      <c r="W419" s="222"/>
    </row>
    <row r="420">
      <c r="A420" s="271"/>
      <c r="B420" s="222"/>
      <c r="C420" s="222"/>
      <c r="D420" s="222"/>
      <c r="E420" s="222"/>
      <c r="F420" s="222"/>
      <c r="G420" s="222"/>
      <c r="H420" s="271"/>
      <c r="I420" s="271"/>
      <c r="J420" s="271"/>
      <c r="K420" s="271"/>
      <c r="L420" s="271"/>
      <c r="M420" s="222"/>
      <c r="N420" s="222"/>
      <c r="O420" s="222"/>
      <c r="P420" s="222"/>
      <c r="Q420" s="222"/>
      <c r="R420" s="222"/>
      <c r="S420" s="222"/>
      <c r="T420" s="222"/>
      <c r="U420" s="222"/>
      <c r="V420" s="222"/>
      <c r="W420" s="222"/>
    </row>
    <row r="421">
      <c r="A421" s="271"/>
      <c r="B421" s="222"/>
      <c r="C421" s="222"/>
      <c r="D421" s="222"/>
      <c r="E421" s="222"/>
      <c r="F421" s="222"/>
      <c r="G421" s="222"/>
      <c r="H421" s="271"/>
      <c r="I421" s="271"/>
      <c r="J421" s="271"/>
      <c r="K421" s="271"/>
      <c r="L421" s="271"/>
      <c r="M421" s="222"/>
      <c r="N421" s="222"/>
      <c r="O421" s="222"/>
      <c r="P421" s="222"/>
      <c r="Q421" s="222"/>
      <c r="R421" s="222"/>
      <c r="S421" s="222"/>
      <c r="T421" s="222"/>
      <c r="U421" s="222"/>
      <c r="V421" s="222"/>
      <c r="W421" s="222"/>
    </row>
    <row r="422">
      <c r="A422" s="271"/>
      <c r="B422" s="222"/>
      <c r="C422" s="222"/>
      <c r="D422" s="222"/>
      <c r="E422" s="222"/>
      <c r="F422" s="222"/>
      <c r="G422" s="222"/>
      <c r="H422" s="271"/>
      <c r="I422" s="271"/>
      <c r="J422" s="271"/>
      <c r="K422" s="271"/>
      <c r="L422" s="271"/>
      <c r="M422" s="222"/>
      <c r="N422" s="222"/>
      <c r="O422" s="222"/>
      <c r="P422" s="222"/>
      <c r="Q422" s="222"/>
      <c r="R422" s="222"/>
      <c r="S422" s="222"/>
      <c r="T422" s="222"/>
      <c r="U422" s="222"/>
      <c r="V422" s="222"/>
      <c r="W422" s="222"/>
    </row>
    <row r="423">
      <c r="A423" s="271"/>
      <c r="B423" s="222"/>
      <c r="C423" s="222"/>
      <c r="D423" s="222"/>
      <c r="E423" s="222"/>
      <c r="F423" s="222"/>
      <c r="G423" s="222"/>
      <c r="H423" s="271"/>
      <c r="I423" s="271"/>
      <c r="J423" s="271"/>
      <c r="K423" s="271"/>
      <c r="L423" s="271"/>
      <c r="M423" s="222"/>
      <c r="N423" s="222"/>
      <c r="O423" s="222"/>
      <c r="P423" s="222"/>
      <c r="Q423" s="222"/>
      <c r="R423" s="222"/>
      <c r="S423" s="222"/>
      <c r="T423" s="222"/>
      <c r="U423" s="222"/>
      <c r="V423" s="222"/>
      <c r="W423" s="222"/>
    </row>
    <row r="424">
      <c r="A424" s="271"/>
      <c r="B424" s="222"/>
      <c r="C424" s="222"/>
      <c r="D424" s="222"/>
      <c r="E424" s="222"/>
      <c r="F424" s="222"/>
      <c r="G424" s="222"/>
      <c r="H424" s="271"/>
      <c r="I424" s="271"/>
      <c r="J424" s="271"/>
      <c r="K424" s="271"/>
      <c r="L424" s="271"/>
      <c r="M424" s="222"/>
      <c r="N424" s="222"/>
      <c r="O424" s="222"/>
      <c r="P424" s="222"/>
      <c r="Q424" s="222"/>
      <c r="R424" s="222"/>
      <c r="S424" s="222"/>
      <c r="T424" s="222"/>
      <c r="U424" s="222"/>
      <c r="V424" s="222"/>
      <c r="W424" s="222"/>
    </row>
    <row r="425">
      <c r="A425" s="271"/>
      <c r="B425" s="222"/>
      <c r="C425" s="222"/>
      <c r="D425" s="222"/>
      <c r="E425" s="222"/>
      <c r="F425" s="222"/>
      <c r="G425" s="222"/>
      <c r="H425" s="271"/>
      <c r="I425" s="271"/>
      <c r="J425" s="271"/>
      <c r="K425" s="271"/>
      <c r="L425" s="271"/>
      <c r="M425" s="222"/>
      <c r="N425" s="222"/>
      <c r="O425" s="222"/>
      <c r="P425" s="222"/>
      <c r="Q425" s="222"/>
      <c r="R425" s="222"/>
      <c r="S425" s="222"/>
      <c r="T425" s="222"/>
      <c r="U425" s="222"/>
      <c r="V425" s="222"/>
      <c r="W425" s="222"/>
    </row>
    <row r="426">
      <c r="A426" s="271"/>
      <c r="B426" s="222"/>
      <c r="C426" s="222"/>
      <c r="D426" s="222"/>
      <c r="E426" s="222"/>
      <c r="F426" s="222"/>
      <c r="G426" s="222"/>
      <c r="H426" s="271"/>
      <c r="I426" s="271"/>
      <c r="J426" s="271"/>
      <c r="K426" s="271"/>
      <c r="L426" s="271"/>
      <c r="M426" s="222"/>
      <c r="N426" s="222"/>
      <c r="O426" s="222"/>
      <c r="P426" s="222"/>
      <c r="Q426" s="222"/>
      <c r="R426" s="222"/>
      <c r="S426" s="222"/>
      <c r="T426" s="222"/>
      <c r="U426" s="222"/>
      <c r="V426" s="222"/>
      <c r="W426" s="222"/>
    </row>
    <row r="427">
      <c r="A427" s="271"/>
      <c r="B427" s="222"/>
      <c r="C427" s="222"/>
      <c r="D427" s="222"/>
      <c r="E427" s="222"/>
      <c r="F427" s="222"/>
      <c r="G427" s="222"/>
      <c r="H427" s="271"/>
      <c r="I427" s="271"/>
      <c r="J427" s="271"/>
      <c r="K427" s="271"/>
      <c r="L427" s="271"/>
      <c r="M427" s="222"/>
      <c r="N427" s="222"/>
      <c r="O427" s="222"/>
      <c r="P427" s="222"/>
      <c r="Q427" s="222"/>
      <c r="R427" s="222"/>
      <c r="S427" s="222"/>
      <c r="T427" s="222"/>
      <c r="U427" s="222"/>
      <c r="V427" s="222"/>
      <c r="W427" s="222"/>
    </row>
    <row r="428">
      <c r="A428" s="271"/>
      <c r="B428" s="222"/>
      <c r="C428" s="222"/>
      <c r="D428" s="222"/>
      <c r="E428" s="222"/>
      <c r="F428" s="222"/>
      <c r="G428" s="222"/>
      <c r="H428" s="271"/>
      <c r="I428" s="271"/>
      <c r="J428" s="271"/>
      <c r="K428" s="271"/>
      <c r="L428" s="271"/>
      <c r="M428" s="222"/>
      <c r="N428" s="222"/>
      <c r="O428" s="222"/>
      <c r="P428" s="222"/>
      <c r="Q428" s="222"/>
      <c r="R428" s="222"/>
      <c r="S428" s="222"/>
      <c r="T428" s="222"/>
      <c r="U428" s="222"/>
      <c r="V428" s="222"/>
      <c r="W428" s="222"/>
    </row>
    <row r="429">
      <c r="A429" s="271"/>
      <c r="B429" s="222"/>
      <c r="C429" s="222"/>
      <c r="D429" s="222"/>
      <c r="E429" s="222"/>
      <c r="F429" s="222"/>
      <c r="G429" s="222"/>
      <c r="H429" s="271"/>
      <c r="I429" s="271"/>
      <c r="J429" s="271"/>
      <c r="K429" s="271"/>
      <c r="L429" s="271"/>
      <c r="M429" s="222"/>
      <c r="N429" s="222"/>
      <c r="O429" s="222"/>
      <c r="P429" s="222"/>
      <c r="Q429" s="222"/>
      <c r="R429" s="222"/>
      <c r="S429" s="222"/>
      <c r="T429" s="222"/>
      <c r="U429" s="222"/>
      <c r="V429" s="222"/>
      <c r="W429" s="222"/>
    </row>
    <row r="430">
      <c r="A430" s="271"/>
      <c r="B430" s="222"/>
      <c r="C430" s="222"/>
      <c r="D430" s="222"/>
      <c r="E430" s="222"/>
      <c r="F430" s="222"/>
      <c r="G430" s="222"/>
      <c r="H430" s="271"/>
      <c r="I430" s="271"/>
      <c r="J430" s="271"/>
      <c r="K430" s="271"/>
      <c r="L430" s="271"/>
      <c r="M430" s="222"/>
      <c r="N430" s="222"/>
      <c r="O430" s="222"/>
      <c r="P430" s="222"/>
      <c r="Q430" s="222"/>
      <c r="R430" s="222"/>
      <c r="S430" s="222"/>
      <c r="T430" s="222"/>
      <c r="U430" s="222"/>
      <c r="V430" s="222"/>
      <c r="W430" s="222"/>
    </row>
    <row r="431">
      <c r="A431" s="271"/>
      <c r="B431" s="222"/>
      <c r="C431" s="222"/>
      <c r="D431" s="222"/>
      <c r="E431" s="222"/>
      <c r="F431" s="222"/>
      <c r="G431" s="222"/>
      <c r="H431" s="271"/>
      <c r="I431" s="271"/>
      <c r="J431" s="271"/>
      <c r="K431" s="271"/>
      <c r="L431" s="271"/>
      <c r="M431" s="222"/>
      <c r="N431" s="222"/>
      <c r="O431" s="222"/>
      <c r="P431" s="222"/>
      <c r="Q431" s="222"/>
      <c r="R431" s="222"/>
      <c r="S431" s="222"/>
      <c r="T431" s="222"/>
      <c r="U431" s="222"/>
      <c r="V431" s="222"/>
      <c r="W431" s="222"/>
    </row>
    <row r="432">
      <c r="A432" s="271"/>
      <c r="B432" s="222"/>
      <c r="C432" s="222"/>
      <c r="D432" s="222"/>
      <c r="E432" s="222"/>
      <c r="F432" s="222"/>
      <c r="G432" s="222"/>
      <c r="H432" s="271"/>
      <c r="I432" s="271"/>
      <c r="J432" s="271"/>
      <c r="K432" s="271"/>
      <c r="L432" s="271"/>
      <c r="M432" s="222"/>
      <c r="N432" s="222"/>
      <c r="O432" s="222"/>
      <c r="P432" s="222"/>
      <c r="Q432" s="222"/>
      <c r="R432" s="222"/>
      <c r="S432" s="222"/>
      <c r="T432" s="222"/>
      <c r="U432" s="222"/>
      <c r="V432" s="222"/>
      <c r="W432" s="222"/>
    </row>
    <row r="433">
      <c r="A433" s="271"/>
      <c r="B433" s="222"/>
      <c r="C433" s="222"/>
      <c r="D433" s="222"/>
      <c r="E433" s="222"/>
      <c r="F433" s="222"/>
      <c r="G433" s="222"/>
      <c r="H433" s="271"/>
      <c r="I433" s="271"/>
      <c r="J433" s="271"/>
      <c r="K433" s="271"/>
      <c r="L433" s="271"/>
      <c r="M433" s="222"/>
      <c r="N433" s="222"/>
      <c r="O433" s="222"/>
      <c r="P433" s="222"/>
      <c r="Q433" s="222"/>
      <c r="R433" s="222"/>
      <c r="S433" s="222"/>
      <c r="T433" s="222"/>
      <c r="U433" s="222"/>
      <c r="V433" s="222"/>
      <c r="W433" s="222"/>
    </row>
    <row r="434">
      <c r="A434" s="271"/>
      <c r="B434" s="222"/>
      <c r="C434" s="222"/>
      <c r="D434" s="222"/>
      <c r="E434" s="222"/>
      <c r="F434" s="222"/>
      <c r="G434" s="222"/>
      <c r="H434" s="271"/>
      <c r="I434" s="271"/>
      <c r="J434" s="271"/>
      <c r="K434" s="271"/>
      <c r="L434" s="271"/>
      <c r="M434" s="222"/>
      <c r="N434" s="222"/>
      <c r="O434" s="222"/>
      <c r="P434" s="222"/>
      <c r="Q434" s="222"/>
      <c r="R434" s="222"/>
      <c r="S434" s="222"/>
      <c r="T434" s="222"/>
      <c r="U434" s="222"/>
      <c r="V434" s="222"/>
      <c r="W434" s="222"/>
    </row>
    <row r="435">
      <c r="A435" s="271"/>
      <c r="B435" s="222"/>
      <c r="C435" s="222"/>
      <c r="D435" s="222"/>
      <c r="E435" s="222"/>
      <c r="F435" s="222"/>
      <c r="G435" s="222"/>
      <c r="H435" s="271"/>
      <c r="I435" s="271"/>
      <c r="J435" s="271"/>
      <c r="K435" s="271"/>
      <c r="L435" s="271"/>
      <c r="M435" s="222"/>
      <c r="N435" s="222"/>
      <c r="O435" s="222"/>
      <c r="P435" s="222"/>
      <c r="Q435" s="222"/>
      <c r="R435" s="222"/>
      <c r="S435" s="222"/>
      <c r="T435" s="222"/>
      <c r="U435" s="222"/>
      <c r="V435" s="222"/>
      <c r="W435" s="222"/>
    </row>
    <row r="436">
      <c r="A436" s="271"/>
      <c r="B436" s="222"/>
      <c r="C436" s="222"/>
      <c r="D436" s="222"/>
      <c r="E436" s="222"/>
      <c r="F436" s="222"/>
      <c r="G436" s="222"/>
      <c r="H436" s="271"/>
      <c r="I436" s="271"/>
      <c r="J436" s="271"/>
      <c r="K436" s="271"/>
      <c r="L436" s="271"/>
      <c r="M436" s="222"/>
      <c r="N436" s="222"/>
      <c r="O436" s="222"/>
      <c r="P436" s="222"/>
      <c r="Q436" s="222"/>
      <c r="R436" s="222"/>
      <c r="S436" s="222"/>
      <c r="T436" s="222"/>
      <c r="U436" s="222"/>
      <c r="V436" s="222"/>
      <c r="W436" s="222"/>
    </row>
    <row r="437">
      <c r="A437" s="271"/>
      <c r="B437" s="222"/>
      <c r="C437" s="222"/>
      <c r="D437" s="222"/>
      <c r="E437" s="222"/>
      <c r="F437" s="222"/>
      <c r="G437" s="222"/>
      <c r="H437" s="271"/>
      <c r="I437" s="271"/>
      <c r="J437" s="271"/>
      <c r="K437" s="271"/>
      <c r="L437" s="271"/>
      <c r="M437" s="222"/>
      <c r="N437" s="222"/>
      <c r="O437" s="222"/>
      <c r="P437" s="222"/>
      <c r="Q437" s="222"/>
      <c r="R437" s="222"/>
      <c r="S437" s="222"/>
      <c r="T437" s="222"/>
      <c r="U437" s="222"/>
      <c r="V437" s="222"/>
      <c r="W437" s="222"/>
    </row>
    <row r="438">
      <c r="A438" s="271"/>
      <c r="B438" s="222"/>
      <c r="C438" s="222"/>
      <c r="D438" s="222"/>
      <c r="E438" s="222"/>
      <c r="F438" s="222"/>
      <c r="G438" s="222"/>
      <c r="H438" s="271"/>
      <c r="I438" s="271"/>
      <c r="J438" s="271"/>
      <c r="K438" s="271"/>
      <c r="L438" s="271"/>
      <c r="M438" s="222"/>
      <c r="N438" s="222"/>
      <c r="O438" s="222"/>
      <c r="P438" s="222"/>
      <c r="Q438" s="222"/>
      <c r="R438" s="222"/>
      <c r="S438" s="222"/>
      <c r="T438" s="222"/>
      <c r="U438" s="222"/>
      <c r="V438" s="222"/>
      <c r="W438" s="222"/>
    </row>
    <row r="439">
      <c r="A439" s="271"/>
      <c r="B439" s="222"/>
      <c r="C439" s="222"/>
      <c r="D439" s="222"/>
      <c r="E439" s="222"/>
      <c r="F439" s="222"/>
      <c r="G439" s="222"/>
      <c r="H439" s="271"/>
      <c r="I439" s="271"/>
      <c r="J439" s="271"/>
      <c r="K439" s="271"/>
      <c r="L439" s="271"/>
      <c r="M439" s="222"/>
      <c r="N439" s="222"/>
      <c r="O439" s="222"/>
      <c r="P439" s="222"/>
      <c r="Q439" s="222"/>
      <c r="R439" s="222"/>
      <c r="S439" s="222"/>
      <c r="T439" s="222"/>
      <c r="U439" s="222"/>
      <c r="V439" s="222"/>
      <c r="W439" s="222"/>
    </row>
    <row r="440">
      <c r="A440" s="271"/>
      <c r="B440" s="222"/>
      <c r="C440" s="222"/>
      <c r="D440" s="222"/>
      <c r="E440" s="222"/>
      <c r="F440" s="222"/>
      <c r="G440" s="222"/>
      <c r="H440" s="271"/>
      <c r="I440" s="271"/>
      <c r="J440" s="271"/>
      <c r="K440" s="271"/>
      <c r="L440" s="271"/>
      <c r="M440" s="222"/>
      <c r="N440" s="222"/>
      <c r="O440" s="222"/>
      <c r="P440" s="222"/>
      <c r="Q440" s="222"/>
      <c r="R440" s="222"/>
      <c r="S440" s="222"/>
      <c r="T440" s="222"/>
      <c r="U440" s="222"/>
      <c r="V440" s="222"/>
      <c r="W440" s="222"/>
    </row>
    <row r="441">
      <c r="A441" s="271"/>
      <c r="B441" s="222"/>
      <c r="C441" s="222"/>
      <c r="D441" s="222"/>
      <c r="E441" s="222"/>
      <c r="F441" s="222"/>
      <c r="G441" s="222"/>
      <c r="H441" s="271"/>
      <c r="I441" s="271"/>
      <c r="J441" s="271"/>
      <c r="K441" s="271"/>
      <c r="L441" s="271"/>
      <c r="M441" s="222"/>
      <c r="N441" s="222"/>
      <c r="O441" s="222"/>
      <c r="P441" s="222"/>
      <c r="Q441" s="222"/>
      <c r="R441" s="222"/>
      <c r="S441" s="222"/>
      <c r="T441" s="222"/>
      <c r="U441" s="222"/>
      <c r="V441" s="222"/>
      <c r="W441" s="222"/>
    </row>
    <row r="442">
      <c r="A442" s="271"/>
      <c r="B442" s="222"/>
      <c r="C442" s="222"/>
      <c r="D442" s="222"/>
      <c r="E442" s="222"/>
      <c r="F442" s="222"/>
      <c r="G442" s="222"/>
      <c r="H442" s="271"/>
      <c r="I442" s="271"/>
      <c r="J442" s="271"/>
      <c r="K442" s="271"/>
      <c r="L442" s="271"/>
      <c r="M442" s="222"/>
      <c r="N442" s="222"/>
      <c r="O442" s="222"/>
      <c r="P442" s="222"/>
      <c r="Q442" s="222"/>
      <c r="R442" s="222"/>
      <c r="S442" s="222"/>
      <c r="T442" s="222"/>
      <c r="U442" s="222"/>
      <c r="V442" s="222"/>
      <c r="W442" s="222"/>
    </row>
    <row r="443">
      <c r="A443" s="271"/>
      <c r="B443" s="222"/>
      <c r="C443" s="222"/>
      <c r="D443" s="222"/>
      <c r="E443" s="222"/>
      <c r="F443" s="222"/>
      <c r="G443" s="222"/>
      <c r="H443" s="271"/>
      <c r="I443" s="271"/>
      <c r="J443" s="271"/>
      <c r="K443" s="271"/>
      <c r="L443" s="271"/>
      <c r="M443" s="222"/>
      <c r="N443" s="222"/>
      <c r="O443" s="222"/>
      <c r="P443" s="222"/>
      <c r="Q443" s="222"/>
      <c r="R443" s="222"/>
      <c r="S443" s="222"/>
      <c r="T443" s="222"/>
      <c r="U443" s="222"/>
      <c r="V443" s="222"/>
      <c r="W443" s="222"/>
    </row>
    <row r="444">
      <c r="A444" s="271"/>
      <c r="B444" s="222"/>
      <c r="C444" s="222"/>
      <c r="D444" s="222"/>
      <c r="E444" s="222"/>
      <c r="F444" s="222"/>
      <c r="G444" s="222"/>
      <c r="H444" s="271"/>
      <c r="I444" s="271"/>
      <c r="J444" s="271"/>
      <c r="K444" s="271"/>
      <c r="L444" s="271"/>
      <c r="M444" s="222"/>
      <c r="N444" s="222"/>
      <c r="O444" s="222"/>
      <c r="P444" s="222"/>
      <c r="Q444" s="222"/>
      <c r="R444" s="222"/>
      <c r="S444" s="222"/>
      <c r="T444" s="222"/>
      <c r="U444" s="222"/>
      <c r="V444" s="222"/>
      <c r="W444" s="222"/>
    </row>
    <row r="445">
      <c r="A445" s="271"/>
      <c r="B445" s="222"/>
      <c r="C445" s="222"/>
      <c r="D445" s="222"/>
      <c r="E445" s="222"/>
      <c r="F445" s="222"/>
      <c r="G445" s="222"/>
      <c r="H445" s="271"/>
      <c r="I445" s="271"/>
      <c r="J445" s="271"/>
      <c r="K445" s="271"/>
      <c r="L445" s="271"/>
      <c r="M445" s="222"/>
      <c r="N445" s="222"/>
      <c r="O445" s="222"/>
      <c r="P445" s="222"/>
      <c r="Q445" s="222"/>
      <c r="R445" s="222"/>
      <c r="S445" s="222"/>
      <c r="T445" s="222"/>
      <c r="U445" s="222"/>
      <c r="V445" s="222"/>
      <c r="W445" s="222"/>
    </row>
    <row r="446">
      <c r="A446" s="271"/>
      <c r="B446" s="222"/>
      <c r="C446" s="222"/>
      <c r="D446" s="222"/>
      <c r="E446" s="222"/>
      <c r="F446" s="222"/>
      <c r="G446" s="222"/>
      <c r="H446" s="271"/>
      <c r="I446" s="271"/>
      <c r="J446" s="271"/>
      <c r="K446" s="271"/>
      <c r="L446" s="271"/>
      <c r="M446" s="222"/>
      <c r="N446" s="222"/>
      <c r="O446" s="222"/>
      <c r="P446" s="222"/>
      <c r="Q446" s="222"/>
      <c r="R446" s="222"/>
      <c r="S446" s="222"/>
      <c r="T446" s="222"/>
      <c r="U446" s="222"/>
      <c r="V446" s="222"/>
      <c r="W446" s="222"/>
    </row>
    <row r="447">
      <c r="A447" s="271"/>
      <c r="B447" s="222"/>
      <c r="C447" s="222"/>
      <c r="D447" s="222"/>
      <c r="E447" s="222"/>
      <c r="F447" s="222"/>
      <c r="G447" s="222"/>
      <c r="H447" s="271"/>
      <c r="I447" s="271"/>
      <c r="J447" s="271"/>
      <c r="K447" s="271"/>
      <c r="L447" s="271"/>
      <c r="M447" s="222"/>
      <c r="N447" s="222"/>
      <c r="O447" s="222"/>
      <c r="P447" s="222"/>
      <c r="Q447" s="222"/>
      <c r="R447" s="222"/>
      <c r="S447" s="222"/>
      <c r="T447" s="222"/>
      <c r="U447" s="222"/>
      <c r="V447" s="222"/>
      <c r="W447" s="222"/>
    </row>
    <row r="448">
      <c r="A448" s="271"/>
      <c r="B448" s="222"/>
      <c r="C448" s="222"/>
      <c r="D448" s="222"/>
      <c r="E448" s="222"/>
      <c r="F448" s="222"/>
      <c r="G448" s="222"/>
      <c r="H448" s="271"/>
      <c r="I448" s="271"/>
      <c r="J448" s="271"/>
      <c r="K448" s="271"/>
      <c r="L448" s="271"/>
      <c r="M448" s="222"/>
      <c r="N448" s="222"/>
      <c r="O448" s="222"/>
      <c r="P448" s="222"/>
      <c r="Q448" s="222"/>
      <c r="R448" s="222"/>
      <c r="S448" s="222"/>
      <c r="T448" s="222"/>
      <c r="U448" s="222"/>
      <c r="V448" s="222"/>
      <c r="W448" s="222"/>
    </row>
    <row r="449">
      <c r="A449" s="271"/>
      <c r="B449" s="222"/>
      <c r="C449" s="222"/>
      <c r="D449" s="222"/>
      <c r="E449" s="222"/>
      <c r="F449" s="222"/>
      <c r="G449" s="222"/>
      <c r="H449" s="271"/>
      <c r="I449" s="271"/>
      <c r="J449" s="271"/>
      <c r="K449" s="271"/>
      <c r="L449" s="271"/>
      <c r="M449" s="222"/>
      <c r="N449" s="222"/>
      <c r="O449" s="222"/>
      <c r="P449" s="222"/>
      <c r="Q449" s="222"/>
      <c r="R449" s="222"/>
      <c r="S449" s="222"/>
      <c r="T449" s="222"/>
      <c r="U449" s="222"/>
      <c r="V449" s="222"/>
      <c r="W449" s="222"/>
    </row>
    <row r="450">
      <c r="A450" s="271"/>
      <c r="B450" s="222"/>
      <c r="C450" s="222"/>
      <c r="D450" s="222"/>
      <c r="E450" s="222"/>
      <c r="F450" s="222"/>
      <c r="G450" s="222"/>
      <c r="H450" s="271"/>
      <c r="I450" s="271"/>
      <c r="J450" s="271"/>
      <c r="K450" s="271"/>
      <c r="L450" s="271"/>
      <c r="M450" s="222"/>
      <c r="N450" s="222"/>
      <c r="O450" s="222"/>
      <c r="P450" s="222"/>
      <c r="Q450" s="222"/>
      <c r="R450" s="222"/>
      <c r="S450" s="222"/>
      <c r="T450" s="222"/>
      <c r="U450" s="222"/>
      <c r="V450" s="222"/>
      <c r="W450" s="222"/>
    </row>
    <row r="451">
      <c r="A451" s="271"/>
      <c r="B451" s="222"/>
      <c r="C451" s="222"/>
      <c r="D451" s="222"/>
      <c r="E451" s="222"/>
      <c r="F451" s="222"/>
      <c r="G451" s="222"/>
      <c r="H451" s="271"/>
      <c r="I451" s="271"/>
      <c r="J451" s="271"/>
      <c r="K451" s="271"/>
      <c r="L451" s="271"/>
      <c r="M451" s="222"/>
      <c r="N451" s="222"/>
      <c r="O451" s="222"/>
      <c r="P451" s="222"/>
      <c r="Q451" s="222"/>
      <c r="R451" s="222"/>
      <c r="S451" s="222"/>
      <c r="T451" s="222"/>
      <c r="U451" s="222"/>
      <c r="V451" s="222"/>
      <c r="W451" s="222"/>
    </row>
    <row r="452">
      <c r="A452" s="271"/>
      <c r="B452" s="222"/>
      <c r="C452" s="222"/>
      <c r="D452" s="222"/>
      <c r="E452" s="222"/>
      <c r="F452" s="222"/>
      <c r="G452" s="222"/>
      <c r="H452" s="271"/>
      <c r="I452" s="271"/>
      <c r="J452" s="271"/>
      <c r="K452" s="271"/>
      <c r="L452" s="271"/>
      <c r="M452" s="222"/>
      <c r="N452" s="222"/>
      <c r="O452" s="222"/>
      <c r="P452" s="222"/>
      <c r="Q452" s="222"/>
      <c r="R452" s="222"/>
      <c r="S452" s="222"/>
      <c r="T452" s="222"/>
      <c r="U452" s="222"/>
      <c r="V452" s="222"/>
      <c r="W452" s="222"/>
    </row>
    <row r="453">
      <c r="A453" s="271"/>
      <c r="B453" s="222"/>
      <c r="C453" s="222"/>
      <c r="D453" s="222"/>
      <c r="E453" s="222"/>
      <c r="F453" s="222"/>
      <c r="G453" s="222"/>
      <c r="H453" s="271"/>
      <c r="I453" s="271"/>
      <c r="J453" s="271"/>
      <c r="K453" s="271"/>
      <c r="L453" s="271"/>
      <c r="M453" s="222"/>
      <c r="N453" s="222"/>
      <c r="O453" s="222"/>
      <c r="P453" s="222"/>
      <c r="Q453" s="222"/>
      <c r="R453" s="222"/>
      <c r="S453" s="222"/>
      <c r="T453" s="222"/>
      <c r="U453" s="222"/>
      <c r="V453" s="222"/>
      <c r="W453" s="222"/>
    </row>
    <row r="454">
      <c r="A454" s="271"/>
      <c r="B454" s="222"/>
      <c r="C454" s="222"/>
      <c r="D454" s="222"/>
      <c r="E454" s="222"/>
      <c r="F454" s="222"/>
      <c r="G454" s="222"/>
      <c r="H454" s="271"/>
      <c r="I454" s="271"/>
      <c r="J454" s="271"/>
      <c r="K454" s="271"/>
      <c r="L454" s="271"/>
      <c r="M454" s="222"/>
      <c r="N454" s="222"/>
      <c r="O454" s="222"/>
      <c r="P454" s="222"/>
      <c r="Q454" s="222"/>
      <c r="R454" s="222"/>
      <c r="S454" s="222"/>
      <c r="T454" s="222"/>
      <c r="U454" s="222"/>
      <c r="V454" s="222"/>
      <c r="W454" s="222"/>
    </row>
    <row r="455">
      <c r="A455" s="271"/>
      <c r="B455" s="222"/>
      <c r="C455" s="222"/>
      <c r="D455" s="222"/>
      <c r="E455" s="222"/>
      <c r="F455" s="222"/>
      <c r="G455" s="222"/>
      <c r="H455" s="271"/>
      <c r="I455" s="271"/>
      <c r="J455" s="271"/>
      <c r="K455" s="271"/>
      <c r="L455" s="271"/>
      <c r="M455" s="222"/>
      <c r="N455" s="222"/>
      <c r="O455" s="222"/>
      <c r="P455" s="222"/>
      <c r="Q455" s="222"/>
      <c r="R455" s="222"/>
      <c r="S455" s="222"/>
      <c r="T455" s="222"/>
      <c r="U455" s="222"/>
      <c r="V455" s="222"/>
      <c r="W455" s="222"/>
    </row>
    <row r="456">
      <c r="A456" s="271"/>
      <c r="B456" s="222"/>
      <c r="C456" s="222"/>
      <c r="D456" s="222"/>
      <c r="E456" s="222"/>
      <c r="F456" s="222"/>
      <c r="G456" s="222"/>
      <c r="H456" s="271"/>
      <c r="I456" s="271"/>
      <c r="J456" s="271"/>
      <c r="K456" s="271"/>
      <c r="L456" s="271"/>
      <c r="M456" s="222"/>
      <c r="N456" s="222"/>
      <c r="O456" s="222"/>
      <c r="P456" s="222"/>
      <c r="Q456" s="222"/>
      <c r="R456" s="222"/>
      <c r="S456" s="222"/>
      <c r="T456" s="222"/>
      <c r="U456" s="222"/>
      <c r="V456" s="222"/>
      <c r="W456" s="222"/>
    </row>
    <row r="457">
      <c r="A457" s="271"/>
      <c r="B457" s="222"/>
      <c r="C457" s="222"/>
      <c r="D457" s="222"/>
      <c r="E457" s="222"/>
      <c r="F457" s="222"/>
      <c r="G457" s="222"/>
      <c r="H457" s="271"/>
      <c r="I457" s="271"/>
      <c r="J457" s="271"/>
      <c r="K457" s="271"/>
      <c r="L457" s="271"/>
      <c r="M457" s="222"/>
      <c r="N457" s="222"/>
      <c r="O457" s="222"/>
      <c r="P457" s="222"/>
      <c r="Q457" s="222"/>
      <c r="R457" s="222"/>
      <c r="S457" s="222"/>
      <c r="T457" s="222"/>
      <c r="U457" s="222"/>
      <c r="V457" s="222"/>
      <c r="W457" s="222"/>
    </row>
    <row r="458">
      <c r="A458" s="271"/>
      <c r="B458" s="222"/>
      <c r="C458" s="222"/>
      <c r="D458" s="222"/>
      <c r="E458" s="222"/>
      <c r="F458" s="222"/>
      <c r="G458" s="222"/>
      <c r="H458" s="271"/>
      <c r="I458" s="271"/>
      <c r="J458" s="271"/>
      <c r="K458" s="271"/>
      <c r="L458" s="271"/>
      <c r="M458" s="222"/>
      <c r="N458" s="222"/>
      <c r="O458" s="222"/>
      <c r="P458" s="222"/>
      <c r="Q458" s="222"/>
      <c r="R458" s="222"/>
      <c r="S458" s="222"/>
      <c r="T458" s="222"/>
      <c r="U458" s="222"/>
      <c r="V458" s="222"/>
      <c r="W458" s="222"/>
    </row>
    <row r="459">
      <c r="A459" s="271"/>
      <c r="B459" s="222"/>
      <c r="C459" s="222"/>
      <c r="D459" s="222"/>
      <c r="E459" s="222"/>
      <c r="F459" s="222"/>
      <c r="G459" s="222"/>
      <c r="H459" s="271"/>
      <c r="I459" s="271"/>
      <c r="J459" s="271"/>
      <c r="K459" s="271"/>
      <c r="L459" s="271"/>
      <c r="M459" s="222"/>
      <c r="N459" s="222"/>
      <c r="O459" s="222"/>
      <c r="P459" s="222"/>
      <c r="Q459" s="222"/>
      <c r="R459" s="222"/>
      <c r="S459" s="222"/>
      <c r="T459" s="222"/>
      <c r="U459" s="222"/>
      <c r="V459" s="222"/>
      <c r="W459" s="222"/>
    </row>
    <row r="460">
      <c r="A460" s="271"/>
      <c r="B460" s="222"/>
      <c r="C460" s="222"/>
      <c r="D460" s="222"/>
      <c r="E460" s="222"/>
      <c r="F460" s="222"/>
      <c r="G460" s="222"/>
      <c r="H460" s="271"/>
      <c r="I460" s="271"/>
      <c r="J460" s="271"/>
      <c r="K460" s="271"/>
      <c r="L460" s="271"/>
      <c r="M460" s="222"/>
      <c r="N460" s="222"/>
      <c r="O460" s="222"/>
      <c r="P460" s="222"/>
      <c r="Q460" s="222"/>
      <c r="R460" s="222"/>
      <c r="S460" s="222"/>
      <c r="T460" s="222"/>
      <c r="U460" s="222"/>
      <c r="V460" s="222"/>
      <c r="W460" s="222"/>
    </row>
    <row r="461">
      <c r="A461" s="271"/>
      <c r="B461" s="222"/>
      <c r="C461" s="222"/>
      <c r="D461" s="222"/>
      <c r="E461" s="222"/>
      <c r="F461" s="222"/>
      <c r="G461" s="222"/>
      <c r="H461" s="271"/>
      <c r="I461" s="271"/>
      <c r="J461" s="271"/>
      <c r="K461" s="271"/>
      <c r="L461" s="271"/>
      <c r="M461" s="222"/>
      <c r="N461" s="222"/>
      <c r="O461" s="222"/>
      <c r="P461" s="222"/>
      <c r="Q461" s="222"/>
      <c r="R461" s="222"/>
      <c r="S461" s="222"/>
      <c r="T461" s="222"/>
      <c r="U461" s="222"/>
      <c r="V461" s="222"/>
      <c r="W461" s="222"/>
    </row>
    <row r="462">
      <c r="A462" s="271"/>
      <c r="B462" s="222"/>
      <c r="C462" s="222"/>
      <c r="D462" s="222"/>
      <c r="E462" s="222"/>
      <c r="F462" s="222"/>
      <c r="G462" s="222"/>
      <c r="H462" s="271"/>
      <c r="I462" s="271"/>
      <c r="J462" s="271"/>
      <c r="K462" s="271"/>
      <c r="L462" s="271"/>
      <c r="M462" s="222"/>
      <c r="N462" s="222"/>
      <c r="O462" s="222"/>
      <c r="P462" s="222"/>
      <c r="Q462" s="222"/>
      <c r="R462" s="222"/>
      <c r="S462" s="222"/>
      <c r="T462" s="222"/>
      <c r="U462" s="222"/>
      <c r="V462" s="222"/>
      <c r="W462" s="222"/>
    </row>
    <row r="463">
      <c r="A463" s="271"/>
      <c r="B463" s="222"/>
      <c r="C463" s="222"/>
      <c r="D463" s="222"/>
      <c r="E463" s="222"/>
      <c r="F463" s="222"/>
      <c r="G463" s="222"/>
      <c r="H463" s="271"/>
      <c r="I463" s="271"/>
      <c r="J463" s="271"/>
      <c r="K463" s="271"/>
      <c r="L463" s="271"/>
      <c r="M463" s="222"/>
      <c r="N463" s="222"/>
      <c r="O463" s="222"/>
      <c r="P463" s="222"/>
      <c r="Q463" s="222"/>
      <c r="R463" s="222"/>
      <c r="S463" s="222"/>
      <c r="T463" s="222"/>
      <c r="U463" s="222"/>
      <c r="V463" s="222"/>
      <c r="W463" s="222"/>
    </row>
    <row r="464">
      <c r="A464" s="271"/>
      <c r="B464" s="222"/>
      <c r="C464" s="222"/>
      <c r="D464" s="222"/>
      <c r="E464" s="222"/>
      <c r="F464" s="222"/>
      <c r="G464" s="222"/>
      <c r="H464" s="271"/>
      <c r="I464" s="271"/>
      <c r="J464" s="271"/>
      <c r="K464" s="271"/>
      <c r="L464" s="271"/>
      <c r="M464" s="222"/>
      <c r="N464" s="222"/>
      <c r="O464" s="222"/>
      <c r="P464" s="222"/>
      <c r="Q464" s="222"/>
      <c r="R464" s="222"/>
      <c r="S464" s="222"/>
      <c r="T464" s="222"/>
      <c r="U464" s="222"/>
      <c r="V464" s="222"/>
      <c r="W464" s="222"/>
    </row>
    <row r="465">
      <c r="A465" s="271"/>
      <c r="B465" s="222"/>
      <c r="C465" s="222"/>
      <c r="D465" s="222"/>
      <c r="E465" s="222"/>
      <c r="F465" s="222"/>
      <c r="G465" s="222"/>
      <c r="H465" s="271"/>
      <c r="I465" s="271"/>
      <c r="J465" s="271"/>
      <c r="K465" s="271"/>
      <c r="L465" s="271"/>
      <c r="M465" s="222"/>
      <c r="N465" s="222"/>
      <c r="O465" s="222"/>
      <c r="P465" s="222"/>
      <c r="Q465" s="222"/>
      <c r="R465" s="222"/>
      <c r="S465" s="222"/>
      <c r="T465" s="222"/>
      <c r="U465" s="222"/>
      <c r="V465" s="222"/>
      <c r="W465" s="222"/>
    </row>
    <row r="466">
      <c r="A466" s="271"/>
      <c r="B466" s="222"/>
      <c r="C466" s="222"/>
      <c r="D466" s="222"/>
      <c r="E466" s="222"/>
      <c r="F466" s="222"/>
      <c r="G466" s="222"/>
      <c r="H466" s="271"/>
      <c r="I466" s="271"/>
      <c r="J466" s="271"/>
      <c r="K466" s="271"/>
      <c r="L466" s="271"/>
      <c r="M466" s="222"/>
      <c r="N466" s="222"/>
      <c r="O466" s="222"/>
      <c r="P466" s="222"/>
      <c r="Q466" s="222"/>
      <c r="R466" s="222"/>
      <c r="S466" s="222"/>
      <c r="T466" s="222"/>
      <c r="U466" s="222"/>
      <c r="V466" s="222"/>
      <c r="W466" s="222"/>
    </row>
    <row r="467">
      <c r="A467" s="271"/>
      <c r="B467" s="222"/>
      <c r="C467" s="222"/>
      <c r="D467" s="222"/>
      <c r="E467" s="222"/>
      <c r="F467" s="222"/>
      <c r="G467" s="222"/>
      <c r="H467" s="271"/>
      <c r="I467" s="271"/>
      <c r="J467" s="271"/>
      <c r="K467" s="271"/>
      <c r="L467" s="271"/>
      <c r="M467" s="222"/>
      <c r="N467" s="222"/>
      <c r="O467" s="222"/>
      <c r="P467" s="222"/>
      <c r="Q467" s="222"/>
      <c r="R467" s="222"/>
      <c r="S467" s="222"/>
      <c r="T467" s="222"/>
      <c r="U467" s="222"/>
      <c r="V467" s="222"/>
      <c r="W467" s="222"/>
    </row>
    <row r="468">
      <c r="A468" s="271"/>
      <c r="B468" s="222"/>
      <c r="C468" s="222"/>
      <c r="D468" s="222"/>
      <c r="E468" s="222"/>
      <c r="F468" s="222"/>
      <c r="G468" s="222"/>
      <c r="H468" s="271"/>
      <c r="I468" s="271"/>
      <c r="J468" s="271"/>
      <c r="K468" s="271"/>
      <c r="L468" s="271"/>
      <c r="M468" s="222"/>
      <c r="N468" s="222"/>
      <c r="O468" s="222"/>
      <c r="P468" s="222"/>
      <c r="Q468" s="222"/>
      <c r="R468" s="222"/>
      <c r="S468" s="222"/>
      <c r="T468" s="222"/>
      <c r="U468" s="222"/>
      <c r="V468" s="222"/>
      <c r="W468" s="222"/>
    </row>
    <row r="469">
      <c r="A469" s="271"/>
      <c r="B469" s="222"/>
      <c r="C469" s="222"/>
      <c r="D469" s="222"/>
      <c r="E469" s="222"/>
      <c r="F469" s="222"/>
      <c r="G469" s="222"/>
      <c r="H469" s="271"/>
      <c r="I469" s="271"/>
      <c r="J469" s="271"/>
      <c r="K469" s="271"/>
      <c r="L469" s="271"/>
      <c r="M469" s="222"/>
      <c r="N469" s="222"/>
      <c r="O469" s="222"/>
      <c r="P469" s="222"/>
      <c r="Q469" s="222"/>
      <c r="R469" s="222"/>
      <c r="S469" s="222"/>
      <c r="T469" s="222"/>
      <c r="U469" s="222"/>
      <c r="V469" s="222"/>
      <c r="W469" s="222"/>
    </row>
    <row r="470">
      <c r="A470" s="271"/>
      <c r="B470" s="222"/>
      <c r="C470" s="222"/>
      <c r="D470" s="222"/>
      <c r="E470" s="222"/>
      <c r="F470" s="222"/>
      <c r="G470" s="222"/>
      <c r="H470" s="271"/>
      <c r="I470" s="271"/>
      <c r="J470" s="271"/>
      <c r="K470" s="271"/>
      <c r="L470" s="271"/>
      <c r="M470" s="222"/>
      <c r="N470" s="222"/>
      <c r="O470" s="222"/>
      <c r="P470" s="222"/>
      <c r="Q470" s="222"/>
      <c r="R470" s="222"/>
      <c r="S470" s="222"/>
      <c r="T470" s="222"/>
      <c r="U470" s="222"/>
      <c r="V470" s="222"/>
      <c r="W470" s="222"/>
    </row>
    <row r="471">
      <c r="A471" s="271"/>
      <c r="B471" s="222"/>
      <c r="C471" s="222"/>
      <c r="D471" s="222"/>
      <c r="E471" s="222"/>
      <c r="F471" s="222"/>
      <c r="G471" s="222"/>
      <c r="H471" s="271"/>
      <c r="I471" s="271"/>
      <c r="J471" s="271"/>
      <c r="K471" s="271"/>
      <c r="L471" s="271"/>
      <c r="M471" s="222"/>
      <c r="N471" s="222"/>
      <c r="O471" s="222"/>
      <c r="P471" s="222"/>
      <c r="Q471" s="222"/>
      <c r="R471" s="222"/>
      <c r="S471" s="222"/>
      <c r="T471" s="222"/>
      <c r="U471" s="222"/>
      <c r="V471" s="222"/>
      <c r="W471" s="222"/>
    </row>
    <row r="472">
      <c r="A472" s="271"/>
      <c r="B472" s="222"/>
      <c r="C472" s="222"/>
      <c r="D472" s="222"/>
      <c r="E472" s="222"/>
      <c r="F472" s="222"/>
      <c r="G472" s="222"/>
      <c r="H472" s="271"/>
      <c r="I472" s="271"/>
      <c r="J472" s="271"/>
      <c r="K472" s="271"/>
      <c r="L472" s="271"/>
      <c r="M472" s="222"/>
      <c r="N472" s="222"/>
      <c r="O472" s="222"/>
      <c r="P472" s="222"/>
      <c r="Q472" s="222"/>
      <c r="R472" s="222"/>
      <c r="S472" s="222"/>
      <c r="T472" s="222"/>
      <c r="U472" s="222"/>
      <c r="V472" s="222"/>
      <c r="W472" s="222"/>
    </row>
    <row r="473">
      <c r="A473" s="271"/>
      <c r="B473" s="222"/>
      <c r="C473" s="222"/>
      <c r="D473" s="222"/>
      <c r="E473" s="222"/>
      <c r="F473" s="222"/>
      <c r="G473" s="222"/>
      <c r="H473" s="271"/>
      <c r="I473" s="271"/>
      <c r="J473" s="271"/>
      <c r="K473" s="271"/>
      <c r="L473" s="271"/>
      <c r="M473" s="222"/>
      <c r="N473" s="222"/>
      <c r="O473" s="222"/>
      <c r="P473" s="222"/>
      <c r="Q473" s="222"/>
      <c r="R473" s="222"/>
      <c r="S473" s="222"/>
      <c r="T473" s="222"/>
      <c r="U473" s="222"/>
      <c r="V473" s="222"/>
      <c r="W473" s="222"/>
    </row>
    <row r="474">
      <c r="A474" s="271"/>
      <c r="B474" s="222"/>
      <c r="C474" s="222"/>
      <c r="D474" s="222"/>
      <c r="E474" s="222"/>
      <c r="F474" s="222"/>
      <c r="G474" s="222"/>
      <c r="H474" s="271"/>
      <c r="I474" s="271"/>
      <c r="J474" s="271"/>
      <c r="K474" s="271"/>
      <c r="L474" s="271"/>
      <c r="M474" s="222"/>
      <c r="N474" s="222"/>
      <c r="O474" s="222"/>
      <c r="P474" s="222"/>
      <c r="Q474" s="222"/>
      <c r="R474" s="222"/>
      <c r="S474" s="222"/>
      <c r="T474" s="222"/>
      <c r="U474" s="222"/>
      <c r="V474" s="222"/>
      <c r="W474" s="222"/>
    </row>
    <row r="475">
      <c r="A475" s="271"/>
      <c r="B475" s="222"/>
      <c r="C475" s="222"/>
      <c r="D475" s="222"/>
      <c r="E475" s="222"/>
      <c r="F475" s="222"/>
      <c r="G475" s="222"/>
      <c r="H475" s="271"/>
      <c r="I475" s="271"/>
      <c r="J475" s="271"/>
      <c r="K475" s="271"/>
      <c r="L475" s="271"/>
      <c r="M475" s="222"/>
      <c r="N475" s="222"/>
      <c r="O475" s="222"/>
      <c r="P475" s="222"/>
      <c r="Q475" s="222"/>
      <c r="R475" s="222"/>
      <c r="S475" s="222"/>
      <c r="T475" s="222"/>
      <c r="U475" s="222"/>
      <c r="V475" s="222"/>
      <c r="W475" s="222"/>
    </row>
    <row r="476">
      <c r="A476" s="271"/>
      <c r="B476" s="222"/>
      <c r="C476" s="222"/>
      <c r="D476" s="222"/>
      <c r="E476" s="222"/>
      <c r="F476" s="222"/>
      <c r="G476" s="222"/>
      <c r="H476" s="271"/>
      <c r="I476" s="271"/>
      <c r="J476" s="271"/>
      <c r="K476" s="271"/>
      <c r="L476" s="271"/>
      <c r="M476" s="222"/>
      <c r="N476" s="222"/>
      <c r="O476" s="222"/>
      <c r="P476" s="222"/>
      <c r="Q476" s="222"/>
      <c r="R476" s="222"/>
      <c r="S476" s="222"/>
      <c r="T476" s="222"/>
      <c r="U476" s="222"/>
      <c r="V476" s="222"/>
      <c r="W476" s="222"/>
    </row>
    <row r="477">
      <c r="A477" s="271"/>
      <c r="B477" s="222"/>
      <c r="C477" s="222"/>
      <c r="D477" s="222"/>
      <c r="E477" s="222"/>
      <c r="F477" s="222"/>
      <c r="G477" s="222"/>
      <c r="H477" s="271"/>
      <c r="I477" s="271"/>
      <c r="J477" s="271"/>
      <c r="K477" s="271"/>
      <c r="L477" s="271"/>
      <c r="M477" s="222"/>
      <c r="N477" s="222"/>
      <c r="O477" s="222"/>
      <c r="P477" s="222"/>
      <c r="Q477" s="222"/>
      <c r="R477" s="222"/>
      <c r="S477" s="222"/>
      <c r="T477" s="222"/>
      <c r="U477" s="222"/>
      <c r="V477" s="222"/>
      <c r="W477" s="222"/>
    </row>
    <row r="478">
      <c r="A478" s="271"/>
      <c r="B478" s="222"/>
      <c r="C478" s="222"/>
      <c r="D478" s="222"/>
      <c r="E478" s="222"/>
      <c r="F478" s="222"/>
      <c r="G478" s="222"/>
      <c r="H478" s="271"/>
      <c r="I478" s="271"/>
      <c r="J478" s="271"/>
      <c r="K478" s="271"/>
      <c r="L478" s="271"/>
      <c r="M478" s="222"/>
      <c r="N478" s="222"/>
      <c r="O478" s="222"/>
      <c r="P478" s="222"/>
      <c r="Q478" s="222"/>
      <c r="R478" s="222"/>
      <c r="S478" s="222"/>
      <c r="T478" s="222"/>
      <c r="U478" s="222"/>
      <c r="V478" s="222"/>
      <c r="W478" s="222"/>
    </row>
    <row r="479">
      <c r="A479" s="271"/>
      <c r="B479" s="222"/>
      <c r="C479" s="222"/>
      <c r="D479" s="222"/>
      <c r="E479" s="222"/>
      <c r="F479" s="222"/>
      <c r="G479" s="222"/>
      <c r="H479" s="271"/>
      <c r="I479" s="271"/>
      <c r="J479" s="271"/>
      <c r="K479" s="271"/>
      <c r="L479" s="271"/>
      <c r="M479" s="222"/>
      <c r="N479" s="222"/>
      <c r="O479" s="222"/>
      <c r="P479" s="222"/>
      <c r="Q479" s="222"/>
      <c r="R479" s="222"/>
      <c r="S479" s="222"/>
      <c r="T479" s="222"/>
      <c r="U479" s="222"/>
      <c r="V479" s="222"/>
      <c r="W479" s="222"/>
    </row>
    <row r="480">
      <c r="A480" s="271"/>
      <c r="B480" s="222"/>
      <c r="C480" s="222"/>
      <c r="D480" s="222"/>
      <c r="E480" s="222"/>
      <c r="F480" s="222"/>
      <c r="G480" s="222"/>
      <c r="H480" s="271"/>
      <c r="I480" s="271"/>
      <c r="J480" s="271"/>
      <c r="K480" s="271"/>
      <c r="L480" s="271"/>
      <c r="M480" s="222"/>
      <c r="N480" s="222"/>
      <c r="O480" s="222"/>
      <c r="P480" s="222"/>
      <c r="Q480" s="222"/>
      <c r="R480" s="222"/>
      <c r="S480" s="222"/>
      <c r="T480" s="222"/>
      <c r="U480" s="222"/>
      <c r="V480" s="222"/>
      <c r="W480" s="222"/>
    </row>
    <row r="481">
      <c r="A481" s="271"/>
      <c r="B481" s="222"/>
      <c r="C481" s="222"/>
      <c r="D481" s="222"/>
      <c r="E481" s="222"/>
      <c r="F481" s="222"/>
      <c r="G481" s="222"/>
      <c r="H481" s="271"/>
      <c r="I481" s="271"/>
      <c r="J481" s="271"/>
      <c r="K481" s="271"/>
      <c r="L481" s="271"/>
      <c r="M481" s="222"/>
      <c r="N481" s="222"/>
      <c r="O481" s="222"/>
      <c r="P481" s="222"/>
      <c r="Q481" s="222"/>
      <c r="R481" s="222"/>
      <c r="S481" s="222"/>
      <c r="T481" s="222"/>
      <c r="U481" s="222"/>
      <c r="V481" s="222"/>
      <c r="W481" s="222"/>
    </row>
    <row r="482">
      <c r="A482" s="271"/>
      <c r="B482" s="222"/>
      <c r="C482" s="222"/>
      <c r="D482" s="222"/>
      <c r="E482" s="222"/>
      <c r="F482" s="222"/>
      <c r="G482" s="222"/>
      <c r="H482" s="271"/>
      <c r="I482" s="271"/>
      <c r="J482" s="271"/>
      <c r="K482" s="271"/>
      <c r="L482" s="271"/>
      <c r="M482" s="222"/>
      <c r="N482" s="222"/>
      <c r="O482" s="222"/>
      <c r="P482" s="222"/>
      <c r="Q482" s="222"/>
      <c r="R482" s="222"/>
      <c r="S482" s="222"/>
      <c r="T482" s="222"/>
      <c r="U482" s="222"/>
      <c r="V482" s="222"/>
      <c r="W482" s="222"/>
    </row>
    <row r="483">
      <c r="A483" s="271"/>
      <c r="B483" s="222"/>
      <c r="C483" s="222"/>
      <c r="D483" s="222"/>
      <c r="E483" s="222"/>
      <c r="F483" s="222"/>
      <c r="G483" s="222"/>
      <c r="H483" s="271"/>
      <c r="I483" s="271"/>
      <c r="J483" s="271"/>
      <c r="K483" s="271"/>
      <c r="L483" s="271"/>
      <c r="M483" s="222"/>
      <c r="N483" s="222"/>
      <c r="O483" s="222"/>
      <c r="P483" s="222"/>
      <c r="Q483" s="222"/>
      <c r="R483" s="222"/>
      <c r="S483" s="222"/>
      <c r="T483" s="222"/>
      <c r="U483" s="222"/>
      <c r="V483" s="222"/>
      <c r="W483" s="222"/>
    </row>
    <row r="484">
      <c r="A484" s="271"/>
      <c r="B484" s="222"/>
      <c r="C484" s="222"/>
      <c r="D484" s="222"/>
      <c r="E484" s="222"/>
      <c r="F484" s="222"/>
      <c r="G484" s="222"/>
      <c r="H484" s="271"/>
      <c r="I484" s="271"/>
      <c r="J484" s="271"/>
      <c r="K484" s="271"/>
      <c r="L484" s="271"/>
      <c r="M484" s="222"/>
      <c r="N484" s="222"/>
      <c r="O484" s="222"/>
      <c r="P484" s="222"/>
      <c r="Q484" s="222"/>
      <c r="R484" s="222"/>
      <c r="S484" s="222"/>
      <c r="T484" s="222"/>
      <c r="U484" s="222"/>
      <c r="V484" s="222"/>
      <c r="W484" s="222"/>
    </row>
    <row r="485">
      <c r="A485" s="271"/>
      <c r="B485" s="222"/>
      <c r="C485" s="222"/>
      <c r="D485" s="222"/>
      <c r="E485" s="222"/>
      <c r="F485" s="222"/>
      <c r="G485" s="222"/>
      <c r="H485" s="271"/>
      <c r="I485" s="271"/>
      <c r="J485" s="271"/>
      <c r="K485" s="271"/>
      <c r="L485" s="271"/>
      <c r="M485" s="222"/>
      <c r="N485" s="222"/>
      <c r="O485" s="222"/>
      <c r="P485" s="222"/>
      <c r="Q485" s="222"/>
      <c r="R485" s="222"/>
      <c r="S485" s="222"/>
      <c r="T485" s="222"/>
      <c r="U485" s="222"/>
      <c r="V485" s="222"/>
      <c r="W485" s="222"/>
    </row>
    <row r="486">
      <c r="A486" s="271"/>
      <c r="B486" s="222"/>
      <c r="C486" s="222"/>
      <c r="D486" s="222"/>
      <c r="E486" s="222"/>
      <c r="F486" s="222"/>
      <c r="G486" s="222"/>
      <c r="H486" s="271"/>
      <c r="I486" s="271"/>
      <c r="J486" s="271"/>
      <c r="K486" s="271"/>
      <c r="L486" s="271"/>
      <c r="M486" s="222"/>
      <c r="N486" s="222"/>
      <c r="O486" s="222"/>
      <c r="P486" s="222"/>
      <c r="Q486" s="222"/>
      <c r="R486" s="222"/>
      <c r="S486" s="222"/>
      <c r="T486" s="222"/>
      <c r="U486" s="222"/>
      <c r="V486" s="222"/>
      <c r="W486" s="222"/>
    </row>
    <row r="487">
      <c r="A487" s="271"/>
      <c r="B487" s="222"/>
      <c r="C487" s="222"/>
      <c r="D487" s="222"/>
      <c r="E487" s="222"/>
      <c r="F487" s="222"/>
      <c r="G487" s="222"/>
      <c r="H487" s="271"/>
      <c r="I487" s="271"/>
      <c r="J487" s="271"/>
      <c r="K487" s="271"/>
      <c r="L487" s="271"/>
      <c r="M487" s="222"/>
      <c r="N487" s="222"/>
      <c r="O487" s="222"/>
      <c r="P487" s="222"/>
      <c r="Q487" s="222"/>
      <c r="R487" s="222"/>
      <c r="S487" s="222"/>
      <c r="T487" s="222"/>
      <c r="U487" s="222"/>
      <c r="V487" s="222"/>
      <c r="W487" s="222"/>
    </row>
    <row r="488">
      <c r="A488" s="271"/>
      <c r="B488" s="222"/>
      <c r="C488" s="222"/>
      <c r="D488" s="222"/>
      <c r="E488" s="222"/>
      <c r="F488" s="222"/>
      <c r="G488" s="222"/>
      <c r="H488" s="271"/>
      <c r="I488" s="271"/>
      <c r="J488" s="271"/>
      <c r="K488" s="271"/>
      <c r="L488" s="271"/>
      <c r="M488" s="222"/>
      <c r="N488" s="222"/>
      <c r="O488" s="222"/>
      <c r="P488" s="222"/>
      <c r="Q488" s="222"/>
      <c r="R488" s="222"/>
      <c r="S488" s="222"/>
      <c r="T488" s="222"/>
      <c r="U488" s="222"/>
      <c r="V488" s="222"/>
      <c r="W488" s="222"/>
    </row>
    <row r="489">
      <c r="A489" s="271"/>
      <c r="B489" s="222"/>
      <c r="C489" s="222"/>
      <c r="D489" s="222"/>
      <c r="E489" s="222"/>
      <c r="F489" s="222"/>
      <c r="G489" s="222"/>
      <c r="H489" s="271"/>
      <c r="I489" s="271"/>
      <c r="J489" s="271"/>
      <c r="K489" s="271"/>
      <c r="L489" s="271"/>
      <c r="M489" s="222"/>
      <c r="N489" s="222"/>
      <c r="O489" s="222"/>
      <c r="P489" s="222"/>
      <c r="Q489" s="222"/>
      <c r="R489" s="222"/>
      <c r="S489" s="222"/>
      <c r="T489" s="222"/>
      <c r="U489" s="222"/>
      <c r="V489" s="222"/>
      <c r="W489" s="222"/>
    </row>
    <row r="490">
      <c r="A490" s="271"/>
      <c r="B490" s="222"/>
      <c r="C490" s="222"/>
      <c r="D490" s="222"/>
      <c r="E490" s="222"/>
      <c r="F490" s="222"/>
      <c r="G490" s="222"/>
      <c r="H490" s="271"/>
      <c r="I490" s="271"/>
      <c r="J490" s="271"/>
      <c r="K490" s="271"/>
      <c r="L490" s="271"/>
      <c r="M490" s="222"/>
      <c r="N490" s="222"/>
      <c r="O490" s="222"/>
      <c r="P490" s="222"/>
      <c r="Q490" s="222"/>
      <c r="R490" s="222"/>
      <c r="S490" s="222"/>
      <c r="T490" s="222"/>
      <c r="U490" s="222"/>
      <c r="V490" s="222"/>
      <c r="W490" s="222"/>
    </row>
    <row r="491">
      <c r="A491" s="271"/>
      <c r="B491" s="222"/>
      <c r="C491" s="222"/>
      <c r="D491" s="222"/>
      <c r="E491" s="222"/>
      <c r="F491" s="222"/>
      <c r="G491" s="222"/>
      <c r="H491" s="271"/>
      <c r="I491" s="271"/>
      <c r="J491" s="271"/>
      <c r="K491" s="271"/>
      <c r="L491" s="271"/>
      <c r="M491" s="222"/>
      <c r="N491" s="222"/>
      <c r="O491" s="222"/>
      <c r="P491" s="222"/>
      <c r="Q491" s="222"/>
      <c r="R491" s="222"/>
      <c r="S491" s="222"/>
      <c r="T491" s="222"/>
      <c r="U491" s="222"/>
      <c r="V491" s="222"/>
      <c r="W491" s="222"/>
    </row>
    <row r="492">
      <c r="A492" s="271"/>
      <c r="B492" s="222"/>
      <c r="C492" s="222"/>
      <c r="D492" s="222"/>
      <c r="E492" s="222"/>
      <c r="F492" s="222"/>
      <c r="G492" s="222"/>
      <c r="H492" s="271"/>
      <c r="I492" s="271"/>
      <c r="J492" s="271"/>
      <c r="K492" s="271"/>
      <c r="L492" s="271"/>
      <c r="M492" s="222"/>
      <c r="N492" s="222"/>
      <c r="O492" s="222"/>
      <c r="P492" s="222"/>
      <c r="Q492" s="222"/>
      <c r="R492" s="222"/>
      <c r="S492" s="222"/>
      <c r="T492" s="222"/>
      <c r="U492" s="222"/>
      <c r="V492" s="222"/>
      <c r="W492" s="222"/>
    </row>
    <row r="493">
      <c r="A493" s="271"/>
      <c r="B493" s="222"/>
      <c r="C493" s="222"/>
      <c r="D493" s="222"/>
      <c r="E493" s="222"/>
      <c r="F493" s="222"/>
      <c r="G493" s="222"/>
      <c r="H493" s="271"/>
      <c r="I493" s="271"/>
      <c r="J493" s="271"/>
      <c r="K493" s="271"/>
      <c r="L493" s="271"/>
      <c r="M493" s="222"/>
      <c r="N493" s="222"/>
      <c r="O493" s="222"/>
      <c r="P493" s="222"/>
      <c r="Q493" s="222"/>
      <c r="R493" s="222"/>
      <c r="S493" s="222"/>
      <c r="T493" s="222"/>
      <c r="U493" s="222"/>
      <c r="V493" s="222"/>
      <c r="W493" s="222"/>
    </row>
    <row r="494">
      <c r="A494" s="271"/>
      <c r="B494" s="222"/>
      <c r="C494" s="222"/>
      <c r="D494" s="222"/>
      <c r="E494" s="222"/>
      <c r="F494" s="222"/>
      <c r="G494" s="222"/>
      <c r="H494" s="271"/>
      <c r="I494" s="271"/>
      <c r="J494" s="271"/>
      <c r="K494" s="271"/>
      <c r="L494" s="271"/>
      <c r="M494" s="222"/>
      <c r="N494" s="222"/>
      <c r="O494" s="222"/>
      <c r="P494" s="222"/>
      <c r="Q494" s="222"/>
      <c r="R494" s="222"/>
      <c r="S494" s="222"/>
      <c r="T494" s="222"/>
      <c r="U494" s="222"/>
      <c r="V494" s="222"/>
      <c r="W494" s="222"/>
    </row>
    <row r="495">
      <c r="A495" s="271"/>
      <c r="B495" s="222"/>
      <c r="C495" s="222"/>
      <c r="D495" s="222"/>
      <c r="E495" s="222"/>
      <c r="F495" s="222"/>
      <c r="G495" s="222"/>
      <c r="H495" s="271"/>
      <c r="I495" s="271"/>
      <c r="J495" s="271"/>
      <c r="K495" s="271"/>
      <c r="L495" s="271"/>
      <c r="M495" s="222"/>
      <c r="N495" s="222"/>
      <c r="O495" s="222"/>
      <c r="P495" s="222"/>
      <c r="Q495" s="222"/>
      <c r="R495" s="222"/>
      <c r="S495" s="222"/>
      <c r="T495" s="222"/>
      <c r="U495" s="222"/>
      <c r="V495" s="222"/>
      <c r="W495" s="222"/>
    </row>
    <row r="496">
      <c r="A496" s="271"/>
      <c r="B496" s="222"/>
      <c r="C496" s="222"/>
      <c r="D496" s="222"/>
      <c r="E496" s="222"/>
      <c r="F496" s="222"/>
      <c r="G496" s="222"/>
      <c r="H496" s="271"/>
      <c r="I496" s="271"/>
      <c r="J496" s="271"/>
      <c r="K496" s="271"/>
      <c r="L496" s="271"/>
      <c r="M496" s="222"/>
      <c r="N496" s="222"/>
      <c r="O496" s="222"/>
      <c r="P496" s="222"/>
      <c r="Q496" s="222"/>
      <c r="R496" s="222"/>
      <c r="S496" s="222"/>
      <c r="T496" s="222"/>
      <c r="U496" s="222"/>
      <c r="V496" s="222"/>
      <c r="W496" s="222"/>
    </row>
    <row r="497">
      <c r="A497" s="271"/>
      <c r="B497" s="222"/>
      <c r="C497" s="222"/>
      <c r="D497" s="222"/>
      <c r="E497" s="222"/>
      <c r="F497" s="222"/>
      <c r="G497" s="222"/>
      <c r="H497" s="271"/>
      <c r="I497" s="271"/>
      <c r="J497" s="271"/>
      <c r="K497" s="271"/>
      <c r="L497" s="271"/>
      <c r="M497" s="222"/>
      <c r="N497" s="222"/>
      <c r="O497" s="222"/>
      <c r="P497" s="222"/>
      <c r="Q497" s="222"/>
      <c r="R497" s="222"/>
      <c r="S497" s="222"/>
      <c r="T497" s="222"/>
      <c r="U497" s="222"/>
      <c r="V497" s="222"/>
      <c r="W497" s="222"/>
    </row>
    <row r="498">
      <c r="A498" s="271"/>
      <c r="B498" s="222"/>
      <c r="C498" s="222"/>
      <c r="D498" s="222"/>
      <c r="E498" s="222"/>
      <c r="F498" s="222"/>
      <c r="G498" s="222"/>
      <c r="H498" s="271"/>
      <c r="I498" s="271"/>
      <c r="J498" s="271"/>
      <c r="K498" s="271"/>
      <c r="L498" s="271"/>
      <c r="M498" s="222"/>
      <c r="N498" s="222"/>
      <c r="O498" s="222"/>
      <c r="P498" s="222"/>
      <c r="Q498" s="222"/>
      <c r="R498" s="222"/>
      <c r="S498" s="222"/>
      <c r="T498" s="222"/>
      <c r="U498" s="222"/>
      <c r="V498" s="222"/>
      <c r="W498" s="222"/>
    </row>
    <row r="499">
      <c r="A499" s="271"/>
      <c r="B499" s="222"/>
      <c r="C499" s="222"/>
      <c r="D499" s="222"/>
      <c r="E499" s="222"/>
      <c r="F499" s="222"/>
      <c r="G499" s="222"/>
      <c r="H499" s="271"/>
      <c r="I499" s="271"/>
      <c r="J499" s="271"/>
      <c r="K499" s="271"/>
      <c r="L499" s="271"/>
      <c r="M499" s="222"/>
      <c r="N499" s="222"/>
      <c r="O499" s="222"/>
      <c r="P499" s="222"/>
      <c r="Q499" s="222"/>
      <c r="R499" s="222"/>
      <c r="S499" s="222"/>
      <c r="T499" s="222"/>
      <c r="U499" s="222"/>
      <c r="V499" s="222"/>
      <c r="W499" s="222"/>
    </row>
    <row r="500">
      <c r="A500" s="271"/>
      <c r="B500" s="222"/>
      <c r="C500" s="222"/>
      <c r="D500" s="222"/>
      <c r="E500" s="222"/>
      <c r="F500" s="222"/>
      <c r="G500" s="222"/>
      <c r="H500" s="271"/>
      <c r="I500" s="271"/>
      <c r="J500" s="271"/>
      <c r="K500" s="271"/>
      <c r="L500" s="271"/>
      <c r="M500" s="222"/>
      <c r="N500" s="222"/>
      <c r="O500" s="222"/>
      <c r="P500" s="222"/>
      <c r="Q500" s="222"/>
      <c r="R500" s="222"/>
      <c r="S500" s="222"/>
      <c r="T500" s="222"/>
      <c r="U500" s="222"/>
      <c r="V500" s="222"/>
      <c r="W500" s="222"/>
    </row>
    <row r="501">
      <c r="A501" s="271"/>
      <c r="B501" s="222"/>
      <c r="C501" s="222"/>
      <c r="D501" s="222"/>
      <c r="E501" s="222"/>
      <c r="F501" s="222"/>
      <c r="G501" s="222"/>
      <c r="H501" s="271"/>
      <c r="I501" s="271"/>
      <c r="J501" s="271"/>
      <c r="K501" s="271"/>
      <c r="L501" s="271"/>
      <c r="M501" s="222"/>
      <c r="N501" s="222"/>
      <c r="O501" s="222"/>
      <c r="P501" s="222"/>
      <c r="Q501" s="222"/>
      <c r="R501" s="222"/>
      <c r="S501" s="222"/>
      <c r="T501" s="222"/>
      <c r="U501" s="222"/>
      <c r="V501" s="222"/>
      <c r="W501" s="222"/>
    </row>
    <row r="502">
      <c r="A502" s="271"/>
      <c r="B502" s="222"/>
      <c r="C502" s="222"/>
      <c r="D502" s="222"/>
      <c r="E502" s="222"/>
      <c r="F502" s="222"/>
      <c r="G502" s="222"/>
      <c r="H502" s="271"/>
      <c r="I502" s="271"/>
      <c r="J502" s="271"/>
      <c r="K502" s="271"/>
      <c r="L502" s="271"/>
      <c r="M502" s="222"/>
      <c r="N502" s="222"/>
      <c r="O502" s="222"/>
      <c r="P502" s="222"/>
      <c r="Q502" s="222"/>
      <c r="R502" s="222"/>
      <c r="S502" s="222"/>
      <c r="T502" s="222"/>
      <c r="U502" s="222"/>
      <c r="V502" s="222"/>
      <c r="W502" s="222"/>
    </row>
    <row r="503">
      <c r="A503" s="271"/>
      <c r="B503" s="222"/>
      <c r="C503" s="222"/>
      <c r="D503" s="222"/>
      <c r="E503" s="222"/>
      <c r="F503" s="222"/>
      <c r="G503" s="222"/>
      <c r="H503" s="271"/>
      <c r="I503" s="271"/>
      <c r="J503" s="271"/>
      <c r="K503" s="271"/>
      <c r="L503" s="271"/>
      <c r="M503" s="222"/>
      <c r="N503" s="222"/>
      <c r="O503" s="222"/>
      <c r="P503" s="222"/>
      <c r="Q503" s="222"/>
      <c r="R503" s="222"/>
      <c r="S503" s="222"/>
      <c r="T503" s="222"/>
      <c r="U503" s="222"/>
      <c r="V503" s="222"/>
      <c r="W503" s="222"/>
    </row>
    <row r="504">
      <c r="A504" s="271"/>
      <c r="B504" s="222"/>
      <c r="C504" s="222"/>
      <c r="D504" s="222"/>
      <c r="E504" s="222"/>
      <c r="F504" s="222"/>
      <c r="G504" s="222"/>
      <c r="H504" s="271"/>
      <c r="I504" s="271"/>
      <c r="J504" s="271"/>
      <c r="K504" s="271"/>
      <c r="L504" s="271"/>
      <c r="M504" s="222"/>
      <c r="N504" s="222"/>
      <c r="O504" s="222"/>
      <c r="P504" s="222"/>
      <c r="Q504" s="222"/>
      <c r="R504" s="222"/>
      <c r="S504" s="222"/>
      <c r="T504" s="222"/>
      <c r="U504" s="222"/>
      <c r="V504" s="222"/>
      <c r="W504" s="222"/>
    </row>
    <row r="505">
      <c r="A505" s="271"/>
      <c r="B505" s="222"/>
      <c r="C505" s="222"/>
      <c r="D505" s="222"/>
      <c r="E505" s="222"/>
      <c r="F505" s="222"/>
      <c r="G505" s="222"/>
      <c r="H505" s="271"/>
      <c r="I505" s="271"/>
      <c r="J505" s="271"/>
      <c r="K505" s="271"/>
      <c r="L505" s="271"/>
      <c r="M505" s="222"/>
      <c r="N505" s="222"/>
      <c r="O505" s="222"/>
      <c r="P505" s="222"/>
      <c r="Q505" s="222"/>
      <c r="R505" s="222"/>
      <c r="S505" s="222"/>
      <c r="T505" s="222"/>
      <c r="U505" s="222"/>
      <c r="V505" s="222"/>
      <c r="W505" s="222"/>
    </row>
    <row r="506">
      <c r="A506" s="271"/>
      <c r="B506" s="222"/>
      <c r="C506" s="222"/>
      <c r="D506" s="222"/>
      <c r="E506" s="222"/>
      <c r="F506" s="222"/>
      <c r="G506" s="222"/>
      <c r="H506" s="271"/>
      <c r="I506" s="271"/>
      <c r="J506" s="271"/>
      <c r="K506" s="271"/>
      <c r="L506" s="271"/>
      <c r="M506" s="222"/>
      <c r="N506" s="222"/>
      <c r="O506" s="222"/>
      <c r="P506" s="222"/>
      <c r="Q506" s="222"/>
      <c r="R506" s="222"/>
      <c r="S506" s="222"/>
      <c r="T506" s="222"/>
      <c r="U506" s="222"/>
      <c r="V506" s="222"/>
      <c r="W506" s="222"/>
    </row>
    <row r="507">
      <c r="A507" s="271"/>
      <c r="B507" s="222"/>
      <c r="C507" s="222"/>
      <c r="D507" s="222"/>
      <c r="E507" s="222"/>
      <c r="F507" s="222"/>
      <c r="G507" s="222"/>
      <c r="H507" s="271"/>
      <c r="I507" s="271"/>
      <c r="J507" s="271"/>
      <c r="K507" s="271"/>
      <c r="L507" s="271"/>
      <c r="M507" s="222"/>
      <c r="N507" s="222"/>
      <c r="O507" s="222"/>
      <c r="P507" s="222"/>
      <c r="Q507" s="222"/>
      <c r="R507" s="222"/>
      <c r="S507" s="222"/>
      <c r="T507" s="222"/>
      <c r="U507" s="222"/>
      <c r="V507" s="222"/>
      <c r="W507" s="222"/>
    </row>
    <row r="508">
      <c r="A508" s="271"/>
      <c r="B508" s="222"/>
      <c r="C508" s="222"/>
      <c r="D508" s="222"/>
      <c r="E508" s="222"/>
      <c r="F508" s="222"/>
      <c r="G508" s="222"/>
      <c r="H508" s="271"/>
      <c r="I508" s="271"/>
      <c r="J508" s="271"/>
      <c r="K508" s="271"/>
      <c r="L508" s="271"/>
      <c r="M508" s="222"/>
      <c r="N508" s="222"/>
      <c r="O508" s="222"/>
      <c r="P508" s="222"/>
      <c r="Q508" s="222"/>
      <c r="R508" s="222"/>
      <c r="S508" s="222"/>
      <c r="T508" s="222"/>
      <c r="U508" s="222"/>
      <c r="V508" s="222"/>
      <c r="W508" s="222"/>
    </row>
    <row r="509">
      <c r="A509" s="271"/>
      <c r="B509" s="222"/>
      <c r="C509" s="222"/>
      <c r="D509" s="222"/>
      <c r="E509" s="222"/>
      <c r="F509" s="222"/>
      <c r="G509" s="222"/>
      <c r="H509" s="271"/>
      <c r="I509" s="271"/>
      <c r="J509" s="271"/>
      <c r="K509" s="271"/>
      <c r="L509" s="271"/>
      <c r="M509" s="222"/>
      <c r="N509" s="222"/>
      <c r="O509" s="222"/>
      <c r="P509" s="222"/>
      <c r="Q509" s="222"/>
      <c r="R509" s="222"/>
      <c r="S509" s="222"/>
      <c r="T509" s="222"/>
      <c r="U509" s="222"/>
      <c r="V509" s="222"/>
      <c r="W509" s="222"/>
    </row>
    <row r="510">
      <c r="A510" s="271"/>
      <c r="B510" s="222"/>
      <c r="C510" s="222"/>
      <c r="D510" s="222"/>
      <c r="E510" s="222"/>
      <c r="F510" s="222"/>
      <c r="G510" s="222"/>
      <c r="H510" s="271"/>
      <c r="I510" s="271"/>
      <c r="J510" s="271"/>
      <c r="K510" s="271"/>
      <c r="L510" s="271"/>
      <c r="M510" s="222"/>
      <c r="N510" s="222"/>
      <c r="O510" s="222"/>
      <c r="P510" s="222"/>
      <c r="Q510" s="222"/>
      <c r="R510" s="222"/>
      <c r="S510" s="222"/>
      <c r="T510" s="222"/>
      <c r="U510" s="222"/>
      <c r="V510" s="222"/>
      <c r="W510" s="222"/>
    </row>
    <row r="511">
      <c r="A511" s="271"/>
      <c r="B511" s="222"/>
      <c r="C511" s="222"/>
      <c r="D511" s="222"/>
      <c r="E511" s="222"/>
      <c r="F511" s="222"/>
      <c r="G511" s="222"/>
      <c r="H511" s="271"/>
      <c r="I511" s="271"/>
      <c r="J511" s="271"/>
      <c r="K511" s="271"/>
      <c r="L511" s="271"/>
      <c r="M511" s="222"/>
      <c r="N511" s="222"/>
      <c r="O511" s="222"/>
      <c r="P511" s="222"/>
      <c r="Q511" s="222"/>
      <c r="R511" s="222"/>
      <c r="S511" s="222"/>
      <c r="T511" s="222"/>
      <c r="U511" s="222"/>
      <c r="V511" s="222"/>
      <c r="W511" s="222"/>
    </row>
    <row r="512">
      <c r="A512" s="271"/>
      <c r="B512" s="222"/>
      <c r="C512" s="222"/>
      <c r="D512" s="222"/>
      <c r="E512" s="222"/>
      <c r="F512" s="222"/>
      <c r="G512" s="222"/>
      <c r="H512" s="271"/>
      <c r="I512" s="271"/>
      <c r="J512" s="271"/>
      <c r="K512" s="271"/>
      <c r="L512" s="271"/>
      <c r="M512" s="222"/>
      <c r="N512" s="222"/>
      <c r="O512" s="222"/>
      <c r="P512" s="222"/>
      <c r="Q512" s="222"/>
      <c r="R512" s="222"/>
      <c r="S512" s="222"/>
      <c r="T512" s="222"/>
      <c r="U512" s="222"/>
      <c r="V512" s="222"/>
      <c r="W512" s="222"/>
    </row>
    <row r="513">
      <c r="A513" s="271"/>
      <c r="B513" s="222"/>
      <c r="C513" s="222"/>
      <c r="D513" s="222"/>
      <c r="E513" s="222"/>
      <c r="F513" s="222"/>
      <c r="G513" s="222"/>
      <c r="H513" s="271"/>
      <c r="I513" s="271"/>
      <c r="J513" s="271"/>
      <c r="K513" s="271"/>
      <c r="L513" s="271"/>
      <c r="M513" s="222"/>
      <c r="N513" s="222"/>
      <c r="O513" s="222"/>
      <c r="P513" s="222"/>
      <c r="Q513" s="222"/>
      <c r="R513" s="222"/>
      <c r="S513" s="222"/>
      <c r="T513" s="222"/>
      <c r="U513" s="222"/>
      <c r="V513" s="222"/>
      <c r="W513" s="222"/>
    </row>
    <row r="514">
      <c r="A514" s="271"/>
      <c r="B514" s="222"/>
      <c r="C514" s="222"/>
      <c r="D514" s="222"/>
      <c r="E514" s="222"/>
      <c r="F514" s="222"/>
      <c r="G514" s="222"/>
      <c r="H514" s="271"/>
      <c r="I514" s="271"/>
      <c r="J514" s="271"/>
      <c r="K514" s="271"/>
      <c r="L514" s="271"/>
      <c r="M514" s="222"/>
      <c r="N514" s="222"/>
      <c r="O514" s="222"/>
      <c r="P514" s="222"/>
      <c r="Q514" s="222"/>
      <c r="R514" s="222"/>
      <c r="S514" s="222"/>
      <c r="T514" s="222"/>
      <c r="U514" s="222"/>
      <c r="V514" s="222"/>
      <c r="W514" s="222"/>
    </row>
    <row r="515">
      <c r="A515" s="271"/>
      <c r="B515" s="222"/>
      <c r="C515" s="222"/>
      <c r="D515" s="222"/>
      <c r="E515" s="222"/>
      <c r="F515" s="222"/>
      <c r="G515" s="222"/>
      <c r="H515" s="271"/>
      <c r="I515" s="271"/>
      <c r="J515" s="271"/>
      <c r="K515" s="271"/>
      <c r="L515" s="271"/>
      <c r="M515" s="222"/>
      <c r="N515" s="222"/>
      <c r="O515" s="222"/>
      <c r="P515" s="222"/>
      <c r="Q515" s="222"/>
      <c r="R515" s="222"/>
      <c r="S515" s="222"/>
      <c r="T515" s="222"/>
      <c r="U515" s="222"/>
      <c r="V515" s="222"/>
      <c r="W515" s="222"/>
    </row>
    <row r="516">
      <c r="A516" s="271"/>
      <c r="B516" s="222"/>
      <c r="C516" s="222"/>
      <c r="D516" s="222"/>
      <c r="E516" s="222"/>
      <c r="F516" s="222"/>
      <c r="G516" s="222"/>
      <c r="H516" s="271"/>
      <c r="I516" s="271"/>
      <c r="J516" s="271"/>
      <c r="K516" s="271"/>
      <c r="L516" s="271"/>
      <c r="M516" s="222"/>
      <c r="N516" s="222"/>
      <c r="O516" s="222"/>
      <c r="P516" s="222"/>
      <c r="Q516" s="222"/>
      <c r="R516" s="222"/>
      <c r="S516" s="222"/>
      <c r="T516" s="222"/>
      <c r="U516" s="222"/>
      <c r="V516" s="222"/>
      <c r="W516" s="222"/>
    </row>
    <row r="517">
      <c r="A517" s="271"/>
      <c r="B517" s="222"/>
      <c r="C517" s="222"/>
      <c r="D517" s="222"/>
      <c r="E517" s="222"/>
      <c r="F517" s="222"/>
      <c r="G517" s="222"/>
      <c r="H517" s="271"/>
      <c r="I517" s="271"/>
      <c r="J517" s="271"/>
      <c r="K517" s="271"/>
      <c r="L517" s="271"/>
      <c r="M517" s="222"/>
      <c r="N517" s="222"/>
      <c r="O517" s="222"/>
      <c r="P517" s="222"/>
      <c r="Q517" s="222"/>
      <c r="R517" s="222"/>
      <c r="S517" s="222"/>
      <c r="T517" s="222"/>
      <c r="U517" s="222"/>
      <c r="V517" s="222"/>
      <c r="W517" s="222"/>
    </row>
    <row r="518">
      <c r="A518" s="271"/>
      <c r="B518" s="222"/>
      <c r="C518" s="222"/>
      <c r="D518" s="222"/>
      <c r="E518" s="222"/>
      <c r="F518" s="222"/>
      <c r="G518" s="222"/>
      <c r="H518" s="271"/>
      <c r="I518" s="271"/>
      <c r="J518" s="271"/>
      <c r="K518" s="271"/>
      <c r="L518" s="271"/>
      <c r="M518" s="222"/>
      <c r="N518" s="222"/>
      <c r="O518" s="222"/>
      <c r="P518" s="222"/>
      <c r="Q518" s="222"/>
      <c r="R518" s="222"/>
      <c r="S518" s="222"/>
      <c r="T518" s="222"/>
      <c r="U518" s="222"/>
      <c r="V518" s="222"/>
      <c r="W518" s="222"/>
    </row>
    <row r="519">
      <c r="A519" s="271"/>
      <c r="B519" s="222"/>
      <c r="C519" s="222"/>
      <c r="D519" s="222"/>
      <c r="E519" s="222"/>
      <c r="F519" s="222"/>
      <c r="G519" s="222"/>
      <c r="H519" s="271"/>
      <c r="I519" s="271"/>
      <c r="J519" s="271"/>
      <c r="K519" s="271"/>
      <c r="L519" s="271"/>
      <c r="M519" s="222"/>
      <c r="N519" s="222"/>
      <c r="O519" s="222"/>
      <c r="P519" s="222"/>
      <c r="Q519" s="222"/>
      <c r="R519" s="222"/>
      <c r="S519" s="222"/>
      <c r="T519" s="222"/>
      <c r="U519" s="222"/>
      <c r="V519" s="222"/>
      <c r="W519" s="222"/>
    </row>
    <row r="520">
      <c r="A520" s="271"/>
      <c r="B520" s="222"/>
      <c r="C520" s="222"/>
      <c r="D520" s="222"/>
      <c r="E520" s="222"/>
      <c r="F520" s="222"/>
      <c r="G520" s="222"/>
      <c r="H520" s="271"/>
      <c r="I520" s="271"/>
      <c r="J520" s="271"/>
      <c r="K520" s="271"/>
      <c r="L520" s="271"/>
      <c r="M520" s="222"/>
      <c r="N520" s="222"/>
      <c r="O520" s="222"/>
      <c r="P520" s="222"/>
      <c r="Q520" s="222"/>
      <c r="R520" s="222"/>
      <c r="S520" s="222"/>
      <c r="T520" s="222"/>
      <c r="U520" s="222"/>
      <c r="V520" s="222"/>
      <c r="W520" s="222"/>
    </row>
    <row r="521">
      <c r="A521" s="271"/>
      <c r="B521" s="222"/>
      <c r="C521" s="222"/>
      <c r="D521" s="222"/>
      <c r="E521" s="222"/>
      <c r="F521" s="222"/>
      <c r="G521" s="222"/>
      <c r="H521" s="271"/>
      <c r="I521" s="271"/>
      <c r="J521" s="271"/>
      <c r="K521" s="271"/>
      <c r="L521" s="271"/>
      <c r="M521" s="222"/>
      <c r="N521" s="222"/>
      <c r="O521" s="222"/>
      <c r="P521" s="222"/>
      <c r="Q521" s="222"/>
      <c r="R521" s="222"/>
      <c r="S521" s="222"/>
      <c r="T521" s="222"/>
      <c r="U521" s="222"/>
      <c r="V521" s="222"/>
      <c r="W521" s="222"/>
    </row>
    <row r="522">
      <c r="A522" s="271"/>
      <c r="B522" s="222"/>
      <c r="C522" s="222"/>
      <c r="D522" s="222"/>
      <c r="E522" s="222"/>
      <c r="F522" s="222"/>
      <c r="G522" s="222"/>
      <c r="H522" s="271"/>
      <c r="I522" s="271"/>
      <c r="J522" s="271"/>
      <c r="K522" s="271"/>
      <c r="L522" s="271"/>
      <c r="M522" s="222"/>
      <c r="N522" s="222"/>
      <c r="O522" s="222"/>
      <c r="P522" s="222"/>
      <c r="Q522" s="222"/>
      <c r="R522" s="222"/>
      <c r="S522" s="222"/>
      <c r="T522" s="222"/>
      <c r="U522" s="222"/>
      <c r="V522" s="222"/>
      <c r="W522" s="222"/>
    </row>
    <row r="523">
      <c r="A523" s="271"/>
      <c r="B523" s="222"/>
      <c r="C523" s="222"/>
      <c r="D523" s="222"/>
      <c r="E523" s="222"/>
      <c r="F523" s="222"/>
      <c r="G523" s="222"/>
      <c r="H523" s="271"/>
      <c r="I523" s="271"/>
      <c r="J523" s="271"/>
      <c r="K523" s="271"/>
      <c r="L523" s="271"/>
      <c r="M523" s="222"/>
      <c r="N523" s="222"/>
      <c r="O523" s="222"/>
      <c r="P523" s="222"/>
      <c r="Q523" s="222"/>
      <c r="R523" s="222"/>
      <c r="S523" s="222"/>
      <c r="T523" s="222"/>
      <c r="U523" s="222"/>
      <c r="V523" s="222"/>
      <c r="W523" s="222"/>
    </row>
    <row r="524">
      <c r="A524" s="271"/>
      <c r="B524" s="222"/>
      <c r="C524" s="222"/>
      <c r="D524" s="222"/>
      <c r="E524" s="222"/>
      <c r="F524" s="222"/>
      <c r="G524" s="222"/>
      <c r="H524" s="271"/>
      <c r="I524" s="271"/>
      <c r="J524" s="271"/>
      <c r="K524" s="271"/>
      <c r="L524" s="271"/>
      <c r="M524" s="222"/>
      <c r="N524" s="222"/>
      <c r="O524" s="222"/>
      <c r="P524" s="222"/>
      <c r="Q524" s="222"/>
      <c r="R524" s="222"/>
      <c r="S524" s="222"/>
      <c r="T524" s="222"/>
      <c r="U524" s="222"/>
      <c r="V524" s="222"/>
      <c r="W524" s="222"/>
    </row>
    <row r="525">
      <c r="A525" s="271"/>
      <c r="B525" s="222"/>
      <c r="C525" s="222"/>
      <c r="D525" s="222"/>
      <c r="E525" s="222"/>
      <c r="F525" s="222"/>
      <c r="G525" s="222"/>
      <c r="H525" s="271"/>
      <c r="I525" s="271"/>
      <c r="J525" s="271"/>
      <c r="K525" s="271"/>
      <c r="L525" s="271"/>
      <c r="M525" s="222"/>
      <c r="N525" s="222"/>
      <c r="O525" s="222"/>
      <c r="P525" s="222"/>
      <c r="Q525" s="222"/>
      <c r="R525" s="222"/>
      <c r="S525" s="222"/>
      <c r="T525" s="222"/>
      <c r="U525" s="222"/>
      <c r="V525" s="222"/>
      <c r="W525" s="222"/>
    </row>
    <row r="526">
      <c r="A526" s="271"/>
      <c r="B526" s="222"/>
      <c r="C526" s="222"/>
      <c r="D526" s="222"/>
      <c r="E526" s="222"/>
      <c r="F526" s="222"/>
      <c r="G526" s="222"/>
      <c r="H526" s="271"/>
      <c r="I526" s="271"/>
      <c r="J526" s="271"/>
      <c r="K526" s="271"/>
      <c r="L526" s="271"/>
      <c r="M526" s="222"/>
      <c r="N526" s="222"/>
      <c r="O526" s="222"/>
      <c r="P526" s="222"/>
      <c r="Q526" s="222"/>
      <c r="R526" s="222"/>
      <c r="S526" s="222"/>
      <c r="T526" s="222"/>
      <c r="U526" s="222"/>
      <c r="V526" s="222"/>
      <c r="W526" s="222"/>
    </row>
    <row r="527">
      <c r="A527" s="271"/>
      <c r="B527" s="222"/>
      <c r="C527" s="222"/>
      <c r="D527" s="222"/>
      <c r="E527" s="222"/>
      <c r="F527" s="222"/>
      <c r="G527" s="222"/>
      <c r="H527" s="271"/>
      <c r="I527" s="271"/>
      <c r="J527" s="271"/>
      <c r="K527" s="271"/>
      <c r="L527" s="271"/>
      <c r="M527" s="222"/>
      <c r="N527" s="222"/>
      <c r="O527" s="222"/>
      <c r="P527" s="222"/>
      <c r="Q527" s="222"/>
      <c r="R527" s="222"/>
      <c r="S527" s="222"/>
      <c r="T527" s="222"/>
      <c r="U527" s="222"/>
      <c r="V527" s="222"/>
      <c r="W527" s="222"/>
    </row>
    <row r="528">
      <c r="A528" s="271"/>
      <c r="B528" s="222"/>
      <c r="C528" s="222"/>
      <c r="D528" s="222"/>
      <c r="E528" s="222"/>
      <c r="F528" s="222"/>
      <c r="G528" s="222"/>
      <c r="H528" s="271"/>
      <c r="I528" s="271"/>
      <c r="J528" s="271"/>
      <c r="K528" s="271"/>
      <c r="L528" s="271"/>
      <c r="M528" s="222"/>
      <c r="N528" s="222"/>
      <c r="O528" s="222"/>
      <c r="P528" s="222"/>
      <c r="Q528" s="222"/>
      <c r="R528" s="222"/>
      <c r="S528" s="222"/>
      <c r="T528" s="222"/>
      <c r="U528" s="222"/>
      <c r="V528" s="222"/>
      <c r="W528" s="222"/>
    </row>
    <row r="529">
      <c r="A529" s="271"/>
      <c r="B529" s="222"/>
      <c r="C529" s="222"/>
      <c r="D529" s="222"/>
      <c r="E529" s="222"/>
      <c r="F529" s="222"/>
      <c r="G529" s="222"/>
      <c r="H529" s="271"/>
      <c r="I529" s="271"/>
      <c r="J529" s="271"/>
      <c r="K529" s="271"/>
      <c r="L529" s="271"/>
      <c r="M529" s="222"/>
      <c r="N529" s="222"/>
      <c r="O529" s="222"/>
      <c r="P529" s="222"/>
      <c r="Q529" s="222"/>
      <c r="R529" s="222"/>
      <c r="S529" s="222"/>
      <c r="T529" s="222"/>
      <c r="U529" s="222"/>
      <c r="V529" s="222"/>
      <c r="W529" s="222"/>
    </row>
    <row r="530">
      <c r="A530" s="271"/>
      <c r="B530" s="222"/>
      <c r="C530" s="222"/>
      <c r="D530" s="222"/>
      <c r="E530" s="222"/>
      <c r="F530" s="222"/>
      <c r="G530" s="222"/>
      <c r="H530" s="271"/>
      <c r="I530" s="271"/>
      <c r="J530" s="271"/>
      <c r="K530" s="271"/>
      <c r="L530" s="271"/>
      <c r="M530" s="222"/>
      <c r="N530" s="222"/>
      <c r="O530" s="222"/>
      <c r="P530" s="222"/>
      <c r="Q530" s="222"/>
      <c r="R530" s="222"/>
      <c r="S530" s="222"/>
      <c r="T530" s="222"/>
      <c r="U530" s="222"/>
      <c r="V530" s="222"/>
      <c r="W530" s="222"/>
    </row>
    <row r="531">
      <c r="A531" s="271"/>
      <c r="B531" s="222"/>
      <c r="C531" s="222"/>
      <c r="D531" s="222"/>
      <c r="E531" s="222"/>
      <c r="F531" s="222"/>
      <c r="G531" s="222"/>
      <c r="H531" s="271"/>
      <c r="I531" s="271"/>
      <c r="J531" s="271"/>
      <c r="K531" s="271"/>
      <c r="L531" s="271"/>
      <c r="M531" s="222"/>
      <c r="N531" s="222"/>
      <c r="O531" s="222"/>
      <c r="P531" s="222"/>
      <c r="Q531" s="222"/>
      <c r="R531" s="222"/>
      <c r="S531" s="222"/>
      <c r="T531" s="222"/>
      <c r="U531" s="222"/>
      <c r="V531" s="222"/>
      <c r="W531" s="222"/>
    </row>
    <row r="532">
      <c r="A532" s="271"/>
      <c r="B532" s="222"/>
      <c r="C532" s="222"/>
      <c r="D532" s="222"/>
      <c r="E532" s="222"/>
      <c r="F532" s="222"/>
      <c r="G532" s="222"/>
      <c r="H532" s="271"/>
      <c r="I532" s="271"/>
      <c r="J532" s="271"/>
      <c r="K532" s="271"/>
      <c r="L532" s="271"/>
      <c r="M532" s="222"/>
      <c r="N532" s="222"/>
      <c r="O532" s="222"/>
      <c r="P532" s="222"/>
      <c r="Q532" s="222"/>
      <c r="R532" s="222"/>
      <c r="S532" s="222"/>
      <c r="T532" s="222"/>
      <c r="U532" s="222"/>
      <c r="V532" s="222"/>
      <c r="W532" s="222"/>
    </row>
    <row r="533">
      <c r="A533" s="271"/>
      <c r="B533" s="222"/>
      <c r="C533" s="222"/>
      <c r="D533" s="222"/>
      <c r="E533" s="222"/>
      <c r="F533" s="222"/>
      <c r="G533" s="222"/>
      <c r="H533" s="271"/>
      <c r="I533" s="271"/>
      <c r="J533" s="271"/>
      <c r="K533" s="271"/>
      <c r="L533" s="271"/>
      <c r="M533" s="222"/>
      <c r="N533" s="222"/>
      <c r="O533" s="222"/>
      <c r="P533" s="222"/>
      <c r="Q533" s="222"/>
      <c r="R533" s="222"/>
      <c r="S533" s="222"/>
      <c r="T533" s="222"/>
      <c r="U533" s="222"/>
      <c r="V533" s="222"/>
      <c r="W533" s="222"/>
    </row>
    <row r="534">
      <c r="A534" s="271"/>
      <c r="B534" s="222"/>
      <c r="C534" s="222"/>
      <c r="D534" s="222"/>
      <c r="E534" s="222"/>
      <c r="F534" s="222"/>
      <c r="G534" s="222"/>
      <c r="H534" s="271"/>
      <c r="I534" s="271"/>
      <c r="J534" s="271"/>
      <c r="K534" s="271"/>
      <c r="L534" s="271"/>
      <c r="M534" s="222"/>
      <c r="N534" s="222"/>
      <c r="O534" s="222"/>
      <c r="P534" s="222"/>
      <c r="Q534" s="222"/>
      <c r="R534" s="222"/>
      <c r="S534" s="222"/>
      <c r="T534" s="222"/>
      <c r="U534" s="222"/>
      <c r="V534" s="222"/>
      <c r="W534" s="222"/>
    </row>
    <row r="535">
      <c r="A535" s="271"/>
      <c r="B535" s="222"/>
      <c r="C535" s="222"/>
      <c r="D535" s="222"/>
      <c r="E535" s="222"/>
      <c r="F535" s="222"/>
      <c r="G535" s="222"/>
      <c r="H535" s="271"/>
      <c r="I535" s="271"/>
      <c r="J535" s="271"/>
      <c r="K535" s="271"/>
      <c r="L535" s="271"/>
      <c r="M535" s="222"/>
      <c r="N535" s="222"/>
      <c r="O535" s="222"/>
      <c r="P535" s="222"/>
      <c r="Q535" s="222"/>
      <c r="R535" s="222"/>
      <c r="S535" s="222"/>
      <c r="T535" s="222"/>
      <c r="U535" s="222"/>
      <c r="V535" s="222"/>
      <c r="W535" s="222"/>
    </row>
    <row r="536">
      <c r="A536" s="271"/>
      <c r="B536" s="222"/>
      <c r="C536" s="222"/>
      <c r="D536" s="222"/>
      <c r="E536" s="222"/>
      <c r="F536" s="222"/>
      <c r="G536" s="222"/>
      <c r="H536" s="271"/>
      <c r="I536" s="271"/>
      <c r="J536" s="271"/>
      <c r="K536" s="271"/>
      <c r="L536" s="271"/>
      <c r="M536" s="222"/>
      <c r="N536" s="222"/>
      <c r="O536" s="222"/>
      <c r="P536" s="222"/>
      <c r="Q536" s="222"/>
      <c r="R536" s="222"/>
      <c r="S536" s="222"/>
      <c r="T536" s="222"/>
      <c r="U536" s="222"/>
      <c r="V536" s="222"/>
      <c r="W536" s="222"/>
    </row>
    <row r="537">
      <c r="A537" s="271"/>
      <c r="B537" s="222"/>
      <c r="C537" s="222"/>
      <c r="D537" s="222"/>
      <c r="E537" s="222"/>
      <c r="F537" s="222"/>
      <c r="G537" s="222"/>
      <c r="H537" s="271"/>
      <c r="I537" s="271"/>
      <c r="J537" s="271"/>
      <c r="K537" s="271"/>
      <c r="L537" s="271"/>
      <c r="M537" s="222"/>
      <c r="N537" s="222"/>
      <c r="O537" s="222"/>
      <c r="P537" s="222"/>
      <c r="Q537" s="222"/>
      <c r="R537" s="222"/>
      <c r="S537" s="222"/>
      <c r="T537" s="222"/>
      <c r="U537" s="222"/>
      <c r="V537" s="222"/>
      <c r="W537" s="222"/>
    </row>
    <row r="538">
      <c r="A538" s="271"/>
      <c r="B538" s="222"/>
      <c r="C538" s="222"/>
      <c r="D538" s="222"/>
      <c r="E538" s="222"/>
      <c r="F538" s="222"/>
      <c r="G538" s="222"/>
      <c r="H538" s="271"/>
      <c r="I538" s="271"/>
      <c r="J538" s="271"/>
      <c r="K538" s="271"/>
      <c r="L538" s="271"/>
      <c r="M538" s="222"/>
      <c r="N538" s="222"/>
      <c r="O538" s="222"/>
      <c r="P538" s="222"/>
      <c r="Q538" s="222"/>
      <c r="R538" s="222"/>
      <c r="S538" s="222"/>
      <c r="T538" s="222"/>
      <c r="U538" s="222"/>
      <c r="V538" s="222"/>
      <c r="W538" s="222"/>
    </row>
    <row r="539">
      <c r="A539" s="271"/>
      <c r="B539" s="222"/>
      <c r="C539" s="222"/>
      <c r="D539" s="222"/>
      <c r="E539" s="222"/>
      <c r="F539" s="222"/>
      <c r="G539" s="222"/>
      <c r="H539" s="271"/>
      <c r="I539" s="271"/>
      <c r="J539" s="271"/>
      <c r="K539" s="271"/>
      <c r="L539" s="271"/>
      <c r="M539" s="222"/>
      <c r="N539" s="222"/>
      <c r="O539" s="222"/>
      <c r="P539" s="222"/>
      <c r="Q539" s="222"/>
      <c r="R539" s="222"/>
      <c r="S539" s="222"/>
      <c r="T539" s="222"/>
      <c r="U539" s="222"/>
      <c r="V539" s="222"/>
      <c r="W539" s="222"/>
    </row>
    <row r="540">
      <c r="A540" s="271"/>
      <c r="B540" s="222"/>
      <c r="C540" s="222"/>
      <c r="D540" s="222"/>
      <c r="E540" s="222"/>
      <c r="F540" s="222"/>
      <c r="G540" s="222"/>
      <c r="H540" s="271"/>
      <c r="I540" s="271"/>
      <c r="J540" s="271"/>
      <c r="K540" s="271"/>
      <c r="L540" s="271"/>
      <c r="M540" s="222"/>
      <c r="N540" s="222"/>
      <c r="O540" s="222"/>
      <c r="P540" s="222"/>
      <c r="Q540" s="222"/>
      <c r="R540" s="222"/>
      <c r="S540" s="222"/>
      <c r="T540" s="222"/>
      <c r="U540" s="222"/>
      <c r="V540" s="222"/>
      <c r="W540" s="222"/>
    </row>
    <row r="541">
      <c r="A541" s="271"/>
      <c r="B541" s="222"/>
      <c r="C541" s="222"/>
      <c r="D541" s="222"/>
      <c r="E541" s="222"/>
      <c r="F541" s="222"/>
      <c r="G541" s="222"/>
      <c r="H541" s="271"/>
      <c r="I541" s="271"/>
      <c r="J541" s="271"/>
      <c r="K541" s="271"/>
      <c r="L541" s="271"/>
      <c r="M541" s="222"/>
      <c r="N541" s="222"/>
      <c r="O541" s="222"/>
      <c r="P541" s="222"/>
      <c r="Q541" s="222"/>
      <c r="R541" s="222"/>
      <c r="S541" s="222"/>
      <c r="T541" s="222"/>
      <c r="U541" s="222"/>
      <c r="V541" s="222"/>
      <c r="W541" s="222"/>
    </row>
    <row r="542">
      <c r="A542" s="271"/>
      <c r="B542" s="222"/>
      <c r="C542" s="222"/>
      <c r="D542" s="222"/>
      <c r="E542" s="222"/>
      <c r="F542" s="222"/>
      <c r="G542" s="222"/>
      <c r="H542" s="271"/>
      <c r="I542" s="271"/>
      <c r="J542" s="271"/>
      <c r="K542" s="271"/>
      <c r="L542" s="271"/>
      <c r="M542" s="222"/>
      <c r="N542" s="222"/>
      <c r="O542" s="222"/>
      <c r="P542" s="222"/>
      <c r="Q542" s="222"/>
      <c r="R542" s="222"/>
      <c r="S542" s="222"/>
      <c r="T542" s="222"/>
      <c r="U542" s="222"/>
      <c r="V542" s="222"/>
      <c r="W542" s="222"/>
    </row>
    <row r="543">
      <c r="A543" s="271"/>
      <c r="B543" s="222"/>
      <c r="C543" s="222"/>
      <c r="D543" s="222"/>
      <c r="E543" s="222"/>
      <c r="F543" s="222"/>
      <c r="G543" s="222"/>
      <c r="H543" s="271"/>
      <c r="I543" s="271"/>
      <c r="J543" s="271"/>
      <c r="K543" s="271"/>
      <c r="L543" s="271"/>
      <c r="M543" s="222"/>
      <c r="N543" s="222"/>
      <c r="O543" s="222"/>
      <c r="P543" s="222"/>
      <c r="Q543" s="222"/>
      <c r="R543" s="222"/>
      <c r="S543" s="222"/>
      <c r="T543" s="222"/>
      <c r="U543" s="222"/>
      <c r="V543" s="222"/>
      <c r="W543" s="222"/>
    </row>
    <row r="544">
      <c r="A544" s="271"/>
      <c r="B544" s="222"/>
      <c r="C544" s="222"/>
      <c r="D544" s="222"/>
      <c r="E544" s="222"/>
      <c r="F544" s="222"/>
      <c r="G544" s="222"/>
      <c r="H544" s="271"/>
      <c r="I544" s="271"/>
      <c r="J544" s="271"/>
      <c r="K544" s="271"/>
      <c r="L544" s="271"/>
      <c r="M544" s="222"/>
      <c r="N544" s="222"/>
      <c r="O544" s="222"/>
      <c r="P544" s="222"/>
      <c r="Q544" s="222"/>
      <c r="R544" s="222"/>
      <c r="S544" s="222"/>
      <c r="T544" s="222"/>
      <c r="U544" s="222"/>
      <c r="V544" s="222"/>
      <c r="W544" s="222"/>
    </row>
    <row r="545">
      <c r="A545" s="271"/>
      <c r="B545" s="222"/>
      <c r="C545" s="222"/>
      <c r="D545" s="222"/>
      <c r="E545" s="222"/>
      <c r="F545" s="222"/>
      <c r="G545" s="222"/>
      <c r="H545" s="271"/>
      <c r="I545" s="271"/>
      <c r="J545" s="271"/>
      <c r="K545" s="271"/>
      <c r="L545" s="271"/>
      <c r="M545" s="222"/>
      <c r="N545" s="222"/>
      <c r="O545" s="222"/>
      <c r="P545" s="222"/>
      <c r="Q545" s="222"/>
      <c r="R545" s="222"/>
      <c r="S545" s="222"/>
      <c r="T545" s="222"/>
      <c r="U545" s="222"/>
      <c r="V545" s="222"/>
      <c r="W545" s="222"/>
    </row>
    <row r="546">
      <c r="A546" s="271"/>
      <c r="B546" s="222"/>
      <c r="C546" s="222"/>
      <c r="D546" s="222"/>
      <c r="E546" s="222"/>
      <c r="F546" s="222"/>
      <c r="G546" s="222"/>
      <c r="H546" s="271"/>
      <c r="I546" s="271"/>
      <c r="J546" s="271"/>
      <c r="K546" s="271"/>
      <c r="L546" s="271"/>
      <c r="M546" s="222"/>
      <c r="N546" s="222"/>
      <c r="O546" s="222"/>
      <c r="P546" s="222"/>
      <c r="Q546" s="222"/>
      <c r="R546" s="222"/>
      <c r="S546" s="222"/>
      <c r="T546" s="222"/>
      <c r="U546" s="222"/>
      <c r="V546" s="222"/>
      <c r="W546" s="222"/>
    </row>
    <row r="547">
      <c r="A547" s="271"/>
      <c r="B547" s="222"/>
      <c r="C547" s="222"/>
      <c r="D547" s="222"/>
      <c r="E547" s="222"/>
      <c r="F547" s="222"/>
      <c r="G547" s="222"/>
      <c r="H547" s="271"/>
      <c r="I547" s="271"/>
      <c r="J547" s="271"/>
      <c r="K547" s="271"/>
      <c r="L547" s="271"/>
      <c r="M547" s="222"/>
      <c r="N547" s="222"/>
      <c r="O547" s="222"/>
      <c r="P547" s="222"/>
      <c r="Q547" s="222"/>
      <c r="R547" s="222"/>
      <c r="S547" s="222"/>
      <c r="T547" s="222"/>
      <c r="U547" s="222"/>
      <c r="V547" s="222"/>
      <c r="W547" s="222"/>
    </row>
    <row r="548">
      <c r="A548" s="271"/>
      <c r="B548" s="222"/>
      <c r="C548" s="222"/>
      <c r="D548" s="222"/>
      <c r="E548" s="222"/>
      <c r="F548" s="222"/>
      <c r="G548" s="222"/>
      <c r="H548" s="271"/>
      <c r="I548" s="271"/>
      <c r="J548" s="271"/>
      <c r="K548" s="271"/>
      <c r="L548" s="271"/>
      <c r="M548" s="222"/>
      <c r="N548" s="222"/>
      <c r="O548" s="222"/>
      <c r="P548" s="222"/>
      <c r="Q548" s="222"/>
      <c r="R548" s="222"/>
      <c r="S548" s="222"/>
      <c r="T548" s="222"/>
      <c r="U548" s="222"/>
      <c r="V548" s="222"/>
      <c r="W548" s="222"/>
    </row>
    <row r="549">
      <c r="A549" s="271"/>
      <c r="B549" s="222"/>
      <c r="C549" s="222"/>
      <c r="D549" s="222"/>
      <c r="E549" s="222"/>
      <c r="F549" s="222"/>
      <c r="G549" s="222"/>
      <c r="H549" s="271"/>
      <c r="I549" s="271"/>
      <c r="J549" s="271"/>
      <c r="K549" s="271"/>
      <c r="L549" s="271"/>
      <c r="M549" s="222"/>
      <c r="N549" s="222"/>
      <c r="O549" s="222"/>
      <c r="P549" s="222"/>
      <c r="Q549" s="222"/>
      <c r="R549" s="222"/>
      <c r="S549" s="222"/>
      <c r="T549" s="222"/>
      <c r="U549" s="222"/>
      <c r="V549" s="222"/>
      <c r="W549" s="222"/>
    </row>
    <row r="550">
      <c r="A550" s="271"/>
      <c r="B550" s="222"/>
      <c r="C550" s="222"/>
      <c r="D550" s="222"/>
      <c r="E550" s="222"/>
      <c r="F550" s="222"/>
      <c r="G550" s="222"/>
      <c r="H550" s="271"/>
      <c r="I550" s="271"/>
      <c r="J550" s="271"/>
      <c r="K550" s="271"/>
      <c r="L550" s="271"/>
      <c r="M550" s="222"/>
      <c r="N550" s="222"/>
      <c r="O550" s="222"/>
      <c r="P550" s="222"/>
      <c r="Q550" s="222"/>
      <c r="R550" s="222"/>
      <c r="S550" s="222"/>
      <c r="T550" s="222"/>
      <c r="U550" s="222"/>
      <c r="V550" s="222"/>
      <c r="W550" s="222"/>
    </row>
    <row r="551">
      <c r="A551" s="271"/>
      <c r="B551" s="222"/>
      <c r="C551" s="222"/>
      <c r="D551" s="222"/>
      <c r="E551" s="222"/>
      <c r="F551" s="222"/>
      <c r="G551" s="222"/>
      <c r="H551" s="271"/>
      <c r="I551" s="271"/>
      <c r="J551" s="271"/>
      <c r="K551" s="271"/>
      <c r="L551" s="271"/>
      <c r="M551" s="222"/>
      <c r="N551" s="222"/>
      <c r="O551" s="222"/>
      <c r="P551" s="222"/>
      <c r="Q551" s="222"/>
      <c r="R551" s="222"/>
      <c r="S551" s="222"/>
      <c r="T551" s="222"/>
      <c r="U551" s="222"/>
      <c r="V551" s="222"/>
      <c r="W551" s="222"/>
    </row>
    <row r="552">
      <c r="A552" s="271"/>
      <c r="B552" s="222"/>
      <c r="C552" s="222"/>
      <c r="D552" s="222"/>
      <c r="E552" s="222"/>
      <c r="F552" s="222"/>
      <c r="G552" s="222"/>
      <c r="H552" s="271"/>
      <c r="I552" s="271"/>
      <c r="J552" s="271"/>
      <c r="K552" s="271"/>
      <c r="L552" s="271"/>
      <c r="M552" s="222"/>
      <c r="N552" s="222"/>
      <c r="O552" s="222"/>
      <c r="P552" s="222"/>
      <c r="Q552" s="222"/>
      <c r="R552" s="222"/>
      <c r="S552" s="222"/>
      <c r="T552" s="222"/>
      <c r="U552" s="222"/>
      <c r="V552" s="222"/>
      <c r="W552" s="222"/>
    </row>
    <row r="553">
      <c r="A553" s="271"/>
      <c r="B553" s="222"/>
      <c r="C553" s="222"/>
      <c r="D553" s="222"/>
      <c r="E553" s="222"/>
      <c r="F553" s="222"/>
      <c r="G553" s="222"/>
      <c r="H553" s="271"/>
      <c r="I553" s="271"/>
      <c r="J553" s="271"/>
      <c r="K553" s="271"/>
      <c r="L553" s="271"/>
      <c r="M553" s="222"/>
      <c r="N553" s="222"/>
      <c r="O553" s="222"/>
      <c r="P553" s="222"/>
      <c r="Q553" s="222"/>
      <c r="R553" s="222"/>
      <c r="S553" s="222"/>
      <c r="T553" s="222"/>
      <c r="U553" s="222"/>
      <c r="V553" s="222"/>
      <c r="W553" s="222"/>
    </row>
    <row r="554">
      <c r="A554" s="271"/>
      <c r="B554" s="222"/>
      <c r="C554" s="222"/>
      <c r="D554" s="222"/>
      <c r="E554" s="222"/>
      <c r="F554" s="222"/>
      <c r="G554" s="222"/>
      <c r="H554" s="271"/>
      <c r="I554" s="271"/>
      <c r="J554" s="271"/>
      <c r="K554" s="271"/>
      <c r="L554" s="271"/>
      <c r="M554" s="222"/>
      <c r="N554" s="222"/>
      <c r="O554" s="222"/>
      <c r="P554" s="222"/>
      <c r="Q554" s="222"/>
      <c r="R554" s="222"/>
      <c r="S554" s="222"/>
      <c r="T554" s="222"/>
      <c r="U554" s="222"/>
      <c r="V554" s="222"/>
      <c r="W554" s="222"/>
    </row>
    <row r="555">
      <c r="A555" s="271"/>
      <c r="B555" s="222"/>
      <c r="C555" s="222"/>
      <c r="D555" s="222"/>
      <c r="E555" s="222"/>
      <c r="F555" s="222"/>
      <c r="G555" s="222"/>
      <c r="H555" s="271"/>
      <c r="I555" s="271"/>
      <c r="J555" s="271"/>
      <c r="K555" s="271"/>
      <c r="L555" s="271"/>
      <c r="M555" s="222"/>
      <c r="N555" s="222"/>
      <c r="O555" s="222"/>
      <c r="P555" s="222"/>
      <c r="Q555" s="222"/>
      <c r="R555" s="222"/>
      <c r="S555" s="222"/>
      <c r="T555" s="222"/>
      <c r="U555" s="222"/>
      <c r="V555" s="222"/>
      <c r="W555" s="222"/>
    </row>
    <row r="556">
      <c r="A556" s="271"/>
      <c r="B556" s="222"/>
      <c r="C556" s="222"/>
      <c r="D556" s="222"/>
      <c r="E556" s="222"/>
      <c r="F556" s="222"/>
      <c r="G556" s="222"/>
      <c r="H556" s="271"/>
      <c r="I556" s="271"/>
      <c r="J556" s="271"/>
      <c r="K556" s="271"/>
      <c r="L556" s="271"/>
      <c r="M556" s="222"/>
      <c r="N556" s="222"/>
      <c r="O556" s="222"/>
      <c r="P556" s="222"/>
      <c r="Q556" s="222"/>
      <c r="R556" s="222"/>
      <c r="S556" s="222"/>
      <c r="T556" s="222"/>
      <c r="U556" s="222"/>
      <c r="V556" s="222"/>
      <c r="W556" s="222"/>
    </row>
    <row r="557">
      <c r="A557" s="271"/>
      <c r="B557" s="222"/>
      <c r="C557" s="222"/>
      <c r="D557" s="222"/>
      <c r="E557" s="222"/>
      <c r="F557" s="222"/>
      <c r="G557" s="222"/>
      <c r="H557" s="271"/>
      <c r="I557" s="271"/>
      <c r="J557" s="271"/>
      <c r="K557" s="271"/>
      <c r="L557" s="271"/>
      <c r="M557" s="222"/>
      <c r="N557" s="222"/>
      <c r="O557" s="222"/>
      <c r="P557" s="222"/>
      <c r="Q557" s="222"/>
      <c r="R557" s="222"/>
      <c r="S557" s="222"/>
      <c r="T557" s="222"/>
      <c r="U557" s="222"/>
      <c r="V557" s="222"/>
      <c r="W557" s="222"/>
    </row>
    <row r="558">
      <c r="A558" s="271"/>
      <c r="B558" s="222"/>
      <c r="C558" s="222"/>
      <c r="D558" s="222"/>
      <c r="E558" s="222"/>
      <c r="F558" s="222"/>
      <c r="G558" s="222"/>
      <c r="H558" s="271"/>
      <c r="I558" s="271"/>
      <c r="J558" s="271"/>
      <c r="K558" s="271"/>
      <c r="L558" s="271"/>
      <c r="M558" s="222"/>
      <c r="N558" s="222"/>
      <c r="O558" s="222"/>
      <c r="P558" s="222"/>
      <c r="Q558" s="222"/>
      <c r="R558" s="222"/>
      <c r="S558" s="222"/>
      <c r="T558" s="222"/>
      <c r="U558" s="222"/>
      <c r="V558" s="222"/>
      <c r="W558" s="222"/>
    </row>
    <row r="559">
      <c r="A559" s="271"/>
      <c r="B559" s="222"/>
      <c r="C559" s="222"/>
      <c r="D559" s="222"/>
      <c r="E559" s="222"/>
      <c r="F559" s="222"/>
      <c r="G559" s="222"/>
      <c r="H559" s="271"/>
      <c r="I559" s="271"/>
      <c r="J559" s="271"/>
      <c r="K559" s="271"/>
      <c r="L559" s="271"/>
      <c r="M559" s="222"/>
      <c r="N559" s="222"/>
      <c r="O559" s="222"/>
      <c r="P559" s="222"/>
      <c r="Q559" s="222"/>
      <c r="R559" s="222"/>
      <c r="S559" s="222"/>
      <c r="T559" s="222"/>
      <c r="U559" s="222"/>
      <c r="V559" s="222"/>
      <c r="W559" s="222"/>
    </row>
    <row r="560">
      <c r="A560" s="271"/>
      <c r="B560" s="222"/>
      <c r="C560" s="222"/>
      <c r="D560" s="222"/>
      <c r="E560" s="222"/>
      <c r="F560" s="222"/>
      <c r="G560" s="222"/>
      <c r="H560" s="271"/>
      <c r="I560" s="271"/>
      <c r="J560" s="271"/>
      <c r="K560" s="271"/>
      <c r="L560" s="271"/>
      <c r="M560" s="222"/>
      <c r="N560" s="222"/>
      <c r="O560" s="222"/>
      <c r="P560" s="222"/>
      <c r="Q560" s="222"/>
      <c r="R560" s="222"/>
      <c r="S560" s="222"/>
      <c r="T560" s="222"/>
      <c r="U560" s="222"/>
      <c r="V560" s="222"/>
      <c r="W560" s="222"/>
    </row>
    <row r="561">
      <c r="A561" s="271"/>
      <c r="B561" s="222"/>
      <c r="C561" s="222"/>
      <c r="D561" s="222"/>
      <c r="E561" s="222"/>
      <c r="F561" s="222"/>
      <c r="G561" s="222"/>
      <c r="H561" s="271"/>
      <c r="I561" s="271"/>
      <c r="J561" s="271"/>
      <c r="K561" s="271"/>
      <c r="L561" s="271"/>
      <c r="M561" s="222"/>
      <c r="N561" s="222"/>
      <c r="O561" s="222"/>
      <c r="P561" s="222"/>
      <c r="Q561" s="222"/>
      <c r="R561" s="222"/>
      <c r="S561" s="222"/>
      <c r="T561" s="222"/>
      <c r="U561" s="222"/>
      <c r="V561" s="222"/>
      <c r="W561" s="222"/>
    </row>
    <row r="562">
      <c r="A562" s="271"/>
      <c r="B562" s="222"/>
      <c r="C562" s="222"/>
      <c r="D562" s="222"/>
      <c r="E562" s="222"/>
      <c r="F562" s="222"/>
      <c r="G562" s="222"/>
      <c r="H562" s="271"/>
      <c r="I562" s="271"/>
      <c r="J562" s="271"/>
      <c r="K562" s="271"/>
      <c r="L562" s="271"/>
      <c r="M562" s="222"/>
      <c r="N562" s="222"/>
      <c r="O562" s="222"/>
      <c r="P562" s="222"/>
      <c r="Q562" s="222"/>
      <c r="R562" s="222"/>
      <c r="S562" s="222"/>
      <c r="T562" s="222"/>
      <c r="U562" s="222"/>
      <c r="V562" s="222"/>
      <c r="W562" s="222"/>
    </row>
    <row r="563">
      <c r="A563" s="271"/>
      <c r="B563" s="222"/>
      <c r="C563" s="222"/>
      <c r="D563" s="222"/>
      <c r="E563" s="222"/>
      <c r="F563" s="222"/>
      <c r="G563" s="222"/>
      <c r="H563" s="271"/>
      <c r="I563" s="271"/>
      <c r="J563" s="271"/>
      <c r="K563" s="271"/>
      <c r="L563" s="271"/>
      <c r="M563" s="222"/>
      <c r="N563" s="222"/>
      <c r="O563" s="222"/>
      <c r="P563" s="222"/>
      <c r="Q563" s="222"/>
      <c r="R563" s="222"/>
      <c r="S563" s="222"/>
      <c r="T563" s="222"/>
      <c r="U563" s="222"/>
      <c r="V563" s="222"/>
      <c r="W563" s="222"/>
    </row>
    <row r="564">
      <c r="A564" s="271"/>
      <c r="B564" s="222"/>
      <c r="C564" s="222"/>
      <c r="D564" s="222"/>
      <c r="E564" s="222"/>
      <c r="F564" s="222"/>
      <c r="G564" s="222"/>
      <c r="H564" s="271"/>
      <c r="I564" s="271"/>
      <c r="J564" s="271"/>
      <c r="K564" s="271"/>
      <c r="L564" s="271"/>
      <c r="M564" s="222"/>
      <c r="N564" s="222"/>
      <c r="O564" s="222"/>
      <c r="P564" s="222"/>
      <c r="Q564" s="222"/>
      <c r="R564" s="222"/>
      <c r="S564" s="222"/>
      <c r="T564" s="222"/>
      <c r="U564" s="222"/>
      <c r="V564" s="222"/>
      <c r="W564" s="222"/>
    </row>
    <row r="565">
      <c r="A565" s="271"/>
      <c r="B565" s="222"/>
      <c r="C565" s="222"/>
      <c r="D565" s="222"/>
      <c r="E565" s="222"/>
      <c r="F565" s="222"/>
      <c r="G565" s="222"/>
      <c r="H565" s="271"/>
      <c r="I565" s="271"/>
      <c r="J565" s="271"/>
      <c r="K565" s="271"/>
      <c r="L565" s="271"/>
      <c r="M565" s="222"/>
      <c r="N565" s="222"/>
      <c r="O565" s="222"/>
      <c r="P565" s="222"/>
      <c r="Q565" s="222"/>
      <c r="R565" s="222"/>
      <c r="S565" s="222"/>
      <c r="T565" s="222"/>
      <c r="U565" s="222"/>
      <c r="V565" s="222"/>
      <c r="W565" s="222"/>
    </row>
    <row r="566">
      <c r="A566" s="271"/>
      <c r="B566" s="222"/>
      <c r="C566" s="222"/>
      <c r="D566" s="222"/>
      <c r="E566" s="222"/>
      <c r="F566" s="222"/>
      <c r="G566" s="222"/>
      <c r="H566" s="271"/>
      <c r="I566" s="271"/>
      <c r="J566" s="271"/>
      <c r="K566" s="271"/>
      <c r="L566" s="271"/>
      <c r="M566" s="222"/>
      <c r="N566" s="222"/>
      <c r="O566" s="222"/>
      <c r="P566" s="222"/>
      <c r="Q566" s="222"/>
      <c r="R566" s="222"/>
      <c r="S566" s="222"/>
      <c r="T566" s="222"/>
      <c r="U566" s="222"/>
      <c r="V566" s="222"/>
      <c r="W566" s="222"/>
    </row>
    <row r="567">
      <c r="A567" s="271"/>
      <c r="B567" s="222"/>
      <c r="C567" s="222"/>
      <c r="D567" s="222"/>
      <c r="E567" s="222"/>
      <c r="F567" s="222"/>
      <c r="G567" s="222"/>
      <c r="H567" s="271"/>
      <c r="I567" s="271"/>
      <c r="J567" s="271"/>
      <c r="K567" s="271"/>
      <c r="L567" s="271"/>
      <c r="M567" s="222"/>
      <c r="N567" s="222"/>
      <c r="O567" s="222"/>
      <c r="P567" s="222"/>
      <c r="Q567" s="222"/>
      <c r="R567" s="222"/>
      <c r="S567" s="222"/>
      <c r="T567" s="222"/>
      <c r="U567" s="222"/>
      <c r="V567" s="222"/>
      <c r="W567" s="222"/>
    </row>
    <row r="568">
      <c r="A568" s="271"/>
      <c r="B568" s="222"/>
      <c r="C568" s="222"/>
      <c r="D568" s="222"/>
      <c r="E568" s="222"/>
      <c r="F568" s="222"/>
      <c r="G568" s="222"/>
      <c r="H568" s="271"/>
      <c r="I568" s="271"/>
      <c r="J568" s="271"/>
      <c r="K568" s="271"/>
      <c r="L568" s="271"/>
      <c r="M568" s="222"/>
      <c r="N568" s="222"/>
      <c r="O568" s="222"/>
      <c r="P568" s="222"/>
      <c r="Q568" s="222"/>
      <c r="R568" s="222"/>
      <c r="S568" s="222"/>
      <c r="T568" s="222"/>
      <c r="U568" s="222"/>
      <c r="V568" s="222"/>
      <c r="W568" s="222"/>
    </row>
    <row r="569">
      <c r="A569" s="271"/>
      <c r="B569" s="222"/>
      <c r="C569" s="222"/>
      <c r="D569" s="222"/>
      <c r="E569" s="222"/>
      <c r="F569" s="222"/>
      <c r="G569" s="222"/>
      <c r="H569" s="271"/>
      <c r="I569" s="271"/>
      <c r="J569" s="271"/>
      <c r="K569" s="271"/>
      <c r="L569" s="271"/>
      <c r="M569" s="222"/>
      <c r="N569" s="222"/>
      <c r="O569" s="222"/>
      <c r="P569" s="222"/>
      <c r="Q569" s="222"/>
      <c r="R569" s="222"/>
      <c r="S569" s="222"/>
      <c r="T569" s="222"/>
      <c r="U569" s="222"/>
      <c r="V569" s="222"/>
      <c r="W569" s="222"/>
    </row>
    <row r="570">
      <c r="A570" s="271"/>
      <c r="B570" s="222"/>
      <c r="C570" s="222"/>
      <c r="D570" s="222"/>
      <c r="E570" s="222"/>
      <c r="F570" s="222"/>
      <c r="G570" s="222"/>
      <c r="H570" s="271"/>
      <c r="I570" s="271"/>
      <c r="J570" s="271"/>
      <c r="K570" s="271"/>
      <c r="L570" s="271"/>
      <c r="M570" s="222"/>
      <c r="N570" s="222"/>
      <c r="O570" s="222"/>
      <c r="P570" s="222"/>
      <c r="Q570" s="222"/>
      <c r="R570" s="222"/>
      <c r="S570" s="222"/>
      <c r="T570" s="222"/>
      <c r="U570" s="222"/>
      <c r="V570" s="222"/>
      <c r="W570" s="222"/>
    </row>
    <row r="571">
      <c r="A571" s="271"/>
      <c r="B571" s="222"/>
      <c r="C571" s="222"/>
      <c r="D571" s="222"/>
      <c r="E571" s="222"/>
      <c r="F571" s="222"/>
      <c r="G571" s="222"/>
      <c r="H571" s="271"/>
      <c r="I571" s="271"/>
      <c r="J571" s="271"/>
      <c r="K571" s="271"/>
      <c r="L571" s="271"/>
      <c r="M571" s="222"/>
      <c r="N571" s="222"/>
      <c r="O571" s="222"/>
      <c r="P571" s="222"/>
      <c r="Q571" s="222"/>
      <c r="R571" s="222"/>
      <c r="S571" s="222"/>
      <c r="T571" s="222"/>
      <c r="U571" s="222"/>
      <c r="V571" s="222"/>
      <c r="W571" s="222"/>
    </row>
    <row r="572">
      <c r="A572" s="271"/>
      <c r="B572" s="222"/>
      <c r="C572" s="222"/>
      <c r="D572" s="222"/>
      <c r="E572" s="222"/>
      <c r="F572" s="222"/>
      <c r="G572" s="222"/>
      <c r="H572" s="271"/>
      <c r="I572" s="271"/>
      <c r="J572" s="271"/>
      <c r="K572" s="271"/>
      <c r="L572" s="271"/>
      <c r="M572" s="222"/>
      <c r="N572" s="222"/>
      <c r="O572" s="222"/>
      <c r="P572" s="222"/>
      <c r="Q572" s="222"/>
      <c r="R572" s="222"/>
      <c r="S572" s="222"/>
      <c r="T572" s="222"/>
      <c r="U572" s="222"/>
      <c r="V572" s="222"/>
      <c r="W572" s="222"/>
    </row>
    <row r="573">
      <c r="A573" s="271"/>
      <c r="B573" s="222"/>
      <c r="C573" s="222"/>
      <c r="D573" s="222"/>
      <c r="E573" s="222"/>
      <c r="F573" s="222"/>
      <c r="G573" s="222"/>
      <c r="H573" s="271"/>
      <c r="I573" s="271"/>
      <c r="J573" s="271"/>
      <c r="K573" s="271"/>
      <c r="L573" s="271"/>
      <c r="M573" s="222"/>
      <c r="N573" s="222"/>
      <c r="O573" s="222"/>
      <c r="P573" s="222"/>
      <c r="Q573" s="222"/>
      <c r="R573" s="222"/>
      <c r="S573" s="222"/>
      <c r="T573" s="222"/>
      <c r="U573" s="222"/>
      <c r="V573" s="222"/>
      <c r="W573" s="222"/>
    </row>
    <row r="574">
      <c r="A574" s="271"/>
      <c r="B574" s="222"/>
      <c r="C574" s="222"/>
      <c r="D574" s="222"/>
      <c r="E574" s="222"/>
      <c r="F574" s="222"/>
      <c r="G574" s="222"/>
      <c r="H574" s="271"/>
      <c r="I574" s="271"/>
      <c r="J574" s="271"/>
      <c r="K574" s="271"/>
      <c r="L574" s="271"/>
      <c r="M574" s="222"/>
      <c r="N574" s="222"/>
      <c r="O574" s="222"/>
      <c r="P574" s="222"/>
      <c r="Q574" s="222"/>
      <c r="R574" s="222"/>
      <c r="S574" s="222"/>
      <c r="T574" s="222"/>
      <c r="U574" s="222"/>
      <c r="V574" s="222"/>
      <c r="W574" s="222"/>
    </row>
    <row r="575">
      <c r="A575" s="271"/>
      <c r="B575" s="222"/>
      <c r="C575" s="222"/>
      <c r="D575" s="222"/>
      <c r="E575" s="222"/>
      <c r="F575" s="222"/>
      <c r="G575" s="222"/>
      <c r="H575" s="271"/>
      <c r="I575" s="271"/>
      <c r="J575" s="271"/>
      <c r="K575" s="271"/>
      <c r="L575" s="271"/>
      <c r="M575" s="222"/>
      <c r="N575" s="222"/>
      <c r="O575" s="222"/>
      <c r="P575" s="222"/>
      <c r="Q575" s="222"/>
      <c r="R575" s="222"/>
      <c r="S575" s="222"/>
      <c r="T575" s="222"/>
      <c r="U575" s="222"/>
      <c r="V575" s="222"/>
      <c r="W575" s="222"/>
    </row>
    <row r="576">
      <c r="A576" s="271"/>
      <c r="B576" s="222"/>
      <c r="C576" s="222"/>
      <c r="D576" s="222"/>
      <c r="E576" s="222"/>
      <c r="F576" s="222"/>
      <c r="G576" s="222"/>
      <c r="H576" s="271"/>
      <c r="I576" s="271"/>
      <c r="J576" s="271"/>
      <c r="K576" s="271"/>
      <c r="L576" s="271"/>
      <c r="M576" s="222"/>
      <c r="N576" s="222"/>
      <c r="O576" s="222"/>
      <c r="P576" s="222"/>
      <c r="Q576" s="222"/>
      <c r="R576" s="222"/>
      <c r="S576" s="222"/>
      <c r="T576" s="222"/>
      <c r="U576" s="222"/>
      <c r="V576" s="222"/>
      <c r="W576" s="222"/>
    </row>
    <row r="577">
      <c r="A577" s="271"/>
      <c r="B577" s="222"/>
      <c r="C577" s="222"/>
      <c r="D577" s="222"/>
      <c r="E577" s="222"/>
      <c r="F577" s="222"/>
      <c r="G577" s="222"/>
      <c r="H577" s="271"/>
      <c r="I577" s="271"/>
      <c r="J577" s="271"/>
      <c r="K577" s="271"/>
      <c r="L577" s="271"/>
      <c r="M577" s="222"/>
      <c r="N577" s="222"/>
      <c r="O577" s="222"/>
      <c r="P577" s="222"/>
      <c r="Q577" s="222"/>
      <c r="R577" s="222"/>
      <c r="S577" s="222"/>
      <c r="T577" s="222"/>
      <c r="U577" s="222"/>
      <c r="V577" s="222"/>
      <c r="W577" s="222"/>
    </row>
    <row r="578">
      <c r="A578" s="271"/>
      <c r="B578" s="222"/>
      <c r="C578" s="222"/>
      <c r="D578" s="222"/>
      <c r="E578" s="222"/>
      <c r="F578" s="222"/>
      <c r="G578" s="222"/>
      <c r="H578" s="271"/>
      <c r="I578" s="271"/>
      <c r="J578" s="271"/>
      <c r="K578" s="271"/>
      <c r="L578" s="271"/>
      <c r="M578" s="222"/>
      <c r="N578" s="222"/>
      <c r="O578" s="222"/>
      <c r="P578" s="222"/>
      <c r="Q578" s="222"/>
      <c r="R578" s="222"/>
      <c r="S578" s="222"/>
      <c r="T578" s="222"/>
      <c r="U578" s="222"/>
      <c r="V578" s="222"/>
      <c r="W578" s="222"/>
    </row>
    <row r="579">
      <c r="A579" s="271"/>
      <c r="B579" s="222"/>
      <c r="C579" s="222"/>
      <c r="D579" s="222"/>
      <c r="E579" s="222"/>
      <c r="F579" s="222"/>
      <c r="G579" s="222"/>
      <c r="H579" s="271"/>
      <c r="I579" s="271"/>
      <c r="J579" s="271"/>
      <c r="K579" s="271"/>
      <c r="L579" s="271"/>
      <c r="M579" s="222"/>
      <c r="N579" s="222"/>
      <c r="O579" s="222"/>
      <c r="P579" s="222"/>
      <c r="Q579" s="222"/>
      <c r="R579" s="222"/>
      <c r="S579" s="222"/>
      <c r="T579" s="222"/>
      <c r="U579" s="222"/>
      <c r="V579" s="222"/>
      <c r="W579" s="222"/>
    </row>
    <row r="580">
      <c r="A580" s="271"/>
      <c r="B580" s="222"/>
      <c r="C580" s="222"/>
      <c r="D580" s="222"/>
      <c r="E580" s="222"/>
      <c r="F580" s="222"/>
      <c r="G580" s="222"/>
      <c r="H580" s="271"/>
      <c r="I580" s="271"/>
      <c r="J580" s="271"/>
      <c r="K580" s="271"/>
      <c r="L580" s="271"/>
      <c r="M580" s="222"/>
      <c r="N580" s="222"/>
      <c r="O580" s="222"/>
      <c r="P580" s="222"/>
      <c r="Q580" s="222"/>
      <c r="R580" s="222"/>
      <c r="S580" s="222"/>
      <c r="T580" s="222"/>
      <c r="U580" s="222"/>
      <c r="V580" s="222"/>
      <c r="W580" s="222"/>
    </row>
    <row r="581">
      <c r="A581" s="271"/>
      <c r="B581" s="222"/>
      <c r="C581" s="222"/>
      <c r="D581" s="222"/>
      <c r="E581" s="222"/>
      <c r="F581" s="222"/>
      <c r="G581" s="222"/>
      <c r="H581" s="271"/>
      <c r="I581" s="271"/>
      <c r="J581" s="271"/>
      <c r="K581" s="271"/>
      <c r="L581" s="271"/>
      <c r="M581" s="222"/>
      <c r="N581" s="222"/>
      <c r="O581" s="222"/>
      <c r="P581" s="222"/>
      <c r="Q581" s="222"/>
      <c r="R581" s="222"/>
      <c r="S581" s="222"/>
      <c r="T581" s="222"/>
      <c r="U581" s="222"/>
      <c r="V581" s="222"/>
      <c r="W581" s="222"/>
    </row>
    <row r="582">
      <c r="A582" s="271"/>
      <c r="B582" s="222"/>
      <c r="C582" s="222"/>
      <c r="D582" s="222"/>
      <c r="E582" s="222"/>
      <c r="F582" s="222"/>
      <c r="G582" s="222"/>
      <c r="H582" s="271"/>
      <c r="I582" s="271"/>
      <c r="J582" s="271"/>
      <c r="K582" s="271"/>
      <c r="L582" s="271"/>
      <c r="M582" s="222"/>
      <c r="N582" s="222"/>
      <c r="O582" s="222"/>
      <c r="P582" s="222"/>
      <c r="Q582" s="222"/>
      <c r="R582" s="222"/>
      <c r="S582" s="222"/>
      <c r="T582" s="222"/>
      <c r="U582" s="222"/>
      <c r="V582" s="222"/>
      <c r="W582" s="222"/>
    </row>
    <row r="583">
      <c r="A583" s="271"/>
      <c r="B583" s="222"/>
      <c r="C583" s="222"/>
      <c r="D583" s="222"/>
      <c r="E583" s="222"/>
      <c r="F583" s="222"/>
      <c r="G583" s="222"/>
      <c r="H583" s="271"/>
      <c r="I583" s="271"/>
      <c r="J583" s="271"/>
      <c r="K583" s="271"/>
      <c r="L583" s="271"/>
      <c r="M583" s="222"/>
      <c r="N583" s="222"/>
      <c r="O583" s="222"/>
      <c r="P583" s="222"/>
      <c r="Q583" s="222"/>
      <c r="R583" s="222"/>
      <c r="S583" s="222"/>
      <c r="T583" s="222"/>
      <c r="U583" s="222"/>
      <c r="V583" s="222"/>
      <c r="W583" s="222"/>
    </row>
    <row r="584">
      <c r="A584" s="271"/>
      <c r="B584" s="222"/>
      <c r="C584" s="222"/>
      <c r="D584" s="222"/>
      <c r="E584" s="222"/>
      <c r="F584" s="222"/>
      <c r="G584" s="222"/>
      <c r="H584" s="271"/>
      <c r="I584" s="271"/>
      <c r="J584" s="271"/>
      <c r="K584" s="271"/>
      <c r="L584" s="271"/>
      <c r="M584" s="222"/>
      <c r="N584" s="222"/>
      <c r="O584" s="222"/>
      <c r="P584" s="222"/>
      <c r="Q584" s="222"/>
      <c r="R584" s="222"/>
      <c r="S584" s="222"/>
      <c r="T584" s="222"/>
      <c r="U584" s="222"/>
      <c r="V584" s="222"/>
      <c r="W584" s="222"/>
    </row>
    <row r="585">
      <c r="A585" s="271"/>
      <c r="B585" s="222"/>
      <c r="C585" s="222"/>
      <c r="D585" s="222"/>
      <c r="E585" s="222"/>
      <c r="F585" s="222"/>
      <c r="G585" s="222"/>
      <c r="H585" s="271"/>
      <c r="I585" s="271"/>
      <c r="J585" s="271"/>
      <c r="K585" s="271"/>
      <c r="L585" s="271"/>
      <c r="M585" s="222"/>
      <c r="N585" s="222"/>
      <c r="O585" s="222"/>
      <c r="P585" s="222"/>
      <c r="Q585" s="222"/>
      <c r="R585" s="222"/>
      <c r="S585" s="222"/>
      <c r="T585" s="222"/>
      <c r="U585" s="222"/>
      <c r="V585" s="222"/>
      <c r="W585" s="222"/>
    </row>
    <row r="586">
      <c r="A586" s="271"/>
      <c r="B586" s="222"/>
      <c r="C586" s="222"/>
      <c r="D586" s="222"/>
      <c r="E586" s="222"/>
      <c r="F586" s="222"/>
      <c r="G586" s="222"/>
      <c r="H586" s="271"/>
      <c r="I586" s="271"/>
      <c r="J586" s="271"/>
      <c r="K586" s="271"/>
      <c r="L586" s="271"/>
      <c r="M586" s="222"/>
      <c r="N586" s="222"/>
      <c r="O586" s="222"/>
      <c r="P586" s="222"/>
      <c r="Q586" s="222"/>
      <c r="R586" s="222"/>
      <c r="S586" s="222"/>
      <c r="T586" s="222"/>
      <c r="U586" s="222"/>
      <c r="V586" s="222"/>
      <c r="W586" s="222"/>
    </row>
    <row r="587">
      <c r="A587" s="271"/>
      <c r="B587" s="222"/>
      <c r="C587" s="222"/>
      <c r="D587" s="222"/>
      <c r="E587" s="222"/>
      <c r="F587" s="222"/>
      <c r="G587" s="222"/>
      <c r="H587" s="271"/>
      <c r="I587" s="271"/>
      <c r="J587" s="271"/>
      <c r="K587" s="271"/>
      <c r="L587" s="271"/>
      <c r="M587" s="222"/>
      <c r="N587" s="222"/>
      <c r="O587" s="222"/>
      <c r="P587" s="222"/>
      <c r="Q587" s="222"/>
      <c r="R587" s="222"/>
      <c r="S587" s="222"/>
      <c r="T587" s="222"/>
      <c r="U587" s="222"/>
      <c r="V587" s="222"/>
      <c r="W587" s="222"/>
    </row>
    <row r="588">
      <c r="A588" s="271"/>
      <c r="B588" s="222"/>
      <c r="C588" s="222"/>
      <c r="D588" s="222"/>
      <c r="E588" s="222"/>
      <c r="F588" s="222"/>
      <c r="G588" s="222"/>
      <c r="H588" s="271"/>
      <c r="I588" s="271"/>
      <c r="J588" s="271"/>
      <c r="K588" s="271"/>
      <c r="L588" s="271"/>
      <c r="M588" s="222"/>
      <c r="N588" s="222"/>
      <c r="O588" s="222"/>
      <c r="P588" s="222"/>
      <c r="Q588" s="222"/>
      <c r="R588" s="222"/>
      <c r="S588" s="222"/>
      <c r="T588" s="222"/>
      <c r="U588" s="222"/>
      <c r="V588" s="222"/>
      <c r="W588" s="222"/>
    </row>
    <row r="589">
      <c r="A589" s="271"/>
      <c r="B589" s="222"/>
      <c r="C589" s="222"/>
      <c r="D589" s="222"/>
      <c r="E589" s="222"/>
      <c r="F589" s="222"/>
      <c r="G589" s="222"/>
      <c r="H589" s="271"/>
      <c r="I589" s="271"/>
      <c r="J589" s="271"/>
      <c r="K589" s="271"/>
      <c r="L589" s="271"/>
      <c r="M589" s="222"/>
      <c r="N589" s="222"/>
      <c r="O589" s="222"/>
      <c r="P589" s="222"/>
      <c r="Q589" s="222"/>
      <c r="R589" s="222"/>
      <c r="S589" s="222"/>
      <c r="T589" s="222"/>
      <c r="U589" s="222"/>
      <c r="V589" s="222"/>
      <c r="W589" s="222"/>
    </row>
    <row r="590">
      <c r="A590" s="271"/>
      <c r="B590" s="222"/>
      <c r="C590" s="222"/>
      <c r="D590" s="222"/>
      <c r="E590" s="222"/>
      <c r="F590" s="222"/>
      <c r="G590" s="222"/>
      <c r="H590" s="271"/>
      <c r="I590" s="271"/>
      <c r="J590" s="271"/>
      <c r="K590" s="271"/>
      <c r="L590" s="271"/>
      <c r="M590" s="222"/>
      <c r="N590" s="222"/>
      <c r="O590" s="222"/>
      <c r="P590" s="222"/>
      <c r="Q590" s="222"/>
      <c r="R590" s="222"/>
      <c r="S590" s="222"/>
      <c r="T590" s="222"/>
      <c r="U590" s="222"/>
      <c r="V590" s="222"/>
      <c r="W590" s="222"/>
    </row>
    <row r="591">
      <c r="A591" s="271"/>
      <c r="B591" s="222"/>
      <c r="C591" s="222"/>
      <c r="D591" s="222"/>
      <c r="E591" s="222"/>
      <c r="F591" s="222"/>
      <c r="G591" s="222"/>
      <c r="H591" s="271"/>
      <c r="I591" s="271"/>
      <c r="J591" s="271"/>
      <c r="K591" s="271"/>
      <c r="L591" s="271"/>
      <c r="M591" s="222"/>
      <c r="N591" s="222"/>
      <c r="O591" s="222"/>
      <c r="P591" s="222"/>
      <c r="Q591" s="222"/>
      <c r="R591" s="222"/>
      <c r="S591" s="222"/>
      <c r="T591" s="222"/>
      <c r="U591" s="222"/>
      <c r="V591" s="222"/>
      <c r="W591" s="222"/>
    </row>
    <row r="592">
      <c r="A592" s="271"/>
      <c r="B592" s="222"/>
      <c r="C592" s="222"/>
      <c r="D592" s="222"/>
      <c r="E592" s="222"/>
      <c r="F592" s="222"/>
      <c r="G592" s="222"/>
      <c r="H592" s="271"/>
      <c r="I592" s="271"/>
      <c r="J592" s="271"/>
      <c r="K592" s="271"/>
      <c r="L592" s="271"/>
      <c r="M592" s="222"/>
      <c r="N592" s="222"/>
      <c r="O592" s="222"/>
      <c r="P592" s="222"/>
      <c r="Q592" s="222"/>
      <c r="R592" s="222"/>
      <c r="S592" s="222"/>
      <c r="T592" s="222"/>
      <c r="U592" s="222"/>
      <c r="V592" s="222"/>
      <c r="W592" s="222"/>
    </row>
    <row r="593">
      <c r="A593" s="271"/>
      <c r="B593" s="222"/>
      <c r="C593" s="222"/>
      <c r="D593" s="222"/>
      <c r="E593" s="222"/>
      <c r="F593" s="222"/>
      <c r="G593" s="222"/>
      <c r="H593" s="271"/>
      <c r="I593" s="271"/>
      <c r="J593" s="271"/>
      <c r="K593" s="271"/>
      <c r="L593" s="271"/>
      <c r="M593" s="222"/>
      <c r="N593" s="222"/>
      <c r="O593" s="222"/>
      <c r="P593" s="222"/>
      <c r="Q593" s="222"/>
      <c r="R593" s="222"/>
      <c r="S593" s="222"/>
      <c r="T593" s="222"/>
      <c r="U593" s="222"/>
      <c r="V593" s="222"/>
      <c r="W593" s="222"/>
    </row>
    <row r="594">
      <c r="A594" s="271"/>
      <c r="B594" s="222"/>
      <c r="C594" s="222"/>
      <c r="D594" s="222"/>
      <c r="E594" s="222"/>
      <c r="F594" s="222"/>
      <c r="G594" s="222"/>
      <c r="H594" s="271"/>
      <c r="I594" s="271"/>
      <c r="J594" s="271"/>
      <c r="K594" s="271"/>
      <c r="L594" s="271"/>
      <c r="M594" s="222"/>
      <c r="N594" s="222"/>
      <c r="O594" s="222"/>
      <c r="P594" s="222"/>
      <c r="Q594" s="222"/>
      <c r="R594" s="222"/>
      <c r="S594" s="222"/>
      <c r="T594" s="222"/>
      <c r="U594" s="222"/>
      <c r="V594" s="222"/>
      <c r="W594" s="222"/>
    </row>
    <row r="595">
      <c r="A595" s="271"/>
      <c r="B595" s="222"/>
      <c r="C595" s="222"/>
      <c r="D595" s="222"/>
      <c r="E595" s="222"/>
      <c r="F595" s="222"/>
      <c r="G595" s="222"/>
      <c r="H595" s="271"/>
      <c r="I595" s="271"/>
      <c r="J595" s="271"/>
      <c r="K595" s="271"/>
      <c r="L595" s="271"/>
      <c r="M595" s="222"/>
      <c r="N595" s="222"/>
      <c r="O595" s="222"/>
      <c r="P595" s="222"/>
      <c r="Q595" s="222"/>
      <c r="R595" s="222"/>
      <c r="S595" s="222"/>
      <c r="T595" s="222"/>
      <c r="U595" s="222"/>
      <c r="V595" s="222"/>
      <c r="W595" s="222"/>
    </row>
    <row r="596">
      <c r="A596" s="271"/>
      <c r="B596" s="222"/>
      <c r="C596" s="222"/>
      <c r="D596" s="222"/>
      <c r="E596" s="222"/>
      <c r="F596" s="222"/>
      <c r="G596" s="222"/>
      <c r="H596" s="271"/>
      <c r="I596" s="271"/>
      <c r="J596" s="271"/>
      <c r="K596" s="271"/>
      <c r="L596" s="271"/>
      <c r="M596" s="222"/>
      <c r="N596" s="222"/>
      <c r="O596" s="222"/>
      <c r="P596" s="222"/>
      <c r="Q596" s="222"/>
      <c r="R596" s="222"/>
      <c r="S596" s="222"/>
      <c r="T596" s="222"/>
      <c r="U596" s="222"/>
      <c r="V596" s="222"/>
      <c r="W596" s="222"/>
    </row>
    <row r="597">
      <c r="A597" s="271"/>
      <c r="B597" s="222"/>
      <c r="C597" s="222"/>
      <c r="D597" s="222"/>
      <c r="E597" s="222"/>
      <c r="F597" s="222"/>
      <c r="G597" s="222"/>
      <c r="H597" s="271"/>
      <c r="I597" s="271"/>
      <c r="J597" s="271"/>
      <c r="K597" s="271"/>
      <c r="L597" s="271"/>
      <c r="M597" s="222"/>
      <c r="N597" s="222"/>
      <c r="O597" s="222"/>
      <c r="P597" s="222"/>
      <c r="Q597" s="222"/>
      <c r="R597" s="222"/>
      <c r="S597" s="222"/>
      <c r="T597" s="222"/>
      <c r="U597" s="222"/>
      <c r="V597" s="222"/>
      <c r="W597" s="222"/>
    </row>
    <row r="598">
      <c r="A598" s="271"/>
      <c r="B598" s="222"/>
      <c r="C598" s="222"/>
      <c r="D598" s="222"/>
      <c r="E598" s="222"/>
      <c r="F598" s="222"/>
      <c r="G598" s="222"/>
      <c r="H598" s="271"/>
      <c r="I598" s="271"/>
      <c r="J598" s="271"/>
      <c r="K598" s="271"/>
      <c r="L598" s="271"/>
      <c r="M598" s="222"/>
      <c r="N598" s="222"/>
      <c r="O598" s="222"/>
      <c r="P598" s="222"/>
      <c r="Q598" s="222"/>
      <c r="R598" s="222"/>
      <c r="S598" s="222"/>
      <c r="T598" s="222"/>
      <c r="U598" s="222"/>
      <c r="V598" s="222"/>
      <c r="W598" s="222"/>
    </row>
    <row r="599">
      <c r="A599" s="271"/>
      <c r="B599" s="222"/>
      <c r="C599" s="222"/>
      <c r="D599" s="222"/>
      <c r="E599" s="222"/>
      <c r="F599" s="222"/>
      <c r="G599" s="222"/>
      <c r="H599" s="271"/>
      <c r="I599" s="271"/>
      <c r="J599" s="271"/>
      <c r="K599" s="271"/>
      <c r="L599" s="271"/>
      <c r="M599" s="222"/>
      <c r="N599" s="222"/>
      <c r="O599" s="222"/>
      <c r="P599" s="222"/>
      <c r="Q599" s="222"/>
      <c r="R599" s="222"/>
      <c r="S599" s="222"/>
      <c r="T599" s="222"/>
      <c r="U599" s="222"/>
      <c r="V599" s="222"/>
      <c r="W599" s="222"/>
    </row>
    <row r="600">
      <c r="A600" s="271"/>
      <c r="B600" s="222"/>
      <c r="C600" s="222"/>
      <c r="D600" s="222"/>
      <c r="E600" s="222"/>
      <c r="F600" s="222"/>
      <c r="G600" s="222"/>
      <c r="H600" s="271"/>
      <c r="I600" s="271"/>
      <c r="J600" s="271"/>
      <c r="K600" s="271"/>
      <c r="L600" s="271"/>
      <c r="M600" s="222"/>
      <c r="N600" s="222"/>
      <c r="O600" s="222"/>
      <c r="P600" s="222"/>
      <c r="Q600" s="222"/>
      <c r="R600" s="222"/>
      <c r="S600" s="222"/>
      <c r="T600" s="222"/>
      <c r="U600" s="222"/>
      <c r="V600" s="222"/>
      <c r="W600" s="222"/>
    </row>
    <row r="601">
      <c r="A601" s="271"/>
      <c r="B601" s="222"/>
      <c r="C601" s="222"/>
      <c r="D601" s="222"/>
      <c r="E601" s="222"/>
      <c r="F601" s="222"/>
      <c r="G601" s="222"/>
      <c r="H601" s="271"/>
      <c r="I601" s="271"/>
      <c r="J601" s="271"/>
      <c r="K601" s="271"/>
      <c r="L601" s="271"/>
      <c r="M601" s="222"/>
      <c r="N601" s="222"/>
      <c r="O601" s="222"/>
      <c r="P601" s="222"/>
      <c r="Q601" s="222"/>
      <c r="R601" s="222"/>
      <c r="S601" s="222"/>
      <c r="T601" s="222"/>
      <c r="U601" s="222"/>
      <c r="V601" s="222"/>
      <c r="W601" s="222"/>
    </row>
    <row r="602">
      <c r="A602" s="271"/>
      <c r="B602" s="222"/>
      <c r="C602" s="222"/>
      <c r="D602" s="222"/>
      <c r="E602" s="222"/>
      <c r="F602" s="222"/>
      <c r="G602" s="222"/>
      <c r="H602" s="271"/>
      <c r="I602" s="271"/>
      <c r="J602" s="271"/>
      <c r="K602" s="271"/>
      <c r="L602" s="271"/>
      <c r="M602" s="222"/>
      <c r="N602" s="222"/>
      <c r="O602" s="222"/>
      <c r="P602" s="222"/>
      <c r="Q602" s="222"/>
      <c r="R602" s="222"/>
      <c r="S602" s="222"/>
      <c r="T602" s="222"/>
      <c r="U602" s="222"/>
      <c r="V602" s="222"/>
      <c r="W602" s="222"/>
    </row>
    <row r="603">
      <c r="A603" s="271"/>
      <c r="B603" s="222"/>
      <c r="C603" s="222"/>
      <c r="D603" s="222"/>
      <c r="E603" s="222"/>
      <c r="F603" s="222"/>
      <c r="G603" s="222"/>
      <c r="H603" s="271"/>
      <c r="I603" s="271"/>
      <c r="J603" s="271"/>
      <c r="K603" s="271"/>
      <c r="L603" s="271"/>
      <c r="M603" s="222"/>
      <c r="N603" s="222"/>
      <c r="O603" s="222"/>
      <c r="P603" s="222"/>
      <c r="Q603" s="222"/>
      <c r="R603" s="222"/>
      <c r="S603" s="222"/>
      <c r="T603" s="222"/>
      <c r="U603" s="222"/>
      <c r="V603" s="222"/>
      <c r="W603" s="222"/>
    </row>
    <row r="604">
      <c r="A604" s="271"/>
      <c r="B604" s="222"/>
      <c r="C604" s="222"/>
      <c r="D604" s="222"/>
      <c r="E604" s="222"/>
      <c r="F604" s="222"/>
      <c r="G604" s="222"/>
      <c r="H604" s="271"/>
      <c r="I604" s="271"/>
      <c r="J604" s="271"/>
      <c r="K604" s="271"/>
      <c r="L604" s="271"/>
      <c r="M604" s="222"/>
      <c r="N604" s="222"/>
      <c r="O604" s="222"/>
      <c r="P604" s="222"/>
      <c r="Q604" s="222"/>
      <c r="R604" s="222"/>
      <c r="S604" s="222"/>
      <c r="T604" s="222"/>
      <c r="U604" s="222"/>
      <c r="V604" s="222"/>
      <c r="W604" s="222"/>
    </row>
    <row r="605">
      <c r="A605" s="271"/>
      <c r="B605" s="222"/>
      <c r="C605" s="222"/>
      <c r="D605" s="222"/>
      <c r="E605" s="222"/>
      <c r="F605" s="222"/>
      <c r="G605" s="222"/>
      <c r="H605" s="271"/>
      <c r="I605" s="271"/>
      <c r="J605" s="271"/>
      <c r="K605" s="271"/>
      <c r="L605" s="271"/>
      <c r="M605" s="222"/>
      <c r="N605" s="222"/>
      <c r="O605" s="222"/>
      <c r="P605" s="222"/>
      <c r="Q605" s="222"/>
      <c r="R605" s="222"/>
      <c r="S605" s="222"/>
      <c r="T605" s="222"/>
      <c r="U605" s="222"/>
      <c r="V605" s="222"/>
      <c r="W605" s="222"/>
    </row>
    <row r="606">
      <c r="A606" s="271"/>
      <c r="B606" s="222"/>
      <c r="C606" s="222"/>
      <c r="D606" s="222"/>
      <c r="E606" s="222"/>
      <c r="F606" s="222"/>
      <c r="G606" s="222"/>
      <c r="H606" s="271"/>
      <c r="I606" s="271"/>
      <c r="J606" s="271"/>
      <c r="K606" s="271"/>
      <c r="L606" s="271"/>
      <c r="M606" s="222"/>
      <c r="N606" s="222"/>
      <c r="O606" s="222"/>
      <c r="P606" s="222"/>
      <c r="Q606" s="222"/>
      <c r="R606" s="222"/>
      <c r="S606" s="222"/>
      <c r="T606" s="222"/>
      <c r="U606" s="222"/>
      <c r="V606" s="222"/>
      <c r="W606" s="222"/>
    </row>
    <row r="607">
      <c r="A607" s="271"/>
      <c r="B607" s="222"/>
      <c r="C607" s="222"/>
      <c r="D607" s="222"/>
      <c r="E607" s="222"/>
      <c r="F607" s="222"/>
      <c r="G607" s="222"/>
      <c r="H607" s="271"/>
      <c r="I607" s="271"/>
      <c r="J607" s="271"/>
      <c r="K607" s="271"/>
      <c r="L607" s="271"/>
      <c r="M607" s="222"/>
      <c r="N607" s="222"/>
      <c r="O607" s="222"/>
      <c r="P607" s="222"/>
      <c r="Q607" s="222"/>
      <c r="R607" s="222"/>
      <c r="S607" s="222"/>
      <c r="T607" s="222"/>
      <c r="U607" s="222"/>
      <c r="V607" s="222"/>
      <c r="W607" s="222"/>
    </row>
    <row r="608">
      <c r="A608" s="271"/>
      <c r="B608" s="222"/>
      <c r="C608" s="222"/>
      <c r="D608" s="222"/>
      <c r="E608" s="222"/>
      <c r="F608" s="222"/>
      <c r="G608" s="222"/>
      <c r="H608" s="271"/>
      <c r="I608" s="271"/>
      <c r="J608" s="271"/>
      <c r="K608" s="271"/>
      <c r="L608" s="271"/>
      <c r="M608" s="222"/>
      <c r="N608" s="222"/>
      <c r="O608" s="222"/>
      <c r="P608" s="222"/>
      <c r="Q608" s="222"/>
      <c r="R608" s="222"/>
      <c r="S608" s="222"/>
      <c r="T608" s="222"/>
      <c r="U608" s="222"/>
      <c r="V608" s="222"/>
      <c r="W608" s="222"/>
    </row>
    <row r="609">
      <c r="A609" s="271"/>
      <c r="B609" s="222"/>
      <c r="C609" s="222"/>
      <c r="D609" s="222"/>
      <c r="E609" s="222"/>
      <c r="F609" s="222"/>
      <c r="G609" s="222"/>
      <c r="H609" s="271"/>
      <c r="I609" s="271"/>
      <c r="J609" s="271"/>
      <c r="K609" s="271"/>
      <c r="L609" s="271"/>
      <c r="M609" s="222"/>
      <c r="N609" s="222"/>
      <c r="O609" s="222"/>
      <c r="P609" s="222"/>
      <c r="Q609" s="222"/>
      <c r="R609" s="222"/>
      <c r="S609" s="222"/>
      <c r="T609" s="222"/>
      <c r="U609" s="222"/>
      <c r="V609" s="222"/>
      <c r="W609" s="222"/>
    </row>
    <row r="610">
      <c r="A610" s="271"/>
      <c r="B610" s="222"/>
      <c r="C610" s="222"/>
      <c r="D610" s="222"/>
      <c r="E610" s="222"/>
      <c r="F610" s="222"/>
      <c r="G610" s="222"/>
      <c r="H610" s="271"/>
      <c r="I610" s="271"/>
      <c r="J610" s="271"/>
      <c r="K610" s="271"/>
      <c r="L610" s="271"/>
      <c r="M610" s="222"/>
      <c r="N610" s="222"/>
      <c r="O610" s="222"/>
      <c r="P610" s="222"/>
      <c r="Q610" s="222"/>
      <c r="R610" s="222"/>
      <c r="S610" s="222"/>
      <c r="T610" s="222"/>
      <c r="U610" s="222"/>
      <c r="V610" s="222"/>
      <c r="W610" s="222"/>
    </row>
    <row r="611">
      <c r="A611" s="271"/>
      <c r="B611" s="222"/>
      <c r="C611" s="222"/>
      <c r="D611" s="222"/>
      <c r="E611" s="222"/>
      <c r="F611" s="222"/>
      <c r="G611" s="222"/>
      <c r="H611" s="271"/>
      <c r="I611" s="271"/>
      <c r="J611" s="271"/>
      <c r="K611" s="271"/>
      <c r="L611" s="271"/>
      <c r="M611" s="222"/>
      <c r="N611" s="222"/>
      <c r="O611" s="222"/>
      <c r="P611" s="222"/>
      <c r="Q611" s="222"/>
      <c r="R611" s="222"/>
      <c r="S611" s="222"/>
      <c r="T611" s="222"/>
      <c r="U611" s="222"/>
      <c r="V611" s="222"/>
      <c r="W611" s="222"/>
    </row>
    <row r="612">
      <c r="A612" s="271"/>
      <c r="B612" s="222"/>
      <c r="C612" s="222"/>
      <c r="D612" s="222"/>
      <c r="E612" s="222"/>
      <c r="F612" s="222"/>
      <c r="G612" s="222"/>
      <c r="H612" s="271"/>
      <c r="I612" s="271"/>
      <c r="J612" s="271"/>
      <c r="K612" s="271"/>
      <c r="L612" s="271"/>
      <c r="M612" s="222"/>
      <c r="N612" s="222"/>
      <c r="O612" s="222"/>
      <c r="P612" s="222"/>
      <c r="Q612" s="222"/>
      <c r="R612" s="222"/>
      <c r="S612" s="222"/>
      <c r="T612" s="222"/>
      <c r="U612" s="222"/>
      <c r="V612" s="222"/>
      <c r="W612" s="222"/>
    </row>
    <row r="613">
      <c r="A613" s="271"/>
      <c r="B613" s="222"/>
      <c r="C613" s="222"/>
      <c r="D613" s="222"/>
      <c r="E613" s="222"/>
      <c r="F613" s="222"/>
      <c r="G613" s="222"/>
      <c r="H613" s="271"/>
      <c r="I613" s="271"/>
      <c r="J613" s="271"/>
      <c r="K613" s="271"/>
      <c r="L613" s="271"/>
      <c r="M613" s="222"/>
      <c r="N613" s="222"/>
      <c r="O613" s="222"/>
      <c r="P613" s="222"/>
      <c r="Q613" s="222"/>
      <c r="R613" s="222"/>
      <c r="S613" s="222"/>
      <c r="T613" s="222"/>
      <c r="U613" s="222"/>
      <c r="V613" s="222"/>
      <c r="W613" s="222"/>
    </row>
    <row r="614">
      <c r="A614" s="271"/>
      <c r="B614" s="222"/>
      <c r="C614" s="222"/>
      <c r="D614" s="222"/>
      <c r="E614" s="222"/>
      <c r="F614" s="222"/>
      <c r="G614" s="222"/>
      <c r="H614" s="271"/>
      <c r="I614" s="271"/>
      <c r="J614" s="271"/>
      <c r="K614" s="271"/>
      <c r="L614" s="271"/>
      <c r="M614" s="222"/>
      <c r="N614" s="222"/>
      <c r="O614" s="222"/>
      <c r="P614" s="222"/>
      <c r="Q614" s="222"/>
      <c r="R614" s="222"/>
      <c r="S614" s="222"/>
      <c r="T614" s="222"/>
      <c r="U614" s="222"/>
      <c r="V614" s="222"/>
      <c r="W614" s="222"/>
    </row>
    <row r="615">
      <c r="A615" s="271"/>
      <c r="B615" s="222"/>
      <c r="C615" s="222"/>
      <c r="D615" s="222"/>
      <c r="E615" s="222"/>
      <c r="F615" s="222"/>
      <c r="G615" s="222"/>
      <c r="H615" s="271"/>
      <c r="I615" s="271"/>
      <c r="J615" s="271"/>
      <c r="K615" s="271"/>
      <c r="L615" s="271"/>
      <c r="M615" s="222"/>
      <c r="N615" s="222"/>
      <c r="O615" s="222"/>
      <c r="P615" s="222"/>
      <c r="Q615" s="222"/>
      <c r="R615" s="222"/>
      <c r="S615" s="222"/>
      <c r="T615" s="222"/>
      <c r="U615" s="222"/>
      <c r="V615" s="222"/>
      <c r="W615" s="222"/>
    </row>
    <row r="616">
      <c r="A616" s="271"/>
      <c r="B616" s="222"/>
      <c r="C616" s="222"/>
      <c r="D616" s="222"/>
      <c r="E616" s="222"/>
      <c r="F616" s="222"/>
      <c r="G616" s="222"/>
      <c r="H616" s="271"/>
      <c r="I616" s="271"/>
      <c r="J616" s="271"/>
      <c r="K616" s="271"/>
      <c r="L616" s="271"/>
      <c r="M616" s="222"/>
      <c r="N616" s="222"/>
      <c r="O616" s="222"/>
      <c r="P616" s="222"/>
      <c r="Q616" s="222"/>
      <c r="R616" s="222"/>
      <c r="S616" s="222"/>
      <c r="T616" s="222"/>
      <c r="U616" s="222"/>
      <c r="V616" s="222"/>
      <c r="W616" s="222"/>
    </row>
    <row r="617">
      <c r="A617" s="271"/>
      <c r="B617" s="222"/>
      <c r="C617" s="222"/>
      <c r="D617" s="222"/>
      <c r="E617" s="222"/>
      <c r="F617" s="222"/>
      <c r="G617" s="222"/>
      <c r="H617" s="271"/>
      <c r="I617" s="271"/>
      <c r="J617" s="271"/>
      <c r="K617" s="271"/>
      <c r="L617" s="271"/>
      <c r="M617" s="222"/>
      <c r="N617" s="222"/>
      <c r="O617" s="222"/>
      <c r="P617" s="222"/>
      <c r="Q617" s="222"/>
      <c r="R617" s="222"/>
      <c r="S617" s="222"/>
      <c r="T617" s="222"/>
      <c r="U617" s="222"/>
      <c r="V617" s="222"/>
      <c r="W617" s="222"/>
    </row>
    <row r="618">
      <c r="A618" s="271"/>
      <c r="B618" s="222"/>
      <c r="C618" s="222"/>
      <c r="D618" s="222"/>
      <c r="E618" s="222"/>
      <c r="F618" s="222"/>
      <c r="G618" s="222"/>
      <c r="H618" s="271"/>
      <c r="I618" s="271"/>
      <c r="J618" s="271"/>
      <c r="K618" s="271"/>
      <c r="L618" s="271"/>
      <c r="M618" s="222"/>
      <c r="N618" s="222"/>
      <c r="O618" s="222"/>
      <c r="P618" s="222"/>
      <c r="Q618" s="222"/>
      <c r="R618" s="222"/>
      <c r="S618" s="222"/>
      <c r="T618" s="222"/>
      <c r="U618" s="222"/>
      <c r="V618" s="222"/>
      <c r="W618" s="222"/>
    </row>
    <row r="619">
      <c r="A619" s="271"/>
      <c r="B619" s="222"/>
      <c r="C619" s="222"/>
      <c r="D619" s="222"/>
      <c r="E619" s="222"/>
      <c r="F619" s="222"/>
      <c r="G619" s="222"/>
      <c r="H619" s="271"/>
      <c r="I619" s="271"/>
      <c r="J619" s="271"/>
      <c r="K619" s="271"/>
      <c r="L619" s="271"/>
      <c r="M619" s="222"/>
      <c r="N619" s="222"/>
      <c r="O619" s="222"/>
      <c r="P619" s="222"/>
      <c r="Q619" s="222"/>
      <c r="R619" s="222"/>
      <c r="S619" s="222"/>
      <c r="T619" s="222"/>
      <c r="U619" s="222"/>
      <c r="V619" s="222"/>
      <c r="W619" s="222"/>
    </row>
    <row r="620">
      <c r="A620" s="271"/>
      <c r="B620" s="222"/>
      <c r="C620" s="222"/>
      <c r="D620" s="222"/>
      <c r="E620" s="222"/>
      <c r="F620" s="222"/>
      <c r="G620" s="222"/>
      <c r="H620" s="271"/>
      <c r="I620" s="271"/>
      <c r="J620" s="271"/>
      <c r="K620" s="271"/>
      <c r="L620" s="271"/>
      <c r="M620" s="222"/>
      <c r="N620" s="222"/>
      <c r="O620" s="222"/>
      <c r="P620" s="222"/>
      <c r="Q620" s="222"/>
      <c r="R620" s="222"/>
      <c r="S620" s="222"/>
      <c r="T620" s="222"/>
      <c r="U620" s="222"/>
      <c r="V620" s="222"/>
      <c r="W620" s="222"/>
    </row>
    <row r="621">
      <c r="A621" s="271"/>
      <c r="B621" s="222"/>
      <c r="C621" s="222"/>
      <c r="D621" s="222"/>
      <c r="E621" s="222"/>
      <c r="F621" s="222"/>
      <c r="G621" s="222"/>
      <c r="H621" s="271"/>
      <c r="I621" s="271"/>
      <c r="J621" s="271"/>
      <c r="K621" s="271"/>
      <c r="L621" s="271"/>
      <c r="M621" s="222"/>
      <c r="N621" s="222"/>
      <c r="O621" s="222"/>
      <c r="P621" s="222"/>
      <c r="Q621" s="222"/>
      <c r="R621" s="222"/>
      <c r="S621" s="222"/>
      <c r="T621" s="222"/>
      <c r="U621" s="222"/>
      <c r="V621" s="222"/>
      <c r="W621" s="222"/>
    </row>
    <row r="622">
      <c r="A622" s="271"/>
      <c r="B622" s="222"/>
      <c r="C622" s="222"/>
      <c r="D622" s="222"/>
      <c r="E622" s="222"/>
      <c r="F622" s="222"/>
      <c r="G622" s="222"/>
      <c r="H622" s="271"/>
      <c r="I622" s="271"/>
      <c r="J622" s="271"/>
      <c r="K622" s="271"/>
      <c r="L622" s="271"/>
      <c r="M622" s="222"/>
      <c r="N622" s="222"/>
      <c r="O622" s="222"/>
      <c r="P622" s="222"/>
      <c r="Q622" s="222"/>
      <c r="R622" s="222"/>
      <c r="S622" s="222"/>
      <c r="T622" s="222"/>
      <c r="U622" s="222"/>
      <c r="V622" s="222"/>
      <c r="W622" s="222"/>
    </row>
    <row r="623">
      <c r="A623" s="271"/>
      <c r="B623" s="222"/>
      <c r="C623" s="222"/>
      <c r="D623" s="222"/>
      <c r="E623" s="222"/>
      <c r="F623" s="222"/>
      <c r="G623" s="222"/>
      <c r="H623" s="271"/>
      <c r="I623" s="271"/>
      <c r="J623" s="271"/>
      <c r="K623" s="271"/>
      <c r="L623" s="271"/>
      <c r="M623" s="222"/>
      <c r="N623" s="222"/>
      <c r="O623" s="222"/>
      <c r="P623" s="222"/>
      <c r="Q623" s="222"/>
      <c r="R623" s="222"/>
      <c r="S623" s="222"/>
      <c r="T623" s="222"/>
      <c r="U623" s="222"/>
      <c r="V623" s="222"/>
      <c r="W623" s="222"/>
    </row>
    <row r="624">
      <c r="A624" s="271"/>
      <c r="B624" s="222"/>
      <c r="C624" s="222"/>
      <c r="D624" s="222"/>
      <c r="E624" s="222"/>
      <c r="F624" s="222"/>
      <c r="G624" s="222"/>
      <c r="H624" s="271"/>
      <c r="I624" s="271"/>
      <c r="J624" s="271"/>
      <c r="K624" s="271"/>
      <c r="L624" s="271"/>
      <c r="M624" s="222"/>
      <c r="N624" s="222"/>
      <c r="O624" s="222"/>
      <c r="P624" s="222"/>
      <c r="Q624" s="222"/>
      <c r="R624" s="222"/>
      <c r="S624" s="222"/>
      <c r="T624" s="222"/>
      <c r="U624" s="222"/>
      <c r="V624" s="222"/>
      <c r="W624" s="222"/>
    </row>
    <row r="625">
      <c r="A625" s="271"/>
      <c r="B625" s="222"/>
      <c r="C625" s="222"/>
      <c r="D625" s="222"/>
      <c r="E625" s="222"/>
      <c r="F625" s="222"/>
      <c r="G625" s="222"/>
      <c r="H625" s="271"/>
      <c r="I625" s="271"/>
      <c r="J625" s="271"/>
      <c r="K625" s="271"/>
      <c r="L625" s="271"/>
      <c r="M625" s="222"/>
      <c r="N625" s="222"/>
      <c r="O625" s="222"/>
      <c r="P625" s="222"/>
      <c r="Q625" s="222"/>
      <c r="R625" s="222"/>
      <c r="S625" s="222"/>
      <c r="T625" s="222"/>
      <c r="U625" s="222"/>
      <c r="V625" s="222"/>
      <c r="W625" s="222"/>
    </row>
    <row r="626">
      <c r="A626" s="271"/>
      <c r="B626" s="222"/>
      <c r="C626" s="222"/>
      <c r="D626" s="222"/>
      <c r="E626" s="222"/>
      <c r="F626" s="222"/>
      <c r="G626" s="222"/>
      <c r="H626" s="271"/>
      <c r="I626" s="271"/>
      <c r="J626" s="271"/>
      <c r="K626" s="271"/>
      <c r="L626" s="271"/>
      <c r="M626" s="222"/>
      <c r="N626" s="222"/>
      <c r="O626" s="222"/>
      <c r="P626" s="222"/>
      <c r="Q626" s="222"/>
      <c r="R626" s="222"/>
      <c r="S626" s="222"/>
      <c r="T626" s="222"/>
      <c r="U626" s="222"/>
      <c r="V626" s="222"/>
      <c r="W626" s="222"/>
    </row>
    <row r="627">
      <c r="A627" s="271"/>
      <c r="B627" s="222"/>
      <c r="C627" s="222"/>
      <c r="D627" s="222"/>
      <c r="E627" s="222"/>
      <c r="F627" s="222"/>
      <c r="G627" s="222"/>
      <c r="H627" s="271"/>
      <c r="I627" s="271"/>
      <c r="J627" s="271"/>
      <c r="K627" s="271"/>
      <c r="L627" s="271"/>
      <c r="M627" s="222"/>
      <c r="N627" s="222"/>
      <c r="O627" s="222"/>
      <c r="P627" s="222"/>
      <c r="Q627" s="222"/>
      <c r="R627" s="222"/>
      <c r="S627" s="222"/>
      <c r="T627" s="222"/>
      <c r="U627" s="222"/>
      <c r="V627" s="222"/>
      <c r="W627" s="222"/>
    </row>
    <row r="628">
      <c r="A628" s="271"/>
      <c r="B628" s="222"/>
      <c r="C628" s="222"/>
      <c r="D628" s="222"/>
      <c r="E628" s="222"/>
      <c r="F628" s="222"/>
      <c r="G628" s="222"/>
      <c r="H628" s="271"/>
      <c r="I628" s="271"/>
      <c r="J628" s="271"/>
      <c r="K628" s="271"/>
      <c r="L628" s="271"/>
      <c r="M628" s="222"/>
      <c r="N628" s="222"/>
      <c r="O628" s="222"/>
      <c r="P628" s="222"/>
      <c r="Q628" s="222"/>
      <c r="R628" s="222"/>
      <c r="S628" s="222"/>
      <c r="T628" s="222"/>
      <c r="U628" s="222"/>
      <c r="V628" s="222"/>
      <c r="W628" s="222"/>
    </row>
    <row r="629">
      <c r="A629" s="271"/>
      <c r="B629" s="222"/>
      <c r="C629" s="222"/>
      <c r="D629" s="222"/>
      <c r="E629" s="222"/>
      <c r="F629" s="222"/>
      <c r="G629" s="222"/>
      <c r="H629" s="271"/>
      <c r="I629" s="271"/>
      <c r="J629" s="271"/>
      <c r="K629" s="271"/>
      <c r="L629" s="271"/>
      <c r="M629" s="222"/>
      <c r="N629" s="222"/>
      <c r="O629" s="222"/>
      <c r="P629" s="222"/>
      <c r="Q629" s="222"/>
      <c r="R629" s="222"/>
      <c r="S629" s="222"/>
      <c r="T629" s="222"/>
      <c r="U629" s="222"/>
      <c r="V629" s="222"/>
      <c r="W629" s="222"/>
    </row>
    <row r="630">
      <c r="A630" s="271"/>
      <c r="B630" s="222"/>
      <c r="C630" s="222"/>
      <c r="D630" s="222"/>
      <c r="E630" s="222"/>
      <c r="F630" s="222"/>
      <c r="G630" s="222"/>
      <c r="H630" s="271"/>
      <c r="I630" s="271"/>
      <c r="J630" s="271"/>
      <c r="K630" s="271"/>
      <c r="L630" s="271"/>
      <c r="M630" s="222"/>
      <c r="N630" s="222"/>
      <c r="O630" s="222"/>
      <c r="P630" s="222"/>
      <c r="Q630" s="222"/>
      <c r="R630" s="222"/>
      <c r="S630" s="222"/>
      <c r="T630" s="222"/>
      <c r="U630" s="222"/>
      <c r="V630" s="222"/>
      <c r="W630" s="222"/>
    </row>
    <row r="631">
      <c r="A631" s="271"/>
      <c r="B631" s="222"/>
      <c r="C631" s="222"/>
      <c r="D631" s="222"/>
      <c r="E631" s="222"/>
      <c r="F631" s="222"/>
      <c r="G631" s="222"/>
      <c r="H631" s="271"/>
      <c r="I631" s="271"/>
      <c r="J631" s="271"/>
      <c r="K631" s="271"/>
      <c r="L631" s="271"/>
      <c r="M631" s="222"/>
      <c r="N631" s="222"/>
      <c r="O631" s="222"/>
      <c r="P631" s="222"/>
      <c r="Q631" s="222"/>
      <c r="R631" s="222"/>
      <c r="S631" s="222"/>
      <c r="T631" s="222"/>
      <c r="U631" s="222"/>
      <c r="V631" s="222"/>
      <c r="W631" s="222"/>
    </row>
    <row r="632">
      <c r="A632" s="271"/>
      <c r="B632" s="222"/>
      <c r="C632" s="222"/>
      <c r="D632" s="222"/>
      <c r="E632" s="222"/>
      <c r="F632" s="222"/>
      <c r="G632" s="222"/>
      <c r="H632" s="271"/>
      <c r="I632" s="271"/>
      <c r="J632" s="271"/>
      <c r="K632" s="271"/>
      <c r="L632" s="271"/>
      <c r="M632" s="222"/>
      <c r="N632" s="222"/>
      <c r="O632" s="222"/>
      <c r="P632" s="222"/>
      <c r="Q632" s="222"/>
      <c r="R632" s="222"/>
      <c r="S632" s="222"/>
      <c r="T632" s="222"/>
      <c r="U632" s="222"/>
      <c r="V632" s="222"/>
      <c r="W632" s="222"/>
    </row>
    <row r="633">
      <c r="A633" s="271"/>
      <c r="B633" s="222"/>
      <c r="C633" s="222"/>
      <c r="D633" s="222"/>
      <c r="E633" s="222"/>
      <c r="F633" s="222"/>
      <c r="G633" s="222"/>
      <c r="H633" s="271"/>
      <c r="I633" s="271"/>
      <c r="J633" s="271"/>
      <c r="K633" s="271"/>
      <c r="L633" s="271"/>
      <c r="M633" s="222"/>
      <c r="N633" s="222"/>
      <c r="O633" s="222"/>
      <c r="P633" s="222"/>
      <c r="Q633" s="222"/>
      <c r="R633" s="222"/>
      <c r="S633" s="222"/>
      <c r="T633" s="222"/>
      <c r="U633" s="222"/>
      <c r="V633" s="222"/>
      <c r="W633" s="222"/>
    </row>
    <row r="634">
      <c r="A634" s="271"/>
      <c r="B634" s="222"/>
      <c r="C634" s="222"/>
      <c r="D634" s="222"/>
      <c r="E634" s="222"/>
      <c r="F634" s="222"/>
      <c r="G634" s="222"/>
      <c r="H634" s="271"/>
      <c r="I634" s="271"/>
      <c r="J634" s="271"/>
      <c r="K634" s="271"/>
      <c r="L634" s="271"/>
      <c r="M634" s="222"/>
      <c r="N634" s="222"/>
      <c r="O634" s="222"/>
      <c r="P634" s="222"/>
      <c r="Q634" s="222"/>
      <c r="R634" s="222"/>
      <c r="S634" s="222"/>
      <c r="T634" s="222"/>
      <c r="U634" s="222"/>
      <c r="V634" s="222"/>
      <c r="W634" s="222"/>
    </row>
    <row r="635">
      <c r="A635" s="271"/>
      <c r="B635" s="222"/>
      <c r="C635" s="222"/>
      <c r="D635" s="222"/>
      <c r="E635" s="222"/>
      <c r="F635" s="222"/>
      <c r="G635" s="222"/>
      <c r="H635" s="271"/>
      <c r="I635" s="271"/>
      <c r="J635" s="271"/>
      <c r="K635" s="271"/>
      <c r="L635" s="271"/>
      <c r="M635" s="222"/>
      <c r="N635" s="222"/>
      <c r="O635" s="222"/>
      <c r="P635" s="222"/>
      <c r="Q635" s="222"/>
      <c r="R635" s="222"/>
      <c r="S635" s="222"/>
      <c r="T635" s="222"/>
      <c r="U635" s="222"/>
      <c r="V635" s="222"/>
      <c r="W635" s="222"/>
    </row>
    <row r="636">
      <c r="A636" s="271"/>
      <c r="B636" s="222"/>
      <c r="C636" s="222"/>
      <c r="D636" s="222"/>
      <c r="E636" s="222"/>
      <c r="F636" s="222"/>
      <c r="G636" s="222"/>
      <c r="H636" s="271"/>
      <c r="I636" s="271"/>
      <c r="J636" s="271"/>
      <c r="K636" s="271"/>
      <c r="L636" s="271"/>
      <c r="M636" s="222"/>
      <c r="N636" s="222"/>
      <c r="O636" s="222"/>
      <c r="P636" s="222"/>
      <c r="Q636" s="222"/>
      <c r="R636" s="222"/>
      <c r="S636" s="222"/>
      <c r="T636" s="222"/>
      <c r="U636" s="222"/>
      <c r="V636" s="222"/>
      <c r="W636" s="222"/>
    </row>
    <row r="637">
      <c r="A637" s="271"/>
      <c r="B637" s="222"/>
      <c r="C637" s="222"/>
      <c r="D637" s="222"/>
      <c r="E637" s="222"/>
      <c r="F637" s="222"/>
      <c r="G637" s="222"/>
      <c r="H637" s="271"/>
      <c r="I637" s="271"/>
      <c r="J637" s="271"/>
      <c r="K637" s="271"/>
      <c r="L637" s="271"/>
      <c r="M637" s="222"/>
      <c r="N637" s="222"/>
      <c r="O637" s="222"/>
      <c r="P637" s="222"/>
      <c r="Q637" s="222"/>
      <c r="R637" s="222"/>
      <c r="S637" s="222"/>
      <c r="T637" s="222"/>
      <c r="U637" s="222"/>
      <c r="V637" s="222"/>
      <c r="W637" s="222"/>
    </row>
    <row r="638">
      <c r="A638" s="271"/>
      <c r="B638" s="222"/>
      <c r="C638" s="222"/>
      <c r="D638" s="222"/>
      <c r="E638" s="222"/>
      <c r="F638" s="222"/>
      <c r="G638" s="222"/>
      <c r="H638" s="271"/>
      <c r="I638" s="271"/>
      <c r="J638" s="271"/>
      <c r="K638" s="271"/>
      <c r="L638" s="271"/>
      <c r="M638" s="222"/>
      <c r="N638" s="222"/>
      <c r="O638" s="222"/>
      <c r="P638" s="222"/>
      <c r="Q638" s="222"/>
      <c r="R638" s="222"/>
      <c r="S638" s="222"/>
      <c r="T638" s="222"/>
      <c r="U638" s="222"/>
      <c r="V638" s="222"/>
      <c r="W638" s="222"/>
    </row>
    <row r="639">
      <c r="A639" s="271"/>
      <c r="B639" s="222"/>
      <c r="C639" s="222"/>
      <c r="D639" s="222"/>
      <c r="E639" s="222"/>
      <c r="F639" s="222"/>
      <c r="G639" s="222"/>
      <c r="H639" s="271"/>
      <c r="I639" s="271"/>
      <c r="J639" s="271"/>
      <c r="K639" s="271"/>
      <c r="L639" s="271"/>
      <c r="M639" s="222"/>
      <c r="N639" s="222"/>
      <c r="O639" s="222"/>
      <c r="P639" s="222"/>
      <c r="Q639" s="222"/>
      <c r="R639" s="222"/>
      <c r="S639" s="222"/>
      <c r="T639" s="222"/>
      <c r="U639" s="222"/>
      <c r="V639" s="222"/>
      <c r="W639" s="222"/>
    </row>
    <row r="640">
      <c r="A640" s="271"/>
      <c r="B640" s="222"/>
      <c r="C640" s="222"/>
      <c r="D640" s="222"/>
      <c r="E640" s="222"/>
      <c r="F640" s="222"/>
      <c r="G640" s="222"/>
      <c r="H640" s="271"/>
      <c r="I640" s="271"/>
      <c r="J640" s="271"/>
      <c r="K640" s="271"/>
      <c r="L640" s="271"/>
      <c r="M640" s="222"/>
      <c r="N640" s="222"/>
      <c r="O640" s="222"/>
      <c r="P640" s="222"/>
      <c r="Q640" s="222"/>
      <c r="R640" s="222"/>
      <c r="S640" s="222"/>
      <c r="T640" s="222"/>
      <c r="U640" s="222"/>
      <c r="V640" s="222"/>
      <c r="W640" s="222"/>
    </row>
    <row r="641">
      <c r="A641" s="271"/>
      <c r="B641" s="222"/>
      <c r="C641" s="222"/>
      <c r="D641" s="222"/>
      <c r="E641" s="222"/>
      <c r="F641" s="222"/>
      <c r="G641" s="222"/>
      <c r="H641" s="271"/>
      <c r="I641" s="271"/>
      <c r="J641" s="271"/>
      <c r="K641" s="271"/>
      <c r="L641" s="271"/>
      <c r="M641" s="222"/>
      <c r="N641" s="222"/>
      <c r="O641" s="222"/>
      <c r="P641" s="222"/>
      <c r="Q641" s="222"/>
      <c r="R641" s="222"/>
      <c r="S641" s="222"/>
      <c r="T641" s="222"/>
      <c r="U641" s="222"/>
      <c r="V641" s="222"/>
      <c r="W641" s="222"/>
    </row>
    <row r="642">
      <c r="A642" s="271"/>
      <c r="B642" s="222"/>
      <c r="C642" s="222"/>
      <c r="D642" s="222"/>
      <c r="E642" s="222"/>
      <c r="F642" s="222"/>
      <c r="G642" s="222"/>
      <c r="H642" s="271"/>
      <c r="I642" s="271"/>
      <c r="J642" s="271"/>
      <c r="K642" s="271"/>
      <c r="L642" s="271"/>
      <c r="M642" s="222"/>
      <c r="N642" s="222"/>
      <c r="O642" s="222"/>
      <c r="P642" s="222"/>
      <c r="Q642" s="222"/>
      <c r="R642" s="222"/>
      <c r="S642" s="222"/>
      <c r="T642" s="222"/>
      <c r="U642" s="222"/>
      <c r="V642" s="222"/>
      <c r="W642" s="222"/>
    </row>
    <row r="643">
      <c r="A643" s="271"/>
      <c r="B643" s="222"/>
      <c r="C643" s="222"/>
      <c r="D643" s="222"/>
      <c r="E643" s="222"/>
      <c r="F643" s="222"/>
      <c r="G643" s="222"/>
      <c r="H643" s="271"/>
      <c r="I643" s="271"/>
      <c r="J643" s="271"/>
      <c r="K643" s="271"/>
      <c r="L643" s="271"/>
      <c r="M643" s="222"/>
      <c r="N643" s="222"/>
      <c r="O643" s="222"/>
      <c r="P643" s="222"/>
      <c r="Q643" s="222"/>
      <c r="R643" s="222"/>
      <c r="S643" s="222"/>
      <c r="T643" s="222"/>
      <c r="U643" s="222"/>
      <c r="V643" s="222"/>
      <c r="W643" s="222"/>
    </row>
    <row r="644">
      <c r="A644" s="271"/>
      <c r="B644" s="222"/>
      <c r="C644" s="222"/>
      <c r="D644" s="222"/>
      <c r="E644" s="222"/>
      <c r="F644" s="222"/>
      <c r="G644" s="222"/>
      <c r="H644" s="271"/>
      <c r="I644" s="271"/>
      <c r="J644" s="271"/>
      <c r="K644" s="271"/>
      <c r="L644" s="271"/>
      <c r="M644" s="222"/>
      <c r="N644" s="222"/>
      <c r="O644" s="222"/>
      <c r="P644" s="222"/>
      <c r="Q644" s="222"/>
      <c r="R644" s="222"/>
      <c r="S644" s="222"/>
      <c r="T644" s="222"/>
      <c r="U644" s="222"/>
      <c r="V644" s="222"/>
      <c r="W644" s="222"/>
    </row>
    <row r="645">
      <c r="A645" s="271"/>
      <c r="B645" s="222"/>
      <c r="C645" s="222"/>
      <c r="D645" s="222"/>
      <c r="E645" s="222"/>
      <c r="F645" s="222"/>
      <c r="G645" s="222"/>
      <c r="H645" s="271"/>
      <c r="I645" s="271"/>
      <c r="J645" s="271"/>
      <c r="K645" s="271"/>
      <c r="L645" s="271"/>
      <c r="M645" s="222"/>
      <c r="N645" s="222"/>
      <c r="O645" s="222"/>
      <c r="P645" s="222"/>
      <c r="Q645" s="222"/>
      <c r="R645" s="222"/>
      <c r="S645" s="222"/>
      <c r="T645" s="222"/>
      <c r="U645" s="222"/>
      <c r="V645" s="222"/>
      <c r="W645" s="222"/>
    </row>
    <row r="646">
      <c r="A646" s="271"/>
      <c r="B646" s="222"/>
      <c r="C646" s="222"/>
      <c r="D646" s="222"/>
      <c r="E646" s="222"/>
      <c r="F646" s="222"/>
      <c r="G646" s="222"/>
      <c r="H646" s="271"/>
      <c r="I646" s="271"/>
      <c r="J646" s="271"/>
      <c r="K646" s="271"/>
      <c r="L646" s="271"/>
      <c r="M646" s="222"/>
      <c r="N646" s="222"/>
      <c r="O646" s="222"/>
      <c r="P646" s="222"/>
      <c r="Q646" s="222"/>
      <c r="R646" s="222"/>
      <c r="S646" s="222"/>
      <c r="T646" s="222"/>
      <c r="U646" s="222"/>
      <c r="V646" s="222"/>
      <c r="W646" s="222"/>
    </row>
    <row r="647">
      <c r="A647" s="271"/>
      <c r="B647" s="222"/>
      <c r="C647" s="222"/>
      <c r="D647" s="222"/>
      <c r="E647" s="222"/>
      <c r="F647" s="222"/>
      <c r="G647" s="222"/>
      <c r="H647" s="271"/>
      <c r="I647" s="271"/>
      <c r="J647" s="271"/>
      <c r="K647" s="271"/>
      <c r="L647" s="271"/>
      <c r="M647" s="222"/>
      <c r="N647" s="222"/>
      <c r="O647" s="222"/>
      <c r="P647" s="222"/>
      <c r="Q647" s="222"/>
      <c r="R647" s="222"/>
      <c r="S647" s="222"/>
      <c r="T647" s="222"/>
      <c r="U647" s="222"/>
      <c r="V647" s="222"/>
      <c r="W647" s="222"/>
    </row>
    <row r="648">
      <c r="A648" s="271"/>
      <c r="B648" s="222"/>
      <c r="C648" s="222"/>
      <c r="D648" s="222"/>
      <c r="E648" s="222"/>
      <c r="F648" s="222"/>
      <c r="G648" s="222"/>
      <c r="H648" s="271"/>
      <c r="I648" s="271"/>
      <c r="J648" s="271"/>
      <c r="K648" s="271"/>
      <c r="L648" s="271"/>
      <c r="M648" s="222"/>
      <c r="N648" s="222"/>
      <c r="O648" s="222"/>
      <c r="P648" s="222"/>
      <c r="Q648" s="222"/>
      <c r="R648" s="222"/>
      <c r="S648" s="222"/>
      <c r="T648" s="222"/>
      <c r="U648" s="222"/>
      <c r="V648" s="222"/>
      <c r="W648" s="222"/>
    </row>
    <row r="649">
      <c r="A649" s="271"/>
      <c r="B649" s="222"/>
      <c r="C649" s="222"/>
      <c r="D649" s="222"/>
      <c r="E649" s="222"/>
      <c r="F649" s="222"/>
      <c r="G649" s="222"/>
      <c r="H649" s="271"/>
      <c r="I649" s="271"/>
      <c r="J649" s="271"/>
      <c r="K649" s="271"/>
      <c r="L649" s="271"/>
      <c r="M649" s="222"/>
      <c r="N649" s="222"/>
      <c r="O649" s="222"/>
      <c r="P649" s="222"/>
      <c r="Q649" s="222"/>
      <c r="R649" s="222"/>
      <c r="S649" s="222"/>
      <c r="T649" s="222"/>
      <c r="U649" s="222"/>
      <c r="V649" s="222"/>
      <c r="W649" s="222"/>
    </row>
    <row r="650">
      <c r="A650" s="271"/>
      <c r="B650" s="222"/>
      <c r="C650" s="222"/>
      <c r="D650" s="222"/>
      <c r="E650" s="222"/>
      <c r="F650" s="222"/>
      <c r="G650" s="222"/>
      <c r="H650" s="271"/>
      <c r="I650" s="271"/>
      <c r="J650" s="271"/>
      <c r="K650" s="271"/>
      <c r="L650" s="271"/>
      <c r="M650" s="222"/>
      <c r="N650" s="222"/>
      <c r="O650" s="222"/>
      <c r="P650" s="222"/>
      <c r="Q650" s="222"/>
      <c r="R650" s="222"/>
      <c r="S650" s="222"/>
      <c r="T650" s="222"/>
      <c r="U650" s="222"/>
      <c r="V650" s="222"/>
      <c r="W650" s="222"/>
    </row>
    <row r="651">
      <c r="A651" s="271"/>
      <c r="B651" s="222"/>
      <c r="C651" s="222"/>
      <c r="D651" s="222"/>
      <c r="E651" s="222"/>
      <c r="F651" s="222"/>
      <c r="G651" s="222"/>
      <c r="H651" s="271"/>
      <c r="I651" s="271"/>
      <c r="J651" s="271"/>
      <c r="K651" s="271"/>
      <c r="L651" s="271"/>
      <c r="M651" s="222"/>
      <c r="N651" s="222"/>
      <c r="O651" s="222"/>
      <c r="P651" s="222"/>
      <c r="Q651" s="222"/>
      <c r="R651" s="222"/>
      <c r="S651" s="222"/>
      <c r="T651" s="222"/>
      <c r="U651" s="222"/>
      <c r="V651" s="222"/>
      <c r="W651" s="222"/>
    </row>
    <row r="652">
      <c r="A652" s="271"/>
      <c r="B652" s="222"/>
      <c r="C652" s="222"/>
      <c r="D652" s="222"/>
      <c r="E652" s="222"/>
      <c r="F652" s="222"/>
      <c r="G652" s="222"/>
      <c r="H652" s="271"/>
      <c r="I652" s="271"/>
      <c r="J652" s="271"/>
      <c r="K652" s="271"/>
      <c r="L652" s="271"/>
      <c r="M652" s="222"/>
      <c r="N652" s="222"/>
      <c r="O652" s="222"/>
      <c r="P652" s="222"/>
      <c r="Q652" s="222"/>
      <c r="R652" s="222"/>
      <c r="S652" s="222"/>
      <c r="T652" s="222"/>
      <c r="U652" s="222"/>
      <c r="V652" s="222"/>
      <c r="W652" s="222"/>
    </row>
    <row r="653">
      <c r="A653" s="271"/>
      <c r="B653" s="222"/>
      <c r="C653" s="222"/>
      <c r="D653" s="222"/>
      <c r="E653" s="222"/>
      <c r="F653" s="222"/>
      <c r="G653" s="222"/>
      <c r="H653" s="271"/>
      <c r="I653" s="271"/>
      <c r="J653" s="271"/>
      <c r="K653" s="271"/>
      <c r="L653" s="271"/>
      <c r="M653" s="222"/>
      <c r="N653" s="222"/>
      <c r="O653" s="222"/>
      <c r="P653" s="222"/>
      <c r="Q653" s="222"/>
      <c r="R653" s="222"/>
      <c r="S653" s="222"/>
      <c r="T653" s="222"/>
      <c r="U653" s="222"/>
      <c r="V653" s="222"/>
      <c r="W653" s="222"/>
    </row>
    <row r="654">
      <c r="A654" s="271"/>
      <c r="B654" s="222"/>
      <c r="C654" s="222"/>
      <c r="D654" s="222"/>
      <c r="E654" s="222"/>
      <c r="F654" s="222"/>
      <c r="G654" s="222"/>
      <c r="H654" s="271"/>
      <c r="I654" s="271"/>
      <c r="J654" s="271"/>
      <c r="K654" s="271"/>
      <c r="L654" s="271"/>
      <c r="M654" s="222"/>
      <c r="N654" s="222"/>
      <c r="O654" s="222"/>
      <c r="P654" s="222"/>
      <c r="Q654" s="222"/>
      <c r="R654" s="222"/>
      <c r="S654" s="222"/>
      <c r="T654" s="222"/>
      <c r="U654" s="222"/>
      <c r="V654" s="222"/>
      <c r="W654" s="222"/>
    </row>
    <row r="655">
      <c r="A655" s="271"/>
      <c r="B655" s="222"/>
      <c r="C655" s="222"/>
      <c r="D655" s="222"/>
      <c r="E655" s="222"/>
      <c r="F655" s="222"/>
      <c r="G655" s="222"/>
      <c r="H655" s="271"/>
      <c r="I655" s="271"/>
      <c r="J655" s="271"/>
      <c r="K655" s="271"/>
      <c r="L655" s="271"/>
      <c r="M655" s="222"/>
      <c r="N655" s="222"/>
      <c r="O655" s="222"/>
      <c r="P655" s="222"/>
      <c r="Q655" s="222"/>
      <c r="R655" s="222"/>
      <c r="S655" s="222"/>
      <c r="T655" s="222"/>
      <c r="U655" s="222"/>
      <c r="V655" s="222"/>
      <c r="W655" s="222"/>
    </row>
    <row r="656">
      <c r="A656" s="271"/>
      <c r="B656" s="222"/>
      <c r="C656" s="222"/>
      <c r="D656" s="222"/>
      <c r="E656" s="222"/>
      <c r="F656" s="222"/>
      <c r="G656" s="222"/>
      <c r="H656" s="271"/>
      <c r="I656" s="271"/>
      <c r="J656" s="271"/>
      <c r="K656" s="271"/>
      <c r="L656" s="271"/>
      <c r="M656" s="222"/>
      <c r="N656" s="222"/>
      <c r="O656" s="222"/>
      <c r="P656" s="222"/>
      <c r="Q656" s="222"/>
      <c r="R656" s="222"/>
      <c r="S656" s="222"/>
      <c r="T656" s="222"/>
      <c r="U656" s="222"/>
      <c r="V656" s="222"/>
      <c r="W656" s="222"/>
    </row>
    <row r="657">
      <c r="A657" s="271"/>
      <c r="B657" s="222"/>
      <c r="C657" s="222"/>
      <c r="D657" s="222"/>
      <c r="E657" s="222"/>
      <c r="F657" s="222"/>
      <c r="G657" s="222"/>
      <c r="H657" s="271"/>
      <c r="I657" s="271"/>
      <c r="J657" s="271"/>
      <c r="K657" s="271"/>
      <c r="L657" s="271"/>
      <c r="M657" s="222"/>
      <c r="N657" s="222"/>
      <c r="O657" s="222"/>
      <c r="P657" s="222"/>
      <c r="Q657" s="222"/>
      <c r="R657" s="222"/>
      <c r="S657" s="222"/>
      <c r="T657" s="222"/>
      <c r="U657" s="222"/>
      <c r="V657" s="222"/>
      <c r="W657" s="222"/>
    </row>
    <row r="658">
      <c r="A658" s="271"/>
      <c r="B658" s="222"/>
      <c r="C658" s="222"/>
      <c r="D658" s="222"/>
      <c r="E658" s="222"/>
      <c r="F658" s="222"/>
      <c r="G658" s="222"/>
      <c r="H658" s="271"/>
      <c r="I658" s="271"/>
      <c r="J658" s="271"/>
      <c r="K658" s="271"/>
      <c r="L658" s="271"/>
      <c r="M658" s="222"/>
      <c r="N658" s="222"/>
      <c r="O658" s="222"/>
      <c r="P658" s="222"/>
      <c r="Q658" s="222"/>
      <c r="R658" s="222"/>
      <c r="S658" s="222"/>
      <c r="T658" s="222"/>
      <c r="U658" s="222"/>
      <c r="V658" s="222"/>
      <c r="W658" s="222"/>
    </row>
    <row r="659">
      <c r="A659" s="271"/>
      <c r="B659" s="222"/>
      <c r="C659" s="222"/>
      <c r="D659" s="222"/>
      <c r="E659" s="222"/>
      <c r="F659" s="222"/>
      <c r="G659" s="222"/>
      <c r="H659" s="271"/>
      <c r="I659" s="271"/>
      <c r="J659" s="271"/>
      <c r="K659" s="271"/>
      <c r="L659" s="271"/>
      <c r="M659" s="222"/>
      <c r="N659" s="222"/>
      <c r="O659" s="222"/>
      <c r="P659" s="222"/>
      <c r="Q659" s="222"/>
      <c r="R659" s="222"/>
      <c r="S659" s="222"/>
      <c r="T659" s="222"/>
      <c r="U659" s="222"/>
      <c r="V659" s="222"/>
      <c r="W659" s="222"/>
    </row>
    <row r="660">
      <c r="A660" s="271"/>
      <c r="B660" s="222"/>
      <c r="C660" s="222"/>
      <c r="D660" s="222"/>
      <c r="E660" s="222"/>
      <c r="F660" s="222"/>
      <c r="G660" s="222"/>
      <c r="H660" s="271"/>
      <c r="I660" s="271"/>
      <c r="J660" s="271"/>
      <c r="K660" s="271"/>
      <c r="L660" s="271"/>
      <c r="M660" s="222"/>
      <c r="N660" s="222"/>
      <c r="O660" s="222"/>
      <c r="P660" s="222"/>
      <c r="Q660" s="222"/>
      <c r="R660" s="222"/>
      <c r="S660" s="222"/>
      <c r="T660" s="222"/>
      <c r="U660" s="222"/>
      <c r="V660" s="222"/>
      <c r="W660" s="222"/>
    </row>
    <row r="661">
      <c r="A661" s="271"/>
      <c r="B661" s="222"/>
      <c r="C661" s="222"/>
      <c r="D661" s="222"/>
      <c r="E661" s="222"/>
      <c r="F661" s="222"/>
      <c r="G661" s="222"/>
      <c r="H661" s="271"/>
      <c r="I661" s="271"/>
      <c r="J661" s="271"/>
      <c r="K661" s="271"/>
      <c r="L661" s="271"/>
      <c r="M661" s="222"/>
      <c r="N661" s="222"/>
      <c r="O661" s="222"/>
      <c r="P661" s="222"/>
      <c r="Q661" s="222"/>
      <c r="R661" s="222"/>
      <c r="S661" s="222"/>
      <c r="T661" s="222"/>
      <c r="U661" s="222"/>
      <c r="V661" s="222"/>
      <c r="W661" s="222"/>
    </row>
    <row r="662">
      <c r="A662" s="271"/>
      <c r="B662" s="222"/>
      <c r="C662" s="222"/>
      <c r="D662" s="222"/>
      <c r="E662" s="222"/>
      <c r="F662" s="222"/>
      <c r="G662" s="222"/>
      <c r="H662" s="271"/>
      <c r="I662" s="271"/>
      <c r="J662" s="271"/>
      <c r="K662" s="271"/>
      <c r="L662" s="271"/>
      <c r="M662" s="222"/>
      <c r="N662" s="222"/>
      <c r="O662" s="222"/>
      <c r="P662" s="222"/>
      <c r="Q662" s="222"/>
      <c r="R662" s="222"/>
      <c r="S662" s="222"/>
      <c r="T662" s="222"/>
      <c r="U662" s="222"/>
      <c r="V662" s="222"/>
      <c r="W662" s="222"/>
    </row>
    <row r="663">
      <c r="A663" s="271"/>
      <c r="B663" s="222"/>
      <c r="C663" s="222"/>
      <c r="D663" s="222"/>
      <c r="E663" s="222"/>
      <c r="F663" s="222"/>
      <c r="G663" s="222"/>
      <c r="H663" s="271"/>
      <c r="I663" s="271"/>
      <c r="J663" s="271"/>
      <c r="K663" s="271"/>
      <c r="L663" s="271"/>
      <c r="M663" s="222"/>
      <c r="N663" s="222"/>
      <c r="O663" s="222"/>
      <c r="P663" s="222"/>
      <c r="Q663" s="222"/>
      <c r="R663" s="222"/>
      <c r="S663" s="222"/>
      <c r="T663" s="222"/>
      <c r="U663" s="222"/>
      <c r="V663" s="222"/>
      <c r="W663" s="222"/>
    </row>
    <row r="664">
      <c r="A664" s="271"/>
      <c r="B664" s="222"/>
      <c r="C664" s="222"/>
      <c r="D664" s="222"/>
      <c r="E664" s="222"/>
      <c r="F664" s="222"/>
      <c r="G664" s="222"/>
      <c r="H664" s="271"/>
      <c r="I664" s="271"/>
      <c r="J664" s="271"/>
      <c r="K664" s="271"/>
      <c r="L664" s="271"/>
      <c r="M664" s="222"/>
      <c r="N664" s="222"/>
      <c r="O664" s="222"/>
      <c r="P664" s="222"/>
      <c r="Q664" s="222"/>
      <c r="R664" s="222"/>
      <c r="S664" s="222"/>
      <c r="T664" s="222"/>
      <c r="U664" s="222"/>
      <c r="V664" s="222"/>
      <c r="W664" s="222"/>
    </row>
    <row r="665">
      <c r="A665" s="271"/>
      <c r="B665" s="222"/>
      <c r="C665" s="222"/>
      <c r="D665" s="222"/>
      <c r="E665" s="222"/>
      <c r="F665" s="222"/>
      <c r="G665" s="222"/>
      <c r="H665" s="271"/>
      <c r="I665" s="271"/>
      <c r="J665" s="271"/>
      <c r="K665" s="271"/>
      <c r="L665" s="271"/>
      <c r="M665" s="222"/>
      <c r="N665" s="222"/>
      <c r="O665" s="222"/>
      <c r="P665" s="222"/>
      <c r="Q665" s="222"/>
      <c r="R665" s="222"/>
      <c r="S665" s="222"/>
      <c r="T665" s="222"/>
      <c r="U665" s="222"/>
      <c r="V665" s="222"/>
      <c r="W665" s="222"/>
    </row>
    <row r="666">
      <c r="A666" s="271"/>
      <c r="B666" s="222"/>
      <c r="C666" s="222"/>
      <c r="D666" s="222"/>
      <c r="E666" s="222"/>
      <c r="F666" s="222"/>
      <c r="G666" s="222"/>
      <c r="H666" s="271"/>
      <c r="I666" s="271"/>
      <c r="J666" s="271"/>
      <c r="K666" s="271"/>
      <c r="L666" s="271"/>
      <c r="M666" s="222"/>
      <c r="N666" s="222"/>
      <c r="O666" s="222"/>
      <c r="P666" s="222"/>
      <c r="Q666" s="222"/>
      <c r="R666" s="222"/>
      <c r="S666" s="222"/>
      <c r="T666" s="222"/>
      <c r="U666" s="222"/>
      <c r="V666" s="222"/>
      <c r="W666" s="222"/>
    </row>
    <row r="667">
      <c r="A667" s="271"/>
      <c r="B667" s="222"/>
      <c r="C667" s="222"/>
      <c r="D667" s="222"/>
      <c r="E667" s="222"/>
      <c r="F667" s="222"/>
      <c r="G667" s="222"/>
      <c r="H667" s="271"/>
      <c r="I667" s="271"/>
      <c r="J667" s="271"/>
      <c r="K667" s="271"/>
      <c r="L667" s="271"/>
      <c r="M667" s="222"/>
      <c r="N667" s="222"/>
      <c r="O667" s="222"/>
      <c r="P667" s="222"/>
      <c r="Q667" s="222"/>
      <c r="R667" s="222"/>
      <c r="S667" s="222"/>
      <c r="T667" s="222"/>
      <c r="U667" s="222"/>
      <c r="V667" s="222"/>
      <c r="W667" s="222"/>
    </row>
    <row r="668">
      <c r="A668" s="271"/>
      <c r="B668" s="222"/>
      <c r="C668" s="222"/>
      <c r="D668" s="222"/>
      <c r="E668" s="222"/>
      <c r="F668" s="222"/>
      <c r="G668" s="222"/>
      <c r="H668" s="271"/>
      <c r="I668" s="271"/>
      <c r="J668" s="271"/>
      <c r="K668" s="271"/>
      <c r="L668" s="271"/>
      <c r="M668" s="222"/>
      <c r="N668" s="222"/>
      <c r="O668" s="222"/>
      <c r="P668" s="222"/>
      <c r="Q668" s="222"/>
      <c r="R668" s="222"/>
      <c r="S668" s="222"/>
      <c r="T668" s="222"/>
      <c r="U668" s="222"/>
      <c r="V668" s="222"/>
      <c r="W668" s="222"/>
    </row>
    <row r="669">
      <c r="A669" s="271"/>
      <c r="B669" s="222"/>
      <c r="C669" s="222"/>
      <c r="D669" s="222"/>
      <c r="E669" s="222"/>
      <c r="F669" s="222"/>
      <c r="G669" s="222"/>
      <c r="H669" s="271"/>
      <c r="I669" s="271"/>
      <c r="J669" s="271"/>
      <c r="K669" s="271"/>
      <c r="L669" s="271"/>
      <c r="M669" s="222"/>
      <c r="N669" s="222"/>
      <c r="O669" s="222"/>
      <c r="P669" s="222"/>
      <c r="Q669" s="222"/>
      <c r="R669" s="222"/>
      <c r="S669" s="222"/>
      <c r="T669" s="222"/>
      <c r="U669" s="222"/>
      <c r="V669" s="222"/>
      <c r="W669" s="222"/>
    </row>
    <row r="670">
      <c r="A670" s="271"/>
      <c r="B670" s="222"/>
      <c r="C670" s="222"/>
      <c r="D670" s="222"/>
      <c r="E670" s="222"/>
      <c r="F670" s="222"/>
      <c r="G670" s="222"/>
      <c r="H670" s="271"/>
      <c r="I670" s="271"/>
      <c r="J670" s="271"/>
      <c r="K670" s="271"/>
      <c r="L670" s="271"/>
      <c r="M670" s="222"/>
      <c r="N670" s="222"/>
      <c r="O670" s="222"/>
      <c r="P670" s="222"/>
      <c r="Q670" s="222"/>
      <c r="R670" s="222"/>
      <c r="S670" s="222"/>
      <c r="T670" s="222"/>
      <c r="U670" s="222"/>
      <c r="V670" s="222"/>
      <c r="W670" s="222"/>
    </row>
    <row r="671">
      <c r="A671" s="271"/>
      <c r="B671" s="222"/>
      <c r="C671" s="222"/>
      <c r="D671" s="222"/>
      <c r="E671" s="222"/>
      <c r="F671" s="222"/>
      <c r="G671" s="222"/>
      <c r="H671" s="271"/>
      <c r="I671" s="271"/>
      <c r="J671" s="271"/>
      <c r="K671" s="271"/>
      <c r="L671" s="271"/>
      <c r="M671" s="222"/>
      <c r="N671" s="222"/>
      <c r="O671" s="222"/>
      <c r="P671" s="222"/>
      <c r="Q671" s="222"/>
      <c r="R671" s="222"/>
      <c r="S671" s="222"/>
      <c r="T671" s="222"/>
      <c r="U671" s="222"/>
      <c r="V671" s="222"/>
      <c r="W671" s="222"/>
    </row>
    <row r="672">
      <c r="A672" s="271"/>
      <c r="B672" s="222"/>
      <c r="C672" s="222"/>
      <c r="D672" s="222"/>
      <c r="E672" s="222"/>
      <c r="F672" s="222"/>
      <c r="G672" s="222"/>
      <c r="H672" s="271"/>
      <c r="I672" s="271"/>
      <c r="J672" s="271"/>
      <c r="K672" s="271"/>
      <c r="L672" s="271"/>
      <c r="M672" s="222"/>
      <c r="N672" s="222"/>
      <c r="O672" s="222"/>
      <c r="P672" s="222"/>
      <c r="Q672" s="222"/>
      <c r="R672" s="222"/>
      <c r="S672" s="222"/>
      <c r="T672" s="222"/>
      <c r="U672" s="222"/>
      <c r="V672" s="222"/>
      <c r="W672" s="222"/>
    </row>
    <row r="673">
      <c r="A673" s="271"/>
      <c r="B673" s="222"/>
      <c r="C673" s="222"/>
      <c r="D673" s="222"/>
      <c r="E673" s="222"/>
      <c r="F673" s="222"/>
      <c r="G673" s="222"/>
      <c r="H673" s="271"/>
      <c r="I673" s="271"/>
      <c r="J673" s="271"/>
      <c r="K673" s="271"/>
      <c r="L673" s="271"/>
      <c r="M673" s="222"/>
      <c r="N673" s="222"/>
      <c r="O673" s="222"/>
      <c r="P673" s="222"/>
      <c r="Q673" s="222"/>
      <c r="R673" s="222"/>
      <c r="S673" s="222"/>
      <c r="T673" s="222"/>
      <c r="U673" s="222"/>
      <c r="V673" s="222"/>
      <c r="W673" s="222"/>
    </row>
    <row r="674">
      <c r="A674" s="271"/>
      <c r="B674" s="222"/>
      <c r="C674" s="222"/>
      <c r="D674" s="222"/>
      <c r="E674" s="222"/>
      <c r="F674" s="222"/>
      <c r="G674" s="222"/>
      <c r="H674" s="271"/>
      <c r="I674" s="271"/>
      <c r="J674" s="271"/>
      <c r="K674" s="271"/>
      <c r="L674" s="271"/>
      <c r="M674" s="222"/>
      <c r="N674" s="222"/>
      <c r="O674" s="222"/>
      <c r="P674" s="222"/>
      <c r="Q674" s="222"/>
      <c r="R674" s="222"/>
      <c r="S674" s="222"/>
      <c r="T674" s="222"/>
      <c r="U674" s="222"/>
      <c r="V674" s="222"/>
      <c r="W674" s="222"/>
    </row>
    <row r="675">
      <c r="A675" s="271"/>
      <c r="B675" s="222"/>
      <c r="C675" s="222"/>
      <c r="D675" s="222"/>
      <c r="E675" s="222"/>
      <c r="F675" s="222"/>
      <c r="G675" s="222"/>
      <c r="H675" s="271"/>
      <c r="I675" s="271"/>
      <c r="J675" s="271"/>
      <c r="K675" s="271"/>
      <c r="L675" s="271"/>
      <c r="M675" s="222"/>
      <c r="N675" s="222"/>
      <c r="O675" s="222"/>
      <c r="P675" s="222"/>
      <c r="Q675" s="222"/>
      <c r="R675" s="222"/>
      <c r="S675" s="222"/>
      <c r="T675" s="222"/>
      <c r="U675" s="222"/>
      <c r="V675" s="222"/>
      <c r="W675" s="222"/>
    </row>
    <row r="676">
      <c r="A676" s="271"/>
      <c r="B676" s="222"/>
      <c r="C676" s="222"/>
      <c r="D676" s="222"/>
      <c r="E676" s="222"/>
      <c r="F676" s="222"/>
      <c r="G676" s="222"/>
      <c r="H676" s="271"/>
      <c r="I676" s="271"/>
      <c r="J676" s="271"/>
      <c r="K676" s="271"/>
      <c r="L676" s="271"/>
      <c r="M676" s="222"/>
      <c r="N676" s="222"/>
      <c r="O676" s="222"/>
      <c r="P676" s="222"/>
      <c r="Q676" s="222"/>
      <c r="R676" s="222"/>
      <c r="S676" s="222"/>
      <c r="T676" s="222"/>
      <c r="U676" s="222"/>
      <c r="V676" s="222"/>
      <c r="W676" s="222"/>
    </row>
    <row r="677">
      <c r="A677" s="271"/>
      <c r="B677" s="222"/>
      <c r="C677" s="222"/>
      <c r="D677" s="222"/>
      <c r="E677" s="222"/>
      <c r="F677" s="222"/>
      <c r="G677" s="222"/>
      <c r="H677" s="271"/>
      <c r="I677" s="271"/>
      <c r="J677" s="271"/>
      <c r="K677" s="271"/>
      <c r="L677" s="271"/>
      <c r="M677" s="222"/>
      <c r="N677" s="222"/>
      <c r="O677" s="222"/>
      <c r="P677" s="222"/>
      <c r="Q677" s="222"/>
      <c r="R677" s="222"/>
      <c r="S677" s="222"/>
      <c r="T677" s="222"/>
      <c r="U677" s="222"/>
      <c r="V677" s="222"/>
      <c r="W677" s="222"/>
    </row>
    <row r="678">
      <c r="A678" s="271"/>
      <c r="B678" s="222"/>
      <c r="C678" s="222"/>
      <c r="D678" s="222"/>
      <c r="E678" s="222"/>
      <c r="F678" s="222"/>
      <c r="G678" s="222"/>
      <c r="H678" s="271"/>
      <c r="I678" s="271"/>
      <c r="J678" s="271"/>
      <c r="K678" s="271"/>
      <c r="L678" s="271"/>
      <c r="M678" s="222"/>
      <c r="N678" s="222"/>
      <c r="O678" s="222"/>
      <c r="P678" s="222"/>
      <c r="Q678" s="222"/>
      <c r="R678" s="222"/>
      <c r="S678" s="222"/>
      <c r="T678" s="222"/>
      <c r="U678" s="222"/>
      <c r="V678" s="222"/>
      <c r="W678" s="222"/>
    </row>
    <row r="679">
      <c r="A679" s="271"/>
      <c r="B679" s="222"/>
      <c r="C679" s="222"/>
      <c r="D679" s="222"/>
      <c r="E679" s="222"/>
      <c r="F679" s="222"/>
      <c r="G679" s="222"/>
      <c r="H679" s="271"/>
      <c r="I679" s="271"/>
      <c r="J679" s="271"/>
      <c r="K679" s="271"/>
      <c r="L679" s="271"/>
      <c r="M679" s="222"/>
      <c r="N679" s="222"/>
      <c r="O679" s="222"/>
      <c r="P679" s="222"/>
      <c r="Q679" s="222"/>
      <c r="R679" s="222"/>
      <c r="S679" s="222"/>
      <c r="T679" s="222"/>
      <c r="U679" s="222"/>
      <c r="V679" s="222"/>
      <c r="W679" s="222"/>
    </row>
    <row r="680">
      <c r="A680" s="271"/>
      <c r="B680" s="222"/>
      <c r="C680" s="222"/>
      <c r="D680" s="222"/>
      <c r="E680" s="222"/>
      <c r="F680" s="222"/>
      <c r="G680" s="222"/>
      <c r="H680" s="271"/>
      <c r="I680" s="271"/>
      <c r="J680" s="271"/>
      <c r="K680" s="271"/>
      <c r="L680" s="271"/>
      <c r="M680" s="222"/>
      <c r="N680" s="222"/>
      <c r="O680" s="222"/>
      <c r="P680" s="222"/>
      <c r="Q680" s="222"/>
      <c r="R680" s="222"/>
      <c r="S680" s="222"/>
      <c r="T680" s="222"/>
      <c r="U680" s="222"/>
      <c r="V680" s="222"/>
      <c r="W680" s="222"/>
    </row>
    <row r="681">
      <c r="A681" s="271"/>
      <c r="B681" s="222"/>
      <c r="C681" s="222"/>
      <c r="D681" s="222"/>
      <c r="E681" s="222"/>
      <c r="F681" s="222"/>
      <c r="G681" s="222"/>
      <c r="H681" s="271"/>
      <c r="I681" s="271"/>
      <c r="J681" s="271"/>
      <c r="K681" s="271"/>
      <c r="L681" s="271"/>
      <c r="M681" s="222"/>
      <c r="N681" s="222"/>
      <c r="O681" s="222"/>
      <c r="P681" s="222"/>
      <c r="Q681" s="222"/>
      <c r="R681" s="222"/>
      <c r="S681" s="222"/>
      <c r="T681" s="222"/>
      <c r="U681" s="222"/>
      <c r="V681" s="222"/>
      <c r="W681" s="222"/>
    </row>
    <row r="682">
      <c r="A682" s="271"/>
      <c r="B682" s="222"/>
      <c r="C682" s="222"/>
      <c r="D682" s="222"/>
      <c r="E682" s="222"/>
      <c r="F682" s="222"/>
      <c r="G682" s="222"/>
      <c r="H682" s="271"/>
      <c r="I682" s="271"/>
      <c r="J682" s="271"/>
      <c r="K682" s="271"/>
      <c r="L682" s="271"/>
      <c r="M682" s="222"/>
      <c r="N682" s="222"/>
      <c r="O682" s="222"/>
      <c r="P682" s="222"/>
      <c r="Q682" s="222"/>
      <c r="R682" s="222"/>
      <c r="S682" s="222"/>
      <c r="T682" s="222"/>
      <c r="U682" s="222"/>
      <c r="V682" s="222"/>
      <c r="W682" s="222"/>
    </row>
    <row r="683">
      <c r="A683" s="271"/>
      <c r="B683" s="222"/>
      <c r="C683" s="222"/>
      <c r="D683" s="222"/>
      <c r="E683" s="222"/>
      <c r="F683" s="222"/>
      <c r="G683" s="222"/>
      <c r="H683" s="271"/>
      <c r="I683" s="271"/>
      <c r="J683" s="271"/>
      <c r="K683" s="271"/>
      <c r="L683" s="271"/>
      <c r="M683" s="222"/>
      <c r="N683" s="222"/>
      <c r="O683" s="222"/>
      <c r="P683" s="222"/>
      <c r="Q683" s="222"/>
      <c r="R683" s="222"/>
      <c r="S683" s="222"/>
      <c r="T683" s="222"/>
      <c r="U683" s="222"/>
      <c r="V683" s="222"/>
      <c r="W683" s="222"/>
    </row>
    <row r="684">
      <c r="A684" s="271"/>
      <c r="B684" s="222"/>
      <c r="C684" s="222"/>
      <c r="D684" s="222"/>
      <c r="E684" s="222"/>
      <c r="F684" s="222"/>
      <c r="G684" s="222"/>
      <c r="H684" s="271"/>
      <c r="I684" s="271"/>
      <c r="J684" s="271"/>
      <c r="K684" s="271"/>
      <c r="L684" s="271"/>
      <c r="M684" s="222"/>
      <c r="N684" s="222"/>
      <c r="O684" s="222"/>
      <c r="P684" s="222"/>
      <c r="Q684" s="222"/>
      <c r="R684" s="222"/>
      <c r="S684" s="222"/>
      <c r="T684" s="222"/>
      <c r="U684" s="222"/>
      <c r="V684" s="222"/>
      <c r="W684" s="222"/>
    </row>
    <row r="685">
      <c r="A685" s="271"/>
      <c r="B685" s="222"/>
      <c r="C685" s="222"/>
      <c r="D685" s="222"/>
      <c r="E685" s="222"/>
      <c r="F685" s="222"/>
      <c r="G685" s="222"/>
      <c r="H685" s="271"/>
      <c r="I685" s="271"/>
      <c r="J685" s="271"/>
      <c r="K685" s="271"/>
      <c r="L685" s="271"/>
      <c r="M685" s="222"/>
      <c r="N685" s="222"/>
      <c r="O685" s="222"/>
      <c r="P685" s="222"/>
      <c r="Q685" s="222"/>
      <c r="R685" s="222"/>
      <c r="S685" s="222"/>
      <c r="T685" s="222"/>
      <c r="U685" s="222"/>
      <c r="V685" s="222"/>
      <c r="W685" s="222"/>
    </row>
    <row r="686">
      <c r="A686" s="271"/>
      <c r="B686" s="222"/>
      <c r="C686" s="222"/>
      <c r="D686" s="222"/>
      <c r="E686" s="222"/>
      <c r="F686" s="222"/>
      <c r="G686" s="222"/>
      <c r="H686" s="271"/>
      <c r="I686" s="271"/>
      <c r="J686" s="271"/>
      <c r="K686" s="271"/>
      <c r="L686" s="271"/>
      <c r="M686" s="222"/>
      <c r="N686" s="222"/>
      <c r="O686" s="222"/>
      <c r="P686" s="222"/>
      <c r="Q686" s="222"/>
      <c r="R686" s="222"/>
      <c r="S686" s="222"/>
      <c r="T686" s="222"/>
      <c r="U686" s="222"/>
      <c r="V686" s="222"/>
      <c r="W686" s="222"/>
    </row>
    <row r="687">
      <c r="A687" s="271"/>
      <c r="B687" s="222"/>
      <c r="C687" s="222"/>
      <c r="D687" s="222"/>
      <c r="E687" s="222"/>
      <c r="F687" s="222"/>
      <c r="G687" s="222"/>
      <c r="H687" s="271"/>
      <c r="I687" s="271"/>
      <c r="J687" s="271"/>
      <c r="K687" s="271"/>
      <c r="L687" s="271"/>
      <c r="M687" s="222"/>
      <c r="N687" s="222"/>
      <c r="O687" s="222"/>
      <c r="P687" s="222"/>
      <c r="Q687" s="222"/>
      <c r="R687" s="222"/>
      <c r="S687" s="222"/>
      <c r="T687" s="222"/>
      <c r="U687" s="222"/>
      <c r="V687" s="222"/>
      <c r="W687" s="222"/>
    </row>
    <row r="688">
      <c r="A688" s="271"/>
      <c r="B688" s="222"/>
      <c r="C688" s="222"/>
      <c r="D688" s="222"/>
      <c r="E688" s="222"/>
      <c r="F688" s="222"/>
      <c r="G688" s="222"/>
      <c r="H688" s="271"/>
      <c r="I688" s="271"/>
      <c r="J688" s="271"/>
      <c r="K688" s="271"/>
      <c r="L688" s="271"/>
      <c r="M688" s="222"/>
      <c r="N688" s="222"/>
      <c r="O688" s="222"/>
      <c r="P688" s="222"/>
      <c r="Q688" s="222"/>
      <c r="R688" s="222"/>
      <c r="S688" s="222"/>
      <c r="T688" s="222"/>
      <c r="U688" s="222"/>
      <c r="V688" s="222"/>
      <c r="W688" s="222"/>
    </row>
    <row r="689">
      <c r="A689" s="271"/>
      <c r="B689" s="222"/>
      <c r="C689" s="222"/>
      <c r="D689" s="222"/>
      <c r="E689" s="222"/>
      <c r="F689" s="222"/>
      <c r="G689" s="222"/>
      <c r="H689" s="271"/>
      <c r="I689" s="271"/>
      <c r="J689" s="271"/>
      <c r="K689" s="271"/>
      <c r="L689" s="271"/>
      <c r="M689" s="222"/>
      <c r="N689" s="222"/>
      <c r="O689" s="222"/>
      <c r="P689" s="222"/>
      <c r="Q689" s="222"/>
      <c r="R689" s="222"/>
      <c r="S689" s="222"/>
      <c r="T689" s="222"/>
      <c r="U689" s="222"/>
      <c r="V689" s="222"/>
      <c r="W689" s="222"/>
    </row>
    <row r="690">
      <c r="A690" s="271"/>
      <c r="B690" s="222"/>
      <c r="C690" s="222"/>
      <c r="D690" s="222"/>
      <c r="E690" s="222"/>
      <c r="F690" s="222"/>
      <c r="G690" s="222"/>
      <c r="H690" s="271"/>
      <c r="I690" s="271"/>
      <c r="J690" s="271"/>
      <c r="K690" s="271"/>
      <c r="L690" s="271"/>
      <c r="M690" s="222"/>
      <c r="N690" s="222"/>
      <c r="O690" s="222"/>
      <c r="P690" s="222"/>
      <c r="Q690" s="222"/>
      <c r="R690" s="222"/>
      <c r="S690" s="222"/>
      <c r="T690" s="222"/>
      <c r="U690" s="222"/>
      <c r="V690" s="222"/>
      <c r="W690" s="222"/>
    </row>
    <row r="691">
      <c r="A691" s="271"/>
      <c r="B691" s="222"/>
      <c r="C691" s="222"/>
      <c r="D691" s="222"/>
      <c r="E691" s="222"/>
      <c r="F691" s="222"/>
      <c r="G691" s="222"/>
      <c r="H691" s="271"/>
      <c r="I691" s="271"/>
      <c r="J691" s="271"/>
      <c r="K691" s="271"/>
      <c r="L691" s="271"/>
      <c r="M691" s="222"/>
      <c r="N691" s="222"/>
      <c r="O691" s="222"/>
      <c r="P691" s="222"/>
      <c r="Q691" s="222"/>
      <c r="R691" s="222"/>
      <c r="S691" s="222"/>
      <c r="T691" s="222"/>
      <c r="U691" s="222"/>
      <c r="V691" s="222"/>
      <c r="W691" s="222"/>
    </row>
    <row r="692">
      <c r="A692" s="271"/>
      <c r="B692" s="222"/>
      <c r="C692" s="222"/>
      <c r="D692" s="222"/>
      <c r="E692" s="222"/>
      <c r="F692" s="222"/>
      <c r="G692" s="222"/>
      <c r="H692" s="271"/>
      <c r="I692" s="271"/>
      <c r="J692" s="271"/>
      <c r="K692" s="271"/>
      <c r="L692" s="271"/>
      <c r="M692" s="222"/>
      <c r="N692" s="222"/>
      <c r="O692" s="222"/>
      <c r="P692" s="222"/>
      <c r="Q692" s="222"/>
      <c r="R692" s="222"/>
      <c r="S692" s="222"/>
      <c r="T692" s="222"/>
      <c r="U692" s="222"/>
      <c r="V692" s="222"/>
      <c r="W692" s="222"/>
    </row>
    <row r="693">
      <c r="A693" s="271"/>
      <c r="B693" s="222"/>
      <c r="C693" s="222"/>
      <c r="D693" s="222"/>
      <c r="E693" s="222"/>
      <c r="F693" s="222"/>
      <c r="G693" s="222"/>
      <c r="H693" s="271"/>
      <c r="I693" s="271"/>
      <c r="J693" s="271"/>
      <c r="K693" s="271"/>
      <c r="L693" s="271"/>
      <c r="M693" s="222"/>
      <c r="N693" s="222"/>
      <c r="O693" s="222"/>
      <c r="P693" s="222"/>
      <c r="Q693" s="222"/>
      <c r="R693" s="222"/>
      <c r="S693" s="222"/>
      <c r="T693" s="222"/>
      <c r="U693" s="222"/>
      <c r="V693" s="222"/>
      <c r="W693" s="222"/>
    </row>
    <row r="694">
      <c r="A694" s="271"/>
      <c r="B694" s="222"/>
      <c r="C694" s="222"/>
      <c r="D694" s="222"/>
      <c r="E694" s="222"/>
      <c r="F694" s="222"/>
      <c r="G694" s="222"/>
      <c r="H694" s="271"/>
      <c r="I694" s="271"/>
      <c r="J694" s="271"/>
      <c r="K694" s="271"/>
      <c r="L694" s="271"/>
      <c r="M694" s="222"/>
      <c r="N694" s="222"/>
      <c r="O694" s="222"/>
      <c r="P694" s="222"/>
      <c r="Q694" s="222"/>
      <c r="R694" s="222"/>
      <c r="S694" s="222"/>
      <c r="T694" s="222"/>
      <c r="U694" s="222"/>
      <c r="V694" s="222"/>
      <c r="W694" s="222"/>
    </row>
    <row r="695">
      <c r="A695" s="271"/>
      <c r="B695" s="222"/>
      <c r="C695" s="222"/>
      <c r="D695" s="222"/>
      <c r="E695" s="222"/>
      <c r="F695" s="222"/>
      <c r="G695" s="222"/>
      <c r="H695" s="271"/>
      <c r="I695" s="271"/>
      <c r="J695" s="271"/>
      <c r="K695" s="271"/>
      <c r="L695" s="271"/>
      <c r="M695" s="222"/>
      <c r="N695" s="222"/>
      <c r="O695" s="222"/>
      <c r="P695" s="222"/>
      <c r="Q695" s="222"/>
      <c r="R695" s="222"/>
      <c r="S695" s="222"/>
      <c r="T695" s="222"/>
      <c r="U695" s="222"/>
      <c r="V695" s="222"/>
      <c r="W695" s="222"/>
    </row>
    <row r="696">
      <c r="A696" s="271"/>
      <c r="B696" s="222"/>
      <c r="C696" s="222"/>
      <c r="D696" s="222"/>
      <c r="E696" s="222"/>
      <c r="F696" s="222"/>
      <c r="G696" s="222"/>
      <c r="H696" s="271"/>
      <c r="I696" s="271"/>
      <c r="J696" s="271"/>
      <c r="K696" s="271"/>
      <c r="L696" s="271"/>
      <c r="M696" s="222"/>
      <c r="N696" s="222"/>
      <c r="O696" s="222"/>
      <c r="P696" s="222"/>
      <c r="Q696" s="222"/>
      <c r="R696" s="222"/>
      <c r="S696" s="222"/>
      <c r="T696" s="222"/>
      <c r="U696" s="222"/>
      <c r="V696" s="222"/>
      <c r="W696" s="222"/>
    </row>
    <row r="697">
      <c r="A697" s="271"/>
      <c r="B697" s="222"/>
      <c r="C697" s="222"/>
      <c r="D697" s="222"/>
      <c r="E697" s="222"/>
      <c r="F697" s="222"/>
      <c r="G697" s="222"/>
      <c r="H697" s="271"/>
      <c r="I697" s="271"/>
      <c r="J697" s="271"/>
      <c r="K697" s="271"/>
      <c r="L697" s="271"/>
      <c r="M697" s="222"/>
      <c r="N697" s="222"/>
      <c r="O697" s="222"/>
      <c r="P697" s="222"/>
      <c r="Q697" s="222"/>
      <c r="R697" s="222"/>
      <c r="S697" s="222"/>
      <c r="T697" s="222"/>
      <c r="U697" s="222"/>
      <c r="V697" s="222"/>
      <c r="W697" s="222"/>
    </row>
    <row r="698">
      <c r="A698" s="271"/>
      <c r="B698" s="222"/>
      <c r="C698" s="222"/>
      <c r="D698" s="222"/>
      <c r="E698" s="222"/>
      <c r="F698" s="222"/>
      <c r="G698" s="222"/>
      <c r="H698" s="271"/>
      <c r="I698" s="271"/>
      <c r="J698" s="271"/>
      <c r="K698" s="271"/>
      <c r="L698" s="271"/>
      <c r="M698" s="222"/>
      <c r="N698" s="222"/>
      <c r="O698" s="222"/>
      <c r="P698" s="222"/>
      <c r="Q698" s="222"/>
      <c r="R698" s="222"/>
      <c r="S698" s="222"/>
      <c r="T698" s="222"/>
      <c r="U698" s="222"/>
      <c r="V698" s="222"/>
      <c r="W698" s="222"/>
    </row>
    <row r="699">
      <c r="A699" s="271"/>
      <c r="B699" s="222"/>
      <c r="C699" s="222"/>
      <c r="D699" s="222"/>
      <c r="E699" s="222"/>
      <c r="F699" s="222"/>
      <c r="G699" s="222"/>
      <c r="H699" s="271"/>
      <c r="I699" s="271"/>
      <c r="J699" s="271"/>
      <c r="K699" s="271"/>
      <c r="L699" s="271"/>
      <c r="M699" s="222"/>
      <c r="N699" s="222"/>
      <c r="O699" s="222"/>
      <c r="P699" s="222"/>
      <c r="Q699" s="222"/>
      <c r="R699" s="222"/>
      <c r="S699" s="222"/>
      <c r="T699" s="222"/>
      <c r="U699" s="222"/>
      <c r="V699" s="222"/>
      <c r="W699" s="222"/>
    </row>
    <row r="700">
      <c r="A700" s="271"/>
      <c r="B700" s="222"/>
      <c r="C700" s="222"/>
      <c r="D700" s="222"/>
      <c r="E700" s="222"/>
      <c r="F700" s="222"/>
      <c r="G700" s="222"/>
      <c r="H700" s="271"/>
      <c r="I700" s="271"/>
      <c r="J700" s="271"/>
      <c r="K700" s="271"/>
      <c r="L700" s="271"/>
      <c r="M700" s="222"/>
      <c r="N700" s="222"/>
      <c r="O700" s="222"/>
      <c r="P700" s="222"/>
      <c r="Q700" s="222"/>
      <c r="R700" s="222"/>
      <c r="S700" s="222"/>
      <c r="T700" s="222"/>
      <c r="U700" s="222"/>
      <c r="V700" s="222"/>
      <c r="W700" s="222"/>
    </row>
    <row r="701">
      <c r="A701" s="271"/>
      <c r="B701" s="222"/>
      <c r="C701" s="222"/>
      <c r="D701" s="222"/>
      <c r="E701" s="222"/>
      <c r="F701" s="222"/>
      <c r="G701" s="222"/>
      <c r="H701" s="271"/>
      <c r="I701" s="271"/>
      <c r="J701" s="271"/>
      <c r="K701" s="271"/>
      <c r="L701" s="271"/>
      <c r="M701" s="222"/>
      <c r="N701" s="222"/>
      <c r="O701" s="222"/>
      <c r="P701" s="222"/>
      <c r="Q701" s="222"/>
      <c r="R701" s="222"/>
      <c r="S701" s="222"/>
      <c r="T701" s="222"/>
      <c r="U701" s="222"/>
      <c r="V701" s="222"/>
      <c r="W701" s="222"/>
    </row>
    <row r="702">
      <c r="A702" s="271"/>
      <c r="B702" s="222"/>
      <c r="C702" s="222"/>
      <c r="D702" s="222"/>
      <c r="E702" s="222"/>
      <c r="F702" s="222"/>
      <c r="G702" s="222"/>
      <c r="H702" s="271"/>
      <c r="I702" s="271"/>
      <c r="J702" s="271"/>
      <c r="K702" s="271"/>
      <c r="L702" s="271"/>
      <c r="M702" s="222"/>
      <c r="N702" s="222"/>
      <c r="O702" s="222"/>
      <c r="P702" s="222"/>
      <c r="Q702" s="222"/>
      <c r="R702" s="222"/>
      <c r="S702" s="222"/>
      <c r="T702" s="222"/>
      <c r="U702" s="222"/>
      <c r="V702" s="222"/>
      <c r="W702" s="222"/>
    </row>
    <row r="703">
      <c r="A703" s="271"/>
      <c r="B703" s="222"/>
      <c r="C703" s="222"/>
      <c r="D703" s="222"/>
      <c r="E703" s="222"/>
      <c r="F703" s="222"/>
      <c r="G703" s="222"/>
      <c r="H703" s="271"/>
      <c r="I703" s="271"/>
      <c r="J703" s="271"/>
      <c r="K703" s="271"/>
      <c r="L703" s="271"/>
      <c r="M703" s="222"/>
      <c r="N703" s="222"/>
      <c r="O703" s="222"/>
      <c r="P703" s="222"/>
      <c r="Q703" s="222"/>
      <c r="R703" s="222"/>
      <c r="S703" s="222"/>
      <c r="T703" s="222"/>
      <c r="U703" s="222"/>
      <c r="V703" s="222"/>
      <c r="W703" s="222"/>
    </row>
    <row r="704">
      <c r="A704" s="271"/>
      <c r="B704" s="222"/>
      <c r="C704" s="222"/>
      <c r="D704" s="222"/>
      <c r="E704" s="222"/>
      <c r="F704" s="222"/>
      <c r="G704" s="222"/>
      <c r="H704" s="271"/>
      <c r="I704" s="271"/>
      <c r="J704" s="271"/>
      <c r="K704" s="271"/>
      <c r="L704" s="271"/>
      <c r="M704" s="222"/>
      <c r="N704" s="222"/>
      <c r="O704" s="222"/>
      <c r="P704" s="222"/>
      <c r="Q704" s="222"/>
      <c r="R704" s="222"/>
      <c r="S704" s="222"/>
      <c r="T704" s="222"/>
      <c r="U704" s="222"/>
      <c r="V704" s="222"/>
      <c r="W704" s="222"/>
    </row>
    <row r="705">
      <c r="A705" s="271"/>
      <c r="B705" s="222"/>
      <c r="C705" s="222"/>
      <c r="D705" s="222"/>
      <c r="E705" s="222"/>
      <c r="F705" s="222"/>
      <c r="G705" s="222"/>
      <c r="H705" s="271"/>
      <c r="I705" s="271"/>
      <c r="J705" s="271"/>
      <c r="K705" s="271"/>
      <c r="L705" s="271"/>
      <c r="M705" s="222"/>
      <c r="N705" s="222"/>
      <c r="O705" s="222"/>
      <c r="P705" s="222"/>
      <c r="Q705" s="222"/>
      <c r="R705" s="222"/>
      <c r="S705" s="222"/>
      <c r="T705" s="222"/>
      <c r="U705" s="222"/>
      <c r="V705" s="222"/>
      <c r="W705" s="222"/>
    </row>
    <row r="706">
      <c r="A706" s="271"/>
      <c r="B706" s="222"/>
      <c r="C706" s="222"/>
      <c r="D706" s="222"/>
      <c r="E706" s="222"/>
      <c r="F706" s="222"/>
      <c r="G706" s="222"/>
      <c r="H706" s="271"/>
      <c r="I706" s="271"/>
      <c r="J706" s="271"/>
      <c r="K706" s="271"/>
      <c r="L706" s="271"/>
      <c r="M706" s="222"/>
      <c r="N706" s="222"/>
      <c r="O706" s="222"/>
      <c r="P706" s="222"/>
      <c r="Q706" s="222"/>
      <c r="R706" s="222"/>
      <c r="S706" s="222"/>
      <c r="T706" s="222"/>
      <c r="U706" s="222"/>
      <c r="V706" s="222"/>
      <c r="W706" s="222"/>
    </row>
    <row r="707">
      <c r="A707" s="271"/>
      <c r="B707" s="222"/>
      <c r="C707" s="222"/>
      <c r="D707" s="222"/>
      <c r="E707" s="222"/>
      <c r="F707" s="222"/>
      <c r="G707" s="222"/>
      <c r="H707" s="271"/>
      <c r="I707" s="271"/>
      <c r="J707" s="271"/>
      <c r="K707" s="271"/>
      <c r="L707" s="271"/>
      <c r="M707" s="222"/>
      <c r="N707" s="222"/>
      <c r="O707" s="222"/>
      <c r="P707" s="222"/>
      <c r="Q707" s="222"/>
      <c r="R707" s="222"/>
      <c r="S707" s="222"/>
      <c r="T707" s="222"/>
      <c r="U707" s="222"/>
      <c r="V707" s="222"/>
      <c r="W707" s="222"/>
    </row>
    <row r="708">
      <c r="A708" s="271"/>
      <c r="B708" s="222"/>
      <c r="C708" s="222"/>
      <c r="D708" s="222"/>
      <c r="E708" s="222"/>
      <c r="F708" s="222"/>
      <c r="G708" s="222"/>
      <c r="H708" s="271"/>
      <c r="I708" s="271"/>
      <c r="J708" s="271"/>
      <c r="K708" s="271"/>
      <c r="L708" s="271"/>
      <c r="M708" s="222"/>
      <c r="N708" s="222"/>
      <c r="O708" s="222"/>
      <c r="P708" s="222"/>
      <c r="Q708" s="222"/>
      <c r="R708" s="222"/>
      <c r="S708" s="222"/>
      <c r="T708" s="222"/>
      <c r="U708" s="222"/>
      <c r="V708" s="222"/>
      <c r="W708" s="222"/>
    </row>
    <row r="709">
      <c r="A709" s="271"/>
      <c r="B709" s="222"/>
      <c r="C709" s="222"/>
      <c r="D709" s="222"/>
      <c r="E709" s="222"/>
      <c r="F709" s="222"/>
      <c r="G709" s="222"/>
      <c r="H709" s="271"/>
      <c r="I709" s="271"/>
      <c r="J709" s="271"/>
      <c r="K709" s="271"/>
      <c r="L709" s="271"/>
      <c r="M709" s="222"/>
      <c r="N709" s="222"/>
      <c r="O709" s="222"/>
      <c r="P709" s="222"/>
      <c r="Q709" s="222"/>
      <c r="R709" s="222"/>
      <c r="S709" s="222"/>
      <c r="T709" s="222"/>
      <c r="U709" s="222"/>
      <c r="V709" s="222"/>
      <c r="W709" s="222"/>
    </row>
    <row r="710">
      <c r="A710" s="271"/>
      <c r="B710" s="222"/>
      <c r="C710" s="222"/>
      <c r="D710" s="222"/>
      <c r="E710" s="222"/>
      <c r="F710" s="222"/>
      <c r="G710" s="222"/>
      <c r="H710" s="271"/>
      <c r="I710" s="271"/>
      <c r="J710" s="271"/>
      <c r="K710" s="271"/>
      <c r="L710" s="271"/>
      <c r="M710" s="222"/>
      <c r="N710" s="222"/>
      <c r="O710" s="222"/>
      <c r="P710" s="222"/>
      <c r="Q710" s="222"/>
      <c r="R710" s="222"/>
      <c r="S710" s="222"/>
      <c r="T710" s="222"/>
      <c r="U710" s="222"/>
      <c r="V710" s="222"/>
      <c r="W710" s="222"/>
    </row>
    <row r="711">
      <c r="A711" s="271"/>
      <c r="B711" s="222"/>
      <c r="C711" s="222"/>
      <c r="D711" s="222"/>
      <c r="E711" s="222"/>
      <c r="F711" s="222"/>
      <c r="G711" s="222"/>
      <c r="H711" s="271"/>
      <c r="I711" s="271"/>
      <c r="J711" s="271"/>
      <c r="K711" s="271"/>
      <c r="L711" s="271"/>
      <c r="M711" s="222"/>
      <c r="N711" s="222"/>
      <c r="O711" s="222"/>
      <c r="P711" s="222"/>
      <c r="Q711" s="222"/>
      <c r="R711" s="222"/>
      <c r="S711" s="222"/>
      <c r="T711" s="222"/>
      <c r="U711" s="222"/>
      <c r="V711" s="222"/>
      <c r="W711" s="222"/>
    </row>
    <row r="712">
      <c r="A712" s="271"/>
      <c r="B712" s="222"/>
      <c r="C712" s="222"/>
      <c r="D712" s="222"/>
      <c r="E712" s="222"/>
      <c r="F712" s="222"/>
      <c r="G712" s="222"/>
      <c r="H712" s="271"/>
      <c r="I712" s="271"/>
      <c r="J712" s="271"/>
      <c r="K712" s="271"/>
      <c r="L712" s="271"/>
      <c r="M712" s="222"/>
      <c r="N712" s="222"/>
      <c r="O712" s="222"/>
      <c r="P712" s="222"/>
      <c r="Q712" s="222"/>
      <c r="R712" s="222"/>
      <c r="S712" s="222"/>
      <c r="T712" s="222"/>
      <c r="U712" s="222"/>
      <c r="V712" s="222"/>
      <c r="W712" s="222"/>
    </row>
    <row r="713">
      <c r="A713" s="271"/>
      <c r="B713" s="222"/>
      <c r="C713" s="222"/>
      <c r="D713" s="222"/>
      <c r="E713" s="222"/>
      <c r="F713" s="222"/>
      <c r="G713" s="222"/>
      <c r="H713" s="271"/>
      <c r="I713" s="271"/>
      <c r="J713" s="271"/>
      <c r="K713" s="271"/>
      <c r="L713" s="271"/>
      <c r="M713" s="222"/>
      <c r="N713" s="222"/>
      <c r="O713" s="222"/>
      <c r="P713" s="222"/>
      <c r="Q713" s="222"/>
      <c r="R713" s="222"/>
      <c r="S713" s="222"/>
      <c r="T713" s="222"/>
      <c r="U713" s="222"/>
      <c r="V713" s="222"/>
      <c r="W713" s="222"/>
    </row>
    <row r="714">
      <c r="A714" s="271"/>
      <c r="B714" s="222"/>
      <c r="C714" s="222"/>
      <c r="D714" s="222"/>
      <c r="E714" s="222"/>
      <c r="F714" s="222"/>
      <c r="G714" s="222"/>
      <c r="H714" s="271"/>
      <c r="I714" s="271"/>
      <c r="J714" s="271"/>
      <c r="K714" s="271"/>
      <c r="L714" s="271"/>
      <c r="M714" s="222"/>
      <c r="N714" s="222"/>
      <c r="O714" s="222"/>
      <c r="P714" s="222"/>
      <c r="Q714" s="222"/>
      <c r="R714" s="222"/>
      <c r="S714" s="222"/>
      <c r="T714" s="222"/>
      <c r="U714" s="222"/>
      <c r="V714" s="222"/>
      <c r="W714" s="222"/>
    </row>
    <row r="715">
      <c r="A715" s="271"/>
      <c r="B715" s="222"/>
      <c r="C715" s="222"/>
      <c r="D715" s="222"/>
      <c r="E715" s="222"/>
      <c r="F715" s="222"/>
      <c r="G715" s="222"/>
      <c r="H715" s="271"/>
      <c r="I715" s="271"/>
      <c r="J715" s="271"/>
      <c r="K715" s="271"/>
      <c r="L715" s="271"/>
      <c r="M715" s="222"/>
      <c r="N715" s="222"/>
      <c r="O715" s="222"/>
      <c r="P715" s="222"/>
      <c r="Q715" s="222"/>
      <c r="R715" s="222"/>
      <c r="S715" s="222"/>
      <c r="T715" s="222"/>
      <c r="U715" s="222"/>
      <c r="V715" s="222"/>
      <c r="W715" s="222"/>
    </row>
    <row r="716">
      <c r="A716" s="271"/>
      <c r="B716" s="222"/>
      <c r="C716" s="222"/>
      <c r="D716" s="222"/>
      <c r="E716" s="222"/>
      <c r="F716" s="222"/>
      <c r="G716" s="222"/>
      <c r="H716" s="271"/>
      <c r="I716" s="271"/>
      <c r="J716" s="271"/>
      <c r="K716" s="271"/>
      <c r="L716" s="271"/>
      <c r="M716" s="222"/>
      <c r="N716" s="222"/>
      <c r="O716" s="222"/>
      <c r="P716" s="222"/>
      <c r="Q716" s="222"/>
      <c r="R716" s="222"/>
      <c r="S716" s="222"/>
      <c r="T716" s="222"/>
      <c r="U716" s="222"/>
      <c r="V716" s="222"/>
      <c r="W716" s="222"/>
    </row>
    <row r="717">
      <c r="A717" s="271"/>
      <c r="B717" s="222"/>
      <c r="C717" s="222"/>
      <c r="D717" s="222"/>
      <c r="E717" s="222"/>
      <c r="F717" s="222"/>
      <c r="G717" s="222"/>
      <c r="H717" s="271"/>
      <c r="I717" s="271"/>
      <c r="J717" s="271"/>
      <c r="K717" s="271"/>
      <c r="L717" s="271"/>
      <c r="M717" s="222"/>
      <c r="N717" s="222"/>
      <c r="O717" s="222"/>
      <c r="P717" s="222"/>
      <c r="Q717" s="222"/>
      <c r="R717" s="222"/>
      <c r="S717" s="222"/>
      <c r="T717" s="222"/>
      <c r="U717" s="222"/>
      <c r="V717" s="222"/>
      <c r="W717" s="222"/>
    </row>
    <row r="718">
      <c r="A718" s="271"/>
      <c r="B718" s="222"/>
      <c r="C718" s="222"/>
      <c r="D718" s="222"/>
      <c r="E718" s="222"/>
      <c r="F718" s="222"/>
      <c r="G718" s="222"/>
      <c r="H718" s="271"/>
      <c r="I718" s="271"/>
      <c r="J718" s="271"/>
      <c r="K718" s="271"/>
      <c r="L718" s="271"/>
      <c r="M718" s="222"/>
      <c r="N718" s="222"/>
      <c r="O718" s="222"/>
      <c r="P718" s="222"/>
      <c r="Q718" s="222"/>
      <c r="R718" s="222"/>
      <c r="S718" s="222"/>
      <c r="T718" s="222"/>
      <c r="U718" s="222"/>
      <c r="V718" s="222"/>
      <c r="W718" s="222"/>
    </row>
    <row r="719">
      <c r="A719" s="271"/>
      <c r="B719" s="222"/>
      <c r="C719" s="222"/>
      <c r="D719" s="222"/>
      <c r="E719" s="222"/>
      <c r="F719" s="222"/>
      <c r="G719" s="222"/>
      <c r="H719" s="271"/>
      <c r="I719" s="271"/>
      <c r="J719" s="271"/>
      <c r="K719" s="271"/>
      <c r="L719" s="271"/>
      <c r="M719" s="222"/>
      <c r="N719" s="222"/>
      <c r="O719" s="222"/>
      <c r="P719" s="222"/>
      <c r="Q719" s="222"/>
      <c r="R719" s="222"/>
      <c r="S719" s="222"/>
      <c r="T719" s="222"/>
      <c r="U719" s="222"/>
      <c r="V719" s="222"/>
      <c r="W719" s="222"/>
    </row>
    <row r="720">
      <c r="A720" s="271"/>
      <c r="B720" s="222"/>
      <c r="C720" s="222"/>
      <c r="D720" s="222"/>
      <c r="E720" s="222"/>
      <c r="F720" s="222"/>
      <c r="G720" s="222"/>
      <c r="H720" s="271"/>
      <c r="I720" s="271"/>
      <c r="J720" s="271"/>
      <c r="K720" s="271"/>
      <c r="L720" s="271"/>
      <c r="M720" s="222"/>
      <c r="N720" s="222"/>
      <c r="O720" s="222"/>
      <c r="P720" s="222"/>
      <c r="Q720" s="222"/>
      <c r="R720" s="222"/>
      <c r="S720" s="222"/>
      <c r="T720" s="222"/>
      <c r="U720" s="222"/>
      <c r="V720" s="222"/>
      <c r="W720" s="222"/>
    </row>
    <row r="721">
      <c r="A721" s="271"/>
      <c r="B721" s="222"/>
      <c r="C721" s="222"/>
      <c r="D721" s="222"/>
      <c r="E721" s="222"/>
      <c r="F721" s="222"/>
      <c r="G721" s="222"/>
      <c r="H721" s="271"/>
      <c r="I721" s="271"/>
      <c r="J721" s="271"/>
      <c r="K721" s="271"/>
      <c r="L721" s="271"/>
      <c r="M721" s="222"/>
      <c r="N721" s="222"/>
      <c r="O721" s="222"/>
      <c r="P721" s="222"/>
      <c r="Q721" s="222"/>
      <c r="R721" s="222"/>
      <c r="S721" s="222"/>
      <c r="T721" s="222"/>
      <c r="U721" s="222"/>
      <c r="V721" s="222"/>
      <c r="W721" s="222"/>
    </row>
    <row r="722">
      <c r="A722" s="271"/>
      <c r="B722" s="222"/>
      <c r="C722" s="222"/>
      <c r="D722" s="222"/>
      <c r="E722" s="222"/>
      <c r="F722" s="222"/>
      <c r="G722" s="222"/>
      <c r="H722" s="271"/>
      <c r="I722" s="271"/>
      <c r="J722" s="271"/>
      <c r="K722" s="271"/>
      <c r="L722" s="271"/>
      <c r="M722" s="222"/>
      <c r="N722" s="222"/>
      <c r="O722" s="222"/>
      <c r="P722" s="222"/>
      <c r="Q722" s="222"/>
      <c r="R722" s="222"/>
      <c r="S722" s="222"/>
      <c r="T722" s="222"/>
      <c r="U722" s="222"/>
      <c r="V722" s="222"/>
      <c r="W722" s="222"/>
    </row>
    <row r="723">
      <c r="A723" s="271"/>
      <c r="B723" s="222"/>
      <c r="C723" s="222"/>
      <c r="D723" s="222"/>
      <c r="E723" s="222"/>
      <c r="F723" s="222"/>
      <c r="G723" s="222"/>
      <c r="H723" s="271"/>
      <c r="I723" s="271"/>
      <c r="J723" s="271"/>
      <c r="K723" s="271"/>
      <c r="L723" s="271"/>
      <c r="M723" s="222"/>
      <c r="N723" s="222"/>
      <c r="O723" s="222"/>
      <c r="P723" s="222"/>
      <c r="Q723" s="222"/>
      <c r="R723" s="222"/>
      <c r="S723" s="222"/>
      <c r="T723" s="222"/>
      <c r="U723" s="222"/>
      <c r="V723" s="222"/>
      <c r="W723" s="222"/>
    </row>
    <row r="724">
      <c r="A724" s="271"/>
      <c r="B724" s="222"/>
      <c r="C724" s="222"/>
      <c r="D724" s="222"/>
      <c r="E724" s="222"/>
      <c r="F724" s="222"/>
      <c r="G724" s="222"/>
      <c r="H724" s="271"/>
      <c r="I724" s="271"/>
      <c r="J724" s="271"/>
      <c r="K724" s="271"/>
      <c r="L724" s="271"/>
      <c r="M724" s="222"/>
      <c r="N724" s="222"/>
      <c r="O724" s="222"/>
      <c r="P724" s="222"/>
      <c r="Q724" s="222"/>
      <c r="R724" s="222"/>
      <c r="S724" s="222"/>
      <c r="T724" s="222"/>
      <c r="U724" s="222"/>
      <c r="V724" s="222"/>
      <c r="W724" s="222"/>
    </row>
    <row r="725">
      <c r="A725" s="271"/>
      <c r="B725" s="222"/>
      <c r="C725" s="222"/>
      <c r="D725" s="222"/>
      <c r="E725" s="222"/>
      <c r="F725" s="222"/>
      <c r="G725" s="222"/>
      <c r="H725" s="271"/>
      <c r="I725" s="271"/>
      <c r="J725" s="271"/>
      <c r="K725" s="271"/>
      <c r="L725" s="271"/>
      <c r="M725" s="222"/>
      <c r="N725" s="222"/>
      <c r="O725" s="222"/>
      <c r="P725" s="222"/>
      <c r="Q725" s="222"/>
      <c r="R725" s="222"/>
      <c r="S725" s="222"/>
      <c r="T725" s="222"/>
      <c r="U725" s="222"/>
      <c r="V725" s="222"/>
      <c r="W725" s="222"/>
    </row>
    <row r="726">
      <c r="A726" s="271"/>
      <c r="B726" s="222"/>
      <c r="C726" s="222"/>
      <c r="D726" s="222"/>
      <c r="E726" s="222"/>
      <c r="F726" s="222"/>
      <c r="G726" s="222"/>
      <c r="H726" s="271"/>
      <c r="I726" s="271"/>
      <c r="J726" s="271"/>
      <c r="K726" s="271"/>
      <c r="L726" s="271"/>
      <c r="M726" s="222"/>
      <c r="N726" s="222"/>
      <c r="O726" s="222"/>
      <c r="P726" s="222"/>
      <c r="Q726" s="222"/>
      <c r="R726" s="222"/>
      <c r="S726" s="222"/>
      <c r="T726" s="222"/>
      <c r="U726" s="222"/>
      <c r="V726" s="222"/>
      <c r="W726" s="222"/>
    </row>
    <row r="727">
      <c r="A727" s="271"/>
      <c r="B727" s="222"/>
      <c r="C727" s="222"/>
      <c r="D727" s="222"/>
      <c r="E727" s="222"/>
      <c r="F727" s="222"/>
      <c r="G727" s="222"/>
      <c r="H727" s="271"/>
      <c r="I727" s="271"/>
      <c r="J727" s="271"/>
      <c r="K727" s="271"/>
      <c r="L727" s="271"/>
      <c r="M727" s="222"/>
      <c r="N727" s="222"/>
      <c r="O727" s="222"/>
      <c r="P727" s="222"/>
      <c r="Q727" s="222"/>
      <c r="R727" s="222"/>
      <c r="S727" s="222"/>
      <c r="T727" s="222"/>
      <c r="U727" s="222"/>
      <c r="V727" s="222"/>
      <c r="W727" s="222"/>
    </row>
    <row r="728">
      <c r="A728" s="271"/>
      <c r="B728" s="222"/>
      <c r="C728" s="222"/>
      <c r="D728" s="222"/>
      <c r="E728" s="222"/>
      <c r="F728" s="222"/>
      <c r="G728" s="222"/>
      <c r="H728" s="271"/>
      <c r="I728" s="271"/>
      <c r="J728" s="271"/>
      <c r="K728" s="271"/>
      <c r="L728" s="271"/>
      <c r="M728" s="222"/>
      <c r="N728" s="222"/>
      <c r="O728" s="222"/>
      <c r="P728" s="222"/>
      <c r="Q728" s="222"/>
      <c r="R728" s="222"/>
      <c r="S728" s="222"/>
      <c r="T728" s="222"/>
      <c r="U728" s="222"/>
      <c r="V728" s="222"/>
      <c r="W728" s="222"/>
    </row>
    <row r="729">
      <c r="A729" s="271"/>
      <c r="B729" s="222"/>
      <c r="C729" s="222"/>
      <c r="D729" s="222"/>
      <c r="E729" s="222"/>
      <c r="F729" s="222"/>
      <c r="G729" s="222"/>
      <c r="H729" s="271"/>
      <c r="I729" s="271"/>
      <c r="J729" s="271"/>
      <c r="K729" s="271"/>
      <c r="L729" s="271"/>
      <c r="M729" s="222"/>
      <c r="N729" s="222"/>
      <c r="O729" s="222"/>
      <c r="P729" s="222"/>
      <c r="Q729" s="222"/>
      <c r="R729" s="222"/>
      <c r="S729" s="222"/>
      <c r="T729" s="222"/>
      <c r="U729" s="222"/>
      <c r="V729" s="222"/>
      <c r="W729" s="222"/>
    </row>
    <row r="730">
      <c r="A730" s="271"/>
      <c r="B730" s="222"/>
      <c r="C730" s="222"/>
      <c r="D730" s="222"/>
      <c r="E730" s="222"/>
      <c r="F730" s="222"/>
      <c r="G730" s="222"/>
      <c r="H730" s="271"/>
      <c r="I730" s="271"/>
      <c r="J730" s="271"/>
      <c r="K730" s="271"/>
      <c r="L730" s="271"/>
      <c r="M730" s="222"/>
      <c r="N730" s="222"/>
      <c r="O730" s="222"/>
      <c r="P730" s="222"/>
      <c r="Q730" s="222"/>
      <c r="R730" s="222"/>
      <c r="S730" s="222"/>
      <c r="T730" s="222"/>
      <c r="U730" s="222"/>
      <c r="V730" s="222"/>
      <c r="W730" s="222"/>
    </row>
    <row r="731">
      <c r="A731" s="271"/>
      <c r="B731" s="222"/>
      <c r="C731" s="222"/>
      <c r="D731" s="222"/>
      <c r="E731" s="222"/>
      <c r="F731" s="222"/>
      <c r="G731" s="222"/>
      <c r="H731" s="271"/>
      <c r="I731" s="271"/>
      <c r="J731" s="271"/>
      <c r="K731" s="271"/>
      <c r="L731" s="271"/>
      <c r="M731" s="222"/>
      <c r="N731" s="222"/>
      <c r="O731" s="222"/>
      <c r="P731" s="222"/>
      <c r="Q731" s="222"/>
      <c r="R731" s="222"/>
      <c r="S731" s="222"/>
      <c r="T731" s="222"/>
      <c r="U731" s="222"/>
      <c r="V731" s="222"/>
      <c r="W731" s="222"/>
    </row>
    <row r="732">
      <c r="A732" s="271"/>
      <c r="B732" s="222"/>
      <c r="C732" s="222"/>
      <c r="D732" s="222"/>
      <c r="E732" s="222"/>
      <c r="F732" s="222"/>
      <c r="G732" s="222"/>
      <c r="H732" s="271"/>
      <c r="I732" s="271"/>
      <c r="J732" s="271"/>
      <c r="K732" s="271"/>
      <c r="L732" s="271"/>
      <c r="M732" s="222"/>
      <c r="N732" s="222"/>
      <c r="O732" s="222"/>
      <c r="P732" s="222"/>
      <c r="Q732" s="222"/>
      <c r="R732" s="222"/>
      <c r="S732" s="222"/>
      <c r="T732" s="222"/>
      <c r="U732" s="222"/>
      <c r="V732" s="222"/>
      <c r="W732" s="222"/>
    </row>
    <row r="733">
      <c r="A733" s="271"/>
      <c r="B733" s="222"/>
      <c r="C733" s="222"/>
      <c r="D733" s="222"/>
      <c r="E733" s="222"/>
      <c r="F733" s="222"/>
      <c r="G733" s="222"/>
      <c r="H733" s="271"/>
      <c r="I733" s="271"/>
      <c r="J733" s="271"/>
      <c r="K733" s="271"/>
      <c r="L733" s="271"/>
      <c r="M733" s="222"/>
      <c r="N733" s="222"/>
      <c r="O733" s="222"/>
      <c r="P733" s="222"/>
      <c r="Q733" s="222"/>
      <c r="R733" s="222"/>
      <c r="S733" s="222"/>
      <c r="T733" s="222"/>
      <c r="U733" s="222"/>
      <c r="V733" s="222"/>
      <c r="W733" s="222"/>
    </row>
    <row r="734">
      <c r="A734" s="271"/>
      <c r="B734" s="222"/>
      <c r="C734" s="222"/>
      <c r="D734" s="222"/>
      <c r="E734" s="222"/>
      <c r="F734" s="222"/>
      <c r="G734" s="222"/>
      <c r="H734" s="271"/>
      <c r="I734" s="271"/>
      <c r="J734" s="271"/>
      <c r="K734" s="271"/>
      <c r="L734" s="271"/>
      <c r="M734" s="222"/>
      <c r="N734" s="222"/>
      <c r="O734" s="222"/>
      <c r="P734" s="222"/>
      <c r="Q734" s="222"/>
      <c r="R734" s="222"/>
      <c r="S734" s="222"/>
      <c r="T734" s="222"/>
      <c r="U734" s="222"/>
      <c r="V734" s="222"/>
      <c r="W734" s="222"/>
    </row>
    <row r="735">
      <c r="A735" s="271"/>
      <c r="B735" s="222"/>
      <c r="C735" s="222"/>
      <c r="D735" s="222"/>
      <c r="E735" s="222"/>
      <c r="F735" s="222"/>
      <c r="G735" s="222"/>
      <c r="H735" s="271"/>
      <c r="I735" s="271"/>
      <c r="J735" s="271"/>
      <c r="K735" s="271"/>
      <c r="L735" s="271"/>
      <c r="M735" s="222"/>
      <c r="N735" s="222"/>
      <c r="O735" s="222"/>
      <c r="P735" s="222"/>
      <c r="Q735" s="222"/>
      <c r="R735" s="222"/>
      <c r="S735" s="222"/>
      <c r="T735" s="222"/>
      <c r="U735" s="222"/>
      <c r="V735" s="222"/>
      <c r="W735" s="222"/>
    </row>
    <row r="736">
      <c r="A736" s="271"/>
      <c r="B736" s="222"/>
      <c r="C736" s="222"/>
      <c r="D736" s="222"/>
      <c r="E736" s="222"/>
      <c r="F736" s="222"/>
      <c r="G736" s="222"/>
      <c r="H736" s="271"/>
      <c r="I736" s="271"/>
      <c r="J736" s="271"/>
      <c r="K736" s="271"/>
      <c r="L736" s="271"/>
      <c r="M736" s="222"/>
      <c r="N736" s="222"/>
      <c r="O736" s="222"/>
      <c r="P736" s="222"/>
      <c r="Q736" s="222"/>
      <c r="R736" s="222"/>
      <c r="S736" s="222"/>
      <c r="T736" s="222"/>
      <c r="U736" s="222"/>
      <c r="V736" s="222"/>
      <c r="W736" s="222"/>
    </row>
    <row r="737">
      <c r="A737" s="271"/>
      <c r="B737" s="222"/>
      <c r="C737" s="222"/>
      <c r="D737" s="222"/>
      <c r="E737" s="222"/>
      <c r="F737" s="222"/>
      <c r="G737" s="222"/>
      <c r="H737" s="271"/>
      <c r="I737" s="271"/>
      <c r="J737" s="271"/>
      <c r="K737" s="271"/>
      <c r="L737" s="271"/>
      <c r="M737" s="222"/>
      <c r="N737" s="222"/>
      <c r="O737" s="222"/>
      <c r="P737" s="222"/>
      <c r="Q737" s="222"/>
      <c r="R737" s="222"/>
      <c r="S737" s="222"/>
      <c r="T737" s="222"/>
      <c r="U737" s="222"/>
      <c r="V737" s="222"/>
      <c r="W737" s="222"/>
    </row>
    <row r="738">
      <c r="A738" s="271"/>
      <c r="B738" s="222"/>
      <c r="C738" s="222"/>
      <c r="D738" s="222"/>
      <c r="E738" s="222"/>
      <c r="F738" s="222"/>
      <c r="G738" s="222"/>
      <c r="H738" s="271"/>
      <c r="I738" s="271"/>
      <c r="J738" s="271"/>
      <c r="K738" s="271"/>
      <c r="L738" s="271"/>
      <c r="M738" s="222"/>
      <c r="N738" s="222"/>
      <c r="O738" s="222"/>
      <c r="P738" s="222"/>
      <c r="Q738" s="222"/>
      <c r="R738" s="222"/>
      <c r="S738" s="222"/>
      <c r="T738" s="222"/>
      <c r="U738" s="222"/>
      <c r="V738" s="222"/>
      <c r="W738" s="222"/>
    </row>
    <row r="739">
      <c r="A739" s="271"/>
      <c r="B739" s="222"/>
      <c r="C739" s="222"/>
      <c r="D739" s="222"/>
      <c r="E739" s="222"/>
      <c r="F739" s="222"/>
      <c r="G739" s="222"/>
      <c r="H739" s="271"/>
      <c r="I739" s="271"/>
      <c r="J739" s="271"/>
      <c r="K739" s="271"/>
      <c r="L739" s="271"/>
      <c r="M739" s="222"/>
      <c r="N739" s="222"/>
      <c r="O739" s="222"/>
      <c r="P739" s="222"/>
      <c r="Q739" s="222"/>
      <c r="R739" s="222"/>
      <c r="S739" s="222"/>
      <c r="T739" s="222"/>
      <c r="U739" s="222"/>
      <c r="V739" s="222"/>
      <c r="W739" s="222"/>
    </row>
    <row r="740">
      <c r="A740" s="271"/>
      <c r="B740" s="222"/>
      <c r="C740" s="222"/>
      <c r="D740" s="222"/>
      <c r="E740" s="222"/>
      <c r="F740" s="222"/>
      <c r="G740" s="222"/>
      <c r="H740" s="271"/>
      <c r="I740" s="271"/>
      <c r="J740" s="271"/>
      <c r="K740" s="271"/>
      <c r="L740" s="271"/>
      <c r="M740" s="222"/>
      <c r="N740" s="222"/>
      <c r="O740" s="222"/>
      <c r="P740" s="222"/>
      <c r="Q740" s="222"/>
      <c r="R740" s="222"/>
      <c r="S740" s="222"/>
      <c r="T740" s="222"/>
      <c r="U740" s="222"/>
      <c r="V740" s="222"/>
      <c r="W740" s="222"/>
    </row>
    <row r="741">
      <c r="A741" s="271"/>
      <c r="B741" s="222"/>
      <c r="C741" s="222"/>
      <c r="D741" s="222"/>
      <c r="E741" s="222"/>
      <c r="F741" s="222"/>
      <c r="G741" s="222"/>
      <c r="H741" s="271"/>
      <c r="I741" s="271"/>
      <c r="J741" s="271"/>
      <c r="K741" s="271"/>
      <c r="L741" s="271"/>
      <c r="M741" s="222"/>
      <c r="N741" s="222"/>
      <c r="O741" s="222"/>
      <c r="P741" s="222"/>
      <c r="Q741" s="222"/>
      <c r="R741" s="222"/>
      <c r="S741" s="222"/>
      <c r="T741" s="222"/>
      <c r="U741" s="222"/>
      <c r="V741" s="222"/>
      <c r="W741" s="222"/>
    </row>
    <row r="742">
      <c r="A742" s="271"/>
      <c r="B742" s="222"/>
      <c r="C742" s="222"/>
      <c r="D742" s="222"/>
      <c r="E742" s="222"/>
      <c r="F742" s="222"/>
      <c r="G742" s="222"/>
      <c r="H742" s="271"/>
      <c r="I742" s="271"/>
      <c r="J742" s="271"/>
      <c r="K742" s="271"/>
      <c r="L742" s="271"/>
      <c r="M742" s="222"/>
      <c r="N742" s="222"/>
      <c r="O742" s="222"/>
      <c r="P742" s="222"/>
      <c r="Q742" s="222"/>
      <c r="R742" s="222"/>
      <c r="S742" s="222"/>
      <c r="T742" s="222"/>
      <c r="U742" s="222"/>
      <c r="V742" s="222"/>
      <c r="W742" s="222"/>
    </row>
    <row r="743">
      <c r="A743" s="271"/>
      <c r="B743" s="222"/>
      <c r="C743" s="222"/>
      <c r="D743" s="222"/>
      <c r="E743" s="222"/>
      <c r="F743" s="222"/>
      <c r="G743" s="222"/>
      <c r="H743" s="271"/>
      <c r="I743" s="271"/>
      <c r="J743" s="271"/>
      <c r="K743" s="271"/>
      <c r="L743" s="271"/>
      <c r="M743" s="222"/>
      <c r="N743" s="222"/>
      <c r="O743" s="222"/>
      <c r="P743" s="222"/>
      <c r="Q743" s="222"/>
      <c r="R743" s="222"/>
      <c r="S743" s="222"/>
      <c r="T743" s="222"/>
      <c r="U743" s="222"/>
      <c r="V743" s="222"/>
      <c r="W743" s="222"/>
    </row>
    <row r="744">
      <c r="A744" s="271"/>
      <c r="B744" s="222"/>
      <c r="C744" s="222"/>
      <c r="D744" s="222"/>
      <c r="E744" s="222"/>
      <c r="F744" s="222"/>
      <c r="G744" s="222"/>
      <c r="H744" s="271"/>
      <c r="I744" s="271"/>
      <c r="J744" s="271"/>
      <c r="K744" s="271"/>
      <c r="L744" s="271"/>
      <c r="M744" s="222"/>
      <c r="N744" s="222"/>
      <c r="O744" s="222"/>
      <c r="P744" s="222"/>
      <c r="Q744" s="222"/>
      <c r="R744" s="222"/>
      <c r="S744" s="222"/>
      <c r="T744" s="222"/>
      <c r="U744" s="222"/>
      <c r="V744" s="222"/>
      <c r="W744" s="222"/>
    </row>
    <row r="745">
      <c r="A745" s="271"/>
      <c r="B745" s="222"/>
      <c r="C745" s="222"/>
      <c r="D745" s="222"/>
      <c r="E745" s="222"/>
      <c r="F745" s="222"/>
      <c r="G745" s="222"/>
      <c r="H745" s="271"/>
      <c r="I745" s="271"/>
      <c r="J745" s="271"/>
      <c r="K745" s="271"/>
      <c r="L745" s="271"/>
      <c r="M745" s="222"/>
      <c r="N745" s="222"/>
      <c r="O745" s="222"/>
      <c r="P745" s="222"/>
      <c r="Q745" s="222"/>
      <c r="R745" s="222"/>
      <c r="S745" s="222"/>
      <c r="T745" s="222"/>
      <c r="U745" s="222"/>
      <c r="V745" s="222"/>
      <c r="W745" s="222"/>
    </row>
    <row r="746">
      <c r="A746" s="271"/>
      <c r="B746" s="222"/>
      <c r="C746" s="222"/>
      <c r="D746" s="222"/>
      <c r="E746" s="222"/>
      <c r="F746" s="222"/>
      <c r="G746" s="222"/>
      <c r="H746" s="271"/>
      <c r="I746" s="271"/>
      <c r="J746" s="271"/>
      <c r="K746" s="271"/>
      <c r="L746" s="271"/>
      <c r="M746" s="222"/>
      <c r="N746" s="222"/>
      <c r="O746" s="222"/>
      <c r="P746" s="222"/>
      <c r="Q746" s="222"/>
      <c r="R746" s="222"/>
      <c r="S746" s="222"/>
      <c r="T746" s="222"/>
      <c r="U746" s="222"/>
      <c r="V746" s="222"/>
      <c r="W746" s="222"/>
    </row>
    <row r="747">
      <c r="A747" s="271"/>
      <c r="B747" s="222"/>
      <c r="C747" s="222"/>
      <c r="D747" s="222"/>
      <c r="E747" s="222"/>
      <c r="F747" s="222"/>
      <c r="G747" s="222"/>
      <c r="H747" s="271"/>
      <c r="I747" s="271"/>
      <c r="J747" s="271"/>
      <c r="K747" s="271"/>
      <c r="L747" s="271"/>
      <c r="M747" s="222"/>
      <c r="N747" s="222"/>
      <c r="O747" s="222"/>
      <c r="P747" s="222"/>
      <c r="Q747" s="222"/>
      <c r="R747" s="222"/>
      <c r="S747" s="222"/>
      <c r="T747" s="222"/>
      <c r="U747" s="222"/>
      <c r="V747" s="222"/>
      <c r="W747" s="222"/>
    </row>
    <row r="748">
      <c r="A748" s="271"/>
      <c r="B748" s="222"/>
      <c r="C748" s="222"/>
      <c r="D748" s="222"/>
      <c r="E748" s="222"/>
      <c r="F748" s="222"/>
      <c r="G748" s="222"/>
      <c r="H748" s="271"/>
      <c r="I748" s="271"/>
      <c r="J748" s="271"/>
      <c r="K748" s="271"/>
      <c r="L748" s="271"/>
      <c r="M748" s="222"/>
      <c r="N748" s="222"/>
      <c r="O748" s="222"/>
      <c r="P748" s="222"/>
      <c r="Q748" s="222"/>
      <c r="R748" s="222"/>
      <c r="S748" s="222"/>
      <c r="T748" s="222"/>
      <c r="U748" s="222"/>
      <c r="V748" s="222"/>
      <c r="W748" s="222"/>
    </row>
    <row r="749">
      <c r="A749" s="271"/>
      <c r="B749" s="222"/>
      <c r="C749" s="222"/>
      <c r="D749" s="222"/>
      <c r="E749" s="222"/>
      <c r="F749" s="222"/>
      <c r="G749" s="222"/>
      <c r="H749" s="271"/>
      <c r="I749" s="271"/>
      <c r="J749" s="271"/>
      <c r="K749" s="271"/>
      <c r="L749" s="271"/>
      <c r="M749" s="222"/>
      <c r="N749" s="222"/>
      <c r="O749" s="222"/>
      <c r="P749" s="222"/>
      <c r="Q749" s="222"/>
      <c r="R749" s="222"/>
      <c r="S749" s="222"/>
      <c r="T749" s="222"/>
      <c r="U749" s="222"/>
      <c r="V749" s="222"/>
      <c r="W749" s="222"/>
    </row>
    <row r="750">
      <c r="A750" s="271"/>
      <c r="B750" s="222"/>
      <c r="C750" s="222"/>
      <c r="D750" s="222"/>
      <c r="E750" s="222"/>
      <c r="F750" s="222"/>
      <c r="G750" s="222"/>
      <c r="H750" s="271"/>
      <c r="I750" s="271"/>
      <c r="J750" s="271"/>
      <c r="K750" s="271"/>
      <c r="L750" s="271"/>
      <c r="M750" s="222"/>
      <c r="N750" s="222"/>
      <c r="O750" s="222"/>
      <c r="P750" s="222"/>
      <c r="Q750" s="222"/>
      <c r="R750" s="222"/>
      <c r="S750" s="222"/>
      <c r="T750" s="222"/>
      <c r="U750" s="222"/>
      <c r="V750" s="222"/>
      <c r="W750" s="222"/>
    </row>
    <row r="751">
      <c r="A751" s="271"/>
      <c r="B751" s="222"/>
      <c r="C751" s="222"/>
      <c r="D751" s="222"/>
      <c r="E751" s="222"/>
      <c r="F751" s="222"/>
      <c r="G751" s="222"/>
      <c r="H751" s="271"/>
      <c r="I751" s="271"/>
      <c r="J751" s="271"/>
      <c r="K751" s="271"/>
      <c r="L751" s="271"/>
      <c r="M751" s="222"/>
      <c r="N751" s="222"/>
      <c r="O751" s="222"/>
      <c r="P751" s="222"/>
      <c r="Q751" s="222"/>
      <c r="R751" s="222"/>
      <c r="S751" s="222"/>
      <c r="T751" s="222"/>
      <c r="U751" s="222"/>
      <c r="V751" s="222"/>
      <c r="W751" s="222"/>
    </row>
    <row r="752">
      <c r="A752" s="271"/>
      <c r="B752" s="222"/>
      <c r="C752" s="222"/>
      <c r="D752" s="222"/>
      <c r="E752" s="222"/>
      <c r="F752" s="222"/>
      <c r="G752" s="222"/>
      <c r="H752" s="271"/>
      <c r="I752" s="271"/>
      <c r="J752" s="271"/>
      <c r="K752" s="271"/>
      <c r="L752" s="271"/>
      <c r="M752" s="222"/>
      <c r="N752" s="222"/>
      <c r="O752" s="222"/>
      <c r="P752" s="222"/>
      <c r="Q752" s="222"/>
      <c r="R752" s="222"/>
      <c r="S752" s="222"/>
      <c r="T752" s="222"/>
      <c r="U752" s="222"/>
      <c r="V752" s="222"/>
      <c r="W752" s="222"/>
    </row>
    <row r="753">
      <c r="A753" s="271"/>
      <c r="B753" s="222"/>
      <c r="C753" s="222"/>
      <c r="D753" s="222"/>
      <c r="E753" s="222"/>
      <c r="F753" s="222"/>
      <c r="G753" s="222"/>
      <c r="H753" s="271"/>
      <c r="I753" s="271"/>
      <c r="J753" s="271"/>
      <c r="K753" s="271"/>
      <c r="L753" s="271"/>
      <c r="M753" s="222"/>
      <c r="N753" s="222"/>
      <c r="O753" s="222"/>
      <c r="P753" s="222"/>
      <c r="Q753" s="222"/>
      <c r="R753" s="222"/>
      <c r="S753" s="222"/>
      <c r="T753" s="222"/>
      <c r="U753" s="222"/>
      <c r="V753" s="222"/>
      <c r="W753" s="222"/>
    </row>
    <row r="754">
      <c r="A754" s="271"/>
      <c r="B754" s="222"/>
      <c r="C754" s="222"/>
      <c r="D754" s="222"/>
      <c r="E754" s="222"/>
      <c r="F754" s="222"/>
      <c r="G754" s="222"/>
      <c r="H754" s="271"/>
      <c r="I754" s="271"/>
      <c r="J754" s="271"/>
      <c r="K754" s="271"/>
      <c r="L754" s="271"/>
      <c r="M754" s="222"/>
      <c r="N754" s="222"/>
      <c r="O754" s="222"/>
      <c r="P754" s="222"/>
      <c r="Q754" s="222"/>
      <c r="R754" s="222"/>
      <c r="S754" s="222"/>
      <c r="T754" s="222"/>
      <c r="U754" s="222"/>
      <c r="V754" s="222"/>
      <c r="W754" s="222"/>
    </row>
    <row r="755">
      <c r="A755" s="271"/>
      <c r="B755" s="222"/>
      <c r="C755" s="222"/>
      <c r="D755" s="222"/>
      <c r="E755" s="222"/>
      <c r="F755" s="222"/>
      <c r="G755" s="222"/>
      <c r="H755" s="271"/>
      <c r="I755" s="271"/>
      <c r="J755" s="271"/>
      <c r="K755" s="271"/>
      <c r="L755" s="271"/>
      <c r="M755" s="222"/>
      <c r="N755" s="222"/>
      <c r="O755" s="222"/>
      <c r="P755" s="222"/>
      <c r="Q755" s="222"/>
      <c r="R755" s="222"/>
      <c r="S755" s="222"/>
      <c r="T755" s="222"/>
      <c r="U755" s="222"/>
      <c r="V755" s="222"/>
      <c r="W755" s="222"/>
    </row>
    <row r="756">
      <c r="A756" s="271"/>
      <c r="B756" s="222"/>
      <c r="C756" s="222"/>
      <c r="D756" s="222"/>
      <c r="E756" s="222"/>
      <c r="F756" s="222"/>
      <c r="G756" s="222"/>
      <c r="H756" s="271"/>
      <c r="I756" s="271"/>
      <c r="J756" s="271"/>
      <c r="K756" s="271"/>
      <c r="L756" s="271"/>
      <c r="M756" s="222"/>
      <c r="N756" s="222"/>
      <c r="O756" s="222"/>
      <c r="P756" s="222"/>
      <c r="Q756" s="222"/>
      <c r="R756" s="222"/>
      <c r="S756" s="222"/>
      <c r="T756" s="222"/>
      <c r="U756" s="222"/>
      <c r="V756" s="222"/>
      <c r="W756" s="222"/>
    </row>
    <row r="757">
      <c r="A757" s="271"/>
      <c r="B757" s="222"/>
      <c r="C757" s="222"/>
      <c r="D757" s="222"/>
      <c r="E757" s="222"/>
      <c r="F757" s="222"/>
      <c r="G757" s="222"/>
      <c r="H757" s="271"/>
      <c r="I757" s="271"/>
      <c r="J757" s="271"/>
      <c r="K757" s="271"/>
      <c r="L757" s="271"/>
      <c r="M757" s="222"/>
      <c r="N757" s="222"/>
      <c r="O757" s="222"/>
      <c r="P757" s="222"/>
      <c r="Q757" s="222"/>
      <c r="R757" s="222"/>
      <c r="S757" s="222"/>
      <c r="T757" s="222"/>
      <c r="U757" s="222"/>
      <c r="V757" s="222"/>
      <c r="W757" s="222"/>
    </row>
    <row r="758">
      <c r="A758" s="271"/>
      <c r="B758" s="222"/>
      <c r="C758" s="222"/>
      <c r="D758" s="222"/>
      <c r="E758" s="222"/>
      <c r="F758" s="222"/>
      <c r="G758" s="222"/>
      <c r="H758" s="271"/>
      <c r="I758" s="271"/>
      <c r="J758" s="271"/>
      <c r="K758" s="271"/>
      <c r="L758" s="271"/>
      <c r="M758" s="222"/>
      <c r="N758" s="222"/>
      <c r="O758" s="222"/>
      <c r="P758" s="222"/>
      <c r="Q758" s="222"/>
      <c r="R758" s="222"/>
      <c r="S758" s="222"/>
      <c r="T758" s="222"/>
      <c r="U758" s="222"/>
      <c r="V758" s="222"/>
      <c r="W758" s="222"/>
    </row>
    <row r="759">
      <c r="A759" s="271"/>
      <c r="B759" s="222"/>
      <c r="C759" s="222"/>
      <c r="D759" s="222"/>
      <c r="E759" s="222"/>
      <c r="F759" s="222"/>
      <c r="G759" s="222"/>
      <c r="H759" s="271"/>
      <c r="I759" s="271"/>
      <c r="J759" s="271"/>
      <c r="K759" s="271"/>
      <c r="L759" s="271"/>
      <c r="M759" s="222"/>
      <c r="N759" s="222"/>
      <c r="O759" s="222"/>
      <c r="P759" s="222"/>
      <c r="Q759" s="222"/>
      <c r="R759" s="222"/>
      <c r="S759" s="222"/>
      <c r="T759" s="222"/>
      <c r="U759" s="222"/>
      <c r="V759" s="222"/>
      <c r="W759" s="222"/>
    </row>
    <row r="760">
      <c r="A760" s="271"/>
      <c r="B760" s="222"/>
      <c r="C760" s="222"/>
      <c r="D760" s="222"/>
      <c r="E760" s="222"/>
      <c r="F760" s="222"/>
      <c r="G760" s="222"/>
      <c r="H760" s="271"/>
      <c r="I760" s="271"/>
      <c r="J760" s="271"/>
      <c r="K760" s="271"/>
      <c r="L760" s="271"/>
      <c r="M760" s="222"/>
      <c r="N760" s="222"/>
      <c r="O760" s="222"/>
      <c r="P760" s="222"/>
      <c r="Q760" s="222"/>
      <c r="R760" s="222"/>
      <c r="S760" s="222"/>
      <c r="T760" s="222"/>
      <c r="U760" s="222"/>
      <c r="V760" s="222"/>
      <c r="W760" s="222"/>
    </row>
    <row r="761">
      <c r="A761" s="271"/>
      <c r="B761" s="222"/>
      <c r="C761" s="222"/>
      <c r="D761" s="222"/>
      <c r="E761" s="222"/>
      <c r="F761" s="222"/>
      <c r="G761" s="222"/>
      <c r="H761" s="271"/>
      <c r="I761" s="271"/>
      <c r="J761" s="271"/>
      <c r="K761" s="271"/>
      <c r="L761" s="271"/>
      <c r="M761" s="222"/>
      <c r="N761" s="222"/>
      <c r="O761" s="222"/>
      <c r="P761" s="222"/>
      <c r="Q761" s="222"/>
      <c r="R761" s="222"/>
      <c r="S761" s="222"/>
      <c r="T761" s="222"/>
      <c r="U761" s="222"/>
      <c r="V761" s="222"/>
      <c r="W761" s="222"/>
    </row>
    <row r="762">
      <c r="A762" s="271"/>
      <c r="B762" s="222"/>
      <c r="C762" s="222"/>
      <c r="D762" s="222"/>
      <c r="E762" s="222"/>
      <c r="F762" s="222"/>
      <c r="G762" s="222"/>
      <c r="H762" s="271"/>
      <c r="I762" s="271"/>
      <c r="J762" s="271"/>
      <c r="K762" s="271"/>
      <c r="L762" s="271"/>
      <c r="M762" s="222"/>
      <c r="N762" s="222"/>
      <c r="O762" s="222"/>
      <c r="P762" s="222"/>
      <c r="Q762" s="222"/>
      <c r="R762" s="222"/>
      <c r="S762" s="222"/>
      <c r="T762" s="222"/>
      <c r="U762" s="222"/>
      <c r="V762" s="222"/>
      <c r="W762" s="222"/>
    </row>
    <row r="763">
      <c r="A763" s="271"/>
      <c r="B763" s="222"/>
      <c r="C763" s="222"/>
      <c r="D763" s="222"/>
      <c r="E763" s="222"/>
      <c r="F763" s="222"/>
      <c r="G763" s="222"/>
      <c r="H763" s="271"/>
      <c r="I763" s="271"/>
      <c r="J763" s="271"/>
      <c r="K763" s="271"/>
      <c r="L763" s="271"/>
      <c r="M763" s="222"/>
      <c r="N763" s="222"/>
      <c r="O763" s="222"/>
      <c r="P763" s="222"/>
      <c r="Q763" s="222"/>
      <c r="R763" s="222"/>
      <c r="S763" s="222"/>
      <c r="T763" s="222"/>
      <c r="U763" s="222"/>
      <c r="V763" s="222"/>
      <c r="W763" s="222"/>
    </row>
    <row r="764">
      <c r="A764" s="271"/>
      <c r="B764" s="222"/>
      <c r="C764" s="222"/>
      <c r="D764" s="222"/>
      <c r="E764" s="222"/>
      <c r="F764" s="222"/>
      <c r="G764" s="222"/>
      <c r="H764" s="271"/>
      <c r="I764" s="271"/>
      <c r="J764" s="271"/>
      <c r="K764" s="271"/>
      <c r="L764" s="271"/>
      <c r="M764" s="222"/>
      <c r="N764" s="222"/>
      <c r="O764" s="222"/>
      <c r="P764" s="222"/>
      <c r="Q764" s="222"/>
      <c r="R764" s="222"/>
      <c r="S764" s="222"/>
      <c r="T764" s="222"/>
      <c r="U764" s="222"/>
      <c r="V764" s="222"/>
      <c r="W764" s="222"/>
    </row>
    <row r="765">
      <c r="A765" s="271"/>
      <c r="B765" s="222"/>
      <c r="C765" s="222"/>
      <c r="D765" s="222"/>
      <c r="E765" s="222"/>
      <c r="F765" s="222"/>
      <c r="G765" s="222"/>
      <c r="H765" s="271"/>
      <c r="I765" s="271"/>
      <c r="J765" s="271"/>
      <c r="K765" s="271"/>
      <c r="L765" s="271"/>
      <c r="M765" s="222"/>
      <c r="N765" s="222"/>
      <c r="O765" s="222"/>
      <c r="P765" s="222"/>
      <c r="Q765" s="222"/>
      <c r="R765" s="222"/>
      <c r="S765" s="222"/>
      <c r="T765" s="222"/>
      <c r="U765" s="222"/>
      <c r="V765" s="222"/>
      <c r="W765" s="222"/>
    </row>
    <row r="766">
      <c r="A766" s="271"/>
      <c r="B766" s="222"/>
      <c r="C766" s="222"/>
      <c r="D766" s="222"/>
      <c r="E766" s="222"/>
      <c r="F766" s="222"/>
      <c r="G766" s="222"/>
      <c r="H766" s="271"/>
      <c r="I766" s="271"/>
      <c r="J766" s="271"/>
      <c r="K766" s="271"/>
      <c r="L766" s="271"/>
      <c r="M766" s="222"/>
      <c r="N766" s="222"/>
      <c r="O766" s="222"/>
      <c r="P766" s="222"/>
      <c r="Q766" s="222"/>
      <c r="R766" s="222"/>
      <c r="S766" s="222"/>
      <c r="T766" s="222"/>
      <c r="U766" s="222"/>
      <c r="V766" s="222"/>
      <c r="W766" s="222"/>
    </row>
    <row r="767">
      <c r="A767" s="271"/>
      <c r="B767" s="222"/>
      <c r="C767" s="222"/>
      <c r="D767" s="222"/>
      <c r="E767" s="222"/>
      <c r="F767" s="222"/>
      <c r="G767" s="222"/>
      <c r="H767" s="271"/>
      <c r="I767" s="271"/>
      <c r="J767" s="271"/>
      <c r="K767" s="271"/>
      <c r="L767" s="271"/>
      <c r="M767" s="222"/>
      <c r="N767" s="222"/>
      <c r="O767" s="222"/>
      <c r="P767" s="222"/>
      <c r="Q767" s="222"/>
      <c r="R767" s="222"/>
      <c r="S767" s="222"/>
      <c r="T767" s="222"/>
      <c r="U767" s="222"/>
      <c r="V767" s="222"/>
      <c r="W767" s="222"/>
    </row>
    <row r="768">
      <c r="A768" s="271"/>
      <c r="B768" s="222"/>
      <c r="C768" s="222"/>
      <c r="D768" s="222"/>
      <c r="E768" s="222"/>
      <c r="F768" s="222"/>
      <c r="G768" s="222"/>
      <c r="H768" s="271"/>
      <c r="I768" s="271"/>
      <c r="J768" s="271"/>
      <c r="K768" s="271"/>
      <c r="L768" s="271"/>
      <c r="M768" s="222"/>
      <c r="N768" s="222"/>
      <c r="O768" s="222"/>
      <c r="P768" s="222"/>
      <c r="Q768" s="222"/>
      <c r="R768" s="222"/>
      <c r="S768" s="222"/>
      <c r="T768" s="222"/>
      <c r="U768" s="222"/>
      <c r="V768" s="222"/>
      <c r="W768" s="222"/>
    </row>
    <row r="769">
      <c r="A769" s="271"/>
      <c r="B769" s="222"/>
      <c r="C769" s="222"/>
      <c r="D769" s="222"/>
      <c r="E769" s="222"/>
      <c r="F769" s="222"/>
      <c r="G769" s="222"/>
      <c r="H769" s="271"/>
      <c r="I769" s="271"/>
      <c r="J769" s="271"/>
      <c r="K769" s="271"/>
      <c r="L769" s="271"/>
      <c r="M769" s="222"/>
      <c r="N769" s="222"/>
      <c r="O769" s="222"/>
      <c r="P769" s="222"/>
      <c r="Q769" s="222"/>
      <c r="R769" s="222"/>
      <c r="S769" s="222"/>
      <c r="T769" s="222"/>
      <c r="U769" s="222"/>
      <c r="V769" s="222"/>
      <c r="W769" s="222"/>
    </row>
    <row r="770">
      <c r="A770" s="271"/>
      <c r="B770" s="222"/>
      <c r="C770" s="222"/>
      <c r="D770" s="222"/>
      <c r="E770" s="222"/>
      <c r="F770" s="222"/>
      <c r="G770" s="222"/>
      <c r="H770" s="271"/>
      <c r="I770" s="271"/>
      <c r="J770" s="271"/>
      <c r="K770" s="271"/>
      <c r="L770" s="271"/>
      <c r="M770" s="222"/>
      <c r="N770" s="222"/>
      <c r="O770" s="222"/>
      <c r="P770" s="222"/>
      <c r="Q770" s="222"/>
      <c r="R770" s="222"/>
      <c r="S770" s="222"/>
      <c r="T770" s="222"/>
      <c r="U770" s="222"/>
      <c r="V770" s="222"/>
      <c r="W770" s="222"/>
    </row>
    <row r="771">
      <c r="A771" s="271"/>
      <c r="B771" s="222"/>
      <c r="C771" s="222"/>
      <c r="D771" s="222"/>
      <c r="E771" s="222"/>
      <c r="F771" s="222"/>
      <c r="G771" s="222"/>
      <c r="H771" s="271"/>
      <c r="I771" s="271"/>
      <c r="J771" s="271"/>
      <c r="K771" s="271"/>
      <c r="L771" s="271"/>
      <c r="M771" s="222"/>
      <c r="N771" s="222"/>
      <c r="O771" s="222"/>
      <c r="P771" s="222"/>
      <c r="Q771" s="222"/>
      <c r="R771" s="222"/>
      <c r="S771" s="222"/>
      <c r="T771" s="222"/>
      <c r="U771" s="222"/>
      <c r="V771" s="222"/>
      <c r="W771" s="222"/>
    </row>
    <row r="772">
      <c r="A772" s="271"/>
      <c r="B772" s="222"/>
      <c r="C772" s="222"/>
      <c r="D772" s="222"/>
      <c r="E772" s="222"/>
      <c r="F772" s="222"/>
      <c r="G772" s="222"/>
      <c r="H772" s="271"/>
      <c r="I772" s="271"/>
      <c r="J772" s="271"/>
      <c r="K772" s="271"/>
      <c r="L772" s="271"/>
      <c r="M772" s="222"/>
      <c r="N772" s="222"/>
      <c r="O772" s="222"/>
      <c r="P772" s="222"/>
      <c r="Q772" s="222"/>
      <c r="R772" s="222"/>
      <c r="S772" s="222"/>
      <c r="T772" s="222"/>
      <c r="U772" s="222"/>
      <c r="V772" s="222"/>
      <c r="W772" s="222"/>
    </row>
    <row r="773">
      <c r="A773" s="271"/>
      <c r="B773" s="222"/>
      <c r="C773" s="222"/>
      <c r="D773" s="222"/>
      <c r="E773" s="222"/>
      <c r="F773" s="222"/>
      <c r="G773" s="222"/>
      <c r="H773" s="271"/>
      <c r="I773" s="271"/>
      <c r="J773" s="271"/>
      <c r="K773" s="271"/>
      <c r="L773" s="271"/>
      <c r="M773" s="222"/>
      <c r="N773" s="222"/>
      <c r="O773" s="222"/>
      <c r="P773" s="222"/>
      <c r="Q773" s="222"/>
      <c r="R773" s="222"/>
      <c r="S773" s="222"/>
      <c r="T773" s="222"/>
      <c r="U773" s="222"/>
      <c r="V773" s="222"/>
      <c r="W773" s="222"/>
    </row>
    <row r="774">
      <c r="A774" s="271"/>
      <c r="B774" s="222"/>
      <c r="C774" s="222"/>
      <c r="D774" s="222"/>
      <c r="E774" s="222"/>
      <c r="F774" s="222"/>
      <c r="G774" s="222"/>
      <c r="H774" s="271"/>
      <c r="I774" s="271"/>
      <c r="J774" s="271"/>
      <c r="K774" s="271"/>
      <c r="L774" s="271"/>
      <c r="M774" s="222"/>
      <c r="N774" s="222"/>
      <c r="O774" s="222"/>
      <c r="P774" s="222"/>
      <c r="Q774" s="222"/>
      <c r="R774" s="222"/>
      <c r="S774" s="222"/>
      <c r="T774" s="222"/>
      <c r="U774" s="222"/>
      <c r="V774" s="222"/>
      <c r="W774" s="222"/>
    </row>
    <row r="775">
      <c r="A775" s="271"/>
      <c r="B775" s="222"/>
      <c r="C775" s="222"/>
      <c r="D775" s="222"/>
      <c r="E775" s="222"/>
      <c r="F775" s="222"/>
      <c r="G775" s="222"/>
      <c r="H775" s="271"/>
      <c r="I775" s="271"/>
      <c r="J775" s="271"/>
      <c r="K775" s="271"/>
      <c r="L775" s="271"/>
      <c r="M775" s="222"/>
      <c r="N775" s="222"/>
      <c r="O775" s="222"/>
      <c r="P775" s="222"/>
      <c r="Q775" s="222"/>
      <c r="R775" s="222"/>
      <c r="S775" s="222"/>
      <c r="T775" s="222"/>
      <c r="U775" s="222"/>
      <c r="V775" s="222"/>
      <c r="W775" s="222"/>
    </row>
    <row r="776">
      <c r="A776" s="271"/>
      <c r="B776" s="222"/>
      <c r="C776" s="222"/>
      <c r="D776" s="222"/>
      <c r="E776" s="222"/>
      <c r="F776" s="222"/>
      <c r="G776" s="222"/>
      <c r="H776" s="271"/>
      <c r="I776" s="271"/>
      <c r="J776" s="271"/>
      <c r="K776" s="271"/>
      <c r="L776" s="271"/>
      <c r="M776" s="222"/>
      <c r="N776" s="222"/>
      <c r="O776" s="222"/>
      <c r="P776" s="222"/>
      <c r="Q776" s="222"/>
      <c r="R776" s="222"/>
      <c r="S776" s="222"/>
      <c r="T776" s="222"/>
      <c r="U776" s="222"/>
      <c r="V776" s="222"/>
      <c r="W776" s="222"/>
    </row>
    <row r="777">
      <c r="A777" s="271"/>
      <c r="B777" s="222"/>
      <c r="C777" s="222"/>
      <c r="D777" s="222"/>
      <c r="E777" s="222"/>
      <c r="F777" s="222"/>
      <c r="G777" s="222"/>
      <c r="H777" s="271"/>
      <c r="I777" s="271"/>
      <c r="J777" s="271"/>
      <c r="K777" s="271"/>
      <c r="L777" s="271"/>
      <c r="M777" s="222"/>
      <c r="N777" s="222"/>
      <c r="O777" s="222"/>
      <c r="P777" s="222"/>
      <c r="Q777" s="222"/>
      <c r="R777" s="222"/>
      <c r="S777" s="222"/>
      <c r="T777" s="222"/>
      <c r="U777" s="222"/>
      <c r="V777" s="222"/>
      <c r="W777" s="222"/>
    </row>
    <row r="778">
      <c r="A778" s="271"/>
      <c r="B778" s="222"/>
      <c r="C778" s="222"/>
      <c r="D778" s="222"/>
      <c r="E778" s="222"/>
      <c r="F778" s="222"/>
      <c r="G778" s="222"/>
      <c r="H778" s="271"/>
      <c r="I778" s="271"/>
      <c r="J778" s="271"/>
      <c r="K778" s="271"/>
      <c r="L778" s="271"/>
      <c r="M778" s="222"/>
      <c r="N778" s="222"/>
      <c r="O778" s="222"/>
      <c r="P778" s="222"/>
      <c r="Q778" s="222"/>
      <c r="R778" s="222"/>
      <c r="S778" s="222"/>
      <c r="T778" s="222"/>
      <c r="U778" s="222"/>
      <c r="V778" s="222"/>
      <c r="W778" s="222"/>
    </row>
    <row r="779">
      <c r="A779" s="271"/>
      <c r="B779" s="222"/>
      <c r="C779" s="222"/>
      <c r="D779" s="222"/>
      <c r="E779" s="222"/>
      <c r="F779" s="222"/>
      <c r="G779" s="222"/>
      <c r="H779" s="271"/>
      <c r="I779" s="271"/>
      <c r="J779" s="271"/>
      <c r="K779" s="271"/>
      <c r="L779" s="271"/>
      <c r="M779" s="222"/>
      <c r="N779" s="222"/>
      <c r="O779" s="222"/>
      <c r="P779" s="222"/>
      <c r="Q779" s="222"/>
      <c r="R779" s="222"/>
      <c r="S779" s="222"/>
      <c r="T779" s="222"/>
      <c r="U779" s="222"/>
      <c r="V779" s="222"/>
      <c r="W779" s="222"/>
    </row>
    <row r="780">
      <c r="A780" s="271"/>
      <c r="B780" s="222"/>
      <c r="C780" s="222"/>
      <c r="D780" s="222"/>
      <c r="E780" s="222"/>
      <c r="F780" s="222"/>
      <c r="G780" s="222"/>
      <c r="H780" s="271"/>
      <c r="I780" s="271"/>
      <c r="J780" s="271"/>
      <c r="K780" s="271"/>
      <c r="L780" s="271"/>
      <c r="M780" s="222"/>
      <c r="N780" s="222"/>
      <c r="O780" s="222"/>
      <c r="P780" s="222"/>
      <c r="Q780" s="222"/>
      <c r="R780" s="222"/>
      <c r="S780" s="222"/>
      <c r="T780" s="222"/>
      <c r="U780" s="222"/>
      <c r="V780" s="222"/>
      <c r="W780" s="222"/>
    </row>
    <row r="781">
      <c r="A781" s="271"/>
      <c r="B781" s="222"/>
      <c r="C781" s="222"/>
      <c r="D781" s="222"/>
      <c r="E781" s="222"/>
      <c r="F781" s="222"/>
      <c r="G781" s="222"/>
      <c r="H781" s="271"/>
      <c r="I781" s="271"/>
      <c r="J781" s="271"/>
      <c r="K781" s="271"/>
      <c r="L781" s="271"/>
      <c r="M781" s="222"/>
      <c r="N781" s="222"/>
      <c r="O781" s="222"/>
      <c r="P781" s="222"/>
      <c r="Q781" s="222"/>
      <c r="R781" s="222"/>
      <c r="S781" s="222"/>
      <c r="T781" s="222"/>
      <c r="U781" s="222"/>
      <c r="V781" s="222"/>
      <c r="W781" s="222"/>
    </row>
    <row r="782">
      <c r="A782" s="271"/>
      <c r="B782" s="222"/>
      <c r="C782" s="222"/>
      <c r="D782" s="222"/>
      <c r="E782" s="222"/>
      <c r="F782" s="222"/>
      <c r="G782" s="222"/>
      <c r="H782" s="271"/>
      <c r="I782" s="271"/>
      <c r="J782" s="271"/>
      <c r="K782" s="271"/>
      <c r="L782" s="271"/>
      <c r="M782" s="222"/>
      <c r="N782" s="222"/>
      <c r="O782" s="222"/>
      <c r="P782" s="222"/>
      <c r="Q782" s="222"/>
      <c r="R782" s="222"/>
      <c r="S782" s="222"/>
      <c r="T782" s="222"/>
      <c r="U782" s="222"/>
      <c r="V782" s="222"/>
      <c r="W782" s="222"/>
    </row>
    <row r="783">
      <c r="A783" s="271"/>
      <c r="B783" s="222"/>
      <c r="C783" s="222"/>
      <c r="D783" s="222"/>
      <c r="E783" s="222"/>
      <c r="F783" s="222"/>
      <c r="G783" s="222"/>
      <c r="H783" s="271"/>
      <c r="I783" s="271"/>
      <c r="J783" s="271"/>
      <c r="K783" s="271"/>
      <c r="L783" s="271"/>
      <c r="M783" s="222"/>
      <c r="N783" s="222"/>
      <c r="O783" s="222"/>
      <c r="P783" s="222"/>
      <c r="Q783" s="222"/>
      <c r="R783" s="222"/>
      <c r="S783" s="222"/>
      <c r="T783" s="222"/>
      <c r="U783" s="222"/>
      <c r="V783" s="222"/>
      <c r="W783" s="222"/>
    </row>
    <row r="784">
      <c r="A784" s="271"/>
      <c r="B784" s="222"/>
      <c r="C784" s="222"/>
      <c r="D784" s="222"/>
      <c r="E784" s="222"/>
      <c r="F784" s="222"/>
      <c r="G784" s="222"/>
      <c r="H784" s="271"/>
      <c r="I784" s="271"/>
      <c r="J784" s="271"/>
      <c r="K784" s="271"/>
      <c r="L784" s="271"/>
      <c r="M784" s="222"/>
      <c r="N784" s="222"/>
      <c r="O784" s="222"/>
      <c r="P784" s="222"/>
      <c r="Q784" s="222"/>
      <c r="R784" s="222"/>
      <c r="S784" s="222"/>
      <c r="T784" s="222"/>
      <c r="U784" s="222"/>
      <c r="V784" s="222"/>
      <c r="W784" s="222"/>
    </row>
    <row r="785">
      <c r="A785" s="271"/>
      <c r="B785" s="222"/>
      <c r="C785" s="222"/>
      <c r="D785" s="222"/>
      <c r="E785" s="222"/>
      <c r="F785" s="222"/>
      <c r="G785" s="222"/>
      <c r="H785" s="271"/>
      <c r="I785" s="271"/>
      <c r="J785" s="271"/>
      <c r="K785" s="271"/>
      <c r="L785" s="271"/>
      <c r="M785" s="222"/>
      <c r="N785" s="222"/>
      <c r="O785" s="222"/>
      <c r="P785" s="222"/>
      <c r="Q785" s="222"/>
      <c r="R785" s="222"/>
      <c r="S785" s="222"/>
      <c r="T785" s="222"/>
      <c r="U785" s="222"/>
      <c r="V785" s="222"/>
      <c r="W785" s="222"/>
    </row>
    <row r="786">
      <c r="A786" s="271"/>
      <c r="B786" s="222"/>
      <c r="C786" s="222"/>
      <c r="D786" s="222"/>
      <c r="E786" s="222"/>
      <c r="F786" s="222"/>
      <c r="G786" s="222"/>
      <c r="H786" s="271"/>
      <c r="I786" s="271"/>
      <c r="J786" s="271"/>
      <c r="K786" s="271"/>
      <c r="L786" s="271"/>
      <c r="M786" s="222"/>
      <c r="N786" s="222"/>
      <c r="O786" s="222"/>
      <c r="P786" s="222"/>
      <c r="Q786" s="222"/>
      <c r="R786" s="222"/>
      <c r="S786" s="222"/>
      <c r="T786" s="222"/>
      <c r="U786" s="222"/>
      <c r="V786" s="222"/>
      <c r="W786" s="222"/>
    </row>
    <row r="787">
      <c r="A787" s="271"/>
      <c r="B787" s="222"/>
      <c r="C787" s="222"/>
      <c r="D787" s="222"/>
      <c r="E787" s="222"/>
      <c r="F787" s="222"/>
      <c r="G787" s="222"/>
      <c r="H787" s="271"/>
      <c r="I787" s="271"/>
      <c r="J787" s="271"/>
      <c r="K787" s="271"/>
      <c r="L787" s="271"/>
      <c r="M787" s="222"/>
      <c r="N787" s="222"/>
      <c r="O787" s="222"/>
      <c r="P787" s="222"/>
      <c r="Q787" s="222"/>
      <c r="R787" s="222"/>
      <c r="S787" s="222"/>
      <c r="T787" s="222"/>
      <c r="U787" s="222"/>
      <c r="V787" s="222"/>
      <c r="W787" s="222"/>
    </row>
    <row r="788">
      <c r="A788" s="271"/>
      <c r="B788" s="222"/>
      <c r="C788" s="222"/>
      <c r="D788" s="222"/>
      <c r="E788" s="222"/>
      <c r="F788" s="222"/>
      <c r="G788" s="222"/>
      <c r="H788" s="271"/>
      <c r="I788" s="271"/>
      <c r="J788" s="271"/>
      <c r="K788" s="271"/>
      <c r="L788" s="271"/>
      <c r="M788" s="222"/>
      <c r="N788" s="222"/>
      <c r="O788" s="222"/>
      <c r="P788" s="222"/>
      <c r="Q788" s="222"/>
      <c r="R788" s="222"/>
      <c r="S788" s="222"/>
      <c r="T788" s="222"/>
      <c r="U788" s="222"/>
      <c r="V788" s="222"/>
      <c r="W788" s="222"/>
    </row>
    <row r="789">
      <c r="A789" s="271"/>
      <c r="B789" s="222"/>
      <c r="C789" s="222"/>
      <c r="D789" s="222"/>
      <c r="E789" s="222"/>
      <c r="F789" s="222"/>
      <c r="G789" s="222"/>
      <c r="H789" s="271"/>
      <c r="I789" s="271"/>
      <c r="J789" s="271"/>
      <c r="K789" s="271"/>
      <c r="L789" s="271"/>
      <c r="M789" s="222"/>
      <c r="N789" s="222"/>
      <c r="O789" s="222"/>
      <c r="P789" s="222"/>
      <c r="Q789" s="222"/>
      <c r="R789" s="222"/>
      <c r="S789" s="222"/>
      <c r="T789" s="222"/>
      <c r="U789" s="222"/>
      <c r="V789" s="222"/>
      <c r="W789" s="222"/>
    </row>
    <row r="790">
      <c r="A790" s="271"/>
      <c r="B790" s="222"/>
      <c r="C790" s="222"/>
      <c r="D790" s="222"/>
      <c r="E790" s="222"/>
      <c r="F790" s="222"/>
      <c r="G790" s="222"/>
      <c r="H790" s="271"/>
      <c r="I790" s="271"/>
      <c r="J790" s="271"/>
      <c r="K790" s="271"/>
      <c r="L790" s="271"/>
      <c r="M790" s="222"/>
      <c r="N790" s="222"/>
      <c r="O790" s="222"/>
      <c r="P790" s="222"/>
      <c r="Q790" s="222"/>
      <c r="R790" s="222"/>
      <c r="S790" s="222"/>
      <c r="T790" s="222"/>
      <c r="U790" s="222"/>
      <c r="V790" s="222"/>
      <c r="W790" s="222"/>
    </row>
    <row r="791">
      <c r="A791" s="271"/>
      <c r="B791" s="222"/>
      <c r="C791" s="222"/>
      <c r="D791" s="222"/>
      <c r="E791" s="222"/>
      <c r="F791" s="222"/>
      <c r="G791" s="222"/>
      <c r="H791" s="271"/>
      <c r="I791" s="271"/>
      <c r="J791" s="271"/>
      <c r="K791" s="271"/>
      <c r="L791" s="271"/>
      <c r="M791" s="222"/>
      <c r="N791" s="222"/>
      <c r="O791" s="222"/>
      <c r="P791" s="222"/>
      <c r="Q791" s="222"/>
      <c r="R791" s="222"/>
      <c r="S791" s="222"/>
      <c r="T791" s="222"/>
      <c r="U791" s="222"/>
      <c r="V791" s="222"/>
      <c r="W791" s="222"/>
    </row>
    <row r="792">
      <c r="A792" s="271"/>
      <c r="B792" s="222"/>
      <c r="C792" s="222"/>
      <c r="D792" s="222"/>
      <c r="E792" s="222"/>
      <c r="F792" s="222"/>
      <c r="G792" s="222"/>
      <c r="H792" s="271"/>
      <c r="I792" s="271"/>
      <c r="J792" s="271"/>
      <c r="K792" s="271"/>
      <c r="L792" s="271"/>
      <c r="M792" s="222"/>
      <c r="N792" s="222"/>
      <c r="O792" s="222"/>
      <c r="P792" s="222"/>
      <c r="Q792" s="222"/>
      <c r="R792" s="222"/>
      <c r="S792" s="222"/>
      <c r="T792" s="222"/>
      <c r="U792" s="222"/>
      <c r="V792" s="222"/>
      <c r="W792" s="222"/>
    </row>
    <row r="793">
      <c r="A793" s="271"/>
      <c r="B793" s="222"/>
      <c r="C793" s="222"/>
      <c r="D793" s="222"/>
      <c r="E793" s="222"/>
      <c r="F793" s="222"/>
      <c r="G793" s="222"/>
      <c r="H793" s="271"/>
      <c r="I793" s="271"/>
      <c r="J793" s="271"/>
      <c r="K793" s="271"/>
      <c r="L793" s="271"/>
      <c r="M793" s="222"/>
      <c r="N793" s="222"/>
      <c r="O793" s="222"/>
      <c r="P793" s="222"/>
      <c r="Q793" s="222"/>
      <c r="R793" s="222"/>
      <c r="S793" s="222"/>
      <c r="T793" s="222"/>
      <c r="U793" s="222"/>
      <c r="V793" s="222"/>
      <c r="W793" s="222"/>
    </row>
    <row r="794">
      <c r="A794" s="271"/>
      <c r="B794" s="222"/>
      <c r="C794" s="222"/>
      <c r="D794" s="222"/>
      <c r="E794" s="222"/>
      <c r="F794" s="222"/>
      <c r="G794" s="222"/>
      <c r="H794" s="271"/>
      <c r="I794" s="271"/>
      <c r="J794" s="271"/>
      <c r="K794" s="271"/>
      <c r="L794" s="271"/>
      <c r="M794" s="222"/>
      <c r="N794" s="222"/>
      <c r="O794" s="222"/>
      <c r="P794" s="222"/>
      <c r="Q794" s="222"/>
      <c r="R794" s="222"/>
      <c r="S794" s="222"/>
      <c r="T794" s="222"/>
      <c r="U794" s="222"/>
      <c r="V794" s="222"/>
      <c r="W794" s="222"/>
    </row>
    <row r="795">
      <c r="A795" s="271"/>
      <c r="B795" s="222"/>
      <c r="C795" s="222"/>
      <c r="D795" s="222"/>
      <c r="E795" s="222"/>
      <c r="F795" s="222"/>
      <c r="G795" s="222"/>
      <c r="H795" s="271"/>
      <c r="I795" s="271"/>
      <c r="J795" s="271"/>
      <c r="K795" s="271"/>
      <c r="L795" s="271"/>
      <c r="M795" s="222"/>
      <c r="N795" s="222"/>
      <c r="O795" s="222"/>
      <c r="P795" s="222"/>
      <c r="Q795" s="222"/>
      <c r="R795" s="222"/>
      <c r="S795" s="222"/>
      <c r="T795" s="222"/>
      <c r="U795" s="222"/>
      <c r="V795" s="222"/>
      <c r="W795" s="222"/>
    </row>
    <row r="796">
      <c r="A796" s="271"/>
      <c r="B796" s="222"/>
      <c r="C796" s="222"/>
      <c r="D796" s="222"/>
      <c r="E796" s="222"/>
      <c r="F796" s="222"/>
      <c r="G796" s="222"/>
      <c r="H796" s="271"/>
      <c r="I796" s="271"/>
      <c r="J796" s="271"/>
      <c r="K796" s="271"/>
      <c r="L796" s="271"/>
      <c r="M796" s="222"/>
      <c r="N796" s="222"/>
      <c r="O796" s="222"/>
      <c r="P796" s="222"/>
      <c r="Q796" s="222"/>
      <c r="R796" s="222"/>
      <c r="S796" s="222"/>
      <c r="T796" s="222"/>
      <c r="U796" s="222"/>
      <c r="V796" s="222"/>
      <c r="W796" s="222"/>
    </row>
    <row r="797">
      <c r="A797" s="271"/>
      <c r="B797" s="222"/>
      <c r="C797" s="222"/>
      <c r="D797" s="222"/>
      <c r="E797" s="222"/>
      <c r="F797" s="222"/>
      <c r="G797" s="222"/>
      <c r="H797" s="271"/>
      <c r="I797" s="271"/>
      <c r="J797" s="271"/>
      <c r="K797" s="271"/>
      <c r="L797" s="271"/>
      <c r="M797" s="222"/>
      <c r="N797" s="222"/>
      <c r="O797" s="222"/>
      <c r="P797" s="222"/>
      <c r="Q797" s="222"/>
      <c r="R797" s="222"/>
      <c r="S797" s="222"/>
      <c r="T797" s="222"/>
      <c r="U797" s="222"/>
      <c r="V797" s="222"/>
      <c r="W797" s="222"/>
    </row>
    <row r="798">
      <c r="A798" s="271"/>
      <c r="B798" s="222"/>
      <c r="C798" s="222"/>
      <c r="D798" s="222"/>
      <c r="E798" s="222"/>
      <c r="F798" s="222"/>
      <c r="G798" s="222"/>
      <c r="H798" s="271"/>
      <c r="I798" s="271"/>
      <c r="J798" s="271"/>
      <c r="K798" s="271"/>
      <c r="L798" s="271"/>
      <c r="M798" s="222"/>
      <c r="N798" s="222"/>
      <c r="O798" s="222"/>
      <c r="P798" s="222"/>
      <c r="Q798" s="222"/>
      <c r="R798" s="222"/>
      <c r="S798" s="222"/>
      <c r="T798" s="222"/>
      <c r="U798" s="222"/>
      <c r="V798" s="222"/>
      <c r="W798" s="222"/>
    </row>
    <row r="799">
      <c r="A799" s="271"/>
      <c r="B799" s="222"/>
      <c r="C799" s="222"/>
      <c r="D799" s="222"/>
      <c r="E799" s="222"/>
      <c r="F799" s="222"/>
      <c r="G799" s="222"/>
      <c r="H799" s="271"/>
      <c r="I799" s="271"/>
      <c r="J799" s="271"/>
      <c r="K799" s="271"/>
      <c r="L799" s="271"/>
      <c r="M799" s="222"/>
      <c r="N799" s="222"/>
      <c r="O799" s="222"/>
      <c r="P799" s="222"/>
      <c r="Q799" s="222"/>
      <c r="R799" s="222"/>
      <c r="S799" s="222"/>
      <c r="T799" s="222"/>
      <c r="U799" s="222"/>
      <c r="V799" s="222"/>
      <c r="W799" s="222"/>
    </row>
    <row r="800">
      <c r="A800" s="271"/>
      <c r="B800" s="222"/>
      <c r="C800" s="222"/>
      <c r="D800" s="222"/>
      <c r="E800" s="222"/>
      <c r="F800" s="222"/>
      <c r="G800" s="222"/>
      <c r="H800" s="271"/>
      <c r="I800" s="271"/>
      <c r="J800" s="271"/>
      <c r="K800" s="271"/>
      <c r="L800" s="271"/>
      <c r="M800" s="222"/>
      <c r="N800" s="222"/>
      <c r="O800" s="222"/>
      <c r="P800" s="222"/>
      <c r="Q800" s="222"/>
      <c r="R800" s="222"/>
      <c r="S800" s="222"/>
      <c r="T800" s="222"/>
      <c r="U800" s="222"/>
      <c r="V800" s="222"/>
      <c r="W800" s="222"/>
    </row>
    <row r="801">
      <c r="A801" s="271"/>
      <c r="B801" s="222"/>
      <c r="C801" s="222"/>
      <c r="D801" s="222"/>
      <c r="E801" s="222"/>
      <c r="F801" s="222"/>
      <c r="G801" s="222"/>
      <c r="H801" s="271"/>
      <c r="I801" s="271"/>
      <c r="J801" s="271"/>
      <c r="K801" s="271"/>
      <c r="L801" s="271"/>
      <c r="M801" s="222"/>
      <c r="N801" s="222"/>
      <c r="O801" s="222"/>
      <c r="P801" s="222"/>
      <c r="Q801" s="222"/>
      <c r="R801" s="222"/>
      <c r="S801" s="222"/>
      <c r="T801" s="222"/>
      <c r="U801" s="222"/>
      <c r="V801" s="222"/>
      <c r="W801" s="222"/>
    </row>
    <row r="802">
      <c r="A802" s="271"/>
      <c r="B802" s="222"/>
      <c r="C802" s="222"/>
      <c r="D802" s="222"/>
      <c r="E802" s="222"/>
      <c r="F802" s="222"/>
      <c r="G802" s="222"/>
      <c r="H802" s="271"/>
      <c r="I802" s="271"/>
      <c r="J802" s="271"/>
      <c r="K802" s="271"/>
      <c r="L802" s="271"/>
      <c r="M802" s="222"/>
      <c r="N802" s="222"/>
      <c r="O802" s="222"/>
      <c r="P802" s="222"/>
      <c r="Q802" s="222"/>
      <c r="R802" s="222"/>
      <c r="S802" s="222"/>
      <c r="T802" s="222"/>
      <c r="U802" s="222"/>
      <c r="V802" s="222"/>
      <c r="W802" s="222"/>
    </row>
    <row r="803">
      <c r="A803" s="271"/>
      <c r="B803" s="222"/>
      <c r="C803" s="222"/>
      <c r="D803" s="222"/>
      <c r="E803" s="222"/>
      <c r="F803" s="222"/>
      <c r="G803" s="222"/>
      <c r="H803" s="271"/>
      <c r="I803" s="271"/>
      <c r="J803" s="271"/>
      <c r="K803" s="271"/>
      <c r="L803" s="271"/>
      <c r="M803" s="222"/>
      <c r="N803" s="222"/>
      <c r="O803" s="222"/>
      <c r="P803" s="222"/>
      <c r="Q803" s="222"/>
      <c r="R803" s="222"/>
      <c r="S803" s="222"/>
      <c r="T803" s="222"/>
      <c r="U803" s="222"/>
      <c r="V803" s="222"/>
      <c r="W803" s="222"/>
    </row>
    <row r="804">
      <c r="A804" s="271"/>
      <c r="B804" s="222"/>
      <c r="C804" s="222"/>
      <c r="D804" s="222"/>
      <c r="E804" s="222"/>
      <c r="F804" s="222"/>
      <c r="G804" s="222"/>
      <c r="H804" s="271"/>
      <c r="I804" s="271"/>
      <c r="J804" s="271"/>
      <c r="K804" s="271"/>
      <c r="L804" s="271"/>
      <c r="M804" s="222"/>
      <c r="N804" s="222"/>
      <c r="O804" s="222"/>
      <c r="P804" s="222"/>
      <c r="Q804" s="222"/>
      <c r="R804" s="222"/>
      <c r="S804" s="222"/>
      <c r="T804" s="222"/>
      <c r="U804" s="222"/>
      <c r="V804" s="222"/>
      <c r="W804" s="222"/>
    </row>
    <row r="805">
      <c r="A805" s="271"/>
      <c r="B805" s="222"/>
      <c r="C805" s="222"/>
      <c r="D805" s="222"/>
      <c r="E805" s="222"/>
      <c r="F805" s="222"/>
      <c r="G805" s="222"/>
      <c r="H805" s="271"/>
      <c r="I805" s="271"/>
      <c r="J805" s="271"/>
      <c r="K805" s="271"/>
      <c r="L805" s="271"/>
      <c r="M805" s="222"/>
      <c r="N805" s="222"/>
      <c r="O805" s="222"/>
      <c r="P805" s="222"/>
      <c r="Q805" s="222"/>
      <c r="R805" s="222"/>
      <c r="S805" s="222"/>
      <c r="T805" s="222"/>
      <c r="U805" s="222"/>
      <c r="V805" s="222"/>
      <c r="W805" s="222"/>
    </row>
    <row r="806">
      <c r="A806" s="271"/>
      <c r="B806" s="222"/>
      <c r="C806" s="222"/>
      <c r="D806" s="222"/>
      <c r="E806" s="222"/>
      <c r="F806" s="222"/>
      <c r="G806" s="222"/>
      <c r="H806" s="271"/>
      <c r="I806" s="271"/>
      <c r="J806" s="271"/>
      <c r="K806" s="271"/>
      <c r="L806" s="271"/>
      <c r="M806" s="222"/>
      <c r="N806" s="222"/>
      <c r="O806" s="222"/>
      <c r="P806" s="222"/>
      <c r="Q806" s="222"/>
      <c r="R806" s="222"/>
      <c r="S806" s="222"/>
      <c r="T806" s="222"/>
      <c r="U806" s="222"/>
      <c r="V806" s="222"/>
      <c r="W806" s="222"/>
    </row>
    <row r="807">
      <c r="A807" s="271"/>
      <c r="B807" s="222"/>
      <c r="C807" s="222"/>
      <c r="D807" s="222"/>
      <c r="E807" s="222"/>
      <c r="F807" s="222"/>
      <c r="G807" s="222"/>
      <c r="H807" s="271"/>
      <c r="I807" s="271"/>
      <c r="J807" s="271"/>
      <c r="K807" s="271"/>
      <c r="L807" s="271"/>
      <c r="M807" s="222"/>
      <c r="N807" s="222"/>
      <c r="O807" s="222"/>
      <c r="P807" s="222"/>
      <c r="Q807" s="222"/>
      <c r="R807" s="222"/>
      <c r="S807" s="222"/>
      <c r="T807" s="222"/>
      <c r="U807" s="222"/>
      <c r="V807" s="222"/>
      <c r="W807" s="222"/>
    </row>
    <row r="808">
      <c r="A808" s="271"/>
      <c r="B808" s="222"/>
      <c r="C808" s="222"/>
      <c r="D808" s="222"/>
      <c r="E808" s="222"/>
      <c r="F808" s="222"/>
      <c r="G808" s="222"/>
      <c r="H808" s="271"/>
      <c r="I808" s="271"/>
      <c r="J808" s="271"/>
      <c r="K808" s="271"/>
      <c r="L808" s="271"/>
      <c r="M808" s="222"/>
      <c r="N808" s="222"/>
      <c r="O808" s="222"/>
      <c r="P808" s="222"/>
      <c r="Q808" s="222"/>
      <c r="R808" s="222"/>
      <c r="S808" s="222"/>
      <c r="T808" s="222"/>
      <c r="U808" s="222"/>
      <c r="V808" s="222"/>
      <c r="W808" s="222"/>
    </row>
    <row r="809">
      <c r="A809" s="271"/>
      <c r="B809" s="222"/>
      <c r="C809" s="222"/>
      <c r="D809" s="222"/>
      <c r="E809" s="222"/>
      <c r="F809" s="222"/>
      <c r="G809" s="222"/>
      <c r="H809" s="271"/>
      <c r="I809" s="271"/>
      <c r="J809" s="271"/>
      <c r="K809" s="271"/>
      <c r="L809" s="271"/>
      <c r="M809" s="222"/>
      <c r="N809" s="222"/>
      <c r="O809" s="222"/>
      <c r="P809" s="222"/>
      <c r="Q809" s="222"/>
      <c r="R809" s="222"/>
      <c r="S809" s="222"/>
      <c r="T809" s="222"/>
      <c r="U809" s="222"/>
      <c r="V809" s="222"/>
      <c r="W809" s="222"/>
    </row>
    <row r="810">
      <c r="A810" s="271"/>
      <c r="B810" s="222"/>
      <c r="C810" s="222"/>
      <c r="D810" s="222"/>
      <c r="E810" s="222"/>
      <c r="F810" s="222"/>
      <c r="G810" s="222"/>
      <c r="H810" s="271"/>
      <c r="I810" s="271"/>
      <c r="J810" s="271"/>
      <c r="K810" s="271"/>
      <c r="L810" s="271"/>
      <c r="M810" s="222"/>
      <c r="N810" s="222"/>
      <c r="O810" s="222"/>
      <c r="P810" s="222"/>
      <c r="Q810" s="222"/>
      <c r="R810" s="222"/>
      <c r="S810" s="222"/>
      <c r="T810" s="222"/>
      <c r="U810" s="222"/>
      <c r="V810" s="222"/>
      <c r="W810" s="222"/>
    </row>
    <row r="811">
      <c r="A811" s="271"/>
      <c r="B811" s="222"/>
      <c r="C811" s="222"/>
      <c r="D811" s="222"/>
      <c r="E811" s="222"/>
      <c r="F811" s="222"/>
      <c r="G811" s="222"/>
      <c r="H811" s="271"/>
      <c r="I811" s="271"/>
      <c r="J811" s="271"/>
      <c r="K811" s="271"/>
      <c r="L811" s="271"/>
      <c r="M811" s="222"/>
      <c r="N811" s="222"/>
      <c r="O811" s="222"/>
      <c r="P811" s="222"/>
      <c r="Q811" s="222"/>
      <c r="R811" s="222"/>
      <c r="S811" s="222"/>
      <c r="T811" s="222"/>
      <c r="U811" s="222"/>
      <c r="V811" s="222"/>
      <c r="W811" s="222"/>
    </row>
    <row r="812">
      <c r="A812" s="271"/>
      <c r="B812" s="222"/>
      <c r="C812" s="222"/>
      <c r="D812" s="222"/>
      <c r="E812" s="222"/>
      <c r="F812" s="222"/>
      <c r="G812" s="222"/>
      <c r="H812" s="271"/>
      <c r="I812" s="271"/>
      <c r="J812" s="271"/>
      <c r="K812" s="271"/>
      <c r="L812" s="271"/>
      <c r="M812" s="222"/>
      <c r="N812" s="222"/>
      <c r="O812" s="222"/>
      <c r="P812" s="222"/>
      <c r="Q812" s="222"/>
      <c r="R812" s="222"/>
      <c r="S812" s="222"/>
      <c r="T812" s="222"/>
      <c r="U812" s="222"/>
      <c r="V812" s="222"/>
      <c r="W812" s="222"/>
    </row>
    <row r="813">
      <c r="A813" s="271"/>
      <c r="B813" s="222"/>
      <c r="C813" s="222"/>
      <c r="D813" s="222"/>
      <c r="E813" s="222"/>
      <c r="F813" s="222"/>
      <c r="G813" s="222"/>
      <c r="H813" s="271"/>
      <c r="I813" s="271"/>
      <c r="J813" s="271"/>
      <c r="K813" s="271"/>
      <c r="L813" s="271"/>
      <c r="M813" s="222"/>
      <c r="N813" s="222"/>
      <c r="O813" s="222"/>
      <c r="P813" s="222"/>
      <c r="Q813" s="222"/>
      <c r="R813" s="222"/>
      <c r="S813" s="222"/>
      <c r="T813" s="222"/>
      <c r="U813" s="222"/>
      <c r="V813" s="222"/>
      <c r="W813" s="222"/>
    </row>
    <row r="814">
      <c r="A814" s="271"/>
      <c r="B814" s="222"/>
      <c r="C814" s="222"/>
      <c r="D814" s="222"/>
      <c r="E814" s="222"/>
      <c r="F814" s="222"/>
      <c r="G814" s="222"/>
      <c r="H814" s="271"/>
      <c r="I814" s="271"/>
      <c r="J814" s="271"/>
      <c r="K814" s="271"/>
      <c r="L814" s="271"/>
      <c r="M814" s="222"/>
      <c r="N814" s="222"/>
      <c r="O814" s="222"/>
      <c r="P814" s="222"/>
      <c r="Q814" s="222"/>
      <c r="R814" s="222"/>
      <c r="S814" s="222"/>
      <c r="T814" s="222"/>
      <c r="U814" s="222"/>
      <c r="V814" s="222"/>
      <c r="W814" s="222"/>
    </row>
    <row r="815">
      <c r="A815" s="271"/>
      <c r="B815" s="222"/>
      <c r="C815" s="222"/>
      <c r="D815" s="222"/>
      <c r="E815" s="222"/>
      <c r="F815" s="222"/>
      <c r="G815" s="222"/>
      <c r="H815" s="271"/>
      <c r="I815" s="271"/>
      <c r="J815" s="271"/>
      <c r="K815" s="271"/>
      <c r="L815" s="271"/>
      <c r="M815" s="222"/>
      <c r="N815" s="222"/>
      <c r="O815" s="222"/>
      <c r="P815" s="222"/>
      <c r="Q815" s="222"/>
      <c r="R815" s="222"/>
      <c r="S815" s="222"/>
      <c r="T815" s="222"/>
      <c r="U815" s="222"/>
      <c r="V815" s="222"/>
      <c r="W815" s="222"/>
    </row>
    <row r="816">
      <c r="A816" s="271"/>
      <c r="B816" s="222"/>
      <c r="C816" s="222"/>
      <c r="D816" s="222"/>
      <c r="E816" s="222"/>
      <c r="F816" s="222"/>
      <c r="G816" s="222"/>
      <c r="H816" s="271"/>
      <c r="I816" s="271"/>
      <c r="J816" s="271"/>
      <c r="K816" s="271"/>
      <c r="L816" s="271"/>
      <c r="M816" s="222"/>
      <c r="N816" s="222"/>
      <c r="O816" s="222"/>
      <c r="P816" s="222"/>
      <c r="Q816" s="222"/>
      <c r="R816" s="222"/>
      <c r="S816" s="222"/>
      <c r="T816" s="222"/>
      <c r="U816" s="222"/>
      <c r="V816" s="222"/>
      <c r="W816" s="222"/>
    </row>
    <row r="817">
      <c r="A817" s="271"/>
      <c r="B817" s="222"/>
      <c r="C817" s="222"/>
      <c r="D817" s="222"/>
      <c r="E817" s="222"/>
      <c r="F817" s="222"/>
      <c r="G817" s="222"/>
      <c r="H817" s="271"/>
      <c r="I817" s="271"/>
      <c r="J817" s="271"/>
      <c r="K817" s="271"/>
      <c r="L817" s="271"/>
      <c r="M817" s="222"/>
      <c r="N817" s="222"/>
      <c r="O817" s="222"/>
      <c r="P817" s="222"/>
      <c r="Q817" s="222"/>
      <c r="R817" s="222"/>
      <c r="S817" s="222"/>
      <c r="T817" s="222"/>
      <c r="U817" s="222"/>
      <c r="V817" s="222"/>
      <c r="W817" s="222"/>
    </row>
    <row r="818">
      <c r="A818" s="271"/>
      <c r="B818" s="222"/>
      <c r="C818" s="222"/>
      <c r="D818" s="222"/>
      <c r="E818" s="222"/>
      <c r="F818" s="222"/>
      <c r="G818" s="222"/>
      <c r="H818" s="271"/>
      <c r="I818" s="271"/>
      <c r="J818" s="271"/>
      <c r="K818" s="271"/>
      <c r="L818" s="271"/>
      <c r="M818" s="222"/>
      <c r="N818" s="222"/>
      <c r="O818" s="222"/>
      <c r="P818" s="222"/>
      <c r="Q818" s="222"/>
      <c r="R818" s="222"/>
      <c r="S818" s="222"/>
      <c r="T818" s="222"/>
      <c r="U818" s="222"/>
      <c r="V818" s="222"/>
      <c r="W818" s="222"/>
    </row>
    <row r="819">
      <c r="A819" s="271"/>
      <c r="B819" s="222"/>
      <c r="C819" s="222"/>
      <c r="D819" s="222"/>
      <c r="E819" s="222"/>
      <c r="F819" s="222"/>
      <c r="G819" s="222"/>
      <c r="H819" s="271"/>
      <c r="I819" s="271"/>
      <c r="J819" s="271"/>
      <c r="K819" s="271"/>
      <c r="L819" s="271"/>
      <c r="M819" s="222"/>
      <c r="N819" s="222"/>
      <c r="O819" s="222"/>
      <c r="P819" s="222"/>
      <c r="Q819" s="222"/>
      <c r="R819" s="222"/>
      <c r="S819" s="222"/>
      <c r="T819" s="222"/>
      <c r="U819" s="222"/>
      <c r="V819" s="222"/>
      <c r="W819" s="222"/>
    </row>
    <row r="820">
      <c r="A820" s="271"/>
      <c r="B820" s="222"/>
      <c r="C820" s="222"/>
      <c r="D820" s="222"/>
      <c r="E820" s="222"/>
      <c r="F820" s="222"/>
      <c r="G820" s="222"/>
      <c r="H820" s="271"/>
      <c r="I820" s="271"/>
      <c r="J820" s="271"/>
      <c r="K820" s="271"/>
      <c r="L820" s="271"/>
      <c r="M820" s="222"/>
      <c r="N820" s="222"/>
      <c r="O820" s="222"/>
      <c r="P820" s="222"/>
      <c r="Q820" s="222"/>
      <c r="R820" s="222"/>
      <c r="S820" s="222"/>
      <c r="T820" s="222"/>
      <c r="U820" s="222"/>
      <c r="V820" s="222"/>
      <c r="W820" s="222"/>
    </row>
    <row r="821">
      <c r="A821" s="271"/>
      <c r="B821" s="222"/>
      <c r="C821" s="222"/>
      <c r="D821" s="222"/>
      <c r="E821" s="222"/>
      <c r="F821" s="222"/>
      <c r="G821" s="222"/>
      <c r="H821" s="271"/>
      <c r="I821" s="271"/>
      <c r="J821" s="271"/>
      <c r="K821" s="271"/>
      <c r="L821" s="271"/>
      <c r="M821" s="222"/>
      <c r="N821" s="222"/>
      <c r="O821" s="222"/>
      <c r="P821" s="222"/>
      <c r="Q821" s="222"/>
      <c r="R821" s="222"/>
      <c r="S821" s="222"/>
      <c r="T821" s="222"/>
      <c r="U821" s="222"/>
      <c r="V821" s="222"/>
      <c r="W821" s="222"/>
    </row>
    <row r="822">
      <c r="A822" s="271"/>
      <c r="B822" s="222"/>
      <c r="C822" s="222"/>
      <c r="D822" s="222"/>
      <c r="E822" s="222"/>
      <c r="F822" s="222"/>
      <c r="G822" s="222"/>
      <c r="H822" s="271"/>
      <c r="I822" s="271"/>
      <c r="J822" s="271"/>
      <c r="K822" s="271"/>
      <c r="L822" s="271"/>
      <c r="M822" s="222"/>
      <c r="N822" s="222"/>
      <c r="O822" s="222"/>
      <c r="P822" s="222"/>
      <c r="Q822" s="222"/>
      <c r="R822" s="222"/>
      <c r="S822" s="222"/>
      <c r="T822" s="222"/>
      <c r="U822" s="222"/>
      <c r="V822" s="222"/>
      <c r="W822" s="222"/>
    </row>
    <row r="823">
      <c r="A823" s="271"/>
      <c r="B823" s="222"/>
      <c r="C823" s="222"/>
      <c r="D823" s="222"/>
      <c r="E823" s="222"/>
      <c r="F823" s="222"/>
      <c r="G823" s="222"/>
      <c r="H823" s="271"/>
      <c r="I823" s="271"/>
      <c r="J823" s="271"/>
      <c r="K823" s="271"/>
      <c r="L823" s="271"/>
      <c r="M823" s="222"/>
      <c r="N823" s="222"/>
      <c r="O823" s="222"/>
      <c r="P823" s="222"/>
      <c r="Q823" s="222"/>
      <c r="R823" s="222"/>
      <c r="S823" s="222"/>
      <c r="T823" s="222"/>
      <c r="U823" s="222"/>
      <c r="V823" s="222"/>
      <c r="W823" s="222"/>
    </row>
    <row r="824">
      <c r="A824" s="271"/>
      <c r="B824" s="222"/>
      <c r="C824" s="222"/>
      <c r="D824" s="222"/>
      <c r="E824" s="222"/>
      <c r="F824" s="222"/>
      <c r="G824" s="222"/>
      <c r="H824" s="271"/>
      <c r="I824" s="271"/>
      <c r="J824" s="271"/>
      <c r="K824" s="271"/>
      <c r="L824" s="271"/>
      <c r="M824" s="222"/>
      <c r="N824" s="222"/>
      <c r="O824" s="222"/>
      <c r="P824" s="222"/>
      <c r="Q824" s="222"/>
      <c r="R824" s="222"/>
      <c r="S824" s="222"/>
      <c r="T824" s="222"/>
      <c r="U824" s="222"/>
      <c r="V824" s="222"/>
      <c r="W824" s="222"/>
    </row>
    <row r="825">
      <c r="A825" s="271"/>
      <c r="B825" s="222"/>
      <c r="C825" s="222"/>
      <c r="D825" s="222"/>
      <c r="E825" s="222"/>
      <c r="F825" s="222"/>
      <c r="G825" s="222"/>
      <c r="H825" s="271"/>
      <c r="I825" s="271"/>
      <c r="J825" s="271"/>
      <c r="K825" s="271"/>
      <c r="L825" s="271"/>
      <c r="M825" s="222"/>
      <c r="N825" s="222"/>
      <c r="O825" s="222"/>
      <c r="P825" s="222"/>
      <c r="Q825" s="222"/>
      <c r="R825" s="222"/>
      <c r="S825" s="222"/>
      <c r="T825" s="222"/>
      <c r="U825" s="222"/>
      <c r="V825" s="222"/>
      <c r="W825" s="222"/>
    </row>
    <row r="826">
      <c r="A826" s="271"/>
      <c r="B826" s="222"/>
      <c r="C826" s="222"/>
      <c r="D826" s="222"/>
      <c r="E826" s="222"/>
      <c r="F826" s="222"/>
      <c r="G826" s="222"/>
      <c r="H826" s="271"/>
      <c r="I826" s="271"/>
      <c r="J826" s="271"/>
      <c r="K826" s="271"/>
      <c r="L826" s="271"/>
      <c r="M826" s="222"/>
      <c r="N826" s="222"/>
      <c r="O826" s="222"/>
      <c r="P826" s="222"/>
      <c r="Q826" s="222"/>
      <c r="R826" s="222"/>
      <c r="S826" s="222"/>
      <c r="T826" s="222"/>
      <c r="U826" s="222"/>
      <c r="V826" s="222"/>
      <c r="W826" s="222"/>
    </row>
    <row r="827">
      <c r="A827" s="271"/>
      <c r="B827" s="222"/>
      <c r="C827" s="222"/>
      <c r="D827" s="222"/>
      <c r="E827" s="222"/>
      <c r="F827" s="222"/>
      <c r="G827" s="222"/>
      <c r="H827" s="271"/>
      <c r="I827" s="271"/>
      <c r="J827" s="271"/>
      <c r="K827" s="271"/>
      <c r="L827" s="271"/>
      <c r="M827" s="222"/>
      <c r="N827" s="222"/>
      <c r="O827" s="222"/>
      <c r="P827" s="222"/>
      <c r="Q827" s="222"/>
      <c r="R827" s="222"/>
      <c r="S827" s="222"/>
      <c r="T827" s="222"/>
      <c r="U827" s="222"/>
      <c r="V827" s="222"/>
      <c r="W827" s="222"/>
    </row>
    <row r="828">
      <c r="A828" s="271"/>
      <c r="B828" s="222"/>
      <c r="C828" s="222"/>
      <c r="D828" s="222"/>
      <c r="E828" s="222"/>
      <c r="F828" s="222"/>
      <c r="G828" s="222"/>
      <c r="H828" s="271"/>
      <c r="I828" s="271"/>
      <c r="J828" s="271"/>
      <c r="K828" s="271"/>
      <c r="L828" s="271"/>
      <c r="M828" s="222"/>
      <c r="N828" s="222"/>
      <c r="O828" s="222"/>
      <c r="P828" s="222"/>
      <c r="Q828" s="222"/>
      <c r="R828" s="222"/>
      <c r="S828" s="222"/>
      <c r="T828" s="222"/>
      <c r="U828" s="222"/>
      <c r="V828" s="222"/>
      <c r="W828" s="222"/>
    </row>
    <row r="829">
      <c r="A829" s="271"/>
      <c r="B829" s="222"/>
      <c r="C829" s="222"/>
      <c r="D829" s="222"/>
      <c r="E829" s="222"/>
      <c r="F829" s="222"/>
      <c r="G829" s="222"/>
      <c r="H829" s="271"/>
      <c r="I829" s="271"/>
      <c r="J829" s="271"/>
      <c r="K829" s="271"/>
      <c r="L829" s="271"/>
      <c r="M829" s="222"/>
      <c r="N829" s="222"/>
      <c r="O829" s="222"/>
      <c r="P829" s="222"/>
      <c r="Q829" s="222"/>
      <c r="R829" s="222"/>
      <c r="S829" s="222"/>
      <c r="T829" s="222"/>
      <c r="U829" s="222"/>
      <c r="V829" s="222"/>
      <c r="W829" s="222"/>
    </row>
    <row r="830">
      <c r="A830" s="271"/>
      <c r="B830" s="222"/>
      <c r="C830" s="222"/>
      <c r="D830" s="222"/>
      <c r="E830" s="222"/>
      <c r="F830" s="222"/>
      <c r="G830" s="222"/>
      <c r="H830" s="271"/>
      <c r="I830" s="271"/>
      <c r="J830" s="271"/>
      <c r="K830" s="271"/>
      <c r="L830" s="271"/>
      <c r="M830" s="222"/>
      <c r="N830" s="222"/>
      <c r="O830" s="222"/>
      <c r="P830" s="222"/>
      <c r="Q830" s="222"/>
      <c r="R830" s="222"/>
      <c r="S830" s="222"/>
      <c r="T830" s="222"/>
      <c r="U830" s="222"/>
      <c r="V830" s="222"/>
      <c r="W830" s="222"/>
    </row>
    <row r="831">
      <c r="A831" s="271"/>
      <c r="B831" s="222"/>
      <c r="C831" s="222"/>
      <c r="D831" s="222"/>
      <c r="E831" s="222"/>
      <c r="F831" s="222"/>
      <c r="G831" s="222"/>
      <c r="H831" s="271"/>
      <c r="I831" s="271"/>
      <c r="J831" s="271"/>
      <c r="K831" s="271"/>
      <c r="L831" s="271"/>
      <c r="M831" s="222"/>
      <c r="N831" s="222"/>
      <c r="O831" s="222"/>
      <c r="P831" s="222"/>
      <c r="Q831" s="222"/>
      <c r="R831" s="222"/>
      <c r="S831" s="222"/>
      <c r="T831" s="222"/>
      <c r="U831" s="222"/>
      <c r="V831" s="222"/>
      <c r="W831" s="222"/>
    </row>
    <row r="832">
      <c r="A832" s="271"/>
      <c r="B832" s="222"/>
      <c r="C832" s="222"/>
      <c r="D832" s="222"/>
      <c r="E832" s="222"/>
      <c r="F832" s="222"/>
      <c r="G832" s="222"/>
      <c r="H832" s="271"/>
      <c r="I832" s="271"/>
      <c r="J832" s="271"/>
      <c r="K832" s="271"/>
      <c r="L832" s="271"/>
      <c r="M832" s="222"/>
      <c r="N832" s="222"/>
      <c r="O832" s="222"/>
      <c r="P832" s="222"/>
      <c r="Q832" s="222"/>
      <c r="R832" s="222"/>
      <c r="S832" s="222"/>
      <c r="T832" s="222"/>
      <c r="U832" s="222"/>
      <c r="V832" s="222"/>
      <c r="W832" s="222"/>
    </row>
    <row r="833">
      <c r="A833" s="271"/>
      <c r="B833" s="222"/>
      <c r="C833" s="222"/>
      <c r="D833" s="222"/>
      <c r="E833" s="222"/>
      <c r="F833" s="222"/>
      <c r="G833" s="222"/>
      <c r="H833" s="271"/>
      <c r="I833" s="271"/>
      <c r="J833" s="271"/>
      <c r="K833" s="271"/>
      <c r="L833" s="271"/>
      <c r="M833" s="222"/>
      <c r="N833" s="222"/>
      <c r="O833" s="222"/>
      <c r="P833" s="222"/>
      <c r="Q833" s="222"/>
      <c r="R833" s="222"/>
      <c r="S833" s="222"/>
      <c r="T833" s="222"/>
      <c r="U833" s="222"/>
      <c r="V833" s="222"/>
      <c r="W833" s="222"/>
    </row>
    <row r="834">
      <c r="A834" s="271"/>
      <c r="B834" s="222"/>
      <c r="C834" s="222"/>
      <c r="D834" s="222"/>
      <c r="E834" s="222"/>
      <c r="F834" s="222"/>
      <c r="G834" s="222"/>
      <c r="H834" s="271"/>
      <c r="I834" s="271"/>
      <c r="J834" s="271"/>
      <c r="K834" s="271"/>
      <c r="L834" s="271"/>
      <c r="M834" s="222"/>
      <c r="N834" s="222"/>
      <c r="O834" s="222"/>
      <c r="P834" s="222"/>
      <c r="Q834" s="222"/>
      <c r="R834" s="222"/>
      <c r="S834" s="222"/>
      <c r="T834" s="222"/>
      <c r="U834" s="222"/>
      <c r="V834" s="222"/>
      <c r="W834" s="222"/>
    </row>
    <row r="835">
      <c r="A835" s="271"/>
      <c r="B835" s="222"/>
      <c r="C835" s="222"/>
      <c r="D835" s="222"/>
      <c r="E835" s="222"/>
      <c r="F835" s="222"/>
      <c r="G835" s="222"/>
      <c r="H835" s="271"/>
      <c r="I835" s="271"/>
      <c r="J835" s="271"/>
      <c r="K835" s="271"/>
      <c r="L835" s="271"/>
      <c r="M835" s="222"/>
      <c r="N835" s="222"/>
      <c r="O835" s="222"/>
      <c r="P835" s="222"/>
      <c r="Q835" s="222"/>
      <c r="R835" s="222"/>
      <c r="S835" s="222"/>
      <c r="T835" s="222"/>
      <c r="U835" s="222"/>
      <c r="V835" s="222"/>
      <c r="W835" s="222"/>
    </row>
    <row r="836">
      <c r="A836" s="271"/>
      <c r="B836" s="222"/>
      <c r="C836" s="222"/>
      <c r="D836" s="222"/>
      <c r="E836" s="222"/>
      <c r="F836" s="222"/>
      <c r="G836" s="222"/>
      <c r="H836" s="271"/>
      <c r="I836" s="271"/>
      <c r="J836" s="271"/>
      <c r="K836" s="271"/>
      <c r="L836" s="271"/>
      <c r="M836" s="222"/>
      <c r="N836" s="222"/>
      <c r="O836" s="222"/>
      <c r="P836" s="222"/>
      <c r="Q836" s="222"/>
      <c r="R836" s="222"/>
      <c r="S836" s="222"/>
      <c r="T836" s="222"/>
      <c r="U836" s="222"/>
      <c r="V836" s="222"/>
      <c r="W836" s="222"/>
    </row>
    <row r="837">
      <c r="A837" s="271"/>
      <c r="B837" s="222"/>
      <c r="C837" s="222"/>
      <c r="D837" s="222"/>
      <c r="E837" s="222"/>
      <c r="F837" s="222"/>
      <c r="G837" s="222"/>
      <c r="H837" s="271"/>
      <c r="I837" s="271"/>
      <c r="J837" s="271"/>
      <c r="K837" s="271"/>
      <c r="L837" s="271"/>
      <c r="M837" s="222"/>
      <c r="N837" s="222"/>
      <c r="O837" s="222"/>
      <c r="P837" s="222"/>
      <c r="Q837" s="222"/>
      <c r="R837" s="222"/>
      <c r="S837" s="222"/>
      <c r="T837" s="222"/>
      <c r="U837" s="222"/>
      <c r="V837" s="222"/>
      <c r="W837" s="222"/>
    </row>
    <row r="838">
      <c r="A838" s="271"/>
      <c r="B838" s="222"/>
      <c r="C838" s="222"/>
      <c r="D838" s="222"/>
      <c r="E838" s="222"/>
      <c r="F838" s="222"/>
      <c r="G838" s="222"/>
      <c r="H838" s="271"/>
      <c r="I838" s="271"/>
      <c r="J838" s="271"/>
      <c r="K838" s="271"/>
      <c r="L838" s="271"/>
      <c r="M838" s="222"/>
      <c r="N838" s="222"/>
      <c r="O838" s="222"/>
      <c r="P838" s="222"/>
      <c r="Q838" s="222"/>
      <c r="R838" s="222"/>
      <c r="S838" s="222"/>
      <c r="T838" s="222"/>
      <c r="U838" s="222"/>
      <c r="V838" s="222"/>
      <c r="W838" s="222"/>
    </row>
    <row r="839">
      <c r="A839" s="271"/>
      <c r="B839" s="222"/>
      <c r="C839" s="222"/>
      <c r="D839" s="222"/>
      <c r="E839" s="222"/>
      <c r="F839" s="222"/>
      <c r="G839" s="222"/>
      <c r="H839" s="271"/>
      <c r="I839" s="271"/>
      <c r="J839" s="271"/>
      <c r="K839" s="271"/>
      <c r="L839" s="271"/>
      <c r="M839" s="222"/>
      <c r="N839" s="222"/>
      <c r="O839" s="222"/>
      <c r="P839" s="222"/>
      <c r="Q839" s="222"/>
      <c r="R839" s="222"/>
      <c r="S839" s="222"/>
      <c r="T839" s="222"/>
      <c r="U839" s="222"/>
      <c r="V839" s="222"/>
      <c r="W839" s="222"/>
    </row>
    <row r="840">
      <c r="A840" s="271"/>
      <c r="B840" s="222"/>
      <c r="C840" s="222"/>
      <c r="D840" s="222"/>
      <c r="E840" s="222"/>
      <c r="F840" s="222"/>
      <c r="G840" s="222"/>
      <c r="H840" s="271"/>
      <c r="I840" s="271"/>
      <c r="J840" s="271"/>
      <c r="K840" s="271"/>
      <c r="L840" s="271"/>
      <c r="M840" s="222"/>
      <c r="N840" s="222"/>
      <c r="O840" s="222"/>
      <c r="P840" s="222"/>
      <c r="Q840" s="222"/>
      <c r="R840" s="222"/>
      <c r="S840" s="222"/>
      <c r="T840" s="222"/>
      <c r="U840" s="222"/>
      <c r="V840" s="222"/>
      <c r="W840" s="222"/>
    </row>
    <row r="841">
      <c r="A841" s="271"/>
      <c r="B841" s="222"/>
      <c r="C841" s="222"/>
      <c r="D841" s="222"/>
      <c r="E841" s="222"/>
      <c r="F841" s="222"/>
      <c r="G841" s="222"/>
      <c r="H841" s="271"/>
      <c r="I841" s="271"/>
      <c r="J841" s="271"/>
      <c r="K841" s="271"/>
      <c r="L841" s="271"/>
      <c r="M841" s="222"/>
      <c r="N841" s="222"/>
      <c r="O841" s="222"/>
      <c r="P841" s="222"/>
      <c r="Q841" s="222"/>
      <c r="R841" s="222"/>
      <c r="S841" s="222"/>
      <c r="T841" s="222"/>
      <c r="U841" s="222"/>
      <c r="V841" s="222"/>
      <c r="W841" s="222"/>
    </row>
    <row r="842">
      <c r="A842" s="271"/>
      <c r="B842" s="222"/>
      <c r="C842" s="222"/>
      <c r="D842" s="222"/>
      <c r="E842" s="222"/>
      <c r="F842" s="222"/>
      <c r="G842" s="222"/>
      <c r="H842" s="271"/>
      <c r="I842" s="271"/>
      <c r="J842" s="271"/>
      <c r="K842" s="271"/>
      <c r="L842" s="271"/>
      <c r="M842" s="222"/>
      <c r="N842" s="222"/>
      <c r="O842" s="222"/>
      <c r="P842" s="222"/>
      <c r="Q842" s="222"/>
      <c r="R842" s="222"/>
      <c r="S842" s="222"/>
      <c r="T842" s="222"/>
      <c r="U842" s="222"/>
      <c r="V842" s="222"/>
      <c r="W842" s="222"/>
    </row>
    <row r="843">
      <c r="A843" s="271"/>
      <c r="B843" s="222"/>
      <c r="C843" s="222"/>
      <c r="D843" s="222"/>
      <c r="E843" s="222"/>
      <c r="F843" s="222"/>
      <c r="G843" s="222"/>
      <c r="H843" s="271"/>
      <c r="I843" s="271"/>
      <c r="J843" s="271"/>
      <c r="K843" s="271"/>
      <c r="L843" s="271"/>
      <c r="M843" s="222"/>
      <c r="N843" s="222"/>
      <c r="O843" s="222"/>
      <c r="P843" s="222"/>
      <c r="Q843" s="222"/>
      <c r="R843" s="222"/>
      <c r="S843" s="222"/>
      <c r="T843" s="222"/>
      <c r="U843" s="222"/>
      <c r="V843" s="222"/>
      <c r="W843" s="222"/>
    </row>
    <row r="844">
      <c r="A844" s="271"/>
      <c r="B844" s="222"/>
      <c r="C844" s="222"/>
      <c r="D844" s="222"/>
      <c r="E844" s="222"/>
      <c r="F844" s="222"/>
      <c r="G844" s="222"/>
      <c r="H844" s="271"/>
      <c r="I844" s="271"/>
      <c r="J844" s="271"/>
      <c r="K844" s="271"/>
      <c r="L844" s="271"/>
      <c r="M844" s="222"/>
      <c r="N844" s="222"/>
      <c r="O844" s="222"/>
      <c r="P844" s="222"/>
      <c r="Q844" s="222"/>
      <c r="R844" s="222"/>
      <c r="S844" s="222"/>
      <c r="T844" s="222"/>
      <c r="U844" s="222"/>
      <c r="V844" s="222"/>
      <c r="W844" s="222"/>
    </row>
    <row r="845">
      <c r="A845" s="271"/>
      <c r="B845" s="222"/>
      <c r="C845" s="222"/>
      <c r="D845" s="222"/>
      <c r="E845" s="222"/>
      <c r="F845" s="222"/>
      <c r="G845" s="222"/>
      <c r="H845" s="271"/>
      <c r="I845" s="271"/>
      <c r="J845" s="271"/>
      <c r="K845" s="271"/>
      <c r="L845" s="271"/>
      <c r="M845" s="222"/>
      <c r="N845" s="222"/>
      <c r="O845" s="222"/>
      <c r="P845" s="222"/>
      <c r="Q845" s="222"/>
      <c r="R845" s="222"/>
      <c r="S845" s="222"/>
      <c r="T845" s="222"/>
      <c r="U845" s="222"/>
      <c r="V845" s="222"/>
      <c r="W845" s="222"/>
    </row>
    <row r="846">
      <c r="A846" s="271"/>
      <c r="B846" s="222"/>
      <c r="C846" s="222"/>
      <c r="D846" s="222"/>
      <c r="E846" s="222"/>
      <c r="F846" s="222"/>
      <c r="G846" s="222"/>
      <c r="H846" s="271"/>
      <c r="I846" s="271"/>
      <c r="J846" s="271"/>
      <c r="K846" s="271"/>
      <c r="L846" s="271"/>
      <c r="M846" s="222"/>
      <c r="N846" s="222"/>
      <c r="O846" s="222"/>
      <c r="P846" s="222"/>
      <c r="Q846" s="222"/>
      <c r="R846" s="222"/>
      <c r="S846" s="222"/>
      <c r="T846" s="222"/>
      <c r="U846" s="222"/>
      <c r="V846" s="222"/>
      <c r="W846" s="222"/>
    </row>
    <row r="847">
      <c r="A847" s="271"/>
      <c r="B847" s="222"/>
      <c r="C847" s="222"/>
      <c r="D847" s="222"/>
      <c r="E847" s="222"/>
      <c r="F847" s="222"/>
      <c r="G847" s="222"/>
      <c r="H847" s="271"/>
      <c r="I847" s="271"/>
      <c r="J847" s="271"/>
      <c r="K847" s="271"/>
      <c r="L847" s="271"/>
      <c r="M847" s="222"/>
      <c r="N847" s="222"/>
      <c r="O847" s="222"/>
      <c r="P847" s="222"/>
      <c r="Q847" s="222"/>
      <c r="R847" s="222"/>
      <c r="S847" s="222"/>
      <c r="T847" s="222"/>
      <c r="U847" s="222"/>
      <c r="V847" s="222"/>
      <c r="W847" s="222"/>
    </row>
    <row r="848">
      <c r="A848" s="271"/>
      <c r="B848" s="222"/>
      <c r="C848" s="222"/>
      <c r="D848" s="222"/>
      <c r="E848" s="222"/>
      <c r="F848" s="222"/>
      <c r="G848" s="222"/>
      <c r="H848" s="271"/>
      <c r="I848" s="271"/>
      <c r="J848" s="271"/>
      <c r="K848" s="271"/>
      <c r="L848" s="271"/>
      <c r="M848" s="222"/>
      <c r="N848" s="222"/>
      <c r="O848" s="222"/>
      <c r="P848" s="222"/>
      <c r="Q848" s="222"/>
      <c r="R848" s="222"/>
      <c r="S848" s="222"/>
      <c r="T848" s="222"/>
      <c r="U848" s="222"/>
      <c r="V848" s="222"/>
      <c r="W848" s="222"/>
    </row>
    <row r="849">
      <c r="A849" s="271"/>
      <c r="B849" s="222"/>
      <c r="C849" s="222"/>
      <c r="D849" s="222"/>
      <c r="E849" s="222"/>
      <c r="F849" s="222"/>
      <c r="G849" s="222"/>
      <c r="H849" s="271"/>
      <c r="I849" s="271"/>
      <c r="J849" s="271"/>
      <c r="K849" s="271"/>
      <c r="L849" s="271"/>
      <c r="M849" s="222"/>
      <c r="N849" s="222"/>
      <c r="O849" s="222"/>
      <c r="P849" s="222"/>
      <c r="Q849" s="222"/>
      <c r="R849" s="222"/>
      <c r="S849" s="222"/>
      <c r="T849" s="222"/>
      <c r="U849" s="222"/>
      <c r="V849" s="222"/>
      <c r="W849" s="222"/>
    </row>
    <row r="850">
      <c r="A850" s="271"/>
      <c r="B850" s="222"/>
      <c r="C850" s="222"/>
      <c r="D850" s="222"/>
      <c r="E850" s="222"/>
      <c r="F850" s="222"/>
      <c r="G850" s="222"/>
      <c r="H850" s="271"/>
      <c r="I850" s="271"/>
      <c r="J850" s="271"/>
      <c r="K850" s="271"/>
      <c r="L850" s="271"/>
      <c r="M850" s="222"/>
      <c r="N850" s="222"/>
      <c r="O850" s="222"/>
      <c r="P850" s="222"/>
      <c r="Q850" s="222"/>
      <c r="R850" s="222"/>
      <c r="S850" s="222"/>
      <c r="T850" s="222"/>
      <c r="U850" s="222"/>
      <c r="V850" s="222"/>
      <c r="W850" s="222"/>
    </row>
    <row r="851">
      <c r="A851" s="271"/>
      <c r="B851" s="222"/>
      <c r="C851" s="222"/>
      <c r="D851" s="222"/>
      <c r="E851" s="222"/>
      <c r="F851" s="222"/>
      <c r="G851" s="222"/>
      <c r="H851" s="271"/>
      <c r="I851" s="271"/>
      <c r="J851" s="271"/>
      <c r="K851" s="271"/>
      <c r="L851" s="271"/>
      <c r="M851" s="222"/>
      <c r="N851" s="222"/>
      <c r="O851" s="222"/>
      <c r="P851" s="222"/>
      <c r="Q851" s="222"/>
      <c r="R851" s="222"/>
      <c r="S851" s="222"/>
      <c r="T851" s="222"/>
      <c r="U851" s="222"/>
      <c r="V851" s="222"/>
      <c r="W851" s="222"/>
    </row>
    <row r="852">
      <c r="A852" s="271"/>
      <c r="B852" s="222"/>
      <c r="C852" s="222"/>
      <c r="D852" s="222"/>
      <c r="E852" s="222"/>
      <c r="F852" s="222"/>
      <c r="G852" s="222"/>
      <c r="H852" s="271"/>
      <c r="I852" s="271"/>
      <c r="J852" s="271"/>
      <c r="K852" s="271"/>
      <c r="L852" s="271"/>
      <c r="M852" s="222"/>
      <c r="N852" s="222"/>
      <c r="O852" s="222"/>
      <c r="P852" s="222"/>
      <c r="Q852" s="222"/>
      <c r="R852" s="222"/>
      <c r="S852" s="222"/>
      <c r="T852" s="222"/>
      <c r="U852" s="222"/>
      <c r="V852" s="222"/>
      <c r="W852" s="222"/>
    </row>
    <row r="853">
      <c r="A853" s="271"/>
      <c r="B853" s="222"/>
      <c r="C853" s="222"/>
      <c r="D853" s="222"/>
      <c r="E853" s="222"/>
      <c r="F853" s="222"/>
      <c r="G853" s="222"/>
      <c r="H853" s="271"/>
      <c r="I853" s="271"/>
      <c r="J853" s="271"/>
      <c r="K853" s="271"/>
      <c r="L853" s="271"/>
      <c r="M853" s="222"/>
      <c r="N853" s="222"/>
      <c r="O853" s="222"/>
      <c r="P853" s="222"/>
      <c r="Q853" s="222"/>
      <c r="R853" s="222"/>
      <c r="S853" s="222"/>
      <c r="T853" s="222"/>
      <c r="U853" s="222"/>
      <c r="V853" s="222"/>
      <c r="W853" s="222"/>
    </row>
    <row r="854">
      <c r="A854" s="271"/>
      <c r="B854" s="222"/>
      <c r="C854" s="222"/>
      <c r="D854" s="222"/>
      <c r="E854" s="222"/>
      <c r="F854" s="222"/>
      <c r="G854" s="222"/>
      <c r="H854" s="271"/>
      <c r="I854" s="271"/>
      <c r="J854" s="271"/>
      <c r="K854" s="271"/>
      <c r="L854" s="271"/>
      <c r="M854" s="222"/>
      <c r="N854" s="222"/>
      <c r="O854" s="222"/>
      <c r="P854" s="222"/>
      <c r="Q854" s="222"/>
      <c r="R854" s="222"/>
      <c r="S854" s="222"/>
      <c r="T854" s="222"/>
      <c r="U854" s="222"/>
      <c r="V854" s="222"/>
      <c r="W854" s="222"/>
    </row>
    <row r="855">
      <c r="A855" s="271"/>
      <c r="B855" s="222"/>
      <c r="C855" s="222"/>
      <c r="D855" s="222"/>
      <c r="E855" s="222"/>
      <c r="F855" s="222"/>
      <c r="G855" s="222"/>
      <c r="H855" s="271"/>
      <c r="I855" s="271"/>
      <c r="J855" s="271"/>
      <c r="K855" s="271"/>
      <c r="L855" s="271"/>
      <c r="M855" s="222"/>
      <c r="N855" s="222"/>
      <c r="O855" s="222"/>
      <c r="P855" s="222"/>
      <c r="Q855" s="222"/>
      <c r="R855" s="222"/>
      <c r="S855" s="222"/>
      <c r="T855" s="222"/>
      <c r="U855" s="222"/>
      <c r="V855" s="222"/>
      <c r="W855" s="222"/>
    </row>
    <row r="856">
      <c r="A856" s="271"/>
      <c r="B856" s="222"/>
      <c r="C856" s="222"/>
      <c r="D856" s="222"/>
      <c r="E856" s="222"/>
      <c r="F856" s="222"/>
      <c r="G856" s="222"/>
      <c r="H856" s="271"/>
      <c r="I856" s="271"/>
      <c r="J856" s="271"/>
      <c r="K856" s="271"/>
      <c r="L856" s="271"/>
      <c r="M856" s="222"/>
      <c r="N856" s="222"/>
      <c r="O856" s="222"/>
      <c r="P856" s="222"/>
      <c r="Q856" s="222"/>
      <c r="R856" s="222"/>
      <c r="S856" s="222"/>
      <c r="T856" s="222"/>
      <c r="U856" s="222"/>
      <c r="V856" s="222"/>
      <c r="W856" s="222"/>
    </row>
    <row r="857">
      <c r="A857" s="271"/>
      <c r="B857" s="222"/>
      <c r="C857" s="222"/>
      <c r="D857" s="222"/>
      <c r="E857" s="222"/>
      <c r="F857" s="222"/>
      <c r="G857" s="222"/>
      <c r="H857" s="271"/>
      <c r="I857" s="271"/>
      <c r="J857" s="271"/>
      <c r="K857" s="271"/>
      <c r="L857" s="271"/>
      <c r="M857" s="222"/>
      <c r="N857" s="222"/>
      <c r="O857" s="222"/>
      <c r="P857" s="222"/>
      <c r="Q857" s="222"/>
      <c r="R857" s="222"/>
      <c r="S857" s="222"/>
      <c r="T857" s="222"/>
      <c r="U857" s="222"/>
      <c r="V857" s="222"/>
      <c r="W857" s="222"/>
    </row>
    <row r="858">
      <c r="A858" s="271"/>
      <c r="B858" s="222"/>
      <c r="C858" s="222"/>
      <c r="D858" s="222"/>
      <c r="E858" s="222"/>
      <c r="F858" s="222"/>
      <c r="G858" s="222"/>
      <c r="H858" s="271"/>
      <c r="I858" s="271"/>
      <c r="J858" s="271"/>
      <c r="K858" s="271"/>
      <c r="L858" s="271"/>
      <c r="M858" s="222"/>
      <c r="N858" s="222"/>
      <c r="O858" s="222"/>
      <c r="P858" s="222"/>
      <c r="Q858" s="222"/>
      <c r="R858" s="222"/>
      <c r="S858" s="222"/>
      <c r="T858" s="222"/>
      <c r="U858" s="222"/>
      <c r="V858" s="222"/>
      <c r="W858" s="222"/>
    </row>
    <row r="859">
      <c r="A859" s="271"/>
      <c r="B859" s="222"/>
      <c r="C859" s="222"/>
      <c r="D859" s="222"/>
      <c r="E859" s="222"/>
      <c r="F859" s="222"/>
      <c r="G859" s="222"/>
      <c r="H859" s="271"/>
      <c r="I859" s="271"/>
      <c r="J859" s="271"/>
      <c r="K859" s="271"/>
      <c r="L859" s="271"/>
      <c r="M859" s="222"/>
      <c r="N859" s="222"/>
      <c r="O859" s="222"/>
      <c r="P859" s="222"/>
      <c r="Q859" s="222"/>
      <c r="R859" s="222"/>
      <c r="S859" s="222"/>
      <c r="T859" s="222"/>
      <c r="U859" s="222"/>
      <c r="V859" s="222"/>
      <c r="W859" s="222"/>
    </row>
    <row r="860">
      <c r="A860" s="271"/>
      <c r="B860" s="222"/>
      <c r="C860" s="222"/>
      <c r="D860" s="222"/>
      <c r="E860" s="222"/>
      <c r="F860" s="222"/>
      <c r="G860" s="222"/>
      <c r="H860" s="271"/>
      <c r="I860" s="271"/>
      <c r="J860" s="271"/>
      <c r="K860" s="271"/>
      <c r="L860" s="271"/>
      <c r="M860" s="222"/>
      <c r="N860" s="222"/>
      <c r="O860" s="222"/>
      <c r="P860" s="222"/>
      <c r="Q860" s="222"/>
      <c r="R860" s="222"/>
      <c r="S860" s="222"/>
      <c r="T860" s="222"/>
      <c r="U860" s="222"/>
      <c r="V860" s="222"/>
      <c r="W860" s="222"/>
    </row>
    <row r="861">
      <c r="A861" s="271"/>
      <c r="B861" s="222"/>
      <c r="C861" s="222"/>
      <c r="D861" s="222"/>
      <c r="E861" s="222"/>
      <c r="F861" s="222"/>
      <c r="G861" s="222"/>
      <c r="H861" s="271"/>
      <c r="I861" s="271"/>
      <c r="J861" s="271"/>
      <c r="K861" s="271"/>
      <c r="L861" s="271"/>
      <c r="M861" s="222"/>
      <c r="N861" s="222"/>
      <c r="O861" s="222"/>
      <c r="P861" s="222"/>
      <c r="Q861" s="222"/>
      <c r="R861" s="222"/>
      <c r="S861" s="222"/>
      <c r="T861" s="222"/>
      <c r="U861" s="222"/>
      <c r="V861" s="222"/>
      <c r="W861" s="222"/>
    </row>
    <row r="862">
      <c r="A862" s="271"/>
      <c r="B862" s="222"/>
      <c r="C862" s="222"/>
      <c r="D862" s="222"/>
      <c r="E862" s="222"/>
      <c r="F862" s="222"/>
      <c r="G862" s="222"/>
      <c r="H862" s="271"/>
      <c r="I862" s="271"/>
      <c r="J862" s="271"/>
      <c r="K862" s="271"/>
      <c r="L862" s="271"/>
      <c r="M862" s="222"/>
      <c r="N862" s="222"/>
      <c r="O862" s="222"/>
      <c r="P862" s="222"/>
      <c r="Q862" s="222"/>
      <c r="R862" s="222"/>
      <c r="S862" s="222"/>
      <c r="T862" s="222"/>
      <c r="U862" s="222"/>
      <c r="V862" s="222"/>
      <c r="W862" s="222"/>
    </row>
    <row r="863">
      <c r="A863" s="271"/>
      <c r="B863" s="222"/>
      <c r="C863" s="222"/>
      <c r="D863" s="222"/>
      <c r="E863" s="222"/>
      <c r="F863" s="222"/>
      <c r="G863" s="222"/>
      <c r="H863" s="271"/>
      <c r="I863" s="271"/>
      <c r="J863" s="271"/>
      <c r="K863" s="271"/>
      <c r="L863" s="271"/>
      <c r="M863" s="222"/>
      <c r="N863" s="222"/>
      <c r="O863" s="222"/>
      <c r="P863" s="222"/>
      <c r="Q863" s="222"/>
      <c r="R863" s="222"/>
      <c r="S863" s="222"/>
      <c r="T863" s="222"/>
      <c r="U863" s="222"/>
      <c r="V863" s="222"/>
      <c r="W863" s="222"/>
    </row>
    <row r="864">
      <c r="A864" s="271"/>
      <c r="B864" s="222"/>
      <c r="C864" s="222"/>
      <c r="D864" s="222"/>
      <c r="E864" s="222"/>
      <c r="F864" s="222"/>
      <c r="G864" s="222"/>
      <c r="H864" s="271"/>
      <c r="I864" s="271"/>
      <c r="J864" s="271"/>
      <c r="K864" s="271"/>
      <c r="L864" s="271"/>
      <c r="M864" s="222"/>
      <c r="N864" s="222"/>
      <c r="O864" s="222"/>
      <c r="P864" s="222"/>
      <c r="Q864" s="222"/>
      <c r="R864" s="222"/>
      <c r="S864" s="222"/>
      <c r="T864" s="222"/>
      <c r="U864" s="222"/>
      <c r="V864" s="222"/>
      <c r="W864" s="222"/>
    </row>
    <row r="865">
      <c r="A865" s="271"/>
      <c r="B865" s="222"/>
      <c r="C865" s="222"/>
      <c r="D865" s="222"/>
      <c r="E865" s="222"/>
      <c r="F865" s="222"/>
      <c r="G865" s="222"/>
      <c r="H865" s="271"/>
      <c r="I865" s="271"/>
      <c r="J865" s="271"/>
      <c r="K865" s="271"/>
      <c r="L865" s="271"/>
      <c r="M865" s="222"/>
      <c r="N865" s="222"/>
      <c r="O865" s="222"/>
      <c r="P865" s="222"/>
      <c r="Q865" s="222"/>
      <c r="R865" s="222"/>
      <c r="S865" s="222"/>
      <c r="T865" s="222"/>
      <c r="U865" s="222"/>
      <c r="V865" s="222"/>
      <c r="W865" s="222"/>
    </row>
    <row r="866">
      <c r="A866" s="271"/>
      <c r="B866" s="222"/>
      <c r="C866" s="222"/>
      <c r="D866" s="222"/>
      <c r="E866" s="222"/>
      <c r="F866" s="222"/>
      <c r="G866" s="222"/>
      <c r="H866" s="271"/>
      <c r="I866" s="271"/>
      <c r="J866" s="271"/>
      <c r="K866" s="271"/>
      <c r="L866" s="271"/>
      <c r="M866" s="222"/>
      <c r="N866" s="222"/>
      <c r="O866" s="222"/>
      <c r="P866" s="222"/>
      <c r="Q866" s="222"/>
      <c r="R866" s="222"/>
      <c r="S866" s="222"/>
      <c r="T866" s="222"/>
      <c r="U866" s="222"/>
      <c r="V866" s="222"/>
      <c r="W866" s="222"/>
    </row>
    <row r="867">
      <c r="A867" s="271"/>
      <c r="B867" s="222"/>
      <c r="C867" s="222"/>
      <c r="D867" s="222"/>
      <c r="E867" s="222"/>
      <c r="F867" s="222"/>
      <c r="G867" s="222"/>
      <c r="H867" s="271"/>
      <c r="I867" s="271"/>
      <c r="J867" s="271"/>
      <c r="K867" s="271"/>
      <c r="L867" s="271"/>
      <c r="M867" s="222"/>
      <c r="N867" s="222"/>
      <c r="O867" s="222"/>
      <c r="P867" s="222"/>
      <c r="Q867" s="222"/>
      <c r="R867" s="222"/>
      <c r="S867" s="222"/>
      <c r="T867" s="222"/>
      <c r="U867" s="222"/>
      <c r="V867" s="222"/>
      <c r="W867" s="222"/>
    </row>
    <row r="868">
      <c r="A868" s="271"/>
      <c r="B868" s="222"/>
      <c r="C868" s="222"/>
      <c r="D868" s="222"/>
      <c r="E868" s="222"/>
      <c r="F868" s="222"/>
      <c r="G868" s="222"/>
      <c r="H868" s="271"/>
      <c r="I868" s="271"/>
      <c r="J868" s="271"/>
      <c r="K868" s="271"/>
      <c r="L868" s="271"/>
      <c r="M868" s="222"/>
      <c r="N868" s="222"/>
      <c r="O868" s="222"/>
      <c r="P868" s="222"/>
      <c r="Q868" s="222"/>
      <c r="R868" s="222"/>
      <c r="S868" s="222"/>
      <c r="T868" s="222"/>
      <c r="U868" s="222"/>
      <c r="V868" s="222"/>
      <c r="W868" s="222"/>
    </row>
    <row r="869">
      <c r="A869" s="271"/>
      <c r="B869" s="222"/>
      <c r="C869" s="222"/>
      <c r="D869" s="222"/>
      <c r="E869" s="222"/>
      <c r="F869" s="222"/>
      <c r="G869" s="222"/>
      <c r="H869" s="271"/>
      <c r="I869" s="271"/>
      <c r="J869" s="271"/>
      <c r="K869" s="271"/>
      <c r="L869" s="271"/>
      <c r="M869" s="222"/>
      <c r="N869" s="222"/>
      <c r="O869" s="222"/>
      <c r="P869" s="222"/>
      <c r="Q869" s="222"/>
      <c r="R869" s="222"/>
      <c r="S869" s="222"/>
      <c r="T869" s="222"/>
      <c r="U869" s="222"/>
      <c r="V869" s="222"/>
      <c r="W869" s="222"/>
    </row>
    <row r="870">
      <c r="A870" s="271"/>
      <c r="B870" s="222"/>
      <c r="C870" s="222"/>
      <c r="D870" s="222"/>
      <c r="E870" s="222"/>
      <c r="F870" s="222"/>
      <c r="G870" s="222"/>
      <c r="H870" s="271"/>
      <c r="I870" s="271"/>
      <c r="J870" s="271"/>
      <c r="K870" s="271"/>
      <c r="L870" s="271"/>
      <c r="M870" s="222"/>
      <c r="N870" s="222"/>
      <c r="O870" s="222"/>
      <c r="P870" s="222"/>
      <c r="Q870" s="222"/>
      <c r="R870" s="222"/>
      <c r="S870" s="222"/>
      <c r="T870" s="222"/>
      <c r="U870" s="222"/>
      <c r="V870" s="222"/>
      <c r="W870" s="222"/>
    </row>
    <row r="871">
      <c r="A871" s="271"/>
      <c r="B871" s="222"/>
      <c r="C871" s="222"/>
      <c r="D871" s="222"/>
      <c r="E871" s="222"/>
      <c r="F871" s="222"/>
      <c r="G871" s="222"/>
      <c r="H871" s="271"/>
      <c r="I871" s="271"/>
      <c r="J871" s="271"/>
      <c r="K871" s="271"/>
      <c r="L871" s="271"/>
      <c r="M871" s="222"/>
      <c r="N871" s="222"/>
      <c r="O871" s="222"/>
      <c r="P871" s="222"/>
      <c r="Q871" s="222"/>
      <c r="R871" s="222"/>
      <c r="S871" s="222"/>
      <c r="T871" s="222"/>
      <c r="U871" s="222"/>
      <c r="V871" s="222"/>
      <c r="W871" s="222"/>
    </row>
    <row r="872">
      <c r="A872" s="271"/>
      <c r="B872" s="222"/>
      <c r="C872" s="222"/>
      <c r="D872" s="222"/>
      <c r="E872" s="222"/>
      <c r="F872" s="222"/>
      <c r="G872" s="222"/>
      <c r="H872" s="271"/>
      <c r="I872" s="271"/>
      <c r="J872" s="271"/>
      <c r="K872" s="271"/>
      <c r="L872" s="271"/>
      <c r="M872" s="222"/>
      <c r="N872" s="222"/>
      <c r="O872" s="222"/>
      <c r="P872" s="222"/>
      <c r="Q872" s="222"/>
      <c r="R872" s="222"/>
      <c r="S872" s="222"/>
      <c r="T872" s="222"/>
      <c r="U872" s="222"/>
      <c r="V872" s="222"/>
      <c r="W872" s="222"/>
    </row>
    <row r="873">
      <c r="A873" s="271"/>
      <c r="B873" s="222"/>
      <c r="C873" s="222"/>
      <c r="D873" s="222"/>
      <c r="E873" s="222"/>
      <c r="F873" s="222"/>
      <c r="G873" s="222"/>
      <c r="H873" s="271"/>
      <c r="I873" s="271"/>
      <c r="J873" s="271"/>
      <c r="K873" s="271"/>
      <c r="L873" s="271"/>
      <c r="M873" s="222"/>
      <c r="N873" s="222"/>
      <c r="O873" s="222"/>
      <c r="P873" s="222"/>
      <c r="Q873" s="222"/>
      <c r="R873" s="222"/>
      <c r="S873" s="222"/>
      <c r="T873" s="222"/>
      <c r="U873" s="222"/>
      <c r="V873" s="222"/>
      <c r="W873" s="222"/>
    </row>
    <row r="874">
      <c r="A874" s="271"/>
      <c r="B874" s="222"/>
      <c r="C874" s="222"/>
      <c r="D874" s="222"/>
      <c r="E874" s="222"/>
      <c r="F874" s="222"/>
      <c r="G874" s="222"/>
      <c r="H874" s="271"/>
      <c r="I874" s="271"/>
      <c r="J874" s="271"/>
      <c r="K874" s="271"/>
      <c r="L874" s="271"/>
      <c r="M874" s="222"/>
      <c r="N874" s="222"/>
      <c r="O874" s="222"/>
      <c r="P874" s="222"/>
      <c r="Q874" s="222"/>
      <c r="R874" s="222"/>
      <c r="S874" s="222"/>
      <c r="T874" s="222"/>
      <c r="U874" s="222"/>
      <c r="V874" s="222"/>
      <c r="W874" s="222"/>
    </row>
    <row r="875">
      <c r="A875" s="271"/>
      <c r="B875" s="222"/>
      <c r="C875" s="222"/>
      <c r="D875" s="222"/>
      <c r="E875" s="222"/>
      <c r="F875" s="222"/>
      <c r="G875" s="222"/>
      <c r="H875" s="271"/>
      <c r="I875" s="271"/>
      <c r="J875" s="271"/>
      <c r="K875" s="271"/>
      <c r="L875" s="271"/>
      <c r="M875" s="222"/>
      <c r="N875" s="222"/>
      <c r="O875" s="222"/>
      <c r="P875" s="222"/>
      <c r="Q875" s="222"/>
      <c r="R875" s="222"/>
      <c r="S875" s="222"/>
      <c r="T875" s="222"/>
      <c r="U875" s="222"/>
      <c r="V875" s="222"/>
      <c r="W875" s="222"/>
    </row>
    <row r="876">
      <c r="A876" s="271"/>
      <c r="B876" s="222"/>
      <c r="C876" s="222"/>
      <c r="D876" s="222"/>
      <c r="E876" s="222"/>
      <c r="F876" s="222"/>
      <c r="G876" s="222"/>
      <c r="H876" s="271"/>
      <c r="I876" s="271"/>
      <c r="J876" s="271"/>
      <c r="K876" s="271"/>
      <c r="L876" s="271"/>
      <c r="M876" s="222"/>
      <c r="N876" s="222"/>
      <c r="O876" s="222"/>
      <c r="P876" s="222"/>
      <c r="Q876" s="222"/>
      <c r="R876" s="222"/>
      <c r="S876" s="222"/>
      <c r="T876" s="222"/>
      <c r="U876" s="222"/>
      <c r="V876" s="222"/>
      <c r="W876" s="222"/>
    </row>
    <row r="877">
      <c r="A877" s="271"/>
      <c r="B877" s="222"/>
      <c r="C877" s="222"/>
      <c r="D877" s="222"/>
      <c r="E877" s="222"/>
      <c r="F877" s="222"/>
      <c r="G877" s="222"/>
      <c r="H877" s="271"/>
      <c r="I877" s="271"/>
      <c r="J877" s="271"/>
      <c r="K877" s="271"/>
      <c r="L877" s="271"/>
      <c r="M877" s="222"/>
      <c r="N877" s="222"/>
      <c r="O877" s="222"/>
      <c r="P877" s="222"/>
      <c r="Q877" s="222"/>
      <c r="R877" s="222"/>
      <c r="S877" s="222"/>
      <c r="T877" s="222"/>
      <c r="U877" s="222"/>
      <c r="V877" s="222"/>
      <c r="W877" s="222"/>
    </row>
    <row r="878">
      <c r="A878" s="271"/>
      <c r="B878" s="222"/>
      <c r="C878" s="222"/>
      <c r="D878" s="222"/>
      <c r="E878" s="222"/>
      <c r="F878" s="222"/>
      <c r="G878" s="222"/>
      <c r="H878" s="271"/>
      <c r="I878" s="271"/>
      <c r="J878" s="271"/>
      <c r="K878" s="271"/>
      <c r="L878" s="271"/>
      <c r="M878" s="222"/>
      <c r="N878" s="222"/>
      <c r="O878" s="222"/>
      <c r="P878" s="222"/>
      <c r="Q878" s="222"/>
      <c r="R878" s="222"/>
      <c r="S878" s="222"/>
      <c r="T878" s="222"/>
      <c r="U878" s="222"/>
      <c r="V878" s="222"/>
      <c r="W878" s="222"/>
    </row>
    <row r="879">
      <c r="A879" s="271"/>
      <c r="B879" s="222"/>
      <c r="C879" s="222"/>
      <c r="D879" s="222"/>
      <c r="E879" s="222"/>
      <c r="F879" s="222"/>
      <c r="G879" s="222"/>
      <c r="H879" s="271"/>
      <c r="I879" s="271"/>
      <c r="J879" s="271"/>
      <c r="K879" s="271"/>
      <c r="L879" s="271"/>
      <c r="M879" s="222"/>
      <c r="N879" s="222"/>
      <c r="O879" s="222"/>
      <c r="P879" s="222"/>
      <c r="Q879" s="222"/>
      <c r="R879" s="222"/>
      <c r="S879" s="222"/>
      <c r="T879" s="222"/>
      <c r="U879" s="222"/>
      <c r="V879" s="222"/>
      <c r="W879" s="222"/>
    </row>
    <row r="880">
      <c r="A880" s="271"/>
      <c r="B880" s="222"/>
      <c r="C880" s="222"/>
      <c r="D880" s="222"/>
      <c r="E880" s="222"/>
      <c r="F880" s="222"/>
      <c r="G880" s="222"/>
      <c r="H880" s="271"/>
      <c r="I880" s="271"/>
      <c r="J880" s="271"/>
      <c r="K880" s="271"/>
      <c r="L880" s="271"/>
      <c r="M880" s="222"/>
      <c r="N880" s="222"/>
      <c r="O880" s="222"/>
      <c r="P880" s="222"/>
      <c r="Q880" s="222"/>
      <c r="R880" s="222"/>
      <c r="S880" s="222"/>
      <c r="T880" s="222"/>
      <c r="U880" s="222"/>
      <c r="V880" s="222"/>
      <c r="W880" s="222"/>
    </row>
    <row r="881">
      <c r="A881" s="271"/>
      <c r="B881" s="222"/>
      <c r="C881" s="222"/>
      <c r="D881" s="222"/>
      <c r="E881" s="222"/>
      <c r="F881" s="222"/>
      <c r="G881" s="222"/>
      <c r="H881" s="271"/>
      <c r="I881" s="271"/>
      <c r="J881" s="271"/>
      <c r="K881" s="271"/>
      <c r="L881" s="271"/>
      <c r="M881" s="222"/>
      <c r="N881" s="222"/>
      <c r="O881" s="222"/>
      <c r="P881" s="222"/>
      <c r="Q881" s="222"/>
      <c r="R881" s="222"/>
      <c r="S881" s="222"/>
      <c r="T881" s="222"/>
      <c r="U881" s="222"/>
      <c r="V881" s="222"/>
      <c r="W881" s="222"/>
    </row>
    <row r="882">
      <c r="A882" s="271"/>
      <c r="B882" s="222"/>
      <c r="C882" s="222"/>
      <c r="D882" s="222"/>
      <c r="E882" s="222"/>
      <c r="F882" s="222"/>
      <c r="G882" s="222"/>
      <c r="H882" s="271"/>
      <c r="I882" s="271"/>
      <c r="J882" s="271"/>
      <c r="K882" s="271"/>
      <c r="L882" s="271"/>
      <c r="M882" s="222"/>
      <c r="N882" s="222"/>
      <c r="O882" s="222"/>
      <c r="P882" s="222"/>
      <c r="Q882" s="222"/>
      <c r="R882" s="222"/>
      <c r="S882" s="222"/>
      <c r="T882" s="222"/>
      <c r="U882" s="222"/>
      <c r="V882" s="222"/>
      <c r="W882" s="222"/>
    </row>
    <row r="883">
      <c r="A883" s="271"/>
      <c r="B883" s="222"/>
      <c r="C883" s="222"/>
      <c r="D883" s="222"/>
      <c r="E883" s="222"/>
      <c r="F883" s="222"/>
      <c r="G883" s="222"/>
      <c r="H883" s="271"/>
      <c r="I883" s="271"/>
      <c r="J883" s="271"/>
      <c r="K883" s="271"/>
      <c r="L883" s="271"/>
      <c r="M883" s="222"/>
      <c r="N883" s="222"/>
      <c r="O883" s="222"/>
      <c r="P883" s="222"/>
      <c r="Q883" s="222"/>
      <c r="R883" s="222"/>
      <c r="S883" s="222"/>
      <c r="T883" s="222"/>
      <c r="U883" s="222"/>
      <c r="V883" s="222"/>
      <c r="W883" s="222"/>
    </row>
    <row r="884">
      <c r="A884" s="271"/>
      <c r="B884" s="222"/>
      <c r="C884" s="222"/>
      <c r="D884" s="222"/>
      <c r="E884" s="222"/>
      <c r="F884" s="222"/>
      <c r="G884" s="222"/>
      <c r="H884" s="271"/>
      <c r="I884" s="271"/>
      <c r="J884" s="271"/>
      <c r="K884" s="271"/>
      <c r="L884" s="271"/>
      <c r="M884" s="222"/>
      <c r="N884" s="222"/>
      <c r="O884" s="222"/>
      <c r="P884" s="222"/>
      <c r="Q884" s="222"/>
      <c r="R884" s="222"/>
      <c r="S884" s="222"/>
      <c r="T884" s="222"/>
      <c r="U884" s="222"/>
      <c r="V884" s="222"/>
      <c r="W884" s="222"/>
    </row>
    <row r="885">
      <c r="A885" s="271"/>
      <c r="B885" s="222"/>
      <c r="C885" s="222"/>
      <c r="D885" s="222"/>
      <c r="E885" s="222"/>
      <c r="F885" s="222"/>
      <c r="G885" s="222"/>
      <c r="H885" s="271"/>
      <c r="I885" s="271"/>
      <c r="J885" s="271"/>
      <c r="K885" s="271"/>
      <c r="L885" s="271"/>
      <c r="M885" s="222"/>
      <c r="N885" s="222"/>
      <c r="O885" s="222"/>
      <c r="P885" s="222"/>
      <c r="Q885" s="222"/>
      <c r="R885" s="222"/>
      <c r="S885" s="222"/>
      <c r="T885" s="222"/>
      <c r="U885" s="222"/>
      <c r="V885" s="222"/>
      <c r="W885" s="222"/>
    </row>
    <row r="886">
      <c r="A886" s="271"/>
      <c r="B886" s="222"/>
      <c r="C886" s="222"/>
      <c r="D886" s="222"/>
      <c r="E886" s="222"/>
      <c r="F886" s="222"/>
      <c r="G886" s="222"/>
      <c r="H886" s="271"/>
      <c r="I886" s="271"/>
      <c r="J886" s="271"/>
      <c r="K886" s="271"/>
      <c r="L886" s="271"/>
      <c r="M886" s="222"/>
      <c r="N886" s="222"/>
      <c r="O886" s="222"/>
      <c r="P886" s="222"/>
      <c r="Q886" s="222"/>
      <c r="R886" s="222"/>
      <c r="S886" s="222"/>
      <c r="T886" s="222"/>
      <c r="U886" s="222"/>
      <c r="V886" s="222"/>
      <c r="W886" s="222"/>
    </row>
    <row r="887">
      <c r="A887" s="271"/>
      <c r="B887" s="222"/>
      <c r="C887" s="222"/>
      <c r="D887" s="222"/>
      <c r="E887" s="222"/>
      <c r="F887" s="222"/>
      <c r="G887" s="222"/>
      <c r="H887" s="271"/>
      <c r="I887" s="271"/>
      <c r="J887" s="271"/>
      <c r="K887" s="271"/>
      <c r="L887" s="271"/>
      <c r="M887" s="222"/>
      <c r="N887" s="222"/>
      <c r="O887" s="222"/>
      <c r="P887" s="222"/>
      <c r="Q887" s="222"/>
      <c r="R887" s="222"/>
      <c r="S887" s="222"/>
      <c r="T887" s="222"/>
      <c r="U887" s="222"/>
      <c r="V887" s="222"/>
      <c r="W887" s="222"/>
    </row>
    <row r="888">
      <c r="A888" s="271"/>
      <c r="B888" s="222"/>
      <c r="C888" s="222"/>
      <c r="D888" s="222"/>
      <c r="E888" s="222"/>
      <c r="F888" s="222"/>
      <c r="G888" s="222"/>
      <c r="H888" s="271"/>
      <c r="I888" s="271"/>
      <c r="J888" s="271"/>
      <c r="K888" s="271"/>
      <c r="L888" s="271"/>
      <c r="M888" s="222"/>
      <c r="N888" s="222"/>
      <c r="O888" s="222"/>
      <c r="P888" s="222"/>
      <c r="Q888" s="222"/>
      <c r="R888" s="222"/>
      <c r="S888" s="222"/>
      <c r="T888" s="222"/>
      <c r="U888" s="222"/>
      <c r="V888" s="222"/>
      <c r="W888" s="222"/>
    </row>
    <row r="889">
      <c r="A889" s="271"/>
      <c r="B889" s="222"/>
      <c r="C889" s="222"/>
      <c r="D889" s="222"/>
      <c r="E889" s="222"/>
      <c r="F889" s="222"/>
      <c r="G889" s="222"/>
      <c r="H889" s="271"/>
      <c r="I889" s="271"/>
      <c r="J889" s="271"/>
      <c r="K889" s="271"/>
      <c r="L889" s="271"/>
      <c r="M889" s="222"/>
      <c r="N889" s="222"/>
      <c r="O889" s="222"/>
      <c r="P889" s="222"/>
      <c r="Q889" s="222"/>
      <c r="R889" s="222"/>
      <c r="S889" s="222"/>
      <c r="T889" s="222"/>
      <c r="U889" s="222"/>
      <c r="V889" s="222"/>
      <c r="W889" s="222"/>
    </row>
    <row r="890">
      <c r="A890" s="271"/>
      <c r="B890" s="222"/>
      <c r="C890" s="222"/>
      <c r="D890" s="222"/>
      <c r="E890" s="222"/>
      <c r="F890" s="222"/>
      <c r="G890" s="222"/>
      <c r="H890" s="271"/>
      <c r="I890" s="271"/>
      <c r="J890" s="271"/>
      <c r="K890" s="271"/>
      <c r="L890" s="271"/>
      <c r="M890" s="222"/>
      <c r="N890" s="222"/>
      <c r="O890" s="222"/>
      <c r="P890" s="222"/>
      <c r="Q890" s="222"/>
      <c r="R890" s="222"/>
      <c r="S890" s="222"/>
      <c r="T890" s="222"/>
      <c r="U890" s="222"/>
      <c r="V890" s="222"/>
      <c r="W890" s="222"/>
    </row>
    <row r="891">
      <c r="A891" s="271"/>
      <c r="B891" s="222"/>
      <c r="C891" s="222"/>
      <c r="D891" s="222"/>
      <c r="E891" s="222"/>
      <c r="F891" s="222"/>
      <c r="G891" s="222"/>
      <c r="H891" s="271"/>
      <c r="I891" s="271"/>
      <c r="J891" s="271"/>
      <c r="K891" s="271"/>
      <c r="L891" s="271"/>
      <c r="M891" s="222"/>
      <c r="N891" s="222"/>
      <c r="O891" s="222"/>
      <c r="P891" s="222"/>
      <c r="Q891" s="222"/>
      <c r="R891" s="222"/>
      <c r="S891" s="222"/>
      <c r="T891" s="222"/>
      <c r="U891" s="222"/>
      <c r="V891" s="222"/>
      <c r="W891" s="222"/>
    </row>
    <row r="892">
      <c r="A892" s="271"/>
      <c r="B892" s="222"/>
      <c r="C892" s="222"/>
      <c r="D892" s="222"/>
      <c r="E892" s="222"/>
      <c r="F892" s="222"/>
      <c r="G892" s="222"/>
      <c r="H892" s="271"/>
      <c r="I892" s="271"/>
      <c r="J892" s="271"/>
      <c r="K892" s="271"/>
      <c r="L892" s="271"/>
      <c r="M892" s="222"/>
      <c r="N892" s="222"/>
      <c r="O892" s="222"/>
      <c r="P892" s="222"/>
      <c r="Q892" s="222"/>
      <c r="R892" s="222"/>
      <c r="S892" s="222"/>
      <c r="T892" s="222"/>
      <c r="U892" s="222"/>
      <c r="V892" s="222"/>
      <c r="W892" s="222"/>
    </row>
    <row r="893">
      <c r="A893" s="271"/>
      <c r="B893" s="222"/>
      <c r="C893" s="222"/>
      <c r="D893" s="222"/>
      <c r="E893" s="222"/>
      <c r="F893" s="222"/>
      <c r="G893" s="222"/>
      <c r="H893" s="271"/>
      <c r="I893" s="271"/>
      <c r="J893" s="271"/>
      <c r="K893" s="271"/>
      <c r="L893" s="271"/>
      <c r="M893" s="222"/>
      <c r="N893" s="222"/>
      <c r="O893" s="222"/>
      <c r="P893" s="222"/>
      <c r="Q893" s="222"/>
      <c r="R893" s="222"/>
      <c r="S893" s="222"/>
      <c r="T893" s="222"/>
      <c r="U893" s="222"/>
      <c r="V893" s="222"/>
      <c r="W893" s="222"/>
    </row>
    <row r="894">
      <c r="A894" s="271"/>
      <c r="B894" s="222"/>
      <c r="C894" s="222"/>
      <c r="D894" s="222"/>
      <c r="E894" s="222"/>
      <c r="F894" s="222"/>
      <c r="G894" s="222"/>
      <c r="H894" s="271"/>
      <c r="I894" s="271"/>
      <c r="J894" s="271"/>
      <c r="K894" s="271"/>
      <c r="L894" s="271"/>
      <c r="M894" s="222"/>
      <c r="N894" s="222"/>
      <c r="O894" s="222"/>
      <c r="P894" s="222"/>
      <c r="Q894" s="222"/>
      <c r="R894" s="222"/>
      <c r="S894" s="222"/>
      <c r="T894" s="222"/>
      <c r="U894" s="222"/>
      <c r="V894" s="222"/>
      <c r="W894" s="222"/>
    </row>
    <row r="895">
      <c r="A895" s="271"/>
      <c r="B895" s="222"/>
      <c r="C895" s="222"/>
      <c r="D895" s="222"/>
      <c r="E895" s="222"/>
      <c r="F895" s="222"/>
      <c r="G895" s="222"/>
      <c r="H895" s="271"/>
      <c r="I895" s="271"/>
      <c r="J895" s="271"/>
      <c r="K895" s="271"/>
      <c r="L895" s="271"/>
      <c r="M895" s="222"/>
      <c r="N895" s="222"/>
      <c r="O895" s="222"/>
      <c r="P895" s="222"/>
      <c r="Q895" s="222"/>
      <c r="R895" s="222"/>
      <c r="S895" s="222"/>
      <c r="T895" s="222"/>
      <c r="U895" s="222"/>
      <c r="V895" s="222"/>
      <c r="W895" s="222"/>
    </row>
    <row r="896">
      <c r="A896" s="271"/>
      <c r="B896" s="222"/>
      <c r="C896" s="222"/>
      <c r="D896" s="222"/>
      <c r="E896" s="222"/>
      <c r="F896" s="222"/>
      <c r="G896" s="222"/>
      <c r="H896" s="271"/>
      <c r="I896" s="271"/>
      <c r="J896" s="271"/>
      <c r="K896" s="271"/>
      <c r="L896" s="271"/>
      <c r="M896" s="222"/>
      <c r="N896" s="222"/>
      <c r="O896" s="222"/>
      <c r="P896" s="222"/>
      <c r="Q896" s="222"/>
      <c r="R896" s="222"/>
      <c r="S896" s="222"/>
      <c r="T896" s="222"/>
      <c r="U896" s="222"/>
      <c r="V896" s="222"/>
      <c r="W896" s="222"/>
    </row>
    <row r="897">
      <c r="A897" s="271"/>
      <c r="B897" s="222"/>
      <c r="C897" s="222"/>
      <c r="D897" s="222"/>
      <c r="E897" s="222"/>
      <c r="F897" s="222"/>
      <c r="G897" s="222"/>
      <c r="H897" s="271"/>
      <c r="I897" s="271"/>
      <c r="J897" s="271"/>
      <c r="K897" s="271"/>
      <c r="L897" s="271"/>
      <c r="M897" s="222"/>
      <c r="N897" s="222"/>
      <c r="O897" s="222"/>
      <c r="P897" s="222"/>
      <c r="Q897" s="222"/>
      <c r="R897" s="222"/>
      <c r="S897" s="222"/>
      <c r="T897" s="222"/>
      <c r="U897" s="222"/>
      <c r="V897" s="222"/>
      <c r="W897" s="222"/>
    </row>
    <row r="898">
      <c r="A898" s="271"/>
      <c r="B898" s="222"/>
      <c r="C898" s="222"/>
      <c r="D898" s="222"/>
      <c r="E898" s="222"/>
      <c r="F898" s="222"/>
      <c r="G898" s="222"/>
      <c r="H898" s="271"/>
      <c r="I898" s="271"/>
      <c r="J898" s="271"/>
      <c r="K898" s="271"/>
      <c r="L898" s="271"/>
      <c r="M898" s="222"/>
      <c r="N898" s="222"/>
      <c r="O898" s="222"/>
      <c r="P898" s="222"/>
      <c r="Q898" s="222"/>
      <c r="R898" s="222"/>
      <c r="S898" s="222"/>
      <c r="T898" s="222"/>
      <c r="U898" s="222"/>
      <c r="V898" s="222"/>
      <c r="W898" s="222"/>
    </row>
    <row r="899">
      <c r="A899" s="271"/>
      <c r="B899" s="222"/>
      <c r="C899" s="222"/>
      <c r="D899" s="222"/>
      <c r="E899" s="222"/>
      <c r="F899" s="222"/>
      <c r="G899" s="222"/>
      <c r="H899" s="271"/>
      <c r="I899" s="271"/>
      <c r="J899" s="271"/>
      <c r="K899" s="271"/>
      <c r="L899" s="271"/>
      <c r="M899" s="222"/>
      <c r="N899" s="222"/>
      <c r="O899" s="222"/>
      <c r="P899" s="222"/>
      <c r="Q899" s="222"/>
      <c r="R899" s="222"/>
      <c r="S899" s="222"/>
      <c r="T899" s="222"/>
      <c r="U899" s="222"/>
      <c r="V899" s="222"/>
      <c r="W899" s="222"/>
    </row>
    <row r="900">
      <c r="A900" s="271"/>
      <c r="B900" s="222"/>
      <c r="C900" s="222"/>
      <c r="D900" s="222"/>
      <c r="E900" s="222"/>
      <c r="F900" s="222"/>
      <c r="G900" s="222"/>
      <c r="H900" s="271"/>
      <c r="I900" s="271"/>
      <c r="J900" s="271"/>
      <c r="K900" s="271"/>
      <c r="L900" s="271"/>
      <c r="M900" s="222"/>
      <c r="N900" s="222"/>
      <c r="O900" s="222"/>
      <c r="P900" s="222"/>
      <c r="Q900" s="222"/>
      <c r="R900" s="222"/>
      <c r="S900" s="222"/>
      <c r="T900" s="222"/>
      <c r="U900" s="222"/>
      <c r="V900" s="222"/>
      <c r="W900" s="222"/>
    </row>
    <row r="901">
      <c r="A901" s="271"/>
      <c r="B901" s="222"/>
      <c r="C901" s="222"/>
      <c r="D901" s="222"/>
      <c r="E901" s="222"/>
      <c r="F901" s="222"/>
      <c r="G901" s="222"/>
      <c r="H901" s="271"/>
      <c r="I901" s="271"/>
      <c r="J901" s="271"/>
      <c r="K901" s="271"/>
      <c r="L901" s="271"/>
      <c r="M901" s="222"/>
      <c r="N901" s="222"/>
      <c r="O901" s="222"/>
      <c r="P901" s="222"/>
      <c r="Q901" s="222"/>
      <c r="R901" s="222"/>
      <c r="S901" s="222"/>
      <c r="T901" s="222"/>
      <c r="U901" s="222"/>
      <c r="V901" s="222"/>
      <c r="W901" s="222"/>
    </row>
    <row r="902">
      <c r="A902" s="271"/>
      <c r="B902" s="222"/>
      <c r="C902" s="222"/>
      <c r="D902" s="222"/>
      <c r="E902" s="222"/>
      <c r="F902" s="222"/>
      <c r="G902" s="222"/>
      <c r="H902" s="271"/>
      <c r="I902" s="271"/>
      <c r="J902" s="271"/>
      <c r="K902" s="271"/>
      <c r="L902" s="271"/>
      <c r="M902" s="222"/>
      <c r="N902" s="222"/>
      <c r="O902" s="222"/>
      <c r="P902" s="222"/>
      <c r="Q902" s="222"/>
      <c r="R902" s="222"/>
      <c r="S902" s="222"/>
      <c r="T902" s="222"/>
      <c r="U902" s="222"/>
      <c r="V902" s="222"/>
      <c r="W902" s="222"/>
    </row>
    <row r="903">
      <c r="A903" s="271"/>
      <c r="B903" s="222"/>
      <c r="C903" s="222"/>
      <c r="D903" s="222"/>
      <c r="E903" s="222"/>
      <c r="F903" s="222"/>
      <c r="G903" s="222"/>
      <c r="H903" s="271"/>
      <c r="I903" s="271"/>
      <c r="J903" s="271"/>
      <c r="K903" s="271"/>
      <c r="L903" s="271"/>
      <c r="M903" s="222"/>
      <c r="N903" s="222"/>
      <c r="O903" s="222"/>
      <c r="P903" s="222"/>
      <c r="Q903" s="222"/>
      <c r="R903" s="222"/>
      <c r="S903" s="222"/>
      <c r="T903" s="222"/>
      <c r="U903" s="222"/>
      <c r="V903" s="222"/>
      <c r="W903" s="222"/>
    </row>
    <row r="904">
      <c r="A904" s="271"/>
      <c r="B904" s="222"/>
      <c r="C904" s="222"/>
      <c r="D904" s="222"/>
      <c r="E904" s="222"/>
      <c r="F904" s="222"/>
      <c r="G904" s="222"/>
      <c r="H904" s="271"/>
      <c r="I904" s="271"/>
      <c r="J904" s="271"/>
      <c r="K904" s="271"/>
      <c r="L904" s="271"/>
      <c r="M904" s="222"/>
      <c r="N904" s="222"/>
      <c r="O904" s="222"/>
      <c r="P904" s="222"/>
      <c r="Q904" s="222"/>
      <c r="R904" s="222"/>
      <c r="S904" s="222"/>
      <c r="T904" s="222"/>
      <c r="U904" s="222"/>
      <c r="V904" s="222"/>
      <c r="W904" s="222"/>
    </row>
    <row r="905">
      <c r="A905" s="271"/>
      <c r="B905" s="222"/>
      <c r="C905" s="222"/>
      <c r="D905" s="222"/>
      <c r="E905" s="222"/>
      <c r="F905" s="222"/>
      <c r="G905" s="222"/>
      <c r="H905" s="271"/>
      <c r="I905" s="271"/>
      <c r="J905" s="271"/>
      <c r="K905" s="271"/>
      <c r="L905" s="271"/>
      <c r="M905" s="222"/>
      <c r="N905" s="222"/>
      <c r="O905" s="222"/>
      <c r="P905" s="222"/>
      <c r="Q905" s="222"/>
      <c r="R905" s="222"/>
      <c r="S905" s="222"/>
      <c r="T905" s="222"/>
      <c r="U905" s="222"/>
      <c r="V905" s="222"/>
      <c r="W905" s="222"/>
    </row>
    <row r="906">
      <c r="A906" s="271"/>
      <c r="B906" s="222"/>
      <c r="C906" s="222"/>
      <c r="D906" s="222"/>
      <c r="E906" s="222"/>
      <c r="F906" s="222"/>
      <c r="G906" s="222"/>
      <c r="H906" s="271"/>
      <c r="I906" s="271"/>
      <c r="J906" s="271"/>
      <c r="K906" s="271"/>
      <c r="L906" s="271"/>
      <c r="M906" s="222"/>
      <c r="N906" s="222"/>
      <c r="O906" s="222"/>
      <c r="P906" s="222"/>
      <c r="Q906" s="222"/>
      <c r="R906" s="222"/>
      <c r="S906" s="222"/>
      <c r="T906" s="222"/>
      <c r="U906" s="222"/>
      <c r="V906" s="222"/>
      <c r="W906" s="222"/>
    </row>
    <row r="907">
      <c r="A907" s="271"/>
      <c r="B907" s="222"/>
      <c r="C907" s="222"/>
      <c r="D907" s="222"/>
      <c r="E907" s="222"/>
      <c r="F907" s="222"/>
      <c r="G907" s="222"/>
      <c r="H907" s="271"/>
      <c r="I907" s="271"/>
      <c r="J907" s="271"/>
      <c r="K907" s="271"/>
      <c r="L907" s="271"/>
      <c r="M907" s="222"/>
      <c r="N907" s="222"/>
      <c r="O907" s="222"/>
      <c r="P907" s="222"/>
      <c r="Q907" s="222"/>
      <c r="R907" s="222"/>
      <c r="S907" s="222"/>
      <c r="T907" s="222"/>
      <c r="U907" s="222"/>
      <c r="V907" s="222"/>
      <c r="W907" s="222"/>
    </row>
    <row r="908">
      <c r="A908" s="271"/>
      <c r="B908" s="222"/>
      <c r="C908" s="222"/>
      <c r="D908" s="222"/>
      <c r="E908" s="222"/>
      <c r="F908" s="222"/>
      <c r="G908" s="222"/>
      <c r="H908" s="271"/>
      <c r="I908" s="271"/>
      <c r="J908" s="271"/>
      <c r="K908" s="271"/>
      <c r="L908" s="271"/>
      <c r="M908" s="222"/>
      <c r="N908" s="222"/>
      <c r="O908" s="222"/>
      <c r="P908" s="222"/>
      <c r="Q908" s="222"/>
      <c r="R908" s="222"/>
      <c r="S908" s="222"/>
      <c r="T908" s="222"/>
      <c r="U908" s="222"/>
      <c r="V908" s="222"/>
      <c r="W908" s="222"/>
    </row>
    <row r="909">
      <c r="A909" s="271"/>
      <c r="B909" s="222"/>
      <c r="C909" s="222"/>
      <c r="D909" s="222"/>
      <c r="E909" s="222"/>
      <c r="F909" s="222"/>
      <c r="G909" s="222"/>
      <c r="H909" s="271"/>
      <c r="I909" s="271"/>
      <c r="J909" s="271"/>
      <c r="K909" s="271"/>
      <c r="L909" s="271"/>
      <c r="M909" s="222"/>
      <c r="N909" s="222"/>
      <c r="O909" s="222"/>
      <c r="P909" s="222"/>
      <c r="Q909" s="222"/>
      <c r="R909" s="222"/>
      <c r="S909" s="222"/>
      <c r="T909" s="222"/>
      <c r="U909" s="222"/>
      <c r="V909" s="222"/>
      <c r="W909" s="222"/>
    </row>
    <row r="910">
      <c r="A910" s="271"/>
      <c r="B910" s="222"/>
      <c r="C910" s="222"/>
      <c r="D910" s="222"/>
      <c r="E910" s="222"/>
      <c r="F910" s="222"/>
      <c r="G910" s="222"/>
      <c r="H910" s="271"/>
      <c r="I910" s="271"/>
      <c r="J910" s="271"/>
      <c r="K910" s="271"/>
      <c r="L910" s="271"/>
      <c r="M910" s="222"/>
      <c r="N910" s="222"/>
      <c r="O910" s="222"/>
      <c r="P910" s="222"/>
      <c r="Q910" s="222"/>
      <c r="R910" s="222"/>
      <c r="S910" s="222"/>
      <c r="T910" s="222"/>
      <c r="U910" s="222"/>
      <c r="V910" s="222"/>
      <c r="W910" s="222"/>
    </row>
    <row r="911">
      <c r="A911" s="271"/>
      <c r="B911" s="222"/>
      <c r="C911" s="222"/>
      <c r="D911" s="222"/>
      <c r="E911" s="222"/>
      <c r="F911" s="222"/>
      <c r="G911" s="222"/>
      <c r="H911" s="271"/>
      <c r="I911" s="271"/>
      <c r="J911" s="271"/>
      <c r="K911" s="271"/>
      <c r="L911" s="271"/>
      <c r="M911" s="222"/>
      <c r="N911" s="222"/>
      <c r="O911" s="222"/>
      <c r="P911" s="222"/>
      <c r="Q911" s="222"/>
      <c r="R911" s="222"/>
      <c r="S911" s="222"/>
      <c r="T911" s="222"/>
      <c r="U911" s="222"/>
      <c r="V911" s="222"/>
      <c r="W911" s="222"/>
    </row>
    <row r="912">
      <c r="A912" s="271"/>
      <c r="B912" s="222"/>
      <c r="C912" s="222"/>
      <c r="D912" s="222"/>
      <c r="E912" s="222"/>
      <c r="F912" s="222"/>
      <c r="G912" s="222"/>
      <c r="H912" s="271"/>
      <c r="I912" s="271"/>
      <c r="J912" s="271"/>
      <c r="K912" s="271"/>
      <c r="L912" s="271"/>
      <c r="M912" s="222"/>
      <c r="N912" s="222"/>
      <c r="O912" s="222"/>
      <c r="P912" s="222"/>
      <c r="Q912" s="222"/>
      <c r="R912" s="222"/>
      <c r="S912" s="222"/>
      <c r="T912" s="222"/>
      <c r="U912" s="222"/>
      <c r="V912" s="222"/>
      <c r="W912" s="222"/>
    </row>
    <row r="913">
      <c r="A913" s="271"/>
      <c r="B913" s="222"/>
      <c r="C913" s="222"/>
      <c r="D913" s="222"/>
      <c r="E913" s="222"/>
      <c r="F913" s="222"/>
      <c r="G913" s="222"/>
      <c r="H913" s="271"/>
      <c r="I913" s="271"/>
      <c r="J913" s="271"/>
      <c r="K913" s="271"/>
      <c r="L913" s="271"/>
      <c r="M913" s="222"/>
      <c r="N913" s="222"/>
      <c r="O913" s="222"/>
      <c r="P913" s="222"/>
      <c r="Q913" s="222"/>
      <c r="R913" s="222"/>
      <c r="S913" s="222"/>
      <c r="T913" s="222"/>
      <c r="U913" s="222"/>
      <c r="V913" s="222"/>
      <c r="W913" s="222"/>
    </row>
    <row r="914">
      <c r="A914" s="271"/>
      <c r="B914" s="222"/>
      <c r="C914" s="222"/>
      <c r="D914" s="222"/>
      <c r="E914" s="222"/>
      <c r="F914" s="222"/>
      <c r="G914" s="222"/>
      <c r="H914" s="271"/>
      <c r="I914" s="271"/>
      <c r="J914" s="271"/>
      <c r="K914" s="271"/>
      <c r="L914" s="271"/>
      <c r="M914" s="222"/>
      <c r="N914" s="222"/>
      <c r="O914" s="222"/>
      <c r="P914" s="222"/>
      <c r="Q914" s="222"/>
      <c r="R914" s="222"/>
      <c r="S914" s="222"/>
      <c r="T914" s="222"/>
      <c r="U914" s="222"/>
      <c r="V914" s="222"/>
      <c r="W914" s="222"/>
    </row>
    <row r="915">
      <c r="A915" s="271"/>
      <c r="B915" s="222"/>
      <c r="C915" s="222"/>
      <c r="D915" s="222"/>
      <c r="E915" s="222"/>
      <c r="F915" s="222"/>
      <c r="G915" s="222"/>
      <c r="H915" s="271"/>
      <c r="I915" s="271"/>
      <c r="J915" s="271"/>
      <c r="K915" s="271"/>
      <c r="L915" s="271"/>
      <c r="M915" s="222"/>
      <c r="N915" s="222"/>
      <c r="O915" s="222"/>
      <c r="P915" s="222"/>
      <c r="Q915" s="222"/>
      <c r="R915" s="222"/>
      <c r="S915" s="222"/>
      <c r="T915" s="222"/>
      <c r="U915" s="222"/>
      <c r="V915" s="222"/>
      <c r="W915" s="222"/>
    </row>
    <row r="916">
      <c r="A916" s="271"/>
      <c r="B916" s="222"/>
      <c r="C916" s="222"/>
      <c r="D916" s="222"/>
      <c r="E916" s="222"/>
      <c r="F916" s="222"/>
      <c r="G916" s="222"/>
      <c r="H916" s="271"/>
      <c r="I916" s="271"/>
      <c r="J916" s="271"/>
      <c r="K916" s="271"/>
      <c r="L916" s="271"/>
      <c r="M916" s="222"/>
      <c r="N916" s="222"/>
      <c r="O916" s="222"/>
      <c r="P916" s="222"/>
      <c r="Q916" s="222"/>
      <c r="R916" s="222"/>
      <c r="S916" s="222"/>
      <c r="T916" s="222"/>
      <c r="U916" s="222"/>
      <c r="V916" s="222"/>
      <c r="W916" s="222"/>
    </row>
    <row r="917">
      <c r="A917" s="271"/>
      <c r="B917" s="222"/>
      <c r="C917" s="222"/>
      <c r="D917" s="222"/>
      <c r="E917" s="222"/>
      <c r="F917" s="222"/>
      <c r="G917" s="222"/>
      <c r="H917" s="271"/>
      <c r="I917" s="271"/>
      <c r="J917" s="271"/>
      <c r="K917" s="271"/>
      <c r="L917" s="271"/>
      <c r="M917" s="222"/>
      <c r="N917" s="222"/>
      <c r="O917" s="222"/>
      <c r="P917" s="222"/>
      <c r="Q917" s="222"/>
      <c r="R917" s="222"/>
      <c r="S917" s="222"/>
      <c r="T917" s="222"/>
      <c r="U917" s="222"/>
      <c r="V917" s="222"/>
      <c r="W917" s="222"/>
    </row>
    <row r="918">
      <c r="A918" s="271"/>
      <c r="B918" s="222"/>
      <c r="C918" s="222"/>
      <c r="D918" s="222"/>
      <c r="E918" s="222"/>
      <c r="F918" s="222"/>
      <c r="G918" s="222"/>
      <c r="H918" s="271"/>
      <c r="I918" s="271"/>
      <c r="J918" s="271"/>
      <c r="K918" s="271"/>
      <c r="L918" s="271"/>
      <c r="M918" s="222"/>
      <c r="N918" s="222"/>
      <c r="O918" s="222"/>
      <c r="P918" s="222"/>
      <c r="Q918" s="222"/>
      <c r="R918" s="222"/>
      <c r="S918" s="222"/>
      <c r="T918" s="222"/>
      <c r="U918" s="222"/>
      <c r="V918" s="222"/>
      <c r="W918" s="222"/>
    </row>
    <row r="919">
      <c r="A919" s="271"/>
      <c r="B919" s="222"/>
      <c r="C919" s="222"/>
      <c r="D919" s="222"/>
      <c r="E919" s="222"/>
      <c r="F919" s="222"/>
      <c r="G919" s="222"/>
      <c r="H919" s="271"/>
      <c r="I919" s="271"/>
      <c r="J919" s="271"/>
      <c r="K919" s="271"/>
      <c r="L919" s="271"/>
      <c r="M919" s="222"/>
      <c r="N919" s="222"/>
      <c r="O919" s="222"/>
      <c r="P919" s="222"/>
      <c r="Q919" s="222"/>
      <c r="R919" s="222"/>
      <c r="S919" s="222"/>
      <c r="T919" s="222"/>
      <c r="U919" s="222"/>
      <c r="V919" s="222"/>
      <c r="W919" s="222"/>
    </row>
    <row r="920">
      <c r="A920" s="271"/>
      <c r="B920" s="222"/>
      <c r="C920" s="222"/>
      <c r="D920" s="222"/>
      <c r="E920" s="222"/>
      <c r="F920" s="222"/>
      <c r="G920" s="222"/>
      <c r="H920" s="271"/>
      <c r="I920" s="271"/>
      <c r="J920" s="271"/>
      <c r="K920" s="271"/>
      <c r="L920" s="271"/>
      <c r="M920" s="222"/>
      <c r="N920" s="222"/>
      <c r="O920" s="222"/>
      <c r="P920" s="222"/>
      <c r="Q920" s="222"/>
      <c r="R920" s="222"/>
      <c r="S920" s="222"/>
      <c r="T920" s="222"/>
      <c r="U920" s="222"/>
      <c r="V920" s="222"/>
      <c r="W920" s="222"/>
    </row>
    <row r="921">
      <c r="A921" s="271"/>
      <c r="B921" s="222"/>
      <c r="C921" s="222"/>
      <c r="D921" s="222"/>
      <c r="E921" s="222"/>
      <c r="F921" s="222"/>
      <c r="G921" s="222"/>
      <c r="H921" s="271"/>
      <c r="I921" s="271"/>
      <c r="J921" s="271"/>
      <c r="K921" s="271"/>
      <c r="L921" s="271"/>
      <c r="M921" s="222"/>
      <c r="N921" s="222"/>
      <c r="O921" s="222"/>
      <c r="P921" s="222"/>
      <c r="Q921" s="222"/>
      <c r="R921" s="222"/>
      <c r="S921" s="222"/>
      <c r="T921" s="222"/>
      <c r="U921" s="222"/>
      <c r="V921" s="222"/>
      <c r="W921" s="222"/>
    </row>
    <row r="922">
      <c r="A922" s="271"/>
      <c r="B922" s="222"/>
      <c r="C922" s="222"/>
      <c r="D922" s="222"/>
      <c r="E922" s="222"/>
      <c r="F922" s="222"/>
      <c r="G922" s="222"/>
      <c r="H922" s="271"/>
      <c r="I922" s="271"/>
      <c r="J922" s="271"/>
      <c r="K922" s="271"/>
      <c r="L922" s="271"/>
      <c r="M922" s="222"/>
      <c r="N922" s="222"/>
      <c r="O922" s="222"/>
      <c r="P922" s="222"/>
      <c r="Q922" s="222"/>
      <c r="R922" s="222"/>
      <c r="S922" s="222"/>
      <c r="T922" s="222"/>
      <c r="U922" s="222"/>
      <c r="V922" s="222"/>
      <c r="W922" s="222"/>
    </row>
    <row r="923">
      <c r="A923" s="271"/>
      <c r="B923" s="222"/>
      <c r="C923" s="222"/>
      <c r="D923" s="222"/>
      <c r="E923" s="222"/>
      <c r="F923" s="222"/>
      <c r="G923" s="222"/>
      <c r="H923" s="271"/>
      <c r="I923" s="271"/>
      <c r="J923" s="271"/>
      <c r="K923" s="271"/>
      <c r="L923" s="271"/>
      <c r="M923" s="222"/>
      <c r="N923" s="222"/>
      <c r="O923" s="222"/>
      <c r="P923" s="222"/>
      <c r="Q923" s="222"/>
      <c r="R923" s="222"/>
      <c r="S923" s="222"/>
      <c r="T923" s="222"/>
      <c r="U923" s="222"/>
      <c r="V923" s="222"/>
      <c r="W923" s="222"/>
    </row>
    <row r="924">
      <c r="A924" s="271"/>
      <c r="B924" s="222"/>
      <c r="C924" s="222"/>
      <c r="D924" s="222"/>
      <c r="E924" s="222"/>
      <c r="F924" s="222"/>
      <c r="G924" s="222"/>
      <c r="H924" s="271"/>
      <c r="I924" s="271"/>
      <c r="J924" s="271"/>
      <c r="K924" s="271"/>
      <c r="L924" s="271"/>
      <c r="M924" s="222"/>
      <c r="N924" s="222"/>
      <c r="O924" s="222"/>
      <c r="P924" s="222"/>
      <c r="Q924" s="222"/>
      <c r="R924" s="222"/>
      <c r="S924" s="222"/>
      <c r="T924" s="222"/>
      <c r="U924" s="222"/>
      <c r="V924" s="222"/>
      <c r="W924" s="222"/>
    </row>
    <row r="925">
      <c r="A925" s="271"/>
      <c r="B925" s="222"/>
      <c r="C925" s="222"/>
      <c r="D925" s="222"/>
      <c r="E925" s="222"/>
      <c r="F925" s="222"/>
      <c r="G925" s="222"/>
      <c r="H925" s="271"/>
      <c r="I925" s="271"/>
      <c r="J925" s="271"/>
      <c r="K925" s="271"/>
      <c r="L925" s="271"/>
      <c r="M925" s="222"/>
      <c r="N925" s="222"/>
      <c r="O925" s="222"/>
      <c r="P925" s="222"/>
      <c r="Q925" s="222"/>
      <c r="R925" s="222"/>
      <c r="S925" s="222"/>
      <c r="T925" s="222"/>
      <c r="U925" s="222"/>
      <c r="V925" s="222"/>
      <c r="W925" s="222"/>
    </row>
    <row r="926">
      <c r="A926" s="271"/>
      <c r="B926" s="222"/>
      <c r="C926" s="222"/>
      <c r="D926" s="222"/>
      <c r="E926" s="222"/>
      <c r="F926" s="222"/>
      <c r="G926" s="222"/>
      <c r="H926" s="271"/>
      <c r="I926" s="271"/>
      <c r="J926" s="271"/>
      <c r="K926" s="271"/>
      <c r="L926" s="271"/>
      <c r="M926" s="222"/>
      <c r="N926" s="222"/>
      <c r="O926" s="222"/>
      <c r="P926" s="222"/>
      <c r="Q926" s="222"/>
      <c r="R926" s="222"/>
      <c r="S926" s="222"/>
      <c r="T926" s="222"/>
      <c r="U926" s="222"/>
      <c r="V926" s="222"/>
      <c r="W926" s="222"/>
    </row>
    <row r="927">
      <c r="A927" s="271"/>
      <c r="B927" s="222"/>
      <c r="C927" s="222"/>
      <c r="D927" s="222"/>
      <c r="E927" s="222"/>
      <c r="F927" s="222"/>
      <c r="G927" s="222"/>
      <c r="H927" s="271"/>
      <c r="I927" s="271"/>
      <c r="J927" s="271"/>
      <c r="K927" s="271"/>
      <c r="L927" s="271"/>
      <c r="M927" s="222"/>
      <c r="N927" s="222"/>
      <c r="O927" s="222"/>
      <c r="P927" s="222"/>
      <c r="Q927" s="222"/>
      <c r="R927" s="222"/>
      <c r="S927" s="222"/>
      <c r="T927" s="222"/>
      <c r="U927" s="222"/>
      <c r="V927" s="222"/>
      <c r="W927" s="222"/>
    </row>
    <row r="928">
      <c r="A928" s="271"/>
      <c r="B928" s="222"/>
      <c r="C928" s="222"/>
      <c r="D928" s="222"/>
      <c r="E928" s="222"/>
      <c r="F928" s="222"/>
      <c r="G928" s="222"/>
      <c r="H928" s="271"/>
      <c r="I928" s="271"/>
      <c r="J928" s="271"/>
      <c r="K928" s="271"/>
      <c r="L928" s="271"/>
      <c r="M928" s="222"/>
      <c r="N928" s="222"/>
      <c r="O928" s="222"/>
      <c r="P928" s="222"/>
      <c r="Q928" s="222"/>
      <c r="R928" s="222"/>
      <c r="S928" s="222"/>
      <c r="T928" s="222"/>
      <c r="U928" s="222"/>
      <c r="V928" s="222"/>
      <c r="W928" s="222"/>
    </row>
    <row r="929">
      <c r="A929" s="271"/>
      <c r="B929" s="222"/>
      <c r="C929" s="222"/>
      <c r="D929" s="222"/>
      <c r="E929" s="222"/>
      <c r="F929" s="222"/>
      <c r="G929" s="222"/>
      <c r="H929" s="271"/>
      <c r="I929" s="271"/>
      <c r="J929" s="271"/>
      <c r="K929" s="271"/>
      <c r="L929" s="271"/>
      <c r="M929" s="222"/>
      <c r="N929" s="222"/>
      <c r="O929" s="222"/>
      <c r="P929" s="222"/>
      <c r="Q929" s="222"/>
      <c r="R929" s="222"/>
      <c r="S929" s="222"/>
      <c r="T929" s="222"/>
      <c r="U929" s="222"/>
      <c r="V929" s="222"/>
      <c r="W929" s="222"/>
    </row>
    <row r="930">
      <c r="A930" s="271"/>
      <c r="B930" s="222"/>
      <c r="C930" s="222"/>
      <c r="D930" s="222"/>
      <c r="E930" s="222"/>
      <c r="F930" s="222"/>
      <c r="G930" s="222"/>
      <c r="H930" s="271"/>
      <c r="I930" s="271"/>
      <c r="J930" s="271"/>
      <c r="K930" s="271"/>
      <c r="L930" s="271"/>
      <c r="M930" s="222"/>
      <c r="N930" s="222"/>
      <c r="O930" s="222"/>
      <c r="P930" s="222"/>
      <c r="Q930" s="222"/>
      <c r="R930" s="222"/>
      <c r="S930" s="222"/>
      <c r="T930" s="222"/>
      <c r="U930" s="222"/>
      <c r="V930" s="222"/>
      <c r="W930" s="222"/>
    </row>
    <row r="931">
      <c r="A931" s="271"/>
      <c r="B931" s="222"/>
      <c r="C931" s="222"/>
      <c r="D931" s="222"/>
      <c r="E931" s="222"/>
      <c r="F931" s="222"/>
      <c r="G931" s="222"/>
      <c r="H931" s="271"/>
      <c r="I931" s="271"/>
      <c r="J931" s="271"/>
      <c r="K931" s="271"/>
      <c r="L931" s="271"/>
      <c r="M931" s="222"/>
      <c r="N931" s="222"/>
      <c r="O931" s="222"/>
      <c r="P931" s="222"/>
      <c r="Q931" s="222"/>
      <c r="R931" s="222"/>
      <c r="S931" s="222"/>
      <c r="T931" s="222"/>
      <c r="U931" s="222"/>
      <c r="V931" s="222"/>
      <c r="W931" s="222"/>
    </row>
    <row r="932">
      <c r="A932" s="271"/>
      <c r="B932" s="222"/>
      <c r="C932" s="222"/>
      <c r="D932" s="222"/>
      <c r="E932" s="222"/>
      <c r="F932" s="222"/>
      <c r="G932" s="222"/>
      <c r="H932" s="271"/>
      <c r="I932" s="271"/>
      <c r="J932" s="271"/>
      <c r="K932" s="271"/>
      <c r="L932" s="271"/>
      <c r="M932" s="222"/>
      <c r="N932" s="222"/>
      <c r="O932" s="222"/>
      <c r="P932" s="222"/>
      <c r="Q932" s="222"/>
      <c r="R932" s="222"/>
      <c r="S932" s="222"/>
      <c r="T932" s="222"/>
      <c r="U932" s="222"/>
      <c r="V932" s="222"/>
      <c r="W932" s="222"/>
    </row>
    <row r="933">
      <c r="A933" s="271"/>
      <c r="B933" s="222"/>
      <c r="C933" s="222"/>
      <c r="D933" s="222"/>
      <c r="E933" s="222"/>
      <c r="F933" s="222"/>
      <c r="G933" s="222"/>
      <c r="H933" s="271"/>
      <c r="I933" s="271"/>
      <c r="J933" s="271"/>
      <c r="K933" s="271"/>
      <c r="L933" s="271"/>
      <c r="M933" s="222"/>
      <c r="N933" s="222"/>
      <c r="O933" s="222"/>
      <c r="P933" s="222"/>
      <c r="Q933" s="222"/>
      <c r="R933" s="222"/>
      <c r="S933" s="222"/>
      <c r="T933" s="222"/>
      <c r="U933" s="222"/>
      <c r="V933" s="222"/>
      <c r="W933" s="222"/>
    </row>
    <row r="934">
      <c r="A934" s="271"/>
      <c r="B934" s="222"/>
      <c r="C934" s="222"/>
      <c r="D934" s="222"/>
      <c r="E934" s="222"/>
      <c r="F934" s="222"/>
      <c r="G934" s="222"/>
      <c r="H934" s="271"/>
      <c r="I934" s="271"/>
      <c r="J934" s="271"/>
      <c r="K934" s="271"/>
      <c r="L934" s="271"/>
      <c r="M934" s="222"/>
      <c r="N934" s="222"/>
      <c r="O934" s="222"/>
      <c r="P934" s="222"/>
      <c r="Q934" s="222"/>
      <c r="R934" s="222"/>
      <c r="S934" s="222"/>
      <c r="T934" s="222"/>
      <c r="U934" s="222"/>
      <c r="V934" s="222"/>
      <c r="W934" s="222"/>
    </row>
    <row r="935">
      <c r="A935" s="271"/>
      <c r="B935" s="222"/>
      <c r="C935" s="222"/>
      <c r="D935" s="222"/>
      <c r="E935" s="222"/>
      <c r="F935" s="222"/>
      <c r="G935" s="222"/>
      <c r="H935" s="271"/>
      <c r="I935" s="271"/>
      <c r="J935" s="271"/>
      <c r="K935" s="271"/>
      <c r="L935" s="271"/>
      <c r="M935" s="222"/>
      <c r="N935" s="222"/>
      <c r="O935" s="222"/>
      <c r="P935" s="222"/>
      <c r="Q935" s="222"/>
      <c r="R935" s="222"/>
      <c r="S935" s="222"/>
      <c r="T935" s="222"/>
      <c r="U935" s="222"/>
      <c r="V935" s="222"/>
      <c r="W935" s="222"/>
    </row>
    <row r="936">
      <c r="A936" s="271"/>
      <c r="B936" s="222"/>
      <c r="C936" s="222"/>
      <c r="D936" s="222"/>
      <c r="E936" s="222"/>
      <c r="F936" s="222"/>
      <c r="G936" s="222"/>
      <c r="H936" s="271"/>
      <c r="I936" s="271"/>
      <c r="J936" s="271"/>
      <c r="K936" s="271"/>
      <c r="L936" s="271"/>
      <c r="M936" s="222"/>
      <c r="N936" s="222"/>
      <c r="O936" s="222"/>
      <c r="P936" s="222"/>
      <c r="Q936" s="222"/>
      <c r="R936" s="222"/>
      <c r="S936" s="222"/>
      <c r="T936" s="222"/>
      <c r="U936" s="222"/>
      <c r="V936" s="222"/>
      <c r="W936" s="222"/>
    </row>
    <row r="937">
      <c r="A937" s="271"/>
      <c r="B937" s="222"/>
      <c r="C937" s="222"/>
      <c r="D937" s="222"/>
      <c r="E937" s="222"/>
      <c r="F937" s="222"/>
      <c r="G937" s="222"/>
      <c r="H937" s="271"/>
      <c r="I937" s="271"/>
      <c r="J937" s="271"/>
      <c r="K937" s="271"/>
      <c r="L937" s="271"/>
      <c r="M937" s="222"/>
      <c r="N937" s="222"/>
      <c r="O937" s="222"/>
      <c r="P937" s="222"/>
      <c r="Q937" s="222"/>
      <c r="R937" s="222"/>
      <c r="S937" s="222"/>
      <c r="T937" s="222"/>
      <c r="U937" s="222"/>
      <c r="V937" s="222"/>
      <c r="W937" s="222"/>
    </row>
    <row r="938">
      <c r="A938" s="271"/>
      <c r="B938" s="222"/>
      <c r="C938" s="222"/>
      <c r="D938" s="222"/>
      <c r="E938" s="222"/>
      <c r="F938" s="222"/>
      <c r="G938" s="222"/>
      <c r="H938" s="271"/>
      <c r="I938" s="271"/>
      <c r="J938" s="271"/>
      <c r="K938" s="271"/>
      <c r="L938" s="271"/>
      <c r="M938" s="222"/>
      <c r="N938" s="222"/>
      <c r="O938" s="222"/>
      <c r="P938" s="222"/>
      <c r="Q938" s="222"/>
      <c r="R938" s="222"/>
      <c r="S938" s="222"/>
      <c r="T938" s="222"/>
      <c r="U938" s="222"/>
      <c r="V938" s="222"/>
      <c r="W938" s="222"/>
    </row>
    <row r="939">
      <c r="A939" s="271"/>
      <c r="B939" s="222"/>
      <c r="C939" s="222"/>
      <c r="D939" s="222"/>
      <c r="E939" s="222"/>
      <c r="F939" s="222"/>
      <c r="G939" s="222"/>
      <c r="H939" s="271"/>
      <c r="I939" s="271"/>
      <c r="J939" s="271"/>
      <c r="K939" s="271"/>
      <c r="L939" s="271"/>
      <c r="M939" s="222"/>
      <c r="N939" s="222"/>
      <c r="O939" s="222"/>
      <c r="P939" s="222"/>
      <c r="Q939" s="222"/>
      <c r="R939" s="222"/>
      <c r="S939" s="222"/>
      <c r="T939" s="222"/>
      <c r="U939" s="222"/>
      <c r="V939" s="222"/>
      <c r="W939" s="222"/>
    </row>
    <row r="940">
      <c r="A940" s="271"/>
      <c r="B940" s="222"/>
      <c r="C940" s="222"/>
      <c r="D940" s="222"/>
      <c r="E940" s="222"/>
      <c r="F940" s="222"/>
      <c r="G940" s="222"/>
      <c r="H940" s="271"/>
      <c r="I940" s="271"/>
      <c r="J940" s="271"/>
      <c r="K940" s="271"/>
      <c r="L940" s="271"/>
      <c r="M940" s="222"/>
      <c r="N940" s="222"/>
      <c r="O940" s="222"/>
      <c r="P940" s="222"/>
      <c r="Q940" s="222"/>
      <c r="R940" s="222"/>
      <c r="S940" s="222"/>
      <c r="T940" s="222"/>
      <c r="U940" s="222"/>
      <c r="V940" s="222"/>
      <c r="W940" s="222"/>
    </row>
    <row r="941">
      <c r="A941" s="271"/>
      <c r="B941" s="222"/>
      <c r="C941" s="222"/>
      <c r="D941" s="222"/>
      <c r="E941" s="222"/>
      <c r="F941" s="222"/>
      <c r="G941" s="222"/>
      <c r="H941" s="271"/>
      <c r="I941" s="271"/>
      <c r="J941" s="271"/>
      <c r="K941" s="271"/>
      <c r="L941" s="271"/>
      <c r="M941" s="222"/>
      <c r="N941" s="222"/>
      <c r="O941" s="222"/>
      <c r="P941" s="222"/>
      <c r="Q941" s="222"/>
      <c r="R941" s="222"/>
      <c r="S941" s="222"/>
      <c r="T941" s="222"/>
      <c r="U941" s="222"/>
      <c r="V941" s="222"/>
      <c r="W941" s="222"/>
    </row>
    <row r="942">
      <c r="A942" s="271"/>
      <c r="B942" s="222"/>
      <c r="C942" s="222"/>
      <c r="D942" s="222"/>
      <c r="E942" s="222"/>
      <c r="F942" s="222"/>
      <c r="G942" s="222"/>
      <c r="H942" s="271"/>
      <c r="I942" s="271"/>
      <c r="J942" s="271"/>
      <c r="K942" s="271"/>
      <c r="L942" s="271"/>
      <c r="M942" s="222"/>
      <c r="N942" s="222"/>
      <c r="O942" s="222"/>
      <c r="P942" s="222"/>
      <c r="Q942" s="222"/>
      <c r="R942" s="222"/>
      <c r="S942" s="222"/>
      <c r="T942" s="222"/>
      <c r="U942" s="222"/>
      <c r="V942" s="222"/>
      <c r="W942" s="222"/>
    </row>
    <row r="943">
      <c r="A943" s="271"/>
      <c r="B943" s="222"/>
      <c r="C943" s="222"/>
      <c r="D943" s="222"/>
      <c r="E943" s="222"/>
      <c r="F943" s="222"/>
      <c r="G943" s="222"/>
      <c r="H943" s="271"/>
      <c r="I943" s="271"/>
      <c r="J943" s="271"/>
      <c r="K943" s="271"/>
      <c r="L943" s="271"/>
      <c r="M943" s="222"/>
      <c r="N943" s="222"/>
      <c r="O943" s="222"/>
      <c r="P943" s="222"/>
      <c r="Q943" s="222"/>
      <c r="R943" s="222"/>
      <c r="S943" s="222"/>
      <c r="T943" s="222"/>
      <c r="U943" s="222"/>
      <c r="V943" s="222"/>
      <c r="W943" s="222"/>
    </row>
    <row r="944">
      <c r="A944" s="271"/>
      <c r="B944" s="222"/>
      <c r="C944" s="222"/>
      <c r="D944" s="222"/>
      <c r="E944" s="222"/>
      <c r="F944" s="222"/>
      <c r="G944" s="222"/>
      <c r="H944" s="271"/>
      <c r="I944" s="271"/>
      <c r="J944" s="271"/>
      <c r="K944" s="271"/>
      <c r="L944" s="271"/>
      <c r="M944" s="222"/>
      <c r="N944" s="222"/>
      <c r="O944" s="222"/>
      <c r="P944" s="222"/>
      <c r="Q944" s="222"/>
      <c r="R944" s="222"/>
      <c r="S944" s="222"/>
      <c r="T944" s="222"/>
      <c r="U944" s="222"/>
      <c r="V944" s="222"/>
      <c r="W944" s="222"/>
    </row>
    <row r="945">
      <c r="A945" s="271"/>
      <c r="B945" s="222"/>
      <c r="C945" s="222"/>
      <c r="D945" s="222"/>
      <c r="E945" s="222"/>
      <c r="F945" s="222"/>
      <c r="G945" s="222"/>
      <c r="H945" s="271"/>
      <c r="I945" s="271"/>
      <c r="J945" s="271"/>
      <c r="K945" s="271"/>
      <c r="L945" s="271"/>
      <c r="M945" s="222"/>
      <c r="N945" s="222"/>
      <c r="O945" s="222"/>
      <c r="P945" s="222"/>
      <c r="Q945" s="222"/>
      <c r="R945" s="222"/>
      <c r="S945" s="222"/>
      <c r="T945" s="222"/>
      <c r="U945" s="222"/>
      <c r="V945" s="222"/>
      <c r="W945" s="222"/>
    </row>
    <row r="946">
      <c r="A946" s="271"/>
      <c r="B946" s="222"/>
      <c r="C946" s="222"/>
      <c r="D946" s="222"/>
      <c r="E946" s="222"/>
      <c r="F946" s="222"/>
      <c r="G946" s="222"/>
      <c r="H946" s="271"/>
      <c r="I946" s="271"/>
      <c r="J946" s="271"/>
      <c r="K946" s="271"/>
      <c r="L946" s="271"/>
      <c r="M946" s="222"/>
      <c r="N946" s="222"/>
      <c r="O946" s="222"/>
      <c r="P946" s="222"/>
      <c r="Q946" s="222"/>
      <c r="R946" s="222"/>
      <c r="S946" s="222"/>
      <c r="T946" s="222"/>
      <c r="U946" s="222"/>
      <c r="V946" s="222"/>
      <c r="W946" s="222"/>
    </row>
    <row r="947">
      <c r="A947" s="271"/>
      <c r="B947" s="222"/>
      <c r="C947" s="222"/>
      <c r="D947" s="222"/>
      <c r="E947" s="222"/>
      <c r="F947" s="222"/>
      <c r="G947" s="222"/>
      <c r="H947" s="271"/>
      <c r="I947" s="271"/>
      <c r="J947" s="271"/>
      <c r="K947" s="271"/>
      <c r="L947" s="271"/>
      <c r="M947" s="222"/>
      <c r="N947" s="222"/>
      <c r="O947" s="222"/>
      <c r="P947" s="222"/>
      <c r="Q947" s="222"/>
      <c r="R947" s="222"/>
      <c r="S947" s="222"/>
      <c r="T947" s="222"/>
      <c r="U947" s="222"/>
      <c r="V947" s="222"/>
      <c r="W947" s="222"/>
    </row>
    <row r="948">
      <c r="A948" s="271"/>
      <c r="B948" s="222"/>
      <c r="C948" s="222"/>
      <c r="D948" s="222"/>
      <c r="E948" s="222"/>
      <c r="F948" s="222"/>
      <c r="G948" s="222"/>
      <c r="H948" s="271"/>
      <c r="I948" s="271"/>
      <c r="J948" s="271"/>
      <c r="K948" s="271"/>
      <c r="L948" s="271"/>
      <c r="M948" s="222"/>
      <c r="N948" s="222"/>
      <c r="O948" s="222"/>
      <c r="P948" s="222"/>
      <c r="Q948" s="222"/>
      <c r="R948" s="222"/>
      <c r="S948" s="222"/>
      <c r="T948" s="222"/>
      <c r="U948" s="222"/>
      <c r="V948" s="222"/>
      <c r="W948" s="222"/>
    </row>
    <row r="949">
      <c r="A949" s="271"/>
      <c r="B949" s="222"/>
      <c r="C949" s="222"/>
      <c r="D949" s="222"/>
      <c r="E949" s="222"/>
      <c r="F949" s="222"/>
      <c r="G949" s="222"/>
      <c r="H949" s="271"/>
      <c r="I949" s="271"/>
      <c r="J949" s="271"/>
      <c r="K949" s="271"/>
      <c r="L949" s="271"/>
      <c r="M949" s="222"/>
      <c r="N949" s="222"/>
      <c r="O949" s="222"/>
      <c r="P949" s="222"/>
      <c r="Q949" s="222"/>
      <c r="R949" s="222"/>
      <c r="S949" s="222"/>
      <c r="T949" s="222"/>
      <c r="U949" s="222"/>
      <c r="V949" s="222"/>
      <c r="W949" s="222"/>
    </row>
    <row r="950">
      <c r="A950" s="271"/>
      <c r="B950" s="222"/>
      <c r="C950" s="222"/>
      <c r="D950" s="222"/>
      <c r="E950" s="222"/>
      <c r="F950" s="222"/>
      <c r="G950" s="222"/>
      <c r="H950" s="271"/>
      <c r="I950" s="271"/>
      <c r="J950" s="271"/>
      <c r="K950" s="271"/>
      <c r="L950" s="271"/>
      <c r="M950" s="222"/>
      <c r="N950" s="222"/>
      <c r="O950" s="222"/>
      <c r="P950" s="222"/>
      <c r="Q950" s="222"/>
      <c r="R950" s="222"/>
      <c r="S950" s="222"/>
      <c r="T950" s="222"/>
      <c r="U950" s="222"/>
      <c r="V950" s="222"/>
      <c r="W950" s="222"/>
    </row>
    <row r="951">
      <c r="A951" s="271"/>
      <c r="B951" s="222"/>
      <c r="C951" s="222"/>
      <c r="D951" s="222"/>
      <c r="E951" s="222"/>
      <c r="F951" s="222"/>
      <c r="G951" s="222"/>
      <c r="H951" s="271"/>
      <c r="I951" s="271"/>
      <c r="J951" s="271"/>
      <c r="K951" s="271"/>
      <c r="L951" s="271"/>
      <c r="M951" s="222"/>
      <c r="N951" s="222"/>
      <c r="O951" s="222"/>
      <c r="P951" s="222"/>
      <c r="Q951" s="222"/>
      <c r="R951" s="222"/>
      <c r="S951" s="222"/>
      <c r="T951" s="222"/>
      <c r="U951" s="222"/>
      <c r="V951" s="222"/>
      <c r="W951" s="222"/>
    </row>
    <row r="952">
      <c r="A952" s="271"/>
      <c r="B952" s="222"/>
      <c r="C952" s="222"/>
      <c r="D952" s="222"/>
      <c r="E952" s="222"/>
      <c r="F952" s="222"/>
      <c r="G952" s="222"/>
      <c r="H952" s="271"/>
      <c r="I952" s="271"/>
      <c r="J952" s="271"/>
      <c r="K952" s="271"/>
      <c r="L952" s="271"/>
      <c r="M952" s="222"/>
      <c r="N952" s="222"/>
      <c r="O952" s="222"/>
      <c r="P952" s="222"/>
      <c r="Q952" s="222"/>
      <c r="R952" s="222"/>
      <c r="S952" s="222"/>
      <c r="T952" s="222"/>
      <c r="U952" s="222"/>
      <c r="V952" s="222"/>
      <c r="W952" s="222"/>
    </row>
    <row r="953">
      <c r="A953" s="271"/>
      <c r="B953" s="222"/>
      <c r="C953" s="222"/>
      <c r="D953" s="222"/>
      <c r="E953" s="222"/>
      <c r="F953" s="222"/>
      <c r="G953" s="222"/>
      <c r="H953" s="271"/>
      <c r="I953" s="271"/>
      <c r="J953" s="271"/>
      <c r="K953" s="271"/>
      <c r="L953" s="271"/>
      <c r="M953" s="222"/>
      <c r="N953" s="222"/>
      <c r="O953" s="222"/>
      <c r="P953" s="222"/>
      <c r="Q953" s="222"/>
      <c r="R953" s="222"/>
      <c r="S953" s="222"/>
      <c r="T953" s="222"/>
      <c r="U953" s="222"/>
      <c r="V953" s="222"/>
      <c r="W953" s="222"/>
    </row>
    <row r="954">
      <c r="A954" s="271"/>
      <c r="B954" s="222"/>
      <c r="C954" s="222"/>
      <c r="D954" s="222"/>
      <c r="E954" s="222"/>
      <c r="F954" s="222"/>
      <c r="G954" s="222"/>
      <c r="H954" s="271"/>
      <c r="I954" s="271"/>
      <c r="J954" s="271"/>
      <c r="K954" s="271"/>
      <c r="L954" s="271"/>
      <c r="M954" s="222"/>
      <c r="N954" s="222"/>
      <c r="O954" s="222"/>
      <c r="P954" s="222"/>
      <c r="Q954" s="222"/>
      <c r="R954" s="222"/>
      <c r="S954" s="222"/>
      <c r="T954" s="222"/>
      <c r="U954" s="222"/>
      <c r="V954" s="222"/>
      <c r="W954" s="222"/>
    </row>
    <row r="955">
      <c r="A955" s="271"/>
      <c r="B955" s="222"/>
      <c r="C955" s="222"/>
      <c r="D955" s="222"/>
      <c r="E955" s="222"/>
      <c r="F955" s="222"/>
      <c r="G955" s="222"/>
      <c r="H955" s="271"/>
      <c r="I955" s="271"/>
      <c r="J955" s="271"/>
      <c r="K955" s="271"/>
      <c r="L955" s="271"/>
      <c r="M955" s="222"/>
      <c r="N955" s="222"/>
      <c r="O955" s="222"/>
      <c r="P955" s="222"/>
      <c r="Q955" s="222"/>
      <c r="R955" s="222"/>
      <c r="S955" s="222"/>
      <c r="T955" s="222"/>
      <c r="U955" s="222"/>
      <c r="V955" s="222"/>
      <c r="W955" s="222"/>
    </row>
    <row r="956">
      <c r="A956" s="271"/>
      <c r="B956" s="222"/>
      <c r="C956" s="222"/>
      <c r="D956" s="222"/>
      <c r="E956" s="222"/>
      <c r="F956" s="222"/>
      <c r="G956" s="222"/>
      <c r="H956" s="271"/>
      <c r="I956" s="271"/>
      <c r="J956" s="271"/>
      <c r="K956" s="271"/>
      <c r="L956" s="271"/>
      <c r="M956" s="222"/>
      <c r="N956" s="222"/>
      <c r="O956" s="222"/>
      <c r="P956" s="222"/>
      <c r="Q956" s="222"/>
      <c r="R956" s="222"/>
      <c r="S956" s="222"/>
      <c r="T956" s="222"/>
      <c r="U956" s="222"/>
      <c r="V956" s="222"/>
      <c r="W956" s="222"/>
    </row>
    <row r="957">
      <c r="A957" s="271"/>
      <c r="B957" s="222"/>
      <c r="C957" s="222"/>
      <c r="D957" s="222"/>
      <c r="E957" s="222"/>
      <c r="F957" s="222"/>
      <c r="G957" s="222"/>
      <c r="H957" s="271"/>
      <c r="I957" s="271"/>
      <c r="J957" s="271"/>
      <c r="K957" s="271"/>
      <c r="L957" s="271"/>
      <c r="M957" s="222"/>
      <c r="N957" s="222"/>
      <c r="O957" s="222"/>
      <c r="P957" s="222"/>
      <c r="Q957" s="222"/>
      <c r="R957" s="222"/>
      <c r="S957" s="222"/>
      <c r="T957" s="222"/>
      <c r="U957" s="222"/>
      <c r="V957" s="222"/>
      <c r="W957" s="222"/>
    </row>
    <row r="958">
      <c r="A958" s="271"/>
      <c r="B958" s="222"/>
      <c r="C958" s="222"/>
      <c r="D958" s="222"/>
      <c r="E958" s="222"/>
      <c r="F958" s="222"/>
      <c r="G958" s="222"/>
      <c r="H958" s="271"/>
      <c r="I958" s="271"/>
      <c r="J958" s="271"/>
      <c r="K958" s="271"/>
      <c r="L958" s="271"/>
      <c r="M958" s="222"/>
      <c r="N958" s="222"/>
      <c r="O958" s="222"/>
      <c r="P958" s="222"/>
      <c r="Q958" s="222"/>
      <c r="R958" s="222"/>
      <c r="S958" s="222"/>
      <c r="T958" s="222"/>
      <c r="U958" s="222"/>
      <c r="V958" s="222"/>
      <c r="W958" s="222"/>
    </row>
    <row r="959">
      <c r="A959" s="271"/>
      <c r="B959" s="222"/>
      <c r="C959" s="222"/>
      <c r="D959" s="222"/>
      <c r="E959" s="222"/>
      <c r="F959" s="222"/>
      <c r="G959" s="222"/>
      <c r="H959" s="271"/>
      <c r="I959" s="271"/>
      <c r="J959" s="271"/>
      <c r="K959" s="271"/>
      <c r="L959" s="271"/>
      <c r="M959" s="222"/>
      <c r="N959" s="222"/>
      <c r="O959" s="222"/>
      <c r="P959" s="222"/>
      <c r="Q959" s="222"/>
      <c r="R959" s="222"/>
      <c r="S959" s="222"/>
      <c r="T959" s="222"/>
      <c r="U959" s="222"/>
      <c r="V959" s="222"/>
      <c r="W959" s="222"/>
    </row>
    <row r="960">
      <c r="A960" s="271"/>
      <c r="B960" s="222"/>
      <c r="C960" s="222"/>
      <c r="D960" s="222"/>
      <c r="E960" s="222"/>
      <c r="F960" s="222"/>
      <c r="G960" s="222"/>
      <c r="H960" s="271"/>
      <c r="I960" s="271"/>
      <c r="J960" s="271"/>
      <c r="K960" s="271"/>
      <c r="L960" s="271"/>
      <c r="M960" s="222"/>
      <c r="N960" s="222"/>
      <c r="O960" s="222"/>
      <c r="P960" s="222"/>
      <c r="Q960" s="222"/>
      <c r="R960" s="222"/>
      <c r="S960" s="222"/>
      <c r="T960" s="222"/>
      <c r="U960" s="222"/>
      <c r="V960" s="222"/>
      <c r="W960" s="222"/>
    </row>
    <row r="961">
      <c r="A961" s="271"/>
      <c r="B961" s="222"/>
      <c r="C961" s="222"/>
      <c r="D961" s="222"/>
      <c r="E961" s="222"/>
      <c r="F961" s="222"/>
      <c r="G961" s="222"/>
      <c r="H961" s="271"/>
      <c r="I961" s="271"/>
      <c r="J961" s="271"/>
      <c r="K961" s="271"/>
      <c r="L961" s="271"/>
      <c r="M961" s="222"/>
      <c r="N961" s="222"/>
      <c r="O961" s="222"/>
      <c r="P961" s="222"/>
      <c r="Q961" s="222"/>
      <c r="R961" s="222"/>
      <c r="S961" s="222"/>
      <c r="T961" s="222"/>
      <c r="U961" s="222"/>
      <c r="V961" s="222"/>
      <c r="W961" s="222"/>
    </row>
    <row r="962">
      <c r="A962" s="271"/>
      <c r="B962" s="222"/>
      <c r="C962" s="222"/>
      <c r="D962" s="222"/>
      <c r="E962" s="222"/>
      <c r="F962" s="222"/>
      <c r="G962" s="222"/>
      <c r="H962" s="271"/>
      <c r="I962" s="271"/>
      <c r="J962" s="271"/>
      <c r="K962" s="271"/>
      <c r="L962" s="271"/>
      <c r="M962" s="222"/>
      <c r="N962" s="222"/>
      <c r="O962" s="222"/>
      <c r="P962" s="222"/>
      <c r="Q962" s="222"/>
      <c r="R962" s="222"/>
      <c r="S962" s="222"/>
      <c r="T962" s="222"/>
      <c r="U962" s="222"/>
      <c r="V962" s="222"/>
      <c r="W962" s="222"/>
    </row>
    <row r="963">
      <c r="A963" s="271"/>
      <c r="B963" s="222"/>
      <c r="C963" s="222"/>
      <c r="D963" s="222"/>
      <c r="E963" s="222"/>
      <c r="F963" s="222"/>
      <c r="G963" s="222"/>
      <c r="H963" s="271"/>
      <c r="I963" s="271"/>
      <c r="J963" s="271"/>
      <c r="K963" s="271"/>
      <c r="L963" s="271"/>
      <c r="M963" s="222"/>
      <c r="N963" s="222"/>
      <c r="O963" s="222"/>
      <c r="P963" s="222"/>
      <c r="Q963" s="222"/>
      <c r="R963" s="222"/>
      <c r="S963" s="222"/>
      <c r="T963" s="222"/>
      <c r="U963" s="222"/>
      <c r="V963" s="222"/>
      <c r="W963" s="222"/>
    </row>
    <row r="964">
      <c r="A964" s="271"/>
      <c r="B964" s="222"/>
      <c r="C964" s="222"/>
      <c r="D964" s="222"/>
      <c r="E964" s="222"/>
      <c r="F964" s="222"/>
      <c r="G964" s="222"/>
      <c r="H964" s="271"/>
      <c r="I964" s="271"/>
      <c r="J964" s="271"/>
      <c r="K964" s="271"/>
      <c r="L964" s="271"/>
      <c r="M964" s="222"/>
      <c r="N964" s="222"/>
      <c r="O964" s="222"/>
      <c r="P964" s="222"/>
      <c r="Q964" s="222"/>
      <c r="R964" s="222"/>
      <c r="S964" s="222"/>
      <c r="T964" s="222"/>
      <c r="U964" s="222"/>
      <c r="V964" s="222"/>
      <c r="W964" s="222"/>
    </row>
    <row r="965">
      <c r="A965" s="271"/>
      <c r="B965" s="222"/>
      <c r="C965" s="222"/>
      <c r="D965" s="222"/>
      <c r="E965" s="222"/>
      <c r="F965" s="222"/>
      <c r="G965" s="222"/>
      <c r="H965" s="271"/>
      <c r="I965" s="271"/>
      <c r="J965" s="271"/>
      <c r="K965" s="271"/>
      <c r="L965" s="271"/>
      <c r="M965" s="222"/>
      <c r="N965" s="222"/>
      <c r="O965" s="222"/>
      <c r="P965" s="222"/>
      <c r="Q965" s="222"/>
      <c r="R965" s="222"/>
      <c r="S965" s="222"/>
      <c r="T965" s="222"/>
      <c r="U965" s="222"/>
      <c r="V965" s="222"/>
      <c r="W965" s="222"/>
    </row>
    <row r="966">
      <c r="A966" s="271"/>
      <c r="B966" s="222"/>
      <c r="C966" s="222"/>
      <c r="D966" s="222"/>
      <c r="E966" s="222"/>
      <c r="F966" s="222"/>
      <c r="G966" s="222"/>
      <c r="H966" s="271"/>
      <c r="I966" s="271"/>
      <c r="J966" s="271"/>
      <c r="K966" s="271"/>
      <c r="L966" s="271"/>
      <c r="M966" s="222"/>
      <c r="N966" s="222"/>
      <c r="O966" s="222"/>
      <c r="P966" s="222"/>
      <c r="Q966" s="222"/>
      <c r="R966" s="222"/>
      <c r="S966" s="222"/>
      <c r="T966" s="222"/>
      <c r="U966" s="222"/>
      <c r="V966" s="222"/>
      <c r="W966" s="222"/>
    </row>
    <row r="967">
      <c r="A967" s="271"/>
      <c r="B967" s="222"/>
      <c r="C967" s="222"/>
      <c r="D967" s="222"/>
      <c r="E967" s="222"/>
      <c r="F967" s="222"/>
      <c r="G967" s="222"/>
      <c r="H967" s="271"/>
      <c r="I967" s="271"/>
      <c r="J967" s="271"/>
      <c r="K967" s="271"/>
      <c r="L967" s="271"/>
      <c r="M967" s="222"/>
      <c r="N967" s="222"/>
      <c r="O967" s="222"/>
      <c r="P967" s="222"/>
      <c r="Q967" s="222"/>
      <c r="R967" s="222"/>
      <c r="S967" s="222"/>
      <c r="T967" s="222"/>
      <c r="U967" s="222"/>
      <c r="V967" s="222"/>
      <c r="W967" s="222"/>
    </row>
    <row r="968">
      <c r="A968" s="271"/>
      <c r="B968" s="222"/>
      <c r="C968" s="222"/>
      <c r="D968" s="222"/>
      <c r="E968" s="222"/>
      <c r="F968" s="222"/>
      <c r="G968" s="222"/>
      <c r="H968" s="271"/>
      <c r="I968" s="271"/>
      <c r="J968" s="271"/>
      <c r="K968" s="271"/>
      <c r="L968" s="271"/>
      <c r="M968" s="222"/>
      <c r="N968" s="222"/>
      <c r="O968" s="222"/>
      <c r="P968" s="222"/>
      <c r="Q968" s="222"/>
      <c r="R968" s="222"/>
      <c r="S968" s="222"/>
      <c r="T968" s="222"/>
      <c r="U968" s="222"/>
      <c r="V968" s="222"/>
      <c r="W968" s="222"/>
    </row>
    <row r="969">
      <c r="A969" s="271"/>
      <c r="B969" s="222"/>
      <c r="C969" s="222"/>
      <c r="D969" s="222"/>
      <c r="E969" s="222"/>
      <c r="F969" s="222"/>
      <c r="G969" s="222"/>
      <c r="H969" s="271"/>
      <c r="I969" s="271"/>
      <c r="J969" s="271"/>
      <c r="K969" s="271"/>
      <c r="L969" s="271"/>
      <c r="M969" s="222"/>
      <c r="N969" s="222"/>
      <c r="O969" s="222"/>
      <c r="P969" s="222"/>
      <c r="Q969" s="222"/>
      <c r="R969" s="222"/>
      <c r="S969" s="222"/>
      <c r="T969" s="222"/>
      <c r="U969" s="222"/>
      <c r="V969" s="222"/>
      <c r="W969" s="222"/>
    </row>
    <row r="970">
      <c r="A970" s="271"/>
      <c r="B970" s="222"/>
      <c r="C970" s="222"/>
      <c r="D970" s="222"/>
      <c r="E970" s="222"/>
      <c r="F970" s="222"/>
      <c r="G970" s="222"/>
      <c r="H970" s="271"/>
      <c r="I970" s="271"/>
      <c r="J970" s="271"/>
      <c r="K970" s="271"/>
      <c r="L970" s="271"/>
      <c r="M970" s="222"/>
      <c r="N970" s="222"/>
      <c r="O970" s="222"/>
      <c r="P970" s="222"/>
      <c r="Q970" s="222"/>
      <c r="R970" s="222"/>
      <c r="S970" s="222"/>
      <c r="T970" s="222"/>
      <c r="U970" s="222"/>
      <c r="V970" s="222"/>
      <c r="W970" s="222"/>
    </row>
    <row r="971">
      <c r="A971" s="271"/>
      <c r="B971" s="222"/>
      <c r="C971" s="222"/>
      <c r="D971" s="222"/>
      <c r="E971" s="222"/>
      <c r="F971" s="222"/>
      <c r="G971" s="222"/>
      <c r="H971" s="271"/>
      <c r="I971" s="271"/>
      <c r="J971" s="271"/>
      <c r="K971" s="271"/>
      <c r="L971" s="271"/>
      <c r="M971" s="222"/>
      <c r="N971" s="222"/>
      <c r="O971" s="222"/>
      <c r="P971" s="222"/>
      <c r="Q971" s="222"/>
      <c r="R971" s="222"/>
      <c r="S971" s="222"/>
      <c r="T971" s="222"/>
      <c r="U971" s="222"/>
      <c r="V971" s="222"/>
      <c r="W971" s="222"/>
    </row>
    <row r="972">
      <c r="A972" s="271"/>
      <c r="B972" s="222"/>
      <c r="C972" s="222"/>
      <c r="D972" s="222"/>
      <c r="E972" s="222"/>
      <c r="F972" s="222"/>
      <c r="G972" s="222"/>
      <c r="H972" s="271"/>
      <c r="I972" s="271"/>
      <c r="J972" s="271"/>
      <c r="K972" s="271"/>
      <c r="L972" s="271"/>
      <c r="M972" s="222"/>
      <c r="N972" s="222"/>
      <c r="O972" s="222"/>
      <c r="P972" s="222"/>
      <c r="Q972" s="222"/>
      <c r="R972" s="222"/>
      <c r="S972" s="222"/>
      <c r="T972" s="222"/>
      <c r="U972" s="222"/>
      <c r="V972" s="222"/>
      <c r="W972" s="222"/>
    </row>
    <row r="973">
      <c r="A973" s="271"/>
      <c r="B973" s="222"/>
      <c r="C973" s="222"/>
      <c r="D973" s="222"/>
      <c r="E973" s="222"/>
      <c r="F973" s="222"/>
      <c r="G973" s="222"/>
      <c r="H973" s="271"/>
      <c r="I973" s="271"/>
      <c r="J973" s="271"/>
      <c r="K973" s="271"/>
      <c r="L973" s="271"/>
      <c r="M973" s="222"/>
      <c r="N973" s="222"/>
      <c r="O973" s="222"/>
      <c r="P973" s="222"/>
      <c r="Q973" s="222"/>
      <c r="R973" s="222"/>
      <c r="S973" s="222"/>
      <c r="T973" s="222"/>
      <c r="U973" s="222"/>
      <c r="V973" s="222"/>
      <c r="W973" s="222"/>
    </row>
    <row r="974">
      <c r="A974" s="271"/>
      <c r="B974" s="222"/>
      <c r="C974" s="222"/>
      <c r="D974" s="222"/>
      <c r="E974" s="222"/>
      <c r="F974" s="222"/>
      <c r="G974" s="222"/>
      <c r="H974" s="271"/>
      <c r="I974" s="271"/>
      <c r="J974" s="271"/>
      <c r="K974" s="271"/>
      <c r="L974" s="271"/>
      <c r="M974" s="222"/>
      <c r="N974" s="222"/>
      <c r="O974" s="222"/>
      <c r="P974" s="222"/>
      <c r="Q974" s="222"/>
      <c r="R974" s="222"/>
      <c r="S974" s="222"/>
      <c r="T974" s="222"/>
      <c r="U974" s="222"/>
      <c r="V974" s="222"/>
      <c r="W974" s="222"/>
    </row>
    <row r="975">
      <c r="A975" s="271"/>
      <c r="B975" s="222"/>
      <c r="C975" s="222"/>
      <c r="D975" s="222"/>
      <c r="E975" s="222"/>
      <c r="F975" s="222"/>
      <c r="G975" s="222"/>
      <c r="H975" s="271"/>
      <c r="I975" s="271"/>
      <c r="J975" s="271"/>
      <c r="K975" s="271"/>
      <c r="L975" s="271"/>
      <c r="M975" s="222"/>
      <c r="N975" s="222"/>
      <c r="O975" s="222"/>
      <c r="P975" s="222"/>
      <c r="Q975" s="222"/>
      <c r="R975" s="222"/>
      <c r="S975" s="222"/>
      <c r="T975" s="222"/>
      <c r="U975" s="222"/>
      <c r="V975" s="222"/>
      <c r="W975" s="222"/>
    </row>
    <row r="976">
      <c r="A976" s="271"/>
      <c r="B976" s="222"/>
      <c r="C976" s="222"/>
      <c r="D976" s="222"/>
      <c r="E976" s="222"/>
      <c r="F976" s="222"/>
      <c r="G976" s="222"/>
      <c r="H976" s="271"/>
      <c r="I976" s="271"/>
      <c r="J976" s="271"/>
      <c r="K976" s="271"/>
      <c r="L976" s="271"/>
      <c r="M976" s="222"/>
      <c r="N976" s="222"/>
      <c r="O976" s="222"/>
      <c r="P976" s="222"/>
      <c r="Q976" s="222"/>
      <c r="R976" s="222"/>
      <c r="S976" s="222"/>
      <c r="T976" s="222"/>
      <c r="U976" s="222"/>
      <c r="V976" s="222"/>
      <c r="W976" s="222"/>
    </row>
    <row r="977">
      <c r="A977" s="271"/>
      <c r="B977" s="222"/>
      <c r="C977" s="222"/>
      <c r="D977" s="222"/>
      <c r="E977" s="222"/>
      <c r="F977" s="222"/>
      <c r="G977" s="222"/>
      <c r="H977" s="271"/>
      <c r="I977" s="271"/>
      <c r="J977" s="271"/>
      <c r="K977" s="271"/>
      <c r="L977" s="271"/>
      <c r="M977" s="222"/>
      <c r="N977" s="222"/>
      <c r="O977" s="222"/>
      <c r="P977" s="222"/>
      <c r="Q977" s="222"/>
      <c r="R977" s="222"/>
      <c r="S977" s="222"/>
      <c r="T977" s="222"/>
      <c r="U977" s="222"/>
      <c r="V977" s="222"/>
      <c r="W977" s="222"/>
    </row>
    <row r="978">
      <c r="A978" s="271"/>
      <c r="B978" s="222"/>
      <c r="C978" s="222"/>
      <c r="D978" s="222"/>
      <c r="E978" s="222"/>
      <c r="F978" s="222"/>
      <c r="G978" s="222"/>
      <c r="H978" s="271"/>
      <c r="I978" s="271"/>
      <c r="J978" s="271"/>
      <c r="K978" s="271"/>
      <c r="L978" s="271"/>
      <c r="M978" s="222"/>
      <c r="N978" s="222"/>
      <c r="O978" s="222"/>
      <c r="P978" s="222"/>
      <c r="Q978" s="222"/>
      <c r="R978" s="222"/>
      <c r="S978" s="222"/>
      <c r="T978" s="222"/>
      <c r="U978" s="222"/>
      <c r="V978" s="222"/>
      <c r="W978" s="222"/>
    </row>
    <row r="979">
      <c r="A979" s="271"/>
      <c r="B979" s="222"/>
      <c r="C979" s="222"/>
      <c r="D979" s="222"/>
      <c r="E979" s="222"/>
      <c r="F979" s="222"/>
      <c r="G979" s="222"/>
      <c r="H979" s="271"/>
      <c r="I979" s="271"/>
      <c r="J979" s="271"/>
      <c r="K979" s="271"/>
      <c r="L979" s="271"/>
      <c r="M979" s="222"/>
      <c r="N979" s="222"/>
      <c r="O979" s="222"/>
      <c r="P979" s="222"/>
      <c r="Q979" s="222"/>
      <c r="R979" s="222"/>
      <c r="S979" s="222"/>
      <c r="T979" s="222"/>
      <c r="U979" s="222"/>
      <c r="V979" s="222"/>
      <c r="W979" s="222"/>
    </row>
    <row r="980">
      <c r="A980" s="271"/>
      <c r="B980" s="222"/>
      <c r="C980" s="222"/>
      <c r="D980" s="222"/>
      <c r="E980" s="222"/>
      <c r="F980" s="222"/>
      <c r="G980" s="222"/>
      <c r="H980" s="271"/>
      <c r="I980" s="271"/>
      <c r="J980" s="271"/>
      <c r="K980" s="271"/>
      <c r="L980" s="271"/>
      <c r="M980" s="222"/>
      <c r="N980" s="222"/>
      <c r="O980" s="222"/>
      <c r="P980" s="222"/>
      <c r="Q980" s="222"/>
      <c r="R980" s="222"/>
      <c r="S980" s="222"/>
      <c r="T980" s="222"/>
      <c r="U980" s="222"/>
      <c r="V980" s="222"/>
      <c r="W980" s="222"/>
    </row>
    <row r="981">
      <c r="A981" s="271"/>
      <c r="B981" s="222"/>
      <c r="C981" s="222"/>
      <c r="D981" s="222"/>
      <c r="E981" s="222"/>
      <c r="F981" s="222"/>
      <c r="G981" s="222"/>
      <c r="H981" s="271"/>
      <c r="I981" s="271"/>
      <c r="J981" s="271"/>
      <c r="K981" s="271"/>
      <c r="L981" s="271"/>
      <c r="M981" s="222"/>
      <c r="N981" s="222"/>
      <c r="O981" s="222"/>
      <c r="P981" s="222"/>
      <c r="Q981" s="222"/>
      <c r="R981" s="222"/>
      <c r="S981" s="222"/>
      <c r="T981" s="222"/>
      <c r="U981" s="222"/>
      <c r="V981" s="222"/>
      <c r="W981" s="222"/>
    </row>
    <row r="982">
      <c r="A982" s="271"/>
      <c r="B982" s="222"/>
      <c r="C982" s="222"/>
      <c r="D982" s="222"/>
      <c r="E982" s="222"/>
      <c r="F982" s="222"/>
      <c r="G982" s="222"/>
      <c r="H982" s="271"/>
      <c r="I982" s="271"/>
      <c r="J982" s="271"/>
      <c r="K982" s="271"/>
      <c r="L982" s="271"/>
      <c r="M982" s="222"/>
      <c r="N982" s="222"/>
      <c r="O982" s="222"/>
      <c r="P982" s="222"/>
      <c r="Q982" s="222"/>
      <c r="R982" s="222"/>
      <c r="S982" s="222"/>
      <c r="T982" s="222"/>
      <c r="U982" s="222"/>
      <c r="V982" s="222"/>
      <c r="W982" s="222"/>
    </row>
    <row r="983">
      <c r="A983" s="271"/>
      <c r="B983" s="222"/>
      <c r="C983" s="222"/>
      <c r="D983" s="222"/>
      <c r="E983" s="222"/>
      <c r="F983" s="222"/>
      <c r="G983" s="222"/>
      <c r="H983" s="271"/>
      <c r="I983" s="271"/>
      <c r="J983" s="271"/>
      <c r="K983" s="271"/>
      <c r="L983" s="271"/>
      <c r="M983" s="222"/>
      <c r="N983" s="222"/>
      <c r="O983" s="222"/>
      <c r="P983" s="222"/>
      <c r="Q983" s="222"/>
      <c r="R983" s="222"/>
      <c r="S983" s="222"/>
      <c r="T983" s="222"/>
      <c r="U983" s="222"/>
      <c r="V983" s="222"/>
      <c r="W983" s="222"/>
    </row>
    <row r="984">
      <c r="A984" s="271"/>
      <c r="B984" s="222"/>
      <c r="C984" s="222"/>
      <c r="D984" s="222"/>
      <c r="E984" s="222"/>
      <c r="F984" s="222"/>
      <c r="G984" s="222"/>
      <c r="H984" s="271"/>
      <c r="I984" s="271"/>
      <c r="J984" s="271"/>
      <c r="K984" s="271"/>
      <c r="L984" s="271"/>
      <c r="M984" s="222"/>
      <c r="N984" s="222"/>
      <c r="O984" s="222"/>
      <c r="P984" s="222"/>
      <c r="Q984" s="222"/>
      <c r="R984" s="222"/>
      <c r="S984" s="222"/>
      <c r="T984" s="222"/>
      <c r="U984" s="222"/>
      <c r="V984" s="222"/>
      <c r="W984" s="222"/>
    </row>
    <row r="985">
      <c r="A985" s="271"/>
      <c r="B985" s="222"/>
      <c r="C985" s="222"/>
      <c r="D985" s="222"/>
      <c r="E985" s="222"/>
      <c r="F985" s="222"/>
      <c r="G985" s="222"/>
      <c r="H985" s="271"/>
      <c r="I985" s="271"/>
      <c r="J985" s="271"/>
      <c r="K985" s="271"/>
      <c r="L985" s="271"/>
      <c r="M985" s="222"/>
      <c r="N985" s="222"/>
      <c r="O985" s="222"/>
      <c r="P985" s="222"/>
      <c r="Q985" s="222"/>
      <c r="R985" s="222"/>
      <c r="S985" s="222"/>
      <c r="T985" s="222"/>
      <c r="U985" s="222"/>
      <c r="V985" s="222"/>
      <c r="W985" s="222"/>
    </row>
    <row r="986">
      <c r="A986" s="271"/>
      <c r="B986" s="222"/>
      <c r="C986" s="222"/>
      <c r="D986" s="222"/>
      <c r="E986" s="222"/>
      <c r="F986" s="222"/>
      <c r="G986" s="222"/>
      <c r="H986" s="271"/>
      <c r="I986" s="271"/>
      <c r="J986" s="271"/>
      <c r="K986" s="271"/>
      <c r="L986" s="271"/>
      <c r="M986" s="222"/>
      <c r="N986" s="222"/>
      <c r="O986" s="222"/>
      <c r="P986" s="222"/>
      <c r="Q986" s="222"/>
      <c r="R986" s="222"/>
      <c r="S986" s="222"/>
      <c r="T986" s="222"/>
      <c r="U986" s="222"/>
      <c r="V986" s="222"/>
      <c r="W986" s="222"/>
    </row>
    <row r="987">
      <c r="A987" s="271"/>
      <c r="B987" s="222"/>
      <c r="C987" s="222"/>
      <c r="D987" s="222"/>
      <c r="E987" s="222"/>
      <c r="F987" s="222"/>
      <c r="G987" s="222"/>
      <c r="H987" s="271"/>
      <c r="I987" s="271"/>
      <c r="J987" s="271"/>
      <c r="K987" s="271"/>
      <c r="L987" s="271"/>
      <c r="M987" s="222"/>
      <c r="N987" s="222"/>
      <c r="O987" s="222"/>
      <c r="P987" s="222"/>
      <c r="Q987" s="222"/>
      <c r="R987" s="222"/>
      <c r="S987" s="222"/>
      <c r="T987" s="222"/>
      <c r="U987" s="222"/>
      <c r="V987" s="222"/>
      <c r="W987" s="222"/>
    </row>
    <row r="988">
      <c r="A988" s="271"/>
      <c r="B988" s="222"/>
      <c r="C988" s="222"/>
      <c r="D988" s="222"/>
      <c r="E988" s="222"/>
      <c r="F988" s="222"/>
      <c r="G988" s="222"/>
      <c r="H988" s="271"/>
      <c r="I988" s="271"/>
      <c r="J988" s="271"/>
      <c r="K988" s="271"/>
      <c r="L988" s="271"/>
      <c r="M988" s="222"/>
      <c r="N988" s="222"/>
      <c r="O988" s="222"/>
      <c r="P988" s="222"/>
      <c r="Q988" s="222"/>
      <c r="R988" s="222"/>
      <c r="S988" s="222"/>
      <c r="T988" s="222"/>
      <c r="U988" s="222"/>
      <c r="V988" s="222"/>
      <c r="W988" s="222"/>
    </row>
    <row r="989">
      <c r="A989" s="271"/>
      <c r="B989" s="222"/>
      <c r="C989" s="222"/>
      <c r="D989" s="222"/>
      <c r="E989" s="222"/>
      <c r="F989" s="222"/>
      <c r="G989" s="222"/>
      <c r="H989" s="271"/>
      <c r="I989" s="271"/>
      <c r="J989" s="271"/>
      <c r="K989" s="271"/>
      <c r="L989" s="271"/>
      <c r="M989" s="222"/>
      <c r="N989" s="222"/>
      <c r="O989" s="222"/>
      <c r="P989" s="222"/>
      <c r="Q989" s="222"/>
      <c r="R989" s="222"/>
      <c r="S989" s="222"/>
      <c r="T989" s="222"/>
      <c r="U989" s="222"/>
      <c r="V989" s="222"/>
      <c r="W989" s="222"/>
    </row>
    <row r="990">
      <c r="A990" s="271"/>
      <c r="B990" s="222"/>
      <c r="C990" s="222"/>
      <c r="D990" s="222"/>
      <c r="E990" s="222"/>
      <c r="F990" s="222"/>
      <c r="G990" s="222"/>
      <c r="H990" s="271"/>
      <c r="I990" s="271"/>
      <c r="J990" s="271"/>
      <c r="K990" s="271"/>
      <c r="L990" s="271"/>
      <c r="M990" s="222"/>
      <c r="N990" s="222"/>
      <c r="O990" s="222"/>
      <c r="P990" s="222"/>
      <c r="Q990" s="222"/>
      <c r="R990" s="222"/>
      <c r="S990" s="222"/>
      <c r="T990" s="222"/>
      <c r="U990" s="222"/>
      <c r="V990" s="222"/>
      <c r="W990" s="222"/>
    </row>
    <row r="991">
      <c r="A991" s="271"/>
      <c r="B991" s="222"/>
      <c r="C991" s="222"/>
      <c r="D991" s="222"/>
      <c r="E991" s="222"/>
      <c r="F991" s="222"/>
      <c r="G991" s="222"/>
      <c r="H991" s="271"/>
      <c r="I991" s="271"/>
      <c r="J991" s="271"/>
      <c r="K991" s="271"/>
      <c r="L991" s="271"/>
      <c r="M991" s="222"/>
      <c r="N991" s="222"/>
      <c r="O991" s="222"/>
      <c r="P991" s="222"/>
      <c r="Q991" s="222"/>
      <c r="R991" s="222"/>
      <c r="S991" s="222"/>
      <c r="T991" s="222"/>
      <c r="U991" s="222"/>
      <c r="V991" s="222"/>
      <c r="W991" s="222"/>
    </row>
    <row r="992">
      <c r="A992" s="271"/>
      <c r="B992" s="222"/>
      <c r="C992" s="222"/>
      <c r="D992" s="222"/>
      <c r="E992" s="222"/>
      <c r="F992" s="222"/>
      <c r="G992" s="222"/>
      <c r="H992" s="271"/>
      <c r="I992" s="271"/>
      <c r="J992" s="271"/>
      <c r="K992" s="271"/>
      <c r="L992" s="271"/>
      <c r="M992" s="222"/>
      <c r="N992" s="222"/>
      <c r="O992" s="222"/>
      <c r="P992" s="222"/>
      <c r="Q992" s="222"/>
      <c r="R992" s="222"/>
      <c r="S992" s="222"/>
      <c r="T992" s="222"/>
      <c r="U992" s="222"/>
      <c r="V992" s="222"/>
      <c r="W992" s="222"/>
    </row>
    <row r="993">
      <c r="A993" s="271"/>
      <c r="B993" s="222"/>
      <c r="C993" s="222"/>
      <c r="D993" s="222"/>
      <c r="E993" s="222"/>
      <c r="F993" s="222"/>
      <c r="G993" s="222"/>
      <c r="H993" s="271"/>
      <c r="I993" s="271"/>
      <c r="J993" s="271"/>
      <c r="K993" s="271"/>
      <c r="L993" s="271"/>
      <c r="M993" s="222"/>
      <c r="N993" s="222"/>
      <c r="O993" s="222"/>
      <c r="P993" s="222"/>
      <c r="Q993" s="222"/>
      <c r="R993" s="222"/>
      <c r="S993" s="222"/>
      <c r="T993" s="222"/>
      <c r="U993" s="222"/>
      <c r="V993" s="222"/>
      <c r="W993" s="222"/>
    </row>
    <row r="994">
      <c r="A994" s="271"/>
      <c r="B994" s="222"/>
      <c r="C994" s="222"/>
      <c r="D994" s="222"/>
      <c r="E994" s="222"/>
      <c r="F994" s="222"/>
      <c r="G994" s="222"/>
      <c r="H994" s="271"/>
      <c r="I994" s="271"/>
      <c r="J994" s="271"/>
      <c r="K994" s="271"/>
      <c r="L994" s="271"/>
      <c r="M994" s="222"/>
      <c r="N994" s="222"/>
      <c r="O994" s="222"/>
      <c r="P994" s="222"/>
      <c r="Q994" s="222"/>
      <c r="R994" s="222"/>
      <c r="S994" s="222"/>
      <c r="T994" s="222"/>
      <c r="U994" s="222"/>
      <c r="V994" s="222"/>
      <c r="W994" s="222"/>
    </row>
    <row r="995">
      <c r="A995" s="271"/>
      <c r="B995" s="222"/>
      <c r="C995" s="222"/>
      <c r="D995" s="222"/>
      <c r="E995" s="222"/>
      <c r="F995" s="222"/>
      <c r="G995" s="222"/>
      <c r="H995" s="271"/>
      <c r="I995" s="271"/>
      <c r="J995" s="271"/>
      <c r="K995" s="271"/>
      <c r="L995" s="271"/>
      <c r="M995" s="222"/>
      <c r="N995" s="222"/>
      <c r="O995" s="222"/>
      <c r="P995" s="222"/>
      <c r="Q995" s="222"/>
      <c r="R995" s="222"/>
      <c r="S995" s="222"/>
      <c r="T995" s="222"/>
      <c r="U995" s="222"/>
      <c r="V995" s="222"/>
      <c r="W995" s="222"/>
    </row>
    <row r="996">
      <c r="A996" s="271"/>
      <c r="B996" s="222"/>
      <c r="C996" s="222"/>
      <c r="D996" s="222"/>
      <c r="E996" s="222"/>
      <c r="F996" s="222"/>
      <c r="G996" s="222"/>
      <c r="H996" s="271"/>
      <c r="I996" s="271"/>
      <c r="J996" s="271"/>
      <c r="K996" s="271"/>
      <c r="L996" s="271"/>
      <c r="M996" s="222"/>
      <c r="N996" s="222"/>
      <c r="O996" s="222"/>
      <c r="P996" s="222"/>
      <c r="Q996" s="222"/>
      <c r="R996" s="222"/>
      <c r="S996" s="222"/>
      <c r="T996" s="222"/>
      <c r="U996" s="222"/>
      <c r="V996" s="222"/>
      <c r="W996" s="222"/>
    </row>
    <row r="997">
      <c r="A997" s="271"/>
      <c r="B997" s="222"/>
      <c r="C997" s="222"/>
      <c r="D997" s="222"/>
      <c r="E997" s="222"/>
      <c r="F997" s="222"/>
      <c r="G997" s="222"/>
      <c r="H997" s="271"/>
      <c r="I997" s="271"/>
      <c r="J997" s="271"/>
      <c r="K997" s="271"/>
      <c r="L997" s="271"/>
      <c r="M997" s="222"/>
      <c r="N997" s="222"/>
      <c r="O997" s="222"/>
      <c r="P997" s="222"/>
      <c r="Q997" s="222"/>
      <c r="R997" s="222"/>
      <c r="S997" s="222"/>
      <c r="T997" s="222"/>
      <c r="U997" s="222"/>
      <c r="V997" s="222"/>
      <c r="W997" s="222"/>
    </row>
    <row r="998">
      <c r="A998" s="271"/>
      <c r="B998" s="222"/>
      <c r="C998" s="222"/>
      <c r="D998" s="222"/>
      <c r="E998" s="222"/>
      <c r="F998" s="222"/>
      <c r="G998" s="222"/>
      <c r="H998" s="271"/>
      <c r="I998" s="271"/>
      <c r="J998" s="271"/>
      <c r="K998" s="271"/>
      <c r="L998" s="271"/>
      <c r="M998" s="222"/>
      <c r="N998" s="222"/>
      <c r="O998" s="222"/>
      <c r="P998" s="222"/>
      <c r="Q998" s="222"/>
      <c r="R998" s="222"/>
      <c r="S998" s="222"/>
      <c r="T998" s="222"/>
      <c r="U998" s="222"/>
      <c r="V998" s="222"/>
      <c r="W998" s="222"/>
    </row>
    <row r="999">
      <c r="A999" s="271"/>
      <c r="B999" s="222"/>
      <c r="C999" s="222"/>
      <c r="D999" s="222"/>
      <c r="E999" s="222"/>
      <c r="F999" s="222"/>
      <c r="G999" s="222"/>
      <c r="H999" s="271"/>
      <c r="I999" s="271"/>
      <c r="J999" s="271"/>
      <c r="K999" s="271"/>
      <c r="L999" s="271"/>
      <c r="M999" s="222"/>
      <c r="N999" s="222"/>
      <c r="O999" s="222"/>
      <c r="P999" s="222"/>
      <c r="Q999" s="222"/>
      <c r="R999" s="222"/>
      <c r="S999" s="222"/>
      <c r="T999" s="222"/>
      <c r="U999" s="222"/>
      <c r="V999" s="222"/>
      <c r="W999" s="222"/>
    </row>
    <row r="1000">
      <c r="A1000" s="271"/>
      <c r="B1000" s="222"/>
      <c r="C1000" s="222"/>
      <c r="D1000" s="222"/>
      <c r="E1000" s="222"/>
      <c r="F1000" s="222"/>
      <c r="G1000" s="222"/>
      <c r="H1000" s="271"/>
      <c r="I1000" s="271"/>
      <c r="J1000" s="271"/>
      <c r="K1000" s="271"/>
      <c r="L1000" s="271"/>
      <c r="M1000" s="222"/>
      <c r="N1000" s="222"/>
      <c r="O1000" s="222"/>
      <c r="P1000" s="222"/>
      <c r="Q1000" s="222"/>
      <c r="R1000" s="222"/>
      <c r="S1000" s="222"/>
      <c r="T1000" s="222"/>
      <c r="U1000" s="222"/>
      <c r="V1000" s="222"/>
      <c r="W1000" s="222"/>
    </row>
  </sheetData>
  <mergeCells count="1">
    <mergeCell ref="A1:L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7.5"/>
    <col customWidth="1" min="3" max="3" width="13.38"/>
    <col customWidth="1" min="4" max="4" width="11.88"/>
  </cols>
  <sheetData>
    <row r="1" ht="42.0" customHeight="1">
      <c r="A1" s="294" t="s">
        <v>3246</v>
      </c>
      <c r="I1" s="222"/>
      <c r="J1" s="222"/>
      <c r="K1" s="222"/>
      <c r="L1" s="222"/>
      <c r="M1" s="222"/>
      <c r="N1" s="222"/>
      <c r="O1" s="222"/>
      <c r="P1" s="222"/>
      <c r="Q1" s="222"/>
      <c r="R1" s="222"/>
      <c r="S1" s="222"/>
      <c r="T1" s="222"/>
      <c r="U1" s="222"/>
      <c r="V1" s="222"/>
      <c r="W1" s="222"/>
      <c r="X1" s="222"/>
      <c r="Y1" s="222"/>
      <c r="Z1" s="222"/>
    </row>
    <row r="2">
      <c r="A2" s="295" t="s">
        <v>3126</v>
      </c>
      <c r="B2" s="153" t="s">
        <v>3127</v>
      </c>
      <c r="D2" s="295" t="s">
        <v>3247</v>
      </c>
      <c r="E2" s="153" t="s">
        <v>3248</v>
      </c>
      <c r="G2" s="296"/>
      <c r="H2" s="296"/>
      <c r="I2" s="222"/>
      <c r="J2" s="222"/>
      <c r="K2" s="222"/>
      <c r="L2" s="222"/>
      <c r="M2" s="222"/>
      <c r="N2" s="222"/>
      <c r="O2" s="222"/>
      <c r="P2" s="222"/>
      <c r="Q2" s="222"/>
      <c r="R2" s="222"/>
      <c r="S2" s="222"/>
      <c r="T2" s="222"/>
      <c r="U2" s="222"/>
      <c r="V2" s="222"/>
      <c r="W2" s="222"/>
      <c r="X2" s="222"/>
      <c r="Y2" s="222"/>
      <c r="Z2" s="222"/>
    </row>
    <row r="3">
      <c r="A3" s="295" t="s">
        <v>3249</v>
      </c>
      <c r="B3" s="153" t="s">
        <v>3131</v>
      </c>
      <c r="C3" s="297"/>
      <c r="D3" s="295" t="s">
        <v>3250</v>
      </c>
      <c r="E3" s="298">
        <v>46145.0</v>
      </c>
      <c r="G3" s="296"/>
      <c r="H3" s="296"/>
      <c r="I3" s="222"/>
      <c r="J3" s="222"/>
      <c r="K3" s="222"/>
      <c r="L3" s="222"/>
      <c r="M3" s="222"/>
      <c r="N3" s="222"/>
      <c r="O3" s="222"/>
      <c r="P3" s="222"/>
      <c r="Q3" s="222"/>
      <c r="R3" s="222"/>
      <c r="S3" s="222"/>
      <c r="T3" s="222"/>
      <c r="U3" s="222"/>
      <c r="V3" s="222"/>
      <c r="W3" s="222"/>
      <c r="X3" s="222"/>
      <c r="Y3" s="222"/>
      <c r="Z3" s="222"/>
    </row>
    <row r="4">
      <c r="A4" s="295" t="s">
        <v>3251</v>
      </c>
      <c r="B4" s="153" t="s">
        <v>3129</v>
      </c>
      <c r="C4" s="297"/>
      <c r="D4" s="295" t="s">
        <v>3252</v>
      </c>
      <c r="E4" s="153" t="s">
        <v>3253</v>
      </c>
      <c r="G4" s="296"/>
      <c r="H4" s="296"/>
      <c r="I4" s="222"/>
      <c r="J4" s="222"/>
      <c r="K4" s="222"/>
      <c r="L4" s="222"/>
      <c r="M4" s="222"/>
      <c r="N4" s="222"/>
      <c r="O4" s="222"/>
      <c r="P4" s="222"/>
      <c r="Q4" s="222"/>
      <c r="R4" s="222"/>
      <c r="S4" s="222"/>
      <c r="T4" s="222"/>
      <c r="U4" s="222"/>
      <c r="V4" s="222"/>
      <c r="W4" s="222"/>
      <c r="X4" s="222"/>
      <c r="Y4" s="222"/>
      <c r="Z4" s="222"/>
    </row>
    <row r="5">
      <c r="A5" s="295" t="s">
        <v>3254</v>
      </c>
      <c r="B5" s="298">
        <v>46145.0</v>
      </c>
      <c r="C5" s="297"/>
      <c r="D5" s="295" t="s">
        <v>3255</v>
      </c>
      <c r="E5" s="298">
        <v>46149.0</v>
      </c>
      <c r="G5" s="296"/>
      <c r="H5" s="296"/>
      <c r="I5" s="222"/>
      <c r="J5" s="222"/>
      <c r="K5" s="222"/>
      <c r="L5" s="222"/>
      <c r="M5" s="222"/>
      <c r="N5" s="222"/>
      <c r="O5" s="222"/>
      <c r="P5" s="222"/>
      <c r="Q5" s="222"/>
      <c r="R5" s="222"/>
      <c r="S5" s="222"/>
      <c r="T5" s="222"/>
      <c r="U5" s="222"/>
      <c r="V5" s="222"/>
      <c r="W5" s="222"/>
      <c r="X5" s="222"/>
      <c r="Y5" s="222"/>
      <c r="Z5" s="222"/>
    </row>
    <row r="6">
      <c r="A6" s="296"/>
      <c r="B6" s="296"/>
      <c r="C6" s="296"/>
      <c r="D6" s="296"/>
      <c r="E6" s="296"/>
      <c r="F6" s="296"/>
      <c r="G6" s="296"/>
      <c r="H6" s="296"/>
      <c r="I6" s="222"/>
      <c r="J6" s="222"/>
      <c r="K6" s="222"/>
      <c r="L6" s="222"/>
      <c r="M6" s="222"/>
      <c r="N6" s="222"/>
      <c r="O6" s="222"/>
      <c r="P6" s="222"/>
      <c r="Q6" s="222"/>
      <c r="R6" s="222"/>
      <c r="S6" s="222"/>
      <c r="T6" s="222"/>
      <c r="U6" s="222"/>
      <c r="V6" s="222"/>
      <c r="W6" s="222"/>
      <c r="X6" s="222"/>
      <c r="Y6" s="222"/>
      <c r="Z6" s="222"/>
    </row>
    <row r="7">
      <c r="A7" s="299" t="s">
        <v>3256</v>
      </c>
      <c r="I7" s="222"/>
      <c r="J7" s="222"/>
      <c r="K7" s="222"/>
      <c r="L7" s="222"/>
      <c r="M7" s="222"/>
      <c r="N7" s="222"/>
      <c r="O7" s="222"/>
      <c r="P7" s="222"/>
      <c r="Q7" s="222"/>
      <c r="R7" s="222"/>
      <c r="S7" s="222"/>
      <c r="T7" s="222"/>
      <c r="U7" s="222"/>
      <c r="V7" s="222"/>
      <c r="W7" s="222"/>
      <c r="X7" s="222"/>
      <c r="Y7" s="222"/>
      <c r="Z7" s="222"/>
    </row>
    <row r="8">
      <c r="A8" s="300" t="s">
        <v>3257</v>
      </c>
      <c r="B8" s="300" t="s">
        <v>3258</v>
      </c>
      <c r="C8" s="300" t="s">
        <v>3259</v>
      </c>
      <c r="D8" s="296"/>
      <c r="E8" s="300" t="s">
        <v>3257</v>
      </c>
      <c r="F8" s="300" t="s">
        <v>3258</v>
      </c>
      <c r="G8" s="301" t="s">
        <v>3259</v>
      </c>
      <c r="H8" s="296"/>
      <c r="I8" s="222"/>
      <c r="J8" s="222"/>
      <c r="K8" s="222"/>
      <c r="L8" s="222"/>
      <c r="M8" s="222"/>
      <c r="N8" s="222"/>
      <c r="O8" s="222"/>
      <c r="P8" s="222"/>
      <c r="Q8" s="222"/>
      <c r="R8" s="222"/>
      <c r="S8" s="222"/>
      <c r="T8" s="222"/>
      <c r="U8" s="222"/>
      <c r="V8" s="222"/>
      <c r="W8" s="222"/>
      <c r="X8" s="222"/>
      <c r="Y8" s="222"/>
      <c r="Z8" s="222"/>
    </row>
    <row r="9">
      <c r="A9" s="302" t="s">
        <v>3260</v>
      </c>
      <c r="B9" s="303">
        <v>286.0</v>
      </c>
      <c r="C9" s="304">
        <v>1.0</v>
      </c>
      <c r="D9" s="296"/>
      <c r="E9" s="305" t="s">
        <v>3261</v>
      </c>
      <c r="F9" s="306">
        <v>18.0</v>
      </c>
      <c r="G9" s="307">
        <v>1.0</v>
      </c>
      <c r="H9" s="296"/>
      <c r="I9" s="222"/>
      <c r="J9" s="222"/>
      <c r="K9" s="222"/>
      <c r="L9" s="222"/>
      <c r="M9" s="222"/>
      <c r="N9" s="222"/>
      <c r="O9" s="222"/>
      <c r="P9" s="222"/>
      <c r="Q9" s="222"/>
      <c r="R9" s="222"/>
      <c r="S9" s="222"/>
      <c r="T9" s="222"/>
      <c r="U9" s="222"/>
      <c r="V9" s="222"/>
      <c r="W9" s="222"/>
      <c r="X9" s="222"/>
      <c r="Y9" s="222"/>
      <c r="Z9" s="222"/>
    </row>
    <row r="10">
      <c r="A10" s="308" t="s">
        <v>16</v>
      </c>
      <c r="B10" s="303">
        <v>268.0</v>
      </c>
      <c r="C10" s="303" t="s">
        <v>3262</v>
      </c>
      <c r="D10" s="296"/>
      <c r="E10" s="305" t="s">
        <v>3263</v>
      </c>
      <c r="F10" s="306">
        <v>3.0</v>
      </c>
      <c r="G10" s="309" t="s">
        <v>3264</v>
      </c>
      <c r="H10" s="296"/>
      <c r="I10" s="222"/>
      <c r="J10" s="222"/>
      <c r="K10" s="222"/>
      <c r="L10" s="222"/>
      <c r="M10" s="222"/>
      <c r="N10" s="222"/>
      <c r="O10" s="222"/>
      <c r="P10" s="222"/>
      <c r="Q10" s="222"/>
      <c r="R10" s="222"/>
      <c r="S10" s="222"/>
      <c r="T10" s="222"/>
      <c r="U10" s="222"/>
      <c r="V10" s="222"/>
      <c r="W10" s="222"/>
      <c r="X10" s="222"/>
      <c r="Y10" s="222"/>
      <c r="Z10" s="222"/>
    </row>
    <row r="11">
      <c r="A11" s="310" t="s">
        <v>11</v>
      </c>
      <c r="B11" s="303">
        <v>18.0</v>
      </c>
      <c r="C11" s="303" t="s">
        <v>3265</v>
      </c>
      <c r="D11" s="296"/>
      <c r="E11" s="305" t="s">
        <v>3266</v>
      </c>
      <c r="F11" s="306">
        <v>8.0</v>
      </c>
      <c r="G11" s="309" t="s">
        <v>3267</v>
      </c>
      <c r="H11" s="296"/>
      <c r="I11" s="222"/>
      <c r="J11" s="222"/>
      <c r="K11" s="222"/>
      <c r="L11" s="222"/>
      <c r="M11" s="222"/>
      <c r="N11" s="222"/>
      <c r="O11" s="222"/>
      <c r="P11" s="222"/>
      <c r="Q11" s="222"/>
      <c r="R11" s="222"/>
      <c r="S11" s="222"/>
      <c r="T11" s="222"/>
      <c r="U11" s="222"/>
      <c r="V11" s="222"/>
      <c r="W11" s="222"/>
      <c r="X11" s="222"/>
      <c r="Y11" s="222"/>
      <c r="Z11" s="222"/>
    </row>
    <row r="12">
      <c r="A12" s="311" t="s">
        <v>2725</v>
      </c>
      <c r="B12" s="303">
        <v>0.0</v>
      </c>
      <c r="C12" s="303" t="s">
        <v>3268</v>
      </c>
      <c r="D12" s="296"/>
      <c r="E12" s="305" t="s">
        <v>3269</v>
      </c>
      <c r="F12" s="306">
        <v>5.0</v>
      </c>
      <c r="G12" s="309" t="s">
        <v>3270</v>
      </c>
      <c r="H12" s="296"/>
      <c r="I12" s="222"/>
      <c r="J12" s="222"/>
      <c r="K12" s="222"/>
      <c r="L12" s="222"/>
      <c r="M12" s="222"/>
      <c r="N12" s="222"/>
      <c r="O12" s="222"/>
      <c r="P12" s="222"/>
      <c r="Q12" s="222"/>
      <c r="R12" s="222"/>
      <c r="S12" s="222"/>
      <c r="T12" s="222"/>
      <c r="U12" s="222"/>
      <c r="V12" s="222"/>
      <c r="W12" s="222"/>
      <c r="X12" s="222"/>
      <c r="Y12" s="222"/>
      <c r="Z12" s="222"/>
    </row>
    <row r="13">
      <c r="A13" s="312" t="s">
        <v>2726</v>
      </c>
      <c r="B13" s="303">
        <v>0.0</v>
      </c>
      <c r="C13" s="303" t="s">
        <v>3268</v>
      </c>
      <c r="D13" s="296"/>
      <c r="E13" s="305" t="s">
        <v>3271</v>
      </c>
      <c r="F13" s="306">
        <v>2.0</v>
      </c>
      <c r="G13" s="309" t="s">
        <v>3272</v>
      </c>
      <c r="H13" s="296"/>
      <c r="I13" s="222"/>
      <c r="J13" s="222"/>
      <c r="K13" s="222"/>
      <c r="L13" s="222"/>
      <c r="M13" s="222"/>
      <c r="N13" s="222"/>
      <c r="O13" s="222"/>
      <c r="P13" s="222"/>
      <c r="Q13" s="222"/>
      <c r="R13" s="222"/>
      <c r="S13" s="222"/>
      <c r="T13" s="222"/>
      <c r="U13" s="222"/>
      <c r="V13" s="222"/>
      <c r="W13" s="222"/>
      <c r="X13" s="222"/>
      <c r="Y13" s="222"/>
      <c r="Z13" s="222"/>
    </row>
    <row r="14">
      <c r="A14" s="302" t="s">
        <v>3273</v>
      </c>
      <c r="B14" s="303" t="s">
        <v>3274</v>
      </c>
      <c r="C14" s="296"/>
      <c r="D14" s="296"/>
      <c r="E14" s="305" t="s">
        <v>3275</v>
      </c>
      <c r="F14" s="306">
        <v>18.0</v>
      </c>
      <c r="G14" s="307">
        <v>1.0</v>
      </c>
      <c r="H14" s="296"/>
      <c r="I14" s="222"/>
      <c r="J14" s="222"/>
      <c r="K14" s="222"/>
      <c r="L14" s="222"/>
      <c r="M14" s="222"/>
      <c r="N14" s="222"/>
      <c r="O14" s="222"/>
      <c r="P14" s="222"/>
      <c r="Q14" s="222"/>
      <c r="R14" s="222"/>
      <c r="S14" s="222"/>
      <c r="T14" s="222"/>
      <c r="U14" s="222"/>
      <c r="V14" s="222"/>
      <c r="W14" s="222"/>
      <c r="X14" s="222"/>
      <c r="Y14" s="222"/>
      <c r="Z14" s="222"/>
    </row>
    <row r="15">
      <c r="A15" s="296"/>
      <c r="B15" s="296"/>
      <c r="C15" s="296"/>
      <c r="D15" s="296"/>
      <c r="E15" s="296"/>
      <c r="F15" s="296"/>
      <c r="G15" s="296"/>
      <c r="H15" s="296"/>
      <c r="I15" s="222"/>
      <c r="J15" s="222"/>
      <c r="K15" s="222"/>
      <c r="L15" s="222"/>
      <c r="M15" s="222"/>
      <c r="N15" s="222"/>
      <c r="O15" s="222"/>
      <c r="P15" s="222"/>
      <c r="Q15" s="222"/>
      <c r="R15" s="222"/>
      <c r="S15" s="222"/>
      <c r="T15" s="222"/>
      <c r="U15" s="222"/>
      <c r="V15" s="222"/>
      <c r="W15" s="222"/>
      <c r="X15" s="222"/>
      <c r="Y15" s="222"/>
      <c r="Z15" s="222"/>
    </row>
    <row r="16">
      <c r="A16" s="299" t="s">
        <v>3276</v>
      </c>
      <c r="I16" s="222"/>
      <c r="J16" s="222"/>
      <c r="K16" s="222"/>
      <c r="L16" s="222"/>
      <c r="M16" s="222"/>
      <c r="N16" s="222"/>
      <c r="O16" s="222"/>
      <c r="P16" s="222"/>
      <c r="Q16" s="222"/>
      <c r="R16" s="222"/>
      <c r="S16" s="222"/>
      <c r="T16" s="222"/>
      <c r="U16" s="222"/>
      <c r="V16" s="222"/>
      <c r="W16" s="222"/>
      <c r="X16" s="222"/>
      <c r="Y16" s="222"/>
      <c r="Z16" s="222"/>
    </row>
    <row r="17">
      <c r="A17" s="300" t="s">
        <v>182</v>
      </c>
      <c r="B17" s="300" t="s">
        <v>3277</v>
      </c>
      <c r="C17" s="300" t="s">
        <v>3278</v>
      </c>
      <c r="D17" s="300" t="s">
        <v>16</v>
      </c>
      <c r="E17" s="300" t="s">
        <v>11</v>
      </c>
      <c r="F17" s="300" t="s">
        <v>2725</v>
      </c>
      <c r="G17" s="300" t="s">
        <v>2726</v>
      </c>
      <c r="H17" s="300" t="s">
        <v>3273</v>
      </c>
      <c r="I17" s="222"/>
      <c r="J17" s="222"/>
      <c r="K17" s="222"/>
      <c r="L17" s="222"/>
      <c r="M17" s="222"/>
      <c r="N17" s="222"/>
      <c r="O17" s="222"/>
      <c r="P17" s="222"/>
      <c r="Q17" s="222"/>
      <c r="R17" s="222"/>
      <c r="S17" s="222"/>
      <c r="T17" s="222"/>
      <c r="U17" s="222"/>
      <c r="V17" s="222"/>
      <c r="W17" s="222"/>
      <c r="X17" s="222"/>
      <c r="Y17" s="222"/>
      <c r="Z17" s="222"/>
    </row>
    <row r="18">
      <c r="A18" s="313" t="s">
        <v>191</v>
      </c>
      <c r="B18" s="314" t="s">
        <v>3279</v>
      </c>
      <c r="C18" s="313">
        <v>9.0</v>
      </c>
      <c r="D18" s="313">
        <v>9.0</v>
      </c>
      <c r="E18" s="313">
        <v>0.0</v>
      </c>
      <c r="F18" s="313">
        <v>0.0</v>
      </c>
      <c r="G18" s="313">
        <v>0.0</v>
      </c>
      <c r="H18" s="315">
        <f>(D18+E18+F18+G18)/$C$18</f>
        <v>1</v>
      </c>
      <c r="I18" s="222"/>
      <c r="J18" s="222"/>
      <c r="K18" s="222"/>
      <c r="L18" s="222"/>
      <c r="M18" s="222"/>
      <c r="N18" s="222"/>
      <c r="O18" s="222"/>
      <c r="P18" s="222"/>
      <c r="Q18" s="222"/>
      <c r="R18" s="222"/>
      <c r="S18" s="222"/>
      <c r="T18" s="222"/>
      <c r="U18" s="222"/>
      <c r="V18" s="222"/>
      <c r="W18" s="222"/>
      <c r="X18" s="222"/>
      <c r="Y18" s="222"/>
      <c r="Z18" s="222"/>
    </row>
    <row r="19">
      <c r="A19" s="316" t="s">
        <v>216</v>
      </c>
      <c r="B19" s="317" t="s">
        <v>3280</v>
      </c>
      <c r="C19" s="316">
        <v>9.0</v>
      </c>
      <c r="D19" s="316">
        <v>9.0</v>
      </c>
      <c r="E19" s="316">
        <v>0.0</v>
      </c>
      <c r="F19" s="316">
        <v>0.0</v>
      </c>
      <c r="G19" s="316">
        <v>0.0</v>
      </c>
      <c r="H19" s="318">
        <f>(D19+E19+F19+G19)/$C$19</f>
        <v>1</v>
      </c>
      <c r="I19" s="222"/>
      <c r="J19" s="222"/>
      <c r="K19" s="222"/>
      <c r="L19" s="222"/>
      <c r="M19" s="222"/>
      <c r="N19" s="222"/>
      <c r="O19" s="222"/>
      <c r="P19" s="222"/>
      <c r="Q19" s="222"/>
      <c r="R19" s="222"/>
      <c r="S19" s="222"/>
      <c r="T19" s="222"/>
      <c r="U19" s="222"/>
      <c r="V19" s="222"/>
      <c r="W19" s="222"/>
      <c r="X19" s="222"/>
      <c r="Y19" s="222"/>
      <c r="Z19" s="222"/>
    </row>
    <row r="20">
      <c r="A20" s="313" t="s">
        <v>236</v>
      </c>
      <c r="B20" s="314" t="s">
        <v>3281</v>
      </c>
      <c r="C20" s="313">
        <v>11.0</v>
      </c>
      <c r="D20" s="313">
        <v>11.0</v>
      </c>
      <c r="E20" s="313">
        <v>0.0</v>
      </c>
      <c r="F20" s="313">
        <v>0.0</v>
      </c>
      <c r="G20" s="313">
        <v>0.0</v>
      </c>
      <c r="H20" s="315">
        <f>(D20+E20+F20+G20)/$C$20</f>
        <v>1</v>
      </c>
      <c r="I20" s="222"/>
      <c r="J20" s="222"/>
      <c r="K20" s="222"/>
      <c r="L20" s="222"/>
      <c r="M20" s="222"/>
      <c r="N20" s="222"/>
      <c r="O20" s="222"/>
      <c r="P20" s="222"/>
      <c r="Q20" s="222"/>
      <c r="R20" s="222"/>
      <c r="S20" s="222"/>
      <c r="T20" s="222"/>
      <c r="U20" s="222"/>
      <c r="V20" s="222"/>
      <c r="W20" s="222"/>
      <c r="X20" s="222"/>
      <c r="Y20" s="222"/>
      <c r="Z20" s="222"/>
    </row>
    <row r="21">
      <c r="A21" s="316" t="s">
        <v>254</v>
      </c>
      <c r="B21" s="319" t="s">
        <v>3282</v>
      </c>
      <c r="C21" s="316">
        <v>13.0</v>
      </c>
      <c r="D21" s="316">
        <v>12.0</v>
      </c>
      <c r="E21" s="316">
        <v>1.0</v>
      </c>
      <c r="F21" s="316">
        <v>0.0</v>
      </c>
      <c r="G21" s="316">
        <v>0.0</v>
      </c>
      <c r="H21" s="318">
        <f>(D21+E21+F21+G21)/$C$21</f>
        <v>1</v>
      </c>
      <c r="I21" s="222"/>
      <c r="J21" s="222"/>
      <c r="K21" s="222"/>
      <c r="L21" s="222"/>
      <c r="M21" s="222"/>
      <c r="N21" s="222"/>
      <c r="O21" s="222"/>
      <c r="P21" s="222"/>
      <c r="Q21" s="222"/>
      <c r="R21" s="222"/>
      <c r="S21" s="222"/>
      <c r="T21" s="222"/>
      <c r="U21" s="222"/>
      <c r="V21" s="222"/>
      <c r="W21" s="222"/>
      <c r="X21" s="222"/>
      <c r="Y21" s="222"/>
      <c r="Z21" s="222"/>
    </row>
    <row r="22">
      <c r="A22" s="313" t="s">
        <v>276</v>
      </c>
      <c r="B22" s="314" t="s">
        <v>3283</v>
      </c>
      <c r="C22" s="313">
        <v>14.0</v>
      </c>
      <c r="D22" s="313">
        <v>14.0</v>
      </c>
      <c r="E22" s="313">
        <v>0.0</v>
      </c>
      <c r="F22" s="313">
        <v>0.0</v>
      </c>
      <c r="G22" s="313">
        <v>0.0</v>
      </c>
      <c r="H22" s="315">
        <f>(D22+E22+F22+G22)/$C$22</f>
        <v>1</v>
      </c>
      <c r="I22" s="222"/>
      <c r="J22" s="222"/>
      <c r="K22" s="222"/>
      <c r="L22" s="222"/>
      <c r="M22" s="222"/>
      <c r="N22" s="222"/>
      <c r="O22" s="222"/>
      <c r="P22" s="222"/>
      <c r="Q22" s="222"/>
      <c r="R22" s="222"/>
      <c r="S22" s="222"/>
      <c r="T22" s="222"/>
      <c r="U22" s="222"/>
      <c r="V22" s="222"/>
      <c r="W22" s="222"/>
      <c r="X22" s="222"/>
      <c r="Y22" s="222"/>
      <c r="Z22" s="222"/>
    </row>
    <row r="23">
      <c r="A23" s="316" t="s">
        <v>298</v>
      </c>
      <c r="B23" s="317" t="s">
        <v>3284</v>
      </c>
      <c r="C23" s="316">
        <v>13.0</v>
      </c>
      <c r="D23" s="316">
        <v>13.0</v>
      </c>
      <c r="E23" s="316">
        <v>0.0</v>
      </c>
      <c r="F23" s="316">
        <v>0.0</v>
      </c>
      <c r="G23" s="316">
        <v>0.0</v>
      </c>
      <c r="H23" s="318">
        <f>(D23+E23+F23+G23)/$C$23</f>
        <v>1</v>
      </c>
      <c r="I23" s="222"/>
      <c r="J23" s="222"/>
      <c r="K23" s="222"/>
      <c r="L23" s="222"/>
      <c r="M23" s="222"/>
      <c r="N23" s="222"/>
      <c r="O23" s="222"/>
      <c r="P23" s="222"/>
      <c r="Q23" s="222"/>
      <c r="R23" s="222"/>
      <c r="S23" s="222"/>
      <c r="T23" s="222"/>
      <c r="U23" s="222"/>
      <c r="V23" s="222"/>
      <c r="W23" s="222"/>
      <c r="X23" s="222"/>
      <c r="Y23" s="222"/>
      <c r="Z23" s="222"/>
    </row>
    <row r="24">
      <c r="A24" s="313" t="s">
        <v>320</v>
      </c>
      <c r="B24" s="314" t="s">
        <v>3285</v>
      </c>
      <c r="C24" s="313">
        <v>10.0</v>
      </c>
      <c r="D24" s="313">
        <v>9.0</v>
      </c>
      <c r="E24" s="313">
        <v>1.0</v>
      </c>
      <c r="F24" s="313">
        <v>0.0</v>
      </c>
      <c r="G24" s="313">
        <v>0.0</v>
      </c>
      <c r="H24" s="315">
        <f>(D24+E24+F24+G24)/$C$24</f>
        <v>1</v>
      </c>
      <c r="I24" s="222"/>
      <c r="J24" s="222"/>
      <c r="K24" s="222"/>
      <c r="L24" s="222"/>
      <c r="M24" s="222"/>
      <c r="N24" s="222"/>
      <c r="O24" s="222"/>
      <c r="P24" s="222"/>
      <c r="Q24" s="222"/>
      <c r="R24" s="222"/>
      <c r="S24" s="222"/>
      <c r="T24" s="222"/>
      <c r="U24" s="222"/>
      <c r="V24" s="222"/>
      <c r="W24" s="222"/>
      <c r="X24" s="222"/>
      <c r="Y24" s="222"/>
      <c r="Z24" s="222"/>
    </row>
    <row r="25">
      <c r="A25" s="316" t="s">
        <v>338</v>
      </c>
      <c r="B25" s="317" t="s">
        <v>3286</v>
      </c>
      <c r="C25" s="316">
        <v>13.0</v>
      </c>
      <c r="D25" s="316">
        <v>11.0</v>
      </c>
      <c r="E25" s="316">
        <v>2.0</v>
      </c>
      <c r="F25" s="316">
        <v>0.0</v>
      </c>
      <c r="G25" s="316">
        <v>0.0</v>
      </c>
      <c r="H25" s="318">
        <f>(D25+E25+F25+G25)/$C$25</f>
        <v>1</v>
      </c>
      <c r="I25" s="222"/>
      <c r="J25" s="222"/>
      <c r="K25" s="222"/>
      <c r="L25" s="222"/>
      <c r="M25" s="222"/>
      <c r="N25" s="222"/>
      <c r="O25" s="222"/>
      <c r="P25" s="222"/>
      <c r="Q25" s="222"/>
      <c r="R25" s="222"/>
      <c r="S25" s="222"/>
      <c r="T25" s="222"/>
      <c r="U25" s="222"/>
      <c r="V25" s="222"/>
      <c r="W25" s="222"/>
      <c r="X25" s="222"/>
      <c r="Y25" s="222"/>
      <c r="Z25" s="222"/>
    </row>
    <row r="26">
      <c r="A26" s="313" t="s">
        <v>360</v>
      </c>
      <c r="B26" s="314" t="s">
        <v>3287</v>
      </c>
      <c r="C26" s="313">
        <v>16.0</v>
      </c>
      <c r="D26" s="313">
        <v>13.0</v>
      </c>
      <c r="E26" s="313">
        <v>3.0</v>
      </c>
      <c r="F26" s="313">
        <v>0.0</v>
      </c>
      <c r="G26" s="313">
        <v>0.0</v>
      </c>
      <c r="H26" s="315">
        <f>(D26+E26+F26+G26)/$C$26</f>
        <v>1</v>
      </c>
      <c r="I26" s="222"/>
      <c r="J26" s="222"/>
      <c r="K26" s="222"/>
      <c r="L26" s="222"/>
      <c r="M26" s="222"/>
      <c r="N26" s="222"/>
      <c r="O26" s="222"/>
      <c r="P26" s="222"/>
      <c r="Q26" s="222"/>
      <c r="R26" s="222"/>
      <c r="S26" s="222"/>
      <c r="T26" s="222"/>
      <c r="U26" s="222"/>
      <c r="V26" s="222"/>
      <c r="W26" s="222"/>
      <c r="X26" s="222"/>
      <c r="Y26" s="222"/>
      <c r="Z26" s="222"/>
    </row>
    <row r="27">
      <c r="A27" s="316" t="s">
        <v>385</v>
      </c>
      <c r="B27" s="317" t="s">
        <v>3288</v>
      </c>
      <c r="C27" s="316">
        <v>8.0</v>
      </c>
      <c r="D27" s="316">
        <v>8.0</v>
      </c>
      <c r="E27" s="316">
        <v>0.0</v>
      </c>
      <c r="F27" s="316">
        <v>0.0</v>
      </c>
      <c r="G27" s="316">
        <v>0.0</v>
      </c>
      <c r="H27" s="318">
        <f>(D27+E27+F27+G27)/$C$27</f>
        <v>1</v>
      </c>
      <c r="I27" s="222"/>
      <c r="J27" s="222"/>
      <c r="K27" s="222"/>
      <c r="L27" s="222"/>
      <c r="M27" s="222"/>
      <c r="N27" s="222"/>
      <c r="O27" s="222"/>
      <c r="P27" s="222"/>
      <c r="Q27" s="222"/>
      <c r="R27" s="222"/>
      <c r="S27" s="222"/>
      <c r="T27" s="222"/>
      <c r="U27" s="222"/>
      <c r="V27" s="222"/>
      <c r="W27" s="222"/>
      <c r="X27" s="222"/>
      <c r="Y27" s="222"/>
      <c r="Z27" s="222"/>
    </row>
    <row r="28">
      <c r="A28" s="313" t="s">
        <v>399</v>
      </c>
      <c r="B28" s="314" t="s">
        <v>3289</v>
      </c>
      <c r="C28" s="313">
        <v>12.0</v>
      </c>
      <c r="D28" s="313">
        <v>12.0</v>
      </c>
      <c r="E28" s="313">
        <v>0.0</v>
      </c>
      <c r="F28" s="313">
        <v>0.0</v>
      </c>
      <c r="G28" s="313">
        <v>0.0</v>
      </c>
      <c r="H28" s="315">
        <f>(D28+E28+F28+G28)/$C$28</f>
        <v>1</v>
      </c>
      <c r="I28" s="222"/>
      <c r="J28" s="222"/>
      <c r="K28" s="222"/>
      <c r="L28" s="222"/>
      <c r="M28" s="222"/>
      <c r="N28" s="222"/>
      <c r="O28" s="222"/>
      <c r="P28" s="222"/>
      <c r="Q28" s="222"/>
      <c r="R28" s="222"/>
      <c r="S28" s="222"/>
      <c r="T28" s="222"/>
      <c r="U28" s="222"/>
      <c r="V28" s="222"/>
      <c r="W28" s="222"/>
      <c r="X28" s="222"/>
      <c r="Y28" s="222"/>
      <c r="Z28" s="222"/>
    </row>
    <row r="29">
      <c r="A29" s="316" t="s">
        <v>421</v>
      </c>
      <c r="B29" s="317" t="s">
        <v>3290</v>
      </c>
      <c r="C29" s="316">
        <v>20.0</v>
      </c>
      <c r="D29" s="316">
        <v>19.0</v>
      </c>
      <c r="E29" s="316">
        <v>1.0</v>
      </c>
      <c r="F29" s="316">
        <v>0.0</v>
      </c>
      <c r="G29" s="316">
        <v>0.0</v>
      </c>
      <c r="H29" s="318">
        <f>(D29+E29+F29+G29)/$C$29</f>
        <v>1</v>
      </c>
      <c r="I29" s="222"/>
      <c r="J29" s="222"/>
      <c r="K29" s="222"/>
      <c r="L29" s="222"/>
      <c r="M29" s="222"/>
      <c r="N29" s="222"/>
      <c r="O29" s="222"/>
      <c r="P29" s="222"/>
      <c r="Q29" s="222"/>
      <c r="R29" s="222"/>
      <c r="S29" s="222"/>
      <c r="T29" s="222"/>
      <c r="U29" s="222"/>
      <c r="V29" s="222"/>
      <c r="W29" s="222"/>
      <c r="X29" s="222"/>
      <c r="Y29" s="222"/>
      <c r="Z29" s="222"/>
    </row>
    <row r="30">
      <c r="A30" s="313" t="s">
        <v>451</v>
      </c>
      <c r="B30" s="314" t="s">
        <v>3291</v>
      </c>
      <c r="C30" s="313">
        <v>24.0</v>
      </c>
      <c r="D30" s="313">
        <v>23.0</v>
      </c>
      <c r="E30" s="313">
        <v>1.0</v>
      </c>
      <c r="F30" s="313">
        <v>0.0</v>
      </c>
      <c r="G30" s="313">
        <v>0.0</v>
      </c>
      <c r="H30" s="315">
        <f>(D30+E30+F30+G30)/$C$30</f>
        <v>1</v>
      </c>
      <c r="I30" s="222"/>
      <c r="J30" s="222"/>
      <c r="K30" s="222"/>
      <c r="L30" s="222"/>
      <c r="M30" s="222"/>
      <c r="N30" s="222"/>
      <c r="O30" s="222"/>
      <c r="P30" s="222"/>
      <c r="Q30" s="222"/>
      <c r="R30" s="222"/>
      <c r="S30" s="222"/>
      <c r="T30" s="222"/>
      <c r="U30" s="222"/>
      <c r="V30" s="222"/>
      <c r="W30" s="222"/>
      <c r="X30" s="222"/>
      <c r="Y30" s="222"/>
      <c r="Z30" s="222"/>
    </row>
    <row r="31">
      <c r="A31" s="316" t="s">
        <v>490</v>
      </c>
      <c r="B31" s="317" t="s">
        <v>3292</v>
      </c>
      <c r="C31" s="316">
        <v>18.0</v>
      </c>
      <c r="D31" s="316">
        <v>18.0</v>
      </c>
      <c r="E31" s="316">
        <v>0.0</v>
      </c>
      <c r="F31" s="316">
        <v>0.0</v>
      </c>
      <c r="G31" s="316">
        <v>0.0</v>
      </c>
      <c r="H31" s="318">
        <f>(D31+E31+F31+G31)/$C$31</f>
        <v>1</v>
      </c>
      <c r="I31" s="222"/>
      <c r="J31" s="222"/>
      <c r="K31" s="222"/>
      <c r="L31" s="222"/>
      <c r="M31" s="222"/>
      <c r="N31" s="222"/>
      <c r="O31" s="222"/>
      <c r="P31" s="222"/>
      <c r="Q31" s="222"/>
      <c r="R31" s="222"/>
      <c r="S31" s="222"/>
      <c r="T31" s="222"/>
      <c r="U31" s="222"/>
      <c r="V31" s="222"/>
      <c r="W31" s="222"/>
      <c r="X31" s="222"/>
      <c r="Y31" s="222"/>
      <c r="Z31" s="222"/>
    </row>
    <row r="32">
      <c r="A32" s="313" t="s">
        <v>524</v>
      </c>
      <c r="B32" s="314" t="s">
        <v>3293</v>
      </c>
      <c r="C32" s="313">
        <v>19.0</v>
      </c>
      <c r="D32" s="313">
        <v>19.0</v>
      </c>
      <c r="E32" s="313">
        <v>0.0</v>
      </c>
      <c r="F32" s="313">
        <v>0.0</v>
      </c>
      <c r="G32" s="313">
        <v>0.0</v>
      </c>
      <c r="H32" s="315">
        <f>(D32+E32+F32+G32)/$C$32</f>
        <v>1</v>
      </c>
      <c r="I32" s="222"/>
      <c r="J32" s="222"/>
      <c r="K32" s="222"/>
      <c r="L32" s="222"/>
      <c r="M32" s="222"/>
      <c r="N32" s="222"/>
      <c r="O32" s="222"/>
      <c r="P32" s="222"/>
      <c r="Q32" s="222"/>
      <c r="R32" s="222"/>
      <c r="S32" s="222"/>
      <c r="T32" s="222"/>
      <c r="U32" s="222"/>
      <c r="V32" s="222"/>
      <c r="W32" s="222"/>
      <c r="X32" s="222"/>
      <c r="Y32" s="222"/>
      <c r="Z32" s="222"/>
    </row>
    <row r="33">
      <c r="A33" s="316" t="s">
        <v>558</v>
      </c>
      <c r="B33" s="317" t="s">
        <v>3294</v>
      </c>
      <c r="C33" s="316">
        <v>19.0</v>
      </c>
      <c r="D33" s="316">
        <v>19.0</v>
      </c>
      <c r="E33" s="316">
        <v>0.0</v>
      </c>
      <c r="F33" s="316">
        <v>0.0</v>
      </c>
      <c r="G33" s="316">
        <v>0.0</v>
      </c>
      <c r="H33" s="318">
        <f>(D33+E33+F33+G33)/$C$33</f>
        <v>1</v>
      </c>
      <c r="I33" s="222"/>
      <c r="J33" s="222"/>
      <c r="K33" s="222"/>
      <c r="L33" s="222"/>
      <c r="M33" s="222"/>
      <c r="N33" s="222"/>
      <c r="O33" s="222"/>
      <c r="P33" s="222"/>
      <c r="Q33" s="222"/>
      <c r="R33" s="222"/>
      <c r="S33" s="222"/>
      <c r="T33" s="222"/>
      <c r="U33" s="222"/>
      <c r="V33" s="222"/>
      <c r="W33" s="222"/>
      <c r="X33" s="222"/>
      <c r="Y33" s="222"/>
      <c r="Z33" s="222"/>
    </row>
    <row r="34">
      <c r="A34" s="313" t="s">
        <v>592</v>
      </c>
      <c r="B34" s="314" t="s">
        <v>3295</v>
      </c>
      <c r="C34" s="313">
        <v>16.0</v>
      </c>
      <c r="D34" s="313">
        <v>15.0</v>
      </c>
      <c r="E34" s="313">
        <v>1.0</v>
      </c>
      <c r="F34" s="313">
        <v>0.0</v>
      </c>
      <c r="G34" s="313">
        <v>0.0</v>
      </c>
      <c r="H34" s="315">
        <f>(D34+E34+F34+G34)/$C$34</f>
        <v>1</v>
      </c>
      <c r="I34" s="222"/>
      <c r="J34" s="222"/>
      <c r="K34" s="222"/>
      <c r="L34" s="222"/>
      <c r="M34" s="222"/>
      <c r="N34" s="222"/>
      <c r="O34" s="222"/>
      <c r="P34" s="222"/>
      <c r="Q34" s="222"/>
      <c r="R34" s="222"/>
      <c r="S34" s="222"/>
      <c r="T34" s="222"/>
      <c r="U34" s="222"/>
      <c r="V34" s="222"/>
      <c r="W34" s="222"/>
      <c r="X34" s="222"/>
      <c r="Y34" s="222"/>
      <c r="Z34" s="222"/>
    </row>
    <row r="35">
      <c r="A35" s="316" t="s">
        <v>618</v>
      </c>
      <c r="B35" s="317" t="s">
        <v>3296</v>
      </c>
      <c r="C35" s="316">
        <v>10.0</v>
      </c>
      <c r="D35" s="316">
        <v>7.0</v>
      </c>
      <c r="E35" s="316">
        <v>3.0</v>
      </c>
      <c r="F35" s="316">
        <v>0.0</v>
      </c>
      <c r="G35" s="316">
        <v>0.0</v>
      </c>
      <c r="H35" s="318">
        <f>(D35+E35+F35+G35)/$C$35</f>
        <v>1</v>
      </c>
      <c r="I35" s="222"/>
      <c r="J35" s="222"/>
      <c r="K35" s="222"/>
      <c r="L35" s="222"/>
      <c r="M35" s="222"/>
      <c r="N35" s="222"/>
      <c r="O35" s="222"/>
      <c r="P35" s="222"/>
      <c r="Q35" s="222"/>
      <c r="R35" s="222"/>
      <c r="S35" s="222"/>
      <c r="T35" s="222"/>
      <c r="U35" s="222"/>
      <c r="V35" s="222"/>
      <c r="W35" s="222"/>
      <c r="X35" s="222"/>
      <c r="Y35" s="222"/>
      <c r="Z35" s="222"/>
    </row>
    <row r="36">
      <c r="A36" s="313" t="s">
        <v>636</v>
      </c>
      <c r="B36" s="314" t="s">
        <v>3297</v>
      </c>
      <c r="C36" s="313">
        <v>16.0</v>
      </c>
      <c r="D36" s="313">
        <v>13.0</v>
      </c>
      <c r="E36" s="313">
        <v>3.0</v>
      </c>
      <c r="F36" s="313">
        <v>0.0</v>
      </c>
      <c r="G36" s="313">
        <v>0.0</v>
      </c>
      <c r="H36" s="315">
        <f>(D36+E36+F36+G36)/$C$36</f>
        <v>1</v>
      </c>
      <c r="I36" s="222"/>
      <c r="J36" s="222"/>
      <c r="K36" s="222"/>
      <c r="L36" s="222"/>
      <c r="M36" s="222"/>
      <c r="N36" s="222"/>
      <c r="O36" s="222"/>
      <c r="P36" s="222"/>
      <c r="Q36" s="222"/>
      <c r="R36" s="222"/>
      <c r="S36" s="222"/>
      <c r="T36" s="222"/>
      <c r="U36" s="222"/>
      <c r="V36" s="222"/>
      <c r="W36" s="222"/>
      <c r="X36" s="222"/>
      <c r="Y36" s="222"/>
      <c r="Z36" s="222"/>
    </row>
    <row r="37">
      <c r="A37" s="316" t="s">
        <v>662</v>
      </c>
      <c r="B37" s="317" t="s">
        <v>3298</v>
      </c>
      <c r="C37" s="316">
        <v>16.0</v>
      </c>
      <c r="D37" s="316">
        <v>14.0</v>
      </c>
      <c r="E37" s="316">
        <v>2.0</v>
      </c>
      <c r="F37" s="316">
        <v>0.0</v>
      </c>
      <c r="G37" s="316">
        <v>0.0</v>
      </c>
      <c r="H37" s="318">
        <f>(D37+E37+F37+G37)/$C$37</f>
        <v>1</v>
      </c>
      <c r="I37" s="222"/>
      <c r="J37" s="222"/>
      <c r="K37" s="222"/>
      <c r="L37" s="222"/>
      <c r="M37" s="222"/>
      <c r="N37" s="222"/>
      <c r="O37" s="222"/>
      <c r="P37" s="222"/>
      <c r="Q37" s="222"/>
      <c r="R37" s="222"/>
      <c r="S37" s="222"/>
      <c r="T37" s="222"/>
      <c r="U37" s="222"/>
      <c r="V37" s="222"/>
      <c r="W37" s="222"/>
      <c r="X37" s="222"/>
      <c r="Y37" s="222"/>
      <c r="Z37" s="222"/>
    </row>
    <row r="38">
      <c r="A38" s="300" t="s">
        <v>3299</v>
      </c>
      <c r="B38" s="300">
        <v>20.0</v>
      </c>
      <c r="C38" s="300">
        <f t="shared" ref="C38:G38" si="1">SUM(C18:C37)</f>
        <v>286</v>
      </c>
      <c r="D38" s="300">
        <f t="shared" si="1"/>
        <v>268</v>
      </c>
      <c r="E38" s="300">
        <f t="shared" si="1"/>
        <v>18</v>
      </c>
      <c r="F38" s="300">
        <f t="shared" si="1"/>
        <v>0</v>
      </c>
      <c r="G38" s="300">
        <f t="shared" si="1"/>
        <v>0</v>
      </c>
      <c r="H38" s="320">
        <f>(D38+E38+F38+G38)/$C$38</f>
        <v>1</v>
      </c>
      <c r="I38" s="222"/>
      <c r="J38" s="222"/>
      <c r="K38" s="222"/>
      <c r="L38" s="222"/>
      <c r="M38" s="222"/>
      <c r="N38" s="222"/>
      <c r="O38" s="222"/>
      <c r="P38" s="222"/>
      <c r="Q38" s="222"/>
      <c r="R38" s="222"/>
      <c r="S38" s="222"/>
      <c r="T38" s="222"/>
      <c r="U38" s="222"/>
      <c r="V38" s="222"/>
      <c r="W38" s="222"/>
      <c r="X38" s="222"/>
      <c r="Y38" s="222"/>
      <c r="Z38" s="222"/>
    </row>
    <row r="39">
      <c r="A39" s="296"/>
      <c r="B39" s="296"/>
      <c r="C39" s="296"/>
      <c r="D39" s="296"/>
      <c r="E39" s="296"/>
      <c r="F39" s="296"/>
      <c r="G39" s="296"/>
      <c r="H39" s="296"/>
      <c r="I39" s="222"/>
      <c r="J39" s="222"/>
      <c r="K39" s="222"/>
      <c r="L39" s="222"/>
      <c r="M39" s="222"/>
      <c r="N39" s="222"/>
      <c r="O39" s="222"/>
      <c r="P39" s="222"/>
      <c r="Q39" s="222"/>
      <c r="R39" s="222"/>
      <c r="S39" s="222"/>
      <c r="T39" s="222"/>
      <c r="U39" s="222"/>
      <c r="V39" s="222"/>
      <c r="W39" s="222"/>
      <c r="X39" s="222"/>
      <c r="Y39" s="222"/>
      <c r="Z39" s="222"/>
    </row>
    <row r="40">
      <c r="A40" s="299" t="s">
        <v>3300</v>
      </c>
      <c r="I40" s="222"/>
      <c r="J40" s="222"/>
      <c r="K40" s="222"/>
      <c r="L40" s="222"/>
      <c r="M40" s="222"/>
      <c r="N40" s="222"/>
      <c r="O40" s="222"/>
      <c r="P40" s="222"/>
      <c r="Q40" s="222"/>
      <c r="R40" s="222"/>
      <c r="S40" s="222"/>
      <c r="T40" s="222"/>
      <c r="U40" s="222"/>
      <c r="V40" s="222"/>
      <c r="W40" s="222"/>
      <c r="X40" s="222"/>
      <c r="Y40" s="222"/>
      <c r="Z40" s="222"/>
    </row>
    <row r="41">
      <c r="A41" s="321" t="s">
        <v>3301</v>
      </c>
      <c r="B41" s="322" t="s">
        <v>3302</v>
      </c>
      <c r="C41" s="323"/>
      <c r="D41" s="323"/>
      <c r="E41" s="323"/>
      <c r="F41" s="323"/>
      <c r="G41" s="323"/>
      <c r="H41" s="324"/>
      <c r="I41" s="222"/>
      <c r="J41" s="222"/>
      <c r="K41" s="222"/>
      <c r="L41" s="222"/>
      <c r="M41" s="222"/>
      <c r="N41" s="222"/>
      <c r="O41" s="222"/>
      <c r="P41" s="222"/>
      <c r="Q41" s="222"/>
      <c r="R41" s="222"/>
      <c r="S41" s="222"/>
      <c r="T41" s="222"/>
      <c r="U41" s="222"/>
      <c r="V41" s="222"/>
      <c r="W41" s="222"/>
      <c r="X41" s="222"/>
      <c r="Y41" s="222"/>
      <c r="Z41" s="222"/>
    </row>
    <row r="42">
      <c r="A42" s="321" t="s">
        <v>3303</v>
      </c>
      <c r="B42" s="322" t="s">
        <v>3304</v>
      </c>
      <c r="C42" s="323"/>
      <c r="D42" s="323"/>
      <c r="E42" s="323"/>
      <c r="F42" s="323"/>
      <c r="G42" s="323"/>
      <c r="H42" s="324"/>
      <c r="I42" s="222"/>
      <c r="J42" s="222"/>
      <c r="K42" s="222"/>
      <c r="L42" s="222"/>
      <c r="M42" s="222"/>
      <c r="N42" s="222"/>
      <c r="O42" s="222"/>
      <c r="P42" s="222"/>
      <c r="Q42" s="222"/>
      <c r="R42" s="222"/>
      <c r="S42" s="222"/>
      <c r="T42" s="222"/>
      <c r="U42" s="222"/>
      <c r="V42" s="222"/>
      <c r="W42" s="222"/>
      <c r="X42" s="222"/>
      <c r="Y42" s="222"/>
      <c r="Z42" s="222"/>
    </row>
    <row r="43">
      <c r="A43" s="321" t="s">
        <v>3305</v>
      </c>
      <c r="B43" s="322" t="s">
        <v>3306</v>
      </c>
      <c r="C43" s="323"/>
      <c r="D43" s="323"/>
      <c r="E43" s="323"/>
      <c r="F43" s="323"/>
      <c r="G43" s="323"/>
      <c r="H43" s="324"/>
      <c r="I43" s="222"/>
      <c r="J43" s="222"/>
      <c r="K43" s="222"/>
      <c r="L43" s="222"/>
      <c r="M43" s="222"/>
      <c r="N43" s="222"/>
      <c r="O43" s="222"/>
      <c r="P43" s="222"/>
      <c r="Q43" s="222"/>
      <c r="R43" s="222"/>
      <c r="S43" s="222"/>
      <c r="T43" s="222"/>
      <c r="U43" s="222"/>
      <c r="V43" s="222"/>
      <c r="W43" s="222"/>
      <c r="X43" s="222"/>
      <c r="Y43" s="222"/>
      <c r="Z43" s="222"/>
    </row>
    <row r="44">
      <c r="A44" s="321" t="s">
        <v>3307</v>
      </c>
      <c r="B44" s="322" t="s">
        <v>3308</v>
      </c>
      <c r="C44" s="323"/>
      <c r="D44" s="323"/>
      <c r="E44" s="323"/>
      <c r="F44" s="323"/>
      <c r="G44" s="323"/>
      <c r="H44" s="324"/>
      <c r="I44" s="222"/>
      <c r="J44" s="222"/>
      <c r="K44" s="222"/>
      <c r="L44" s="222"/>
      <c r="M44" s="222"/>
      <c r="N44" s="222"/>
      <c r="O44" s="222"/>
      <c r="P44" s="222"/>
      <c r="Q44" s="222"/>
      <c r="R44" s="222"/>
      <c r="S44" s="222"/>
      <c r="T44" s="222"/>
      <c r="U44" s="222"/>
      <c r="V44" s="222"/>
      <c r="W44" s="222"/>
      <c r="X44" s="222"/>
      <c r="Y44" s="222"/>
      <c r="Z44" s="222"/>
    </row>
    <row r="45">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row>
    <row r="46">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row>
    <row r="47">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row>
    <row r="48">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row>
    <row r="49">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row>
    <row r="50">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row>
    <row r="5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row>
    <row r="52">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row>
    <row r="53">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row>
    <row r="54">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row>
    <row r="55">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row>
    <row r="56">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row>
    <row r="57">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row>
    <row r="58">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row>
    <row r="59">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row>
    <row r="60">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row>
    <row r="6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row>
    <row r="62">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row>
    <row r="63">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row>
    <row r="64">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row>
    <row r="65">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row>
    <row r="66">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row>
    <row r="67">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row>
    <row r="68">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row>
    <row r="69">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row>
    <row r="70">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row>
    <row r="7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row>
    <row r="72">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row>
    <row r="73">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row>
    <row r="74">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row>
    <row r="75">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row>
    <row r="76">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row>
    <row r="77">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row>
    <row r="78">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row>
    <row r="79">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row>
    <row r="80">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row>
    <row r="8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row>
    <row r="82">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row>
    <row r="83">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row>
    <row r="84">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row>
    <row r="85">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row>
    <row r="86">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row>
    <row r="87">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row>
    <row r="88">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row>
    <row r="89">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row>
    <row r="90">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row>
    <row r="9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row>
    <row r="92">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row>
    <row r="93">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row>
    <row r="94">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row>
    <row r="95">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row>
    <row r="96">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row>
    <row r="97">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row>
    <row r="98">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row>
    <row r="99">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row>
    <row r="100">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row>
    <row r="10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row>
    <row r="102">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row>
    <row r="103">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row>
    <row r="104">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row>
    <row r="105">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row>
    <row r="106">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row>
    <row r="107">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row>
    <row r="108">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row>
    <row r="109">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row>
    <row r="110">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row>
    <row r="11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row>
    <row r="112">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row>
    <row r="113">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row>
    <row r="114">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row>
    <row r="115">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row>
    <row r="116">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row>
    <row r="117">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row>
    <row r="118">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row>
    <row r="119">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row>
    <row r="120">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row>
    <row r="12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row>
    <row r="122">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row>
    <row r="123">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row>
    <row r="124">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row>
    <row r="125">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row>
    <row r="126">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row>
    <row r="127">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row>
    <row r="128">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row>
    <row r="129">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row>
    <row r="130">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row>
    <row r="13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row>
    <row r="132">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row>
    <row r="133">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row>
    <row r="134">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row>
    <row r="135">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row>
    <row r="136">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row>
    <row r="137">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row>
    <row r="138">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row>
    <row r="139">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row>
    <row r="140">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row>
    <row r="14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row>
    <row r="142">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row>
    <row r="143">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row>
    <row r="144">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row>
    <row r="145">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row>
    <row r="146">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row>
    <row r="147">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row>
    <row r="148">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row>
    <row r="149">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row>
    <row r="150">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row>
    <row r="15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row>
    <row r="152">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row>
    <row r="153">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row>
    <row r="154">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row>
    <row r="155">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row>
    <row r="156">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row>
    <row r="157">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row>
    <row r="158">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row>
    <row r="159">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row>
    <row r="160">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row>
    <row r="16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row>
    <row r="162">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row>
    <row r="163">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row>
    <row r="164">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row>
    <row r="165">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row>
    <row r="166">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row>
    <row r="167">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row>
    <row r="168">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row>
    <row r="169">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row>
    <row r="170">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row>
    <row r="17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row>
    <row r="172">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row>
    <row r="173">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row>
    <row r="174">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row>
    <row r="175">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row>
    <row r="176">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row>
    <row r="177">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row>
    <row r="178">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row>
    <row r="179">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row>
    <row r="180">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row>
    <row r="18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row>
    <row r="182">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row>
    <row r="183">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row>
    <row r="184">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row>
    <row r="185">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row>
    <row r="186">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row>
    <row r="187">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row>
    <row r="188">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row>
    <row r="189">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row>
    <row r="190">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row>
    <row r="19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row>
    <row r="192">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row>
    <row r="193">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row>
    <row r="194">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row>
    <row r="195">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row>
    <row r="196">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row>
    <row r="197">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row>
    <row r="198">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row>
    <row r="199">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row>
    <row r="200">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row>
    <row r="20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row>
    <row r="202">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row>
    <row r="203">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row>
    <row r="204">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row>
    <row r="205">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row>
    <row r="206">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row>
    <row r="207">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row>
    <row r="208">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row>
    <row r="209">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row>
    <row r="210">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row>
    <row r="21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row>
    <row r="212">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row>
    <row r="213">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row>
    <row r="214">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row>
    <row r="215">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row>
    <row r="216">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row>
    <row r="217">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row>
    <row r="218">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row>
    <row r="219">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row>
    <row r="220">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row>
    <row r="22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row>
    <row r="222">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row>
    <row r="223">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row>
    <row r="224">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row>
    <row r="225">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row>
    <row r="226">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row>
    <row r="227">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row>
    <row r="228">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row>
    <row r="229">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row>
    <row r="230">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row>
    <row r="23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row>
    <row r="232">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row>
    <row r="233">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row>
    <row r="234">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row>
    <row r="235">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row>
    <row r="236">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row>
    <row r="237">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row>
    <row r="238">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row>
    <row r="239">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row>
    <row r="240">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row>
    <row r="24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row>
    <row r="242">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row>
    <row r="243">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row>
    <row r="244">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row>
    <row r="245">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row>
    <row r="246">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row>
    <row r="247">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row>
    <row r="248">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row>
    <row r="249">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row>
    <row r="250">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row>
    <row r="25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row>
    <row r="252">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row>
    <row r="253">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row>
    <row r="254">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row>
    <row r="255">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row>
    <row r="256">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row>
    <row r="257">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row>
    <row r="258">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row>
    <row r="259">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row>
    <row r="260">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row>
    <row r="26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row>
    <row r="262">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row>
    <row r="263">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row>
    <row r="264">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row>
    <row r="265">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row>
    <row r="266">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row>
    <row r="267">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row>
    <row r="268">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row>
    <row r="269">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row>
    <row r="270">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row>
    <row r="27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row>
    <row r="272">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row>
    <row r="273">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row>
    <row r="274">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row>
    <row r="275">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row>
    <row r="284">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row>
    <row r="285">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row>
    <row r="286">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row>
    <row r="287">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row>
    <row r="288">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row>
    <row r="289">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row>
    <row r="290">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row>
    <row r="29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row>
    <row r="292">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row>
    <row r="293">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row>
    <row r="294">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row>
    <row r="295">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row>
    <row r="296">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row>
    <row r="297">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row>
    <row r="298">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row>
    <row r="299">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row>
    <row r="300">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row>
    <row r="30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row>
    <row r="302">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row>
    <row r="303">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row>
    <row r="304">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row>
    <row r="305">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row>
    <row r="306">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row>
    <row r="307">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row>
    <row r="308">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row>
    <row r="309">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row>
    <row r="310">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row>
    <row r="31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row>
    <row r="312">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row>
    <row r="313">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row>
    <row r="314">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row>
    <row r="315">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row>
    <row r="316">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row>
    <row r="317">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row>
    <row r="318">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row>
    <row r="319">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row>
    <row r="320">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row>
    <row r="32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row>
    <row r="322">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row>
    <row r="323">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row>
    <row r="324">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row>
    <row r="325">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row>
    <row r="326">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row>
    <row r="327">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row>
    <row r="328">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row>
    <row r="329">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row>
    <row r="330">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row>
    <row r="33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row>
    <row r="332">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row>
    <row r="333">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row>
    <row r="334">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row>
    <row r="335">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row>
    <row r="336">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row>
    <row r="337">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row>
    <row r="338">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row>
    <row r="339">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row>
    <row r="340">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row>
    <row r="34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row>
    <row r="342">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row>
    <row r="343">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row>
    <row r="344">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row>
    <row r="345">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row>
    <row r="346">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row>
    <row r="347">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row>
    <row r="348">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row>
    <row r="349">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row>
    <row r="350">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row>
    <row r="35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row>
    <row r="352">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row>
    <row r="353">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row>
    <row r="354">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row>
    <row r="355">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row>
    <row r="356">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row>
    <row r="357">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row>
    <row r="358">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row>
    <row r="359">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row>
    <row r="360">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row>
    <row r="36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row>
    <row r="362">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row>
    <row r="363">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row>
    <row r="364">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row>
    <row r="365">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row>
    <row r="366">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row>
    <row r="367">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row>
    <row r="368">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row>
    <row r="369">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row>
    <row r="370">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row>
    <row r="37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row>
    <row r="372">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row>
    <row r="373">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row>
    <row r="374">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row>
    <row r="375">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row>
    <row r="376">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row>
    <row r="377">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row>
    <row r="378">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row>
    <row r="379">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row>
    <row r="380">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row>
    <row r="38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row>
    <row r="382">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row>
    <row r="383">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row>
    <row r="384">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row>
    <row r="385">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row>
    <row r="386">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row>
    <row r="387">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row>
    <row r="388">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row>
    <row r="389">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row>
    <row r="390">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row>
    <row r="39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row>
    <row r="392">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row>
    <row r="393">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row>
    <row r="394">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row>
    <row r="395">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row>
    <row r="396">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row>
    <row r="397">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row>
    <row r="398">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row>
    <row r="399">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row>
    <row r="400">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row>
    <row r="40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row>
    <row r="402">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row>
    <row r="403">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row>
    <row r="404">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row>
    <row r="405">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row>
    <row r="406">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row>
    <row r="407">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row>
    <row r="408">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row>
    <row r="409">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row>
    <row r="410">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row>
    <row r="41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row>
    <row r="412">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row>
    <row r="413">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row>
    <row r="414">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row>
    <row r="415">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row>
    <row r="416">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row>
    <row r="417">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row>
    <row r="418">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row>
    <row r="419">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row>
    <row r="420">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row>
    <row r="42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row>
    <row r="422">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row>
    <row r="423">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row>
    <row r="424">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row>
    <row r="425">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row>
    <row r="426">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row>
    <row r="427">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row>
    <row r="428">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row>
    <row r="429">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row>
    <row r="430">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row>
    <row r="43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row>
    <row r="432">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row>
    <row r="433">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row>
    <row r="434">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row>
    <row r="435">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row>
    <row r="436">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row>
    <row r="437">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row>
    <row r="438">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row>
    <row r="439">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row>
    <row r="440">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row>
    <row r="44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row>
    <row r="442">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row>
    <row r="443">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row>
    <row r="444">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row>
    <row r="445">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row>
    <row r="446">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row>
    <row r="447">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row>
    <row r="448">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row>
    <row r="449">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row>
    <row r="450">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row>
    <row r="45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row>
    <row r="452">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row>
    <row r="453">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row>
    <row r="454">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row>
    <row r="455">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row>
    <row r="456">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row>
    <row r="457">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row>
    <row r="458">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row>
    <row r="459">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row>
    <row r="460">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row>
    <row r="46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row>
    <row r="462">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row>
    <row r="463">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row>
    <row r="464">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row>
    <row r="465">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row>
    <row r="466">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row>
    <row r="467">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row>
    <row r="468">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row>
    <row r="469">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row>
    <row r="470">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row>
    <row r="47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row>
    <row r="472">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row>
    <row r="473">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row>
    <row r="474">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row>
    <row r="475">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row>
    <row r="476">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row>
    <row r="477">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row>
    <row r="478">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row>
    <row r="479">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row>
    <row r="480">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row>
    <row r="48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row>
    <row r="482">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row>
    <row r="483">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row>
    <row r="484">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row>
    <row r="485">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row>
    <row r="486">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row>
    <row r="487">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row>
    <row r="488">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row>
    <row r="489">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row>
    <row r="490">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row>
    <row r="49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row>
    <row r="492">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row>
    <row r="493">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row>
    <row r="494">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row>
    <row r="495">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row>
    <row r="496">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row>
    <row r="497">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row>
    <row r="498">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row>
    <row r="499">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row>
    <row r="500">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row>
    <row r="50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row>
    <row r="502">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row>
    <row r="503">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row>
    <row r="504">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row>
    <row r="505">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row>
    <row r="506">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row>
    <row r="507">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row>
    <row r="508">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row>
    <row r="509">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row>
    <row r="510">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row>
    <row r="51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row>
    <row r="512">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row>
    <row r="513">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row>
    <row r="514">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row>
    <row r="515">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row>
    <row r="516">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row>
    <row r="517">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row>
    <row r="518">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row>
    <row r="519">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row>
    <row r="520">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row>
    <row r="52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row>
    <row r="522">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row>
    <row r="523">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row>
    <row r="524">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row>
    <row r="525">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row>
    <row r="526">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row>
    <row r="527">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row>
    <row r="528">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row>
    <row r="529">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row>
    <row r="530">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row>
    <row r="53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row>
    <row r="532">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row>
    <row r="533">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row>
    <row r="534">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row>
    <row r="535">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row>
    <row r="536">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row>
    <row r="537">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row>
    <row r="538">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row>
    <row r="539">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row>
    <row r="540">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row>
    <row r="54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row>
    <row r="542">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row>
    <row r="543">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row>
    <row r="544">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row>
    <row r="545">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row>
    <row r="546">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row>
    <row r="547">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row>
    <row r="548">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row>
    <row r="549">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row>
    <row r="550">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row>
    <row r="55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row>
    <row r="552">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row>
    <row r="553">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row>
    <row r="554">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row>
    <row r="555">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row>
    <row r="556">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row>
    <row r="557">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row>
    <row r="558">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row>
    <row r="559">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row>
    <row r="560">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row>
    <row r="56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row>
    <row r="562">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row>
    <row r="563">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row>
    <row r="564">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row>
    <row r="565">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row>
    <row r="566">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row>
    <row r="567">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row>
    <row r="568">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row>
    <row r="569">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row>
    <row r="570">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row>
    <row r="57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row>
    <row r="572">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row>
    <row r="573">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row>
    <row r="574">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row>
    <row r="575">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row>
    <row r="576">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row>
    <row r="577">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row>
    <row r="578">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row>
    <row r="579">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row>
    <row r="580">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row>
    <row r="58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row>
    <row r="582">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row>
    <row r="583">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row>
    <row r="584">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row>
    <row r="585">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row>
    <row r="586">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row>
    <row r="587">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row>
    <row r="588">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row>
    <row r="589">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row>
    <row r="590">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row>
    <row r="59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row>
    <row r="592">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row>
    <row r="593">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row>
    <row r="594">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row>
    <row r="595">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row>
    <row r="596">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row>
    <row r="597">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row>
    <row r="598">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row>
    <row r="599">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row>
    <row r="600">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row>
    <row r="60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row>
    <row r="602">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row>
    <row r="603">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row>
    <row r="604">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row>
    <row r="605">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row>
    <row r="606">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row>
    <row r="607">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row>
    <row r="608">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row>
    <row r="609">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row>
    <row r="610">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row>
    <row r="61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row>
    <row r="612">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row>
    <row r="613">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row>
    <row r="614">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row>
    <row r="615">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row>
    <row r="616">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row>
    <row r="617">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row>
    <row r="618">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row>
    <row r="619">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row>
    <row r="620">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row>
    <row r="62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row>
    <row r="622">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row>
    <row r="623">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row>
    <row r="624">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row>
    <row r="625">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row>
    <row r="626">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row>
    <row r="627">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row>
    <row r="628">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row>
    <row r="629">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row>
    <row r="630">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row>
    <row r="63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row>
    <row r="632">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row>
    <row r="633">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row>
    <row r="634">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row>
    <row r="635">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row>
    <row r="636">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row>
    <row r="637">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row>
    <row r="638">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row>
    <row r="639">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row>
    <row r="640">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row>
    <row r="64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row>
    <row r="642">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row>
    <row r="643">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row>
    <row r="644">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row>
    <row r="645">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row>
    <row r="646">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row>
    <row r="647">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row>
    <row r="648">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row>
    <row r="649">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row>
    <row r="650">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row>
    <row r="65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row>
    <row r="652">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row>
    <row r="653">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row>
    <row r="654">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row>
    <row r="655">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row>
    <row r="656">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row>
    <row r="657">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row>
    <row r="658">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row>
    <row r="659">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row>
    <row r="660">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row>
    <row r="66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row>
    <row r="662">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row>
    <row r="663">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row>
    <row r="664">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row>
    <row r="665">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row>
    <row r="666">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row>
    <row r="667">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row>
    <row r="668">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row>
    <row r="669">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row>
    <row r="670">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row>
    <row r="67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row>
    <row r="672">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row>
    <row r="673">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row>
    <row r="674">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row>
    <row r="675">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row>
    <row r="676">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row>
    <row r="677">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row>
    <row r="678">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row>
    <row r="679">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row>
    <row r="680">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row>
    <row r="68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row>
    <row r="682">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row>
    <row r="683">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row>
    <row r="684">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row>
    <row r="685">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row>
    <row r="686">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row>
    <row r="687">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row>
    <row r="688">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row>
    <row r="689">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row>
    <row r="690">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row>
    <row r="69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row>
    <row r="692">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row>
    <row r="693">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row>
    <row r="694">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row>
    <row r="695">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row>
    <row r="696">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row>
    <row r="697">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row>
    <row r="698">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row>
    <row r="699">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row>
    <row r="700">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row>
    <row r="70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row>
    <row r="702">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row>
    <row r="703">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row>
    <row r="704">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row>
    <row r="705">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row>
    <row r="706">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row>
    <row r="707">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row>
    <row r="708">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row>
    <row r="709">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row>
    <row r="710">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row>
    <row r="71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row>
    <row r="712">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row>
    <row r="713">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row>
    <row r="714">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row>
    <row r="715">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row>
    <row r="716">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row>
    <row r="717">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row>
    <row r="718">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row>
    <row r="719">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row>
    <row r="720">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row>
    <row r="72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row>
    <row r="722">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row>
    <row r="723">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row>
    <row r="724">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row>
    <row r="725">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row>
    <row r="726">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row>
    <row r="727">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row>
    <row r="728">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row>
    <row r="729">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row>
    <row r="730">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row>
    <row r="73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row>
    <row r="732">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row>
    <row r="733">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row>
    <row r="734">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row>
    <row r="735">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row>
    <row r="736">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row>
    <row r="737">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row>
    <row r="738">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row>
    <row r="739">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row>
    <row r="740">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row>
    <row r="74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row>
    <row r="742">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row>
    <row r="743">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row>
    <row r="744">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row>
    <row r="745">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row>
    <row r="746">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row>
    <row r="747">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row>
    <row r="748">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row>
    <row r="749">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row>
    <row r="750">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row>
    <row r="75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row>
    <row r="752">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row>
    <row r="753">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row>
    <row r="754">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row>
    <row r="755">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row>
    <row r="756">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row>
    <row r="757">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row>
    <row r="758">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row>
    <row r="759">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row>
    <row r="760">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row>
    <row r="76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row>
    <row r="762">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row>
    <row r="763">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row>
    <row r="764">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row>
    <row r="765">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row>
    <row r="766">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row>
    <row r="767">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row>
    <row r="768">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row>
    <row r="769">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row>
    <row r="770">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row>
    <row r="77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row>
    <row r="772">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row>
    <row r="773">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row>
    <row r="774">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row>
    <row r="775">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row>
    <row r="776">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row>
    <row r="777">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row>
    <row r="778">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row>
    <row r="779">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row>
    <row r="780">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row>
    <row r="78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row>
    <row r="782">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row>
    <row r="783">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row>
    <row r="784">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row>
    <row r="785">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row>
    <row r="786">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row>
    <row r="787">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row>
    <row r="788">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row>
    <row r="789">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row>
    <row r="790">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row>
    <row r="79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row>
    <row r="792">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row>
    <row r="793">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row>
    <row r="794">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row>
    <row r="795">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row>
    <row r="796">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row>
    <row r="797">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row>
    <row r="798">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row>
    <row r="799">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row>
    <row r="800">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row>
    <row r="80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row>
    <row r="802">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row>
    <row r="803">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row>
    <row r="804">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row>
    <row r="805">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row>
    <row r="806">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row>
    <row r="807">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row>
    <row r="808">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row>
    <row r="809">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row>
    <row r="810">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row>
    <row r="81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row>
    <row r="812">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row>
    <row r="813">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row>
    <row r="814">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row>
    <row r="815">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row>
    <row r="816">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row>
    <row r="817">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row>
    <row r="818">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row>
    <row r="819">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row>
    <row r="820">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row>
    <row r="82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row>
    <row r="822">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row>
    <row r="823">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row>
    <row r="824">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row>
    <row r="825">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row>
    <row r="826">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row>
    <row r="827">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row>
    <row r="828">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row>
    <row r="829">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row>
    <row r="830">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row>
    <row r="83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row>
    <row r="832">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row>
    <row r="833">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row>
    <row r="834">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row>
    <row r="835">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row>
    <row r="836">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row>
    <row r="837">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row>
    <row r="838">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row>
    <row r="839">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row>
    <row r="840">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row>
    <row r="84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row>
    <row r="842">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row>
    <row r="843">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row>
    <row r="844">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row>
    <row r="845">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row>
    <row r="846">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row>
    <row r="847">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row>
    <row r="848">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row>
    <row r="849">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row>
    <row r="850">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row>
    <row r="85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row>
    <row r="852">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row>
    <row r="853">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row>
    <row r="854">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row>
    <row r="855">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row>
    <row r="856">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row>
    <row r="857">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row>
    <row r="858">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row>
    <row r="859">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row>
    <row r="860">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row>
    <row r="86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row>
    <row r="862">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row>
    <row r="863">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row>
    <row r="864">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row>
    <row r="865">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row>
    <row r="866">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row>
    <row r="867">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row>
    <row r="868">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row>
    <row r="869">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row>
    <row r="870">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row>
    <row r="87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row>
    <row r="872">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row>
    <row r="873">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row>
    <row r="874">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row>
    <row r="875">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row>
    <row r="876">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row>
    <row r="877">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row>
    <row r="878">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row>
    <row r="879">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row>
    <row r="880">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row>
    <row r="88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row>
    <row r="882">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row>
    <row r="883">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row>
    <row r="884">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row>
    <row r="885">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row>
    <row r="886">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row>
    <row r="887">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row>
    <row r="888">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row>
    <row r="889">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row>
    <row r="890">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row>
    <row r="89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row>
    <row r="892">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row>
    <row r="893">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row>
    <row r="894">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row>
    <row r="895">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row>
    <row r="896">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row>
    <row r="897">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row>
    <row r="898">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row>
    <row r="899">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row>
    <row r="900">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row>
    <row r="90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row>
    <row r="902">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row>
    <row r="903">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row>
    <row r="904">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row>
    <row r="905">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row>
    <row r="906">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row>
    <row r="907">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row>
    <row r="908">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row>
    <row r="909">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row>
    <row r="910">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row>
    <row r="91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row>
    <row r="912">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row>
    <row r="913">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row>
    <row r="914">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row>
    <row r="915">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row>
    <row r="916">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row>
    <row r="917">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row>
    <row r="918">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row>
    <row r="919">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row>
    <row r="920">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row>
    <row r="92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row>
    <row r="922">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row>
    <row r="923">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row>
    <row r="924">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row>
    <row r="925">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row>
    <row r="926">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row>
    <row r="927">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row>
    <row r="928">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row>
    <row r="929">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row>
    <row r="930">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row>
    <row r="93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row>
    <row r="932">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row>
    <row r="933">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row>
    <row r="934">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row>
    <row r="935">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row>
    <row r="936">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row>
    <row r="937">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row>
    <row r="938">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row>
    <row r="939">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row>
    <row r="940">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row>
    <row r="94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row>
    <row r="942">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row>
    <row r="943">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row>
    <row r="944">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row>
    <row r="945">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row>
    <row r="946">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row>
    <row r="947">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row>
    <row r="948">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row>
    <row r="949">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row>
    <row r="950">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row>
    <row r="95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row>
    <row r="952">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row>
    <row r="953">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row>
    <row r="954">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row>
    <row r="955">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row>
    <row r="956">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row>
    <row r="957">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row>
    <row r="958">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row>
    <row r="959">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row>
    <row r="960">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row>
    <row r="96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row>
    <row r="962">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row>
    <row r="963">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row>
    <row r="964">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row>
    <row r="965">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row>
    <row r="966">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row>
    <row r="967">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row>
    <row r="968">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row>
    <row r="969">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row>
    <row r="970">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row>
    <row r="97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row>
    <row r="972">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row>
    <row r="973">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row>
    <row r="974">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row>
    <row r="975">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row>
    <row r="976">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row>
    <row r="977">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row>
    <row r="978">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row>
    <row r="979">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row>
    <row r="980">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row>
    <row r="98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row>
    <row r="982">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row>
    <row r="983">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row>
    <row r="984">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row>
    <row r="985">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c r="Z985" s="222"/>
    </row>
    <row r="986">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c r="Z986" s="222"/>
    </row>
    <row r="987">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c r="Z987" s="222"/>
    </row>
    <row r="988">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c r="Z988" s="222"/>
    </row>
    <row r="989">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c r="Z989" s="222"/>
    </row>
    <row r="990">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c r="Z990" s="222"/>
    </row>
    <row r="991">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c r="Z991" s="222"/>
    </row>
    <row r="992">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c r="Z992" s="222"/>
    </row>
    <row r="993">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c r="Z993" s="222"/>
    </row>
    <row r="994">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c r="Z994" s="222"/>
    </row>
    <row r="995">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c r="Z995" s="222"/>
    </row>
    <row r="996">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c r="Z996" s="222"/>
    </row>
    <row r="997">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c r="Z997" s="222"/>
    </row>
    <row r="998">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c r="Z998" s="222"/>
    </row>
    <row r="999">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c r="Z999" s="222"/>
    </row>
    <row r="1000">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sheetData>
  <mergeCells count="13">
    <mergeCell ref="A16:H16"/>
    <mergeCell ref="A40:H40"/>
    <mergeCell ref="B41:H41"/>
    <mergeCell ref="B42:H42"/>
    <mergeCell ref="B43:H43"/>
    <mergeCell ref="B44:H44"/>
    <mergeCell ref="A1:H1"/>
    <mergeCell ref="B2:C2"/>
    <mergeCell ref="E2:F2"/>
    <mergeCell ref="E3:F3"/>
    <mergeCell ref="E4:F4"/>
    <mergeCell ref="E5:F5"/>
    <mergeCell ref="A7:H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 customWidth="1" min="3" max="3" width="28.0"/>
    <col customWidth="1" min="6" max="6" width="15.88"/>
    <col customWidth="1" min="7" max="7" width="14.5"/>
    <col customWidth="1" min="8" max="8" width="19.38"/>
    <col customWidth="1" min="9" max="10" width="15.13"/>
    <col customWidth="1" min="11" max="11" width="25.38"/>
    <col customWidth="1" min="13" max="13" width="14.13"/>
    <col customWidth="1" min="14" max="14" width="19.0"/>
  </cols>
  <sheetData>
    <row r="1">
      <c r="A1" s="325" t="s">
        <v>3309</v>
      </c>
    </row>
    <row r="2">
      <c r="A2" s="295" t="s">
        <v>3126</v>
      </c>
      <c r="B2" s="153" t="s">
        <v>3127</v>
      </c>
      <c r="D2" s="296"/>
      <c r="E2" s="296"/>
      <c r="F2" s="295" t="s">
        <v>3310</v>
      </c>
      <c r="G2" s="153" t="s">
        <v>3311</v>
      </c>
      <c r="I2" s="296"/>
      <c r="J2" s="296"/>
      <c r="K2" s="296"/>
    </row>
    <row r="3">
      <c r="A3" s="295" t="s">
        <v>3312</v>
      </c>
      <c r="B3" s="153" t="s">
        <v>3131</v>
      </c>
      <c r="C3" s="296"/>
      <c r="D3" s="296"/>
      <c r="E3" s="296"/>
      <c r="F3" s="295" t="s">
        <v>3250</v>
      </c>
      <c r="G3" s="298">
        <v>46154.0</v>
      </c>
      <c r="H3" s="296"/>
      <c r="I3" s="296"/>
      <c r="J3" s="296"/>
      <c r="K3" s="296"/>
    </row>
    <row r="4">
      <c r="A4" s="295" t="s">
        <v>3252</v>
      </c>
      <c r="B4" s="153" t="s">
        <v>3134</v>
      </c>
      <c r="D4" s="296"/>
      <c r="E4" s="296"/>
      <c r="F4" s="295" t="s">
        <v>3313</v>
      </c>
      <c r="G4" s="153">
        <v>18.0</v>
      </c>
      <c r="H4" s="296"/>
      <c r="I4" s="296"/>
      <c r="J4" s="296"/>
      <c r="K4" s="296"/>
    </row>
    <row r="5">
      <c r="A5" s="296"/>
      <c r="B5" s="296"/>
      <c r="C5" s="296"/>
      <c r="D5" s="296"/>
      <c r="E5" s="296"/>
      <c r="F5" s="296"/>
      <c r="G5" s="296"/>
      <c r="H5" s="296"/>
      <c r="I5" s="296"/>
      <c r="J5" s="296"/>
      <c r="K5" s="296"/>
    </row>
    <row r="6">
      <c r="A6" s="326" t="s">
        <v>1398</v>
      </c>
      <c r="B6" s="326" t="s">
        <v>3150</v>
      </c>
      <c r="C6" s="326" t="s">
        <v>3314</v>
      </c>
      <c r="D6" s="327" t="s">
        <v>3315</v>
      </c>
      <c r="E6" s="327" t="s">
        <v>3156</v>
      </c>
      <c r="F6" s="326" t="s">
        <v>3316</v>
      </c>
      <c r="G6" s="326" t="s">
        <v>3317</v>
      </c>
      <c r="H6" s="326" t="s">
        <v>3318</v>
      </c>
      <c r="I6" s="326" t="s">
        <v>3158</v>
      </c>
      <c r="J6" s="326" t="s">
        <v>3319</v>
      </c>
      <c r="K6" s="326" t="s">
        <v>4</v>
      </c>
      <c r="M6" s="326" t="s">
        <v>1397</v>
      </c>
      <c r="N6" s="326" t="s">
        <v>3320</v>
      </c>
    </row>
    <row r="7" ht="35.25" customHeight="1">
      <c r="A7" s="328" t="s">
        <v>1583</v>
      </c>
      <c r="B7" s="329" t="s">
        <v>789</v>
      </c>
      <c r="C7" s="330" t="s">
        <v>3159</v>
      </c>
      <c r="D7" s="331" t="s">
        <v>51</v>
      </c>
      <c r="E7" s="331" t="s">
        <v>51</v>
      </c>
      <c r="F7" s="332" t="s">
        <v>3164</v>
      </c>
      <c r="G7" s="333" t="s">
        <v>3321</v>
      </c>
      <c r="H7" s="275" t="s">
        <v>92</v>
      </c>
      <c r="I7" s="276">
        <v>46146.0</v>
      </c>
      <c r="J7" s="334">
        <v>46152.0</v>
      </c>
      <c r="M7" s="335" t="s">
        <v>3164</v>
      </c>
      <c r="N7" s="335" t="s">
        <v>3322</v>
      </c>
    </row>
    <row r="8" ht="35.25" customHeight="1">
      <c r="A8" s="336" t="s">
        <v>1765</v>
      </c>
      <c r="B8" s="337" t="s">
        <v>868</v>
      </c>
      <c r="C8" s="338" t="s">
        <v>3169</v>
      </c>
      <c r="D8" s="339" t="s">
        <v>58</v>
      </c>
      <c r="E8" s="339" t="s">
        <v>58</v>
      </c>
      <c r="F8" s="332" t="s">
        <v>3164</v>
      </c>
      <c r="G8" s="333" t="s">
        <v>3321</v>
      </c>
      <c r="H8" s="278" t="s">
        <v>88</v>
      </c>
      <c r="I8" s="282">
        <v>46146.0</v>
      </c>
      <c r="J8" s="340">
        <v>46152.0</v>
      </c>
      <c r="K8" s="338"/>
      <c r="M8" s="335" t="s">
        <v>3323</v>
      </c>
      <c r="N8" s="335" t="s">
        <v>3324</v>
      </c>
    </row>
    <row r="9" ht="35.25" customHeight="1">
      <c r="A9" s="328" t="s">
        <v>1842</v>
      </c>
      <c r="B9" s="329" t="s">
        <v>914</v>
      </c>
      <c r="C9" s="330" t="s">
        <v>3176</v>
      </c>
      <c r="D9" s="331" t="s">
        <v>12</v>
      </c>
      <c r="E9" s="331" t="s">
        <v>12</v>
      </c>
      <c r="F9" s="332" t="s">
        <v>3164</v>
      </c>
      <c r="G9" s="333" t="s">
        <v>3321</v>
      </c>
      <c r="H9" s="275" t="s">
        <v>88</v>
      </c>
      <c r="I9" s="284">
        <v>46146.0</v>
      </c>
      <c r="J9" s="334">
        <v>46152.0</v>
      </c>
      <c r="K9" s="330"/>
      <c r="M9" s="335" t="s">
        <v>3196</v>
      </c>
      <c r="N9" s="335" t="s">
        <v>3325</v>
      </c>
    </row>
    <row r="10" ht="35.25" customHeight="1">
      <c r="A10" s="336" t="s">
        <v>1848</v>
      </c>
      <c r="B10" s="337" t="s">
        <v>916</v>
      </c>
      <c r="C10" s="338" t="s">
        <v>3183</v>
      </c>
      <c r="D10" s="331" t="s">
        <v>12</v>
      </c>
      <c r="E10" s="331" t="s">
        <v>51</v>
      </c>
      <c r="F10" s="332" t="s">
        <v>3164</v>
      </c>
      <c r="G10" s="333" t="s">
        <v>3321</v>
      </c>
      <c r="H10" s="278" t="s">
        <v>88</v>
      </c>
      <c r="I10" s="282">
        <v>46146.0</v>
      </c>
      <c r="J10" s="340">
        <v>46152.0</v>
      </c>
      <c r="K10" s="338"/>
      <c r="M10" s="335" t="s">
        <v>3326</v>
      </c>
      <c r="N10" s="335" t="s">
        <v>3327</v>
      </c>
    </row>
    <row r="11" ht="35.25" customHeight="1">
      <c r="A11" s="328" t="s">
        <v>1869</v>
      </c>
      <c r="B11" s="329" t="s">
        <v>928</v>
      </c>
      <c r="C11" s="330" t="s">
        <v>3191</v>
      </c>
      <c r="D11" s="339" t="s">
        <v>58</v>
      </c>
      <c r="E11" s="331" t="s">
        <v>12</v>
      </c>
      <c r="F11" s="332" t="s">
        <v>3164</v>
      </c>
      <c r="G11" s="333" t="s">
        <v>3321</v>
      </c>
      <c r="H11" s="278" t="s">
        <v>88</v>
      </c>
      <c r="I11" s="284">
        <v>46146.0</v>
      </c>
      <c r="J11" s="334">
        <v>46152.0</v>
      </c>
      <c r="K11" s="330"/>
      <c r="M11" s="335" t="s">
        <v>3321</v>
      </c>
      <c r="N11" s="335" t="s">
        <v>3328</v>
      </c>
    </row>
    <row r="12" ht="43.5" customHeight="1">
      <c r="A12" s="336" t="s">
        <v>1901</v>
      </c>
      <c r="B12" s="337" t="s">
        <v>947</v>
      </c>
      <c r="C12" s="338" t="s">
        <v>3198</v>
      </c>
      <c r="D12" s="339" t="s">
        <v>58</v>
      </c>
      <c r="E12" s="339" t="s">
        <v>58</v>
      </c>
      <c r="F12" s="332" t="s">
        <v>3164</v>
      </c>
      <c r="G12" s="333" t="s">
        <v>3321</v>
      </c>
      <c r="H12" s="278" t="s">
        <v>88</v>
      </c>
      <c r="I12" s="284">
        <v>46146.0</v>
      </c>
      <c r="J12" s="340">
        <v>46152.0</v>
      </c>
      <c r="K12" s="338"/>
      <c r="M12" s="335" t="s">
        <v>3211</v>
      </c>
      <c r="N12" s="335" t="s">
        <v>3329</v>
      </c>
    </row>
    <row r="13" ht="35.25" customHeight="1">
      <c r="A13" s="328" t="s">
        <v>1914</v>
      </c>
      <c r="B13" s="329" t="s">
        <v>954</v>
      </c>
      <c r="C13" s="330" t="s">
        <v>3204</v>
      </c>
      <c r="D13" s="331" t="s">
        <v>12</v>
      </c>
      <c r="E13" s="331" t="s">
        <v>12</v>
      </c>
      <c r="F13" s="332" t="s">
        <v>3164</v>
      </c>
      <c r="G13" s="333" t="s">
        <v>3321</v>
      </c>
      <c r="H13" s="278" t="s">
        <v>88</v>
      </c>
      <c r="I13" s="284">
        <v>46146.0</v>
      </c>
      <c r="J13" s="334">
        <v>46152.0</v>
      </c>
      <c r="K13" s="330"/>
      <c r="M13" s="341" t="s">
        <v>3330</v>
      </c>
      <c r="N13" s="156" t="s">
        <v>3331</v>
      </c>
    </row>
    <row r="14" ht="35.25" customHeight="1">
      <c r="A14" s="336" t="s">
        <v>2076</v>
      </c>
      <c r="B14" s="337" t="s">
        <v>1047</v>
      </c>
      <c r="C14" s="338" t="s">
        <v>3210</v>
      </c>
      <c r="D14" s="331" t="s">
        <v>12</v>
      </c>
      <c r="E14" s="331" t="s">
        <v>12</v>
      </c>
      <c r="F14" s="332" t="s">
        <v>3164</v>
      </c>
      <c r="G14" s="333" t="s">
        <v>3321</v>
      </c>
      <c r="H14" s="286" t="s">
        <v>94</v>
      </c>
      <c r="I14" s="290">
        <v>46146.0</v>
      </c>
      <c r="J14" s="340">
        <v>46152.0</v>
      </c>
      <c r="K14" s="338"/>
    </row>
    <row r="15" ht="35.25" customHeight="1">
      <c r="A15" s="328" t="s">
        <v>2175</v>
      </c>
      <c r="B15" s="329" t="s">
        <v>1106</v>
      </c>
      <c r="C15" s="330" t="s">
        <v>1107</v>
      </c>
      <c r="D15" s="339" t="s">
        <v>58</v>
      </c>
      <c r="E15" s="339" t="s">
        <v>58</v>
      </c>
      <c r="F15" s="332" t="s">
        <v>3164</v>
      </c>
      <c r="G15" s="333" t="s">
        <v>3321</v>
      </c>
      <c r="H15" s="291" t="s">
        <v>90</v>
      </c>
      <c r="I15" s="293">
        <v>46146.0</v>
      </c>
      <c r="J15" s="334">
        <v>46152.0</v>
      </c>
      <c r="K15" s="330"/>
    </row>
    <row r="16" ht="35.25" customHeight="1">
      <c r="A16" s="336" t="s">
        <v>2500</v>
      </c>
      <c r="B16" s="337" t="s">
        <v>1256</v>
      </c>
      <c r="C16" s="338" t="s">
        <v>3216</v>
      </c>
      <c r="D16" s="339" t="s">
        <v>58</v>
      </c>
      <c r="E16" s="339" t="s">
        <v>58</v>
      </c>
      <c r="F16" s="332" t="s">
        <v>3164</v>
      </c>
      <c r="G16" s="333" t="s">
        <v>3321</v>
      </c>
      <c r="H16" s="278" t="s">
        <v>88</v>
      </c>
      <c r="I16" s="284">
        <v>46146.0</v>
      </c>
      <c r="J16" s="340">
        <v>46152.0</v>
      </c>
      <c r="K16" s="338"/>
    </row>
    <row r="17" ht="35.25" customHeight="1">
      <c r="A17" s="328" t="s">
        <v>2564</v>
      </c>
      <c r="B17" s="329" t="s">
        <v>1295</v>
      </c>
      <c r="C17" s="330" t="s">
        <v>3221</v>
      </c>
      <c r="D17" s="342" t="s">
        <v>194</v>
      </c>
      <c r="E17" s="339" t="s">
        <v>58</v>
      </c>
      <c r="F17" s="332" t="s">
        <v>3164</v>
      </c>
      <c r="G17" s="333" t="s">
        <v>3321</v>
      </c>
      <c r="H17" s="278" t="s">
        <v>88</v>
      </c>
      <c r="I17" s="284">
        <v>46146.0</v>
      </c>
      <c r="J17" s="334">
        <v>46152.0</v>
      </c>
      <c r="K17" s="330"/>
    </row>
    <row r="18" ht="35.25" customHeight="1">
      <c r="A18" s="336" t="s">
        <v>2571</v>
      </c>
      <c r="B18" s="337" t="s">
        <v>1297</v>
      </c>
      <c r="C18" s="338" t="s">
        <v>3227</v>
      </c>
      <c r="D18" s="339" t="s">
        <v>58</v>
      </c>
      <c r="E18" s="339" t="s">
        <v>58</v>
      </c>
      <c r="F18" s="332" t="s">
        <v>3164</v>
      </c>
      <c r="G18" s="333" t="s">
        <v>3321</v>
      </c>
      <c r="H18" s="278" t="s">
        <v>88</v>
      </c>
      <c r="I18" s="284">
        <v>46146.0</v>
      </c>
      <c r="J18" s="340">
        <v>46152.0</v>
      </c>
      <c r="K18" s="338"/>
    </row>
    <row r="19" ht="35.25" customHeight="1">
      <c r="A19" s="328" t="s">
        <v>2576</v>
      </c>
      <c r="B19" s="329" t="s">
        <v>1299</v>
      </c>
      <c r="C19" s="330" t="s">
        <v>3232</v>
      </c>
      <c r="D19" s="342" t="s">
        <v>194</v>
      </c>
      <c r="E19" s="339" t="s">
        <v>58</v>
      </c>
      <c r="F19" s="332" t="s">
        <v>3164</v>
      </c>
      <c r="G19" s="333" t="s">
        <v>3321</v>
      </c>
      <c r="H19" s="278" t="s">
        <v>88</v>
      </c>
      <c r="I19" s="284">
        <v>46146.0</v>
      </c>
      <c r="J19" s="334">
        <v>46152.0</v>
      </c>
      <c r="K19" s="330"/>
    </row>
    <row r="20" ht="35.25" customHeight="1">
      <c r="A20" s="336" t="s">
        <v>2623</v>
      </c>
      <c r="B20" s="337" t="s">
        <v>1326</v>
      </c>
      <c r="C20" s="338" t="s">
        <v>3332</v>
      </c>
      <c r="D20" s="331" t="s">
        <v>12</v>
      </c>
      <c r="E20" s="331" t="s">
        <v>12</v>
      </c>
      <c r="F20" s="332" t="s">
        <v>3164</v>
      </c>
      <c r="G20" s="333" t="s">
        <v>3321</v>
      </c>
      <c r="H20" s="286" t="s">
        <v>94</v>
      </c>
      <c r="I20" s="290">
        <v>46146.0</v>
      </c>
      <c r="J20" s="340">
        <v>46152.0</v>
      </c>
      <c r="K20" s="338"/>
    </row>
    <row r="21" ht="35.25" customHeight="1">
      <c r="A21" s="328" t="s">
        <v>2649</v>
      </c>
      <c r="B21" s="329" t="s">
        <v>1340</v>
      </c>
      <c r="C21" s="330" t="s">
        <v>3333</v>
      </c>
      <c r="D21" s="339" t="s">
        <v>58</v>
      </c>
      <c r="E21" s="339" t="s">
        <v>58</v>
      </c>
      <c r="F21" s="332" t="s">
        <v>3164</v>
      </c>
      <c r="G21" s="333" t="s">
        <v>3321</v>
      </c>
      <c r="H21" s="291" t="s">
        <v>94</v>
      </c>
      <c r="I21" s="293">
        <v>46146.0</v>
      </c>
      <c r="J21" s="334">
        <v>46152.0</v>
      </c>
      <c r="K21" s="330"/>
    </row>
    <row r="22" ht="35.25" customHeight="1">
      <c r="A22" s="336" t="s">
        <v>2656</v>
      </c>
      <c r="B22" s="337" t="s">
        <v>1342</v>
      </c>
      <c r="C22" s="338" t="s">
        <v>3240</v>
      </c>
      <c r="D22" s="331" t="s">
        <v>51</v>
      </c>
      <c r="E22" s="331" t="s">
        <v>51</v>
      </c>
      <c r="F22" s="332" t="s">
        <v>3164</v>
      </c>
      <c r="G22" s="333" t="s">
        <v>3321</v>
      </c>
      <c r="H22" s="286" t="s">
        <v>94</v>
      </c>
      <c r="I22" s="290">
        <v>46146.0</v>
      </c>
      <c r="J22" s="340">
        <v>46152.0</v>
      </c>
      <c r="K22" s="338"/>
    </row>
    <row r="23" ht="35.25" customHeight="1">
      <c r="A23" s="328" t="s">
        <v>2702</v>
      </c>
      <c r="B23" s="329" t="s">
        <v>1369</v>
      </c>
      <c r="C23" s="330" t="s">
        <v>3242</v>
      </c>
      <c r="D23" s="339" t="s">
        <v>58</v>
      </c>
      <c r="E23" s="339" t="s">
        <v>58</v>
      </c>
      <c r="F23" s="332" t="s">
        <v>3164</v>
      </c>
      <c r="G23" s="333" t="s">
        <v>3321</v>
      </c>
      <c r="H23" s="291" t="s">
        <v>94</v>
      </c>
      <c r="I23" s="293">
        <v>46146.0</v>
      </c>
      <c r="J23" s="334">
        <v>46152.0</v>
      </c>
      <c r="K23" s="330"/>
    </row>
    <row r="24" ht="35.25" customHeight="1">
      <c r="A24" s="336" t="s">
        <v>2719</v>
      </c>
      <c r="B24" s="337" t="s">
        <v>1379</v>
      </c>
      <c r="C24" s="338" t="s">
        <v>3334</v>
      </c>
      <c r="D24" s="342" t="s">
        <v>194</v>
      </c>
      <c r="E24" s="339" t="s">
        <v>194</v>
      </c>
      <c r="F24" s="332" t="s">
        <v>3164</v>
      </c>
      <c r="G24" s="333" t="s">
        <v>3321</v>
      </c>
      <c r="H24" s="286" t="s">
        <v>94</v>
      </c>
      <c r="I24" s="290">
        <v>46146.0</v>
      </c>
      <c r="J24" s="340">
        <v>46152.0</v>
      </c>
      <c r="K24" s="338"/>
    </row>
    <row r="25">
      <c r="A25" s="296"/>
      <c r="B25" s="296"/>
      <c r="C25" s="296"/>
      <c r="D25" s="296"/>
      <c r="E25" s="296"/>
      <c r="F25" s="296"/>
      <c r="G25" s="296"/>
      <c r="H25" s="296"/>
      <c r="I25" s="296"/>
      <c r="J25" s="296"/>
      <c r="K25" s="296"/>
    </row>
    <row r="26">
      <c r="A26" s="343" t="s">
        <v>3335</v>
      </c>
    </row>
    <row r="27">
      <c r="A27" s="336" t="s">
        <v>3336</v>
      </c>
      <c r="B27" s="333">
        <v>18.0</v>
      </c>
      <c r="C27" s="336" t="s">
        <v>3337</v>
      </c>
      <c r="D27" s="333">
        <v>18.0</v>
      </c>
      <c r="E27" s="336" t="s">
        <v>3338</v>
      </c>
      <c r="F27" s="333">
        <v>0.0</v>
      </c>
      <c r="G27" s="336" t="s">
        <v>3330</v>
      </c>
      <c r="H27" s="333">
        <v>0.0</v>
      </c>
      <c r="I27" s="336"/>
      <c r="J27" s="336" t="s">
        <v>3339</v>
      </c>
      <c r="K27" s="344">
        <v>1.0</v>
      </c>
    </row>
  </sheetData>
  <mergeCells count="5">
    <mergeCell ref="A1:K1"/>
    <mergeCell ref="B2:C2"/>
    <mergeCell ref="G2:H2"/>
    <mergeCell ref="B4:C4"/>
    <mergeCell ref="A26:K26"/>
  </mergeCells>
  <dataValidations>
    <dataValidation type="list" allowBlank="1" showErrorMessage="1" sqref="D7:E24">
      <formula1>"Critical,High,Low,Medium"</formula1>
    </dataValidation>
  </dataValidations>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8.88"/>
    <col customWidth="1" min="4" max="4" width="28.38"/>
    <col customWidth="1" min="6" max="6" width="16.25"/>
    <col customWidth="1" min="8" max="8" width="21.25"/>
    <col customWidth="1" min="10" max="10" width="15.5"/>
    <col customWidth="1" min="14" max="14" width="21.25"/>
  </cols>
  <sheetData>
    <row r="1">
      <c r="A1" s="326" t="s">
        <v>3136</v>
      </c>
      <c r="B1" s="326" t="s">
        <v>1398</v>
      </c>
      <c r="C1" s="326" t="s">
        <v>3150</v>
      </c>
      <c r="D1" s="326" t="s">
        <v>3340</v>
      </c>
      <c r="E1" s="326" t="s">
        <v>3341</v>
      </c>
      <c r="F1" s="326" t="s">
        <v>3342</v>
      </c>
      <c r="G1" s="327" t="s">
        <v>3156</v>
      </c>
      <c r="H1" s="326" t="s">
        <v>3137</v>
      </c>
      <c r="I1" s="326" t="s">
        <v>5</v>
      </c>
      <c r="J1" s="326" t="s">
        <v>4</v>
      </c>
      <c r="M1" s="326" t="s">
        <v>1397</v>
      </c>
      <c r="N1" s="326" t="s">
        <v>3320</v>
      </c>
    </row>
    <row r="2" ht="34.5" customHeight="1">
      <c r="A2" s="328">
        <v>1.0</v>
      </c>
      <c r="B2" s="328" t="s">
        <v>1583</v>
      </c>
      <c r="C2" s="329" t="s">
        <v>789</v>
      </c>
      <c r="D2" s="330" t="s">
        <v>3343</v>
      </c>
      <c r="E2" s="345" t="s">
        <v>3326</v>
      </c>
      <c r="F2" s="329" t="s">
        <v>3344</v>
      </c>
      <c r="G2" s="331" t="s">
        <v>51</v>
      </c>
      <c r="H2" s="329" t="s">
        <v>92</v>
      </c>
      <c r="I2" s="333" t="s">
        <v>16</v>
      </c>
      <c r="J2" s="330"/>
      <c r="M2" s="335" t="s">
        <v>3164</v>
      </c>
      <c r="N2" s="335" t="s">
        <v>3322</v>
      </c>
    </row>
    <row r="3" ht="34.5" customHeight="1">
      <c r="A3" s="336">
        <v>2.0</v>
      </c>
      <c r="B3" s="336" t="s">
        <v>1765</v>
      </c>
      <c r="C3" s="337" t="s">
        <v>868</v>
      </c>
      <c r="D3" s="338" t="s">
        <v>3345</v>
      </c>
      <c r="E3" s="345" t="s">
        <v>3326</v>
      </c>
      <c r="F3" s="337" t="s">
        <v>3346</v>
      </c>
      <c r="G3" s="339" t="s">
        <v>58</v>
      </c>
      <c r="H3" s="337" t="s">
        <v>88</v>
      </c>
      <c r="I3" s="333" t="s">
        <v>16</v>
      </c>
      <c r="J3" s="338"/>
      <c r="M3" s="335" t="s">
        <v>3323</v>
      </c>
      <c r="N3" s="335" t="s">
        <v>3324</v>
      </c>
    </row>
    <row r="4" ht="34.5" customHeight="1">
      <c r="A4" s="328">
        <v>3.0</v>
      </c>
      <c r="B4" s="328" t="s">
        <v>1842</v>
      </c>
      <c r="C4" s="329" t="s">
        <v>914</v>
      </c>
      <c r="D4" s="330" t="s">
        <v>3347</v>
      </c>
      <c r="E4" s="345" t="s">
        <v>3326</v>
      </c>
      <c r="F4" s="329" t="s">
        <v>3348</v>
      </c>
      <c r="G4" s="331" t="s">
        <v>12</v>
      </c>
      <c r="H4" s="329" t="s">
        <v>88</v>
      </c>
      <c r="I4" s="333" t="s">
        <v>16</v>
      </c>
      <c r="J4" s="330"/>
      <c r="M4" s="335" t="s">
        <v>3196</v>
      </c>
      <c r="N4" s="335" t="s">
        <v>3325</v>
      </c>
    </row>
    <row r="5" ht="34.5" customHeight="1">
      <c r="A5" s="336">
        <v>4.0</v>
      </c>
      <c r="B5" s="336" t="s">
        <v>1848</v>
      </c>
      <c r="C5" s="337" t="s">
        <v>916</v>
      </c>
      <c r="D5" s="338" t="s">
        <v>3349</v>
      </c>
      <c r="E5" s="345" t="s">
        <v>3326</v>
      </c>
      <c r="F5" s="337" t="s">
        <v>3348</v>
      </c>
      <c r="G5" s="331" t="s">
        <v>51</v>
      </c>
      <c r="H5" s="337" t="s">
        <v>88</v>
      </c>
      <c r="I5" s="333" t="s">
        <v>16</v>
      </c>
      <c r="J5" s="338"/>
      <c r="M5" s="335" t="s">
        <v>3326</v>
      </c>
      <c r="N5" s="335" t="s">
        <v>3327</v>
      </c>
    </row>
    <row r="6" ht="34.5" customHeight="1">
      <c r="A6" s="328">
        <v>5.0</v>
      </c>
      <c r="B6" s="328" t="s">
        <v>1869</v>
      </c>
      <c r="C6" s="329" t="s">
        <v>928</v>
      </c>
      <c r="D6" s="330" t="s">
        <v>3350</v>
      </c>
      <c r="E6" s="345" t="s">
        <v>3326</v>
      </c>
      <c r="F6" s="329" t="s">
        <v>3287</v>
      </c>
      <c r="G6" s="331" t="s">
        <v>12</v>
      </c>
      <c r="H6" s="329" t="s">
        <v>88</v>
      </c>
      <c r="I6" s="333" t="s">
        <v>16</v>
      </c>
      <c r="J6" s="330"/>
      <c r="M6" s="335" t="s">
        <v>3321</v>
      </c>
      <c r="N6" s="335" t="s">
        <v>3328</v>
      </c>
    </row>
    <row r="7" ht="34.5" customHeight="1">
      <c r="A7" s="336">
        <v>6.0</v>
      </c>
      <c r="B7" s="336" t="s">
        <v>1901</v>
      </c>
      <c r="C7" s="337" t="s">
        <v>947</v>
      </c>
      <c r="D7" s="338" t="s">
        <v>3351</v>
      </c>
      <c r="E7" s="345" t="s">
        <v>3326</v>
      </c>
      <c r="F7" s="337" t="s">
        <v>3287</v>
      </c>
      <c r="G7" s="339" t="s">
        <v>58</v>
      </c>
      <c r="H7" s="337" t="s">
        <v>88</v>
      </c>
      <c r="I7" s="333" t="s">
        <v>16</v>
      </c>
      <c r="J7" s="338"/>
      <c r="M7" s="335" t="s">
        <v>3211</v>
      </c>
      <c r="N7" s="335" t="s">
        <v>3329</v>
      </c>
    </row>
    <row r="8" ht="34.5" customHeight="1">
      <c r="A8" s="328">
        <v>7.0</v>
      </c>
      <c r="B8" s="328" t="s">
        <v>1914</v>
      </c>
      <c r="C8" s="329" t="s">
        <v>954</v>
      </c>
      <c r="D8" s="330" t="s">
        <v>3352</v>
      </c>
      <c r="E8" s="345" t="s">
        <v>3326</v>
      </c>
      <c r="F8" s="329" t="s">
        <v>3287</v>
      </c>
      <c r="G8" s="331" t="s">
        <v>12</v>
      </c>
      <c r="H8" s="329" t="s">
        <v>88</v>
      </c>
      <c r="I8" s="333" t="s">
        <v>16</v>
      </c>
      <c r="J8" s="330"/>
    </row>
    <row r="9" ht="34.5" customHeight="1">
      <c r="A9" s="336">
        <v>8.0</v>
      </c>
      <c r="B9" s="336" t="s">
        <v>2076</v>
      </c>
      <c r="C9" s="337" t="s">
        <v>1047</v>
      </c>
      <c r="D9" s="338" t="s">
        <v>3353</v>
      </c>
      <c r="E9" s="345" t="s">
        <v>3326</v>
      </c>
      <c r="F9" s="337" t="s">
        <v>3290</v>
      </c>
      <c r="G9" s="331" t="s">
        <v>12</v>
      </c>
      <c r="H9" s="337" t="s">
        <v>94</v>
      </c>
      <c r="I9" s="333" t="s">
        <v>16</v>
      </c>
      <c r="J9" s="338"/>
    </row>
    <row r="10" ht="34.5" customHeight="1">
      <c r="A10" s="328">
        <v>9.0</v>
      </c>
      <c r="B10" s="328" t="s">
        <v>2175</v>
      </c>
      <c r="C10" s="329" t="s">
        <v>1106</v>
      </c>
      <c r="D10" s="330" t="s">
        <v>3354</v>
      </c>
      <c r="E10" s="345" t="s">
        <v>3326</v>
      </c>
      <c r="F10" s="329" t="s">
        <v>3355</v>
      </c>
      <c r="G10" s="339" t="s">
        <v>58</v>
      </c>
      <c r="H10" s="329" t="s">
        <v>90</v>
      </c>
      <c r="I10" s="333" t="s">
        <v>16</v>
      </c>
      <c r="J10" s="330"/>
    </row>
    <row r="11" ht="34.5" customHeight="1">
      <c r="A11" s="336">
        <v>10.0</v>
      </c>
      <c r="B11" s="336" t="s">
        <v>2500</v>
      </c>
      <c r="C11" s="337" t="s">
        <v>1256</v>
      </c>
      <c r="D11" s="338" t="s">
        <v>3356</v>
      </c>
      <c r="E11" s="345" t="s">
        <v>3326</v>
      </c>
      <c r="F11" s="337" t="s">
        <v>3357</v>
      </c>
      <c r="G11" s="339" t="s">
        <v>58</v>
      </c>
      <c r="H11" s="337" t="s">
        <v>88</v>
      </c>
      <c r="I11" s="333" t="s">
        <v>16</v>
      </c>
      <c r="J11" s="338"/>
    </row>
    <row r="12" ht="34.5" customHeight="1">
      <c r="A12" s="328">
        <v>11.0</v>
      </c>
      <c r="B12" s="328" t="s">
        <v>2564</v>
      </c>
      <c r="C12" s="329" t="s">
        <v>1295</v>
      </c>
      <c r="D12" s="330" t="s">
        <v>3358</v>
      </c>
      <c r="E12" s="345" t="s">
        <v>3326</v>
      </c>
      <c r="F12" s="329" t="s">
        <v>3359</v>
      </c>
      <c r="G12" s="339" t="s">
        <v>58</v>
      </c>
      <c r="H12" s="329" t="s">
        <v>88</v>
      </c>
      <c r="I12" s="333" t="s">
        <v>16</v>
      </c>
      <c r="J12" s="330"/>
    </row>
    <row r="13" ht="34.5" customHeight="1">
      <c r="A13" s="336">
        <v>12.0</v>
      </c>
      <c r="B13" s="336" t="s">
        <v>2571</v>
      </c>
      <c r="C13" s="337" t="s">
        <v>1297</v>
      </c>
      <c r="D13" s="338" t="s">
        <v>3360</v>
      </c>
      <c r="E13" s="345" t="s">
        <v>3326</v>
      </c>
      <c r="F13" s="337" t="s">
        <v>3359</v>
      </c>
      <c r="G13" s="339" t="s">
        <v>58</v>
      </c>
      <c r="H13" s="337" t="s">
        <v>88</v>
      </c>
      <c r="I13" s="333" t="s">
        <v>16</v>
      </c>
      <c r="J13" s="338"/>
    </row>
    <row r="14" ht="34.5" customHeight="1">
      <c r="A14" s="328">
        <v>13.0</v>
      </c>
      <c r="B14" s="328" t="s">
        <v>2576</v>
      </c>
      <c r="C14" s="329" t="s">
        <v>1299</v>
      </c>
      <c r="D14" s="330" t="s">
        <v>3361</v>
      </c>
      <c r="E14" s="345" t="s">
        <v>3326</v>
      </c>
      <c r="F14" s="329" t="s">
        <v>3359</v>
      </c>
      <c r="G14" s="339" t="s">
        <v>58</v>
      </c>
      <c r="H14" s="329" t="s">
        <v>88</v>
      </c>
      <c r="I14" s="333" t="s">
        <v>16</v>
      </c>
      <c r="J14" s="330"/>
    </row>
    <row r="15" ht="34.5" customHeight="1">
      <c r="A15" s="336">
        <v>14.0</v>
      </c>
      <c r="B15" s="336" t="s">
        <v>2623</v>
      </c>
      <c r="C15" s="337" t="s">
        <v>1326</v>
      </c>
      <c r="D15" s="338" t="s">
        <v>3362</v>
      </c>
      <c r="E15" s="345" t="s">
        <v>3326</v>
      </c>
      <c r="F15" s="337" t="s">
        <v>3363</v>
      </c>
      <c r="G15" s="331" t="s">
        <v>12</v>
      </c>
      <c r="H15" s="337" t="s">
        <v>94</v>
      </c>
      <c r="I15" s="333" t="s">
        <v>16</v>
      </c>
      <c r="J15" s="338"/>
    </row>
    <row r="16" ht="34.5" customHeight="1">
      <c r="A16" s="328">
        <v>15.0</v>
      </c>
      <c r="B16" s="328" t="s">
        <v>2649</v>
      </c>
      <c r="C16" s="329" t="s">
        <v>1340</v>
      </c>
      <c r="D16" s="330" t="s">
        <v>3364</v>
      </c>
      <c r="E16" s="345" t="s">
        <v>3326</v>
      </c>
      <c r="F16" s="329" t="s">
        <v>3363</v>
      </c>
      <c r="G16" s="339" t="s">
        <v>58</v>
      </c>
      <c r="H16" s="329" t="s">
        <v>94</v>
      </c>
      <c r="I16" s="333" t="s">
        <v>16</v>
      </c>
      <c r="J16" s="330"/>
    </row>
    <row r="17" ht="34.5" customHeight="1">
      <c r="A17" s="336">
        <v>16.0</v>
      </c>
      <c r="B17" s="336" t="s">
        <v>2656</v>
      </c>
      <c r="C17" s="337" t="s">
        <v>1342</v>
      </c>
      <c r="D17" s="338" t="s">
        <v>3365</v>
      </c>
      <c r="E17" s="345" t="s">
        <v>3326</v>
      </c>
      <c r="F17" s="337" t="s">
        <v>3363</v>
      </c>
      <c r="G17" s="331" t="s">
        <v>51</v>
      </c>
      <c r="H17" s="337" t="s">
        <v>94</v>
      </c>
      <c r="I17" s="333" t="s">
        <v>16</v>
      </c>
      <c r="J17" s="338"/>
    </row>
    <row r="18" ht="34.5" customHeight="1">
      <c r="A18" s="328">
        <v>17.0</v>
      </c>
      <c r="B18" s="328" t="s">
        <v>2702</v>
      </c>
      <c r="C18" s="329" t="s">
        <v>1369</v>
      </c>
      <c r="D18" s="330" t="s">
        <v>3366</v>
      </c>
      <c r="E18" s="345" t="s">
        <v>3326</v>
      </c>
      <c r="F18" s="329" t="s">
        <v>3367</v>
      </c>
      <c r="G18" s="339" t="s">
        <v>58</v>
      </c>
      <c r="H18" s="329" t="s">
        <v>94</v>
      </c>
      <c r="I18" s="333" t="s">
        <v>16</v>
      </c>
      <c r="J18" s="330"/>
    </row>
    <row r="19" ht="34.5" customHeight="1">
      <c r="A19" s="336">
        <v>18.0</v>
      </c>
      <c r="B19" s="336" t="s">
        <v>2719</v>
      </c>
      <c r="C19" s="337" t="s">
        <v>1379</v>
      </c>
      <c r="D19" s="338" t="s">
        <v>3368</v>
      </c>
      <c r="E19" s="345" t="s">
        <v>3326</v>
      </c>
      <c r="F19" s="337" t="s">
        <v>3367</v>
      </c>
      <c r="G19" s="339" t="s">
        <v>194</v>
      </c>
      <c r="H19" s="337" t="s">
        <v>94</v>
      </c>
      <c r="I19" s="333" t="s">
        <v>16</v>
      </c>
      <c r="J19" s="338"/>
    </row>
    <row r="20" ht="34.5" customHeight="1">
      <c r="A20" s="328">
        <v>19.0</v>
      </c>
      <c r="B20" s="330"/>
      <c r="C20" s="329" t="s">
        <v>703</v>
      </c>
      <c r="D20" s="330" t="s">
        <v>3369</v>
      </c>
      <c r="E20" s="346" t="s">
        <v>3370</v>
      </c>
      <c r="F20" s="329" t="s">
        <v>3279</v>
      </c>
      <c r="G20" s="339" t="s">
        <v>58</v>
      </c>
      <c r="H20" s="329" t="s">
        <v>90</v>
      </c>
      <c r="I20" s="333" t="s">
        <v>16</v>
      </c>
      <c r="J20" s="330"/>
      <c r="K20" s="347"/>
    </row>
    <row r="21" ht="34.5" customHeight="1">
      <c r="A21" s="336">
        <v>20.0</v>
      </c>
      <c r="B21" s="338"/>
      <c r="C21" s="337" t="s">
        <v>866</v>
      </c>
      <c r="D21" s="338" t="s">
        <v>3371</v>
      </c>
      <c r="E21" s="346" t="s">
        <v>3370</v>
      </c>
      <c r="F21" s="337" t="s">
        <v>3346</v>
      </c>
      <c r="G21" s="339" t="s">
        <v>58</v>
      </c>
      <c r="H21" s="337" t="s">
        <v>88</v>
      </c>
      <c r="I21" s="333" t="s">
        <v>16</v>
      </c>
      <c r="J21" s="338"/>
      <c r="K21" s="347"/>
    </row>
    <row r="22" ht="34.5" customHeight="1">
      <c r="A22" s="328">
        <v>21.0</v>
      </c>
      <c r="B22" s="330"/>
      <c r="C22" s="329" t="s">
        <v>918</v>
      </c>
      <c r="D22" s="330" t="s">
        <v>3372</v>
      </c>
      <c r="E22" s="346" t="s">
        <v>3370</v>
      </c>
      <c r="F22" s="329" t="s">
        <v>3348</v>
      </c>
      <c r="G22" s="331" t="s">
        <v>12</v>
      </c>
      <c r="H22" s="329" t="s">
        <v>88</v>
      </c>
      <c r="I22" s="333" t="s">
        <v>16</v>
      </c>
      <c r="J22" s="330"/>
      <c r="K22" s="341"/>
    </row>
    <row r="23" ht="34.5" customHeight="1">
      <c r="A23" s="336">
        <v>22.0</v>
      </c>
      <c r="B23" s="338"/>
      <c r="C23" s="337" t="s">
        <v>921</v>
      </c>
      <c r="D23" s="338" t="s">
        <v>3373</v>
      </c>
      <c r="E23" s="346" t="s">
        <v>3370</v>
      </c>
      <c r="F23" s="337" t="s">
        <v>3287</v>
      </c>
      <c r="G23" s="339" t="s">
        <v>58</v>
      </c>
      <c r="H23" s="337" t="s">
        <v>88</v>
      </c>
      <c r="I23" s="333" t="s">
        <v>16</v>
      </c>
      <c r="J23" s="338"/>
      <c r="K23" s="347"/>
    </row>
    <row r="24" ht="34.5" customHeight="1">
      <c r="A24" s="328">
        <v>23.0</v>
      </c>
      <c r="B24" s="330"/>
      <c r="C24" s="329" t="s">
        <v>1007</v>
      </c>
      <c r="D24" s="330" t="s">
        <v>3374</v>
      </c>
      <c r="E24" s="346" t="s">
        <v>3370</v>
      </c>
      <c r="F24" s="329" t="s">
        <v>3290</v>
      </c>
      <c r="G24" s="331" t="s">
        <v>58</v>
      </c>
      <c r="H24" s="329" t="s">
        <v>94</v>
      </c>
      <c r="I24" s="333" t="s">
        <v>16</v>
      </c>
      <c r="J24" s="330"/>
      <c r="K24" s="347"/>
    </row>
    <row r="25" ht="34.5" customHeight="1">
      <c r="A25" s="336">
        <v>24.0</v>
      </c>
      <c r="B25" s="338"/>
      <c r="C25" s="337" t="s">
        <v>1245</v>
      </c>
      <c r="D25" s="338" t="s">
        <v>3375</v>
      </c>
      <c r="E25" s="346" t="s">
        <v>3370</v>
      </c>
      <c r="F25" s="337" t="s">
        <v>3357</v>
      </c>
      <c r="G25" s="339" t="s">
        <v>58</v>
      </c>
      <c r="H25" s="337" t="s">
        <v>88</v>
      </c>
      <c r="I25" s="333" t="s">
        <v>16</v>
      </c>
      <c r="J25" s="338"/>
      <c r="K25" s="347"/>
    </row>
    <row r="26" ht="34.5" customHeight="1">
      <c r="A26" s="328">
        <v>25.0</v>
      </c>
      <c r="B26" s="330"/>
      <c r="C26" s="329" t="s">
        <v>1283</v>
      </c>
      <c r="D26" s="330" t="s">
        <v>3376</v>
      </c>
      <c r="E26" s="346" t="s">
        <v>3370</v>
      </c>
      <c r="F26" s="329" t="s">
        <v>3359</v>
      </c>
      <c r="G26" s="339" t="s">
        <v>58</v>
      </c>
      <c r="H26" s="329" t="s">
        <v>88</v>
      </c>
      <c r="I26" s="333" t="s">
        <v>16</v>
      </c>
      <c r="J26" s="330"/>
      <c r="K26" s="347"/>
    </row>
    <row r="27" ht="34.5" customHeight="1">
      <c r="A27" s="336">
        <v>26.0</v>
      </c>
      <c r="B27" s="338"/>
      <c r="C27" s="337" t="s">
        <v>1307</v>
      </c>
      <c r="D27" s="338" t="s">
        <v>3377</v>
      </c>
      <c r="E27" s="346" t="s">
        <v>3370</v>
      </c>
      <c r="F27" s="337" t="s">
        <v>3363</v>
      </c>
      <c r="G27" s="339" t="s">
        <v>12</v>
      </c>
      <c r="H27" s="337" t="s">
        <v>94</v>
      </c>
      <c r="I27" s="333" t="s">
        <v>16</v>
      </c>
      <c r="J27" s="338"/>
      <c r="K27" s="341"/>
    </row>
    <row r="28" ht="34.5" customHeight="1">
      <c r="A28" s="328">
        <v>27.0</v>
      </c>
      <c r="B28" s="330"/>
      <c r="C28" s="329" t="s">
        <v>1350</v>
      </c>
      <c r="D28" s="330" t="s">
        <v>3378</v>
      </c>
      <c r="E28" s="346" t="s">
        <v>3370</v>
      </c>
      <c r="F28" s="329" t="s">
        <v>3367</v>
      </c>
      <c r="G28" s="339" t="s">
        <v>12</v>
      </c>
      <c r="H28" s="329" t="s">
        <v>94</v>
      </c>
      <c r="I28" s="333" t="s">
        <v>16</v>
      </c>
      <c r="J28" s="330"/>
      <c r="K28" s="341"/>
    </row>
    <row r="29">
      <c r="A29" s="336">
        <v>28.0</v>
      </c>
      <c r="B29" s="338"/>
      <c r="C29" s="337" t="s">
        <v>771</v>
      </c>
      <c r="D29" s="338" t="s">
        <v>3379</v>
      </c>
      <c r="E29" s="346" t="s">
        <v>3370</v>
      </c>
      <c r="F29" s="337" t="s">
        <v>3344</v>
      </c>
      <c r="G29" s="331" t="s">
        <v>58</v>
      </c>
      <c r="H29" s="337" t="s">
        <v>92</v>
      </c>
      <c r="I29" s="333" t="s">
        <v>16</v>
      </c>
      <c r="J29" s="338"/>
      <c r="K29" s="348"/>
    </row>
    <row r="30">
      <c r="A30" s="328">
        <v>29.0</v>
      </c>
      <c r="B30" s="330"/>
      <c r="C30" s="329" t="s">
        <v>842</v>
      </c>
      <c r="D30" s="330" t="s">
        <v>3380</v>
      </c>
      <c r="E30" s="346" t="s">
        <v>3370</v>
      </c>
      <c r="F30" s="329" t="s">
        <v>3284</v>
      </c>
      <c r="G30" s="339" t="s">
        <v>12</v>
      </c>
      <c r="H30" s="329" t="s">
        <v>92</v>
      </c>
      <c r="I30" s="333" t="s">
        <v>16</v>
      </c>
      <c r="J30" s="330"/>
      <c r="K30" s="348"/>
    </row>
    <row r="31">
      <c r="A31" s="336">
        <v>30.0</v>
      </c>
      <c r="B31" s="338"/>
      <c r="C31" s="337" t="s">
        <v>866</v>
      </c>
      <c r="D31" s="338" t="s">
        <v>3371</v>
      </c>
      <c r="E31" s="346" t="s">
        <v>3370</v>
      </c>
      <c r="F31" s="337" t="s">
        <v>3346</v>
      </c>
      <c r="G31" s="331" t="s">
        <v>58</v>
      </c>
      <c r="H31" s="337" t="s">
        <v>88</v>
      </c>
      <c r="I31" s="333" t="s">
        <v>16</v>
      </c>
      <c r="J31" s="338"/>
      <c r="K31" s="348"/>
    </row>
    <row r="32">
      <c r="A32" s="328">
        <v>31.0</v>
      </c>
      <c r="B32" s="330"/>
      <c r="C32" s="329" t="s">
        <v>918</v>
      </c>
      <c r="D32" s="330" t="s">
        <v>3381</v>
      </c>
      <c r="E32" s="346" t="s">
        <v>3370</v>
      </c>
      <c r="F32" s="329" t="s">
        <v>3348</v>
      </c>
      <c r="G32" s="339" t="s">
        <v>12</v>
      </c>
      <c r="H32" s="329" t="s">
        <v>88</v>
      </c>
      <c r="I32" s="333" t="s">
        <v>16</v>
      </c>
      <c r="J32" s="330"/>
      <c r="K32" s="348"/>
    </row>
    <row r="33">
      <c r="A33" s="336">
        <v>32.0</v>
      </c>
      <c r="B33" s="338"/>
      <c r="C33" s="337" t="s">
        <v>921</v>
      </c>
      <c r="D33" s="338" t="s">
        <v>3373</v>
      </c>
      <c r="E33" s="346" t="s">
        <v>3370</v>
      </c>
      <c r="F33" s="337" t="s">
        <v>3287</v>
      </c>
      <c r="G33" s="339" t="s">
        <v>58</v>
      </c>
      <c r="H33" s="337" t="s">
        <v>88</v>
      </c>
      <c r="I33" s="333" t="s">
        <v>16</v>
      </c>
      <c r="J33" s="338"/>
      <c r="K33" s="348"/>
    </row>
    <row r="34">
      <c r="A34" s="328">
        <v>33.0</v>
      </c>
      <c r="B34" s="330"/>
      <c r="C34" s="329" t="s">
        <v>933</v>
      </c>
      <c r="D34" s="330" t="s">
        <v>3382</v>
      </c>
      <c r="E34" s="346" t="s">
        <v>3370</v>
      </c>
      <c r="F34" s="329" t="s">
        <v>3287</v>
      </c>
      <c r="G34" s="339" t="s">
        <v>12</v>
      </c>
      <c r="H34" s="329" t="s">
        <v>88</v>
      </c>
      <c r="I34" s="333" t="s">
        <v>16</v>
      </c>
      <c r="J34" s="330"/>
      <c r="K34" s="348"/>
    </row>
    <row r="35">
      <c r="A35" s="336">
        <v>34.0</v>
      </c>
      <c r="B35" s="338"/>
      <c r="C35" s="337" t="s">
        <v>1007</v>
      </c>
      <c r="D35" s="338" t="s">
        <v>3374</v>
      </c>
      <c r="E35" s="346" t="s">
        <v>3370</v>
      </c>
      <c r="F35" s="337" t="s">
        <v>3290</v>
      </c>
      <c r="G35" s="339" t="s">
        <v>58</v>
      </c>
      <c r="H35" s="337" t="s">
        <v>94</v>
      </c>
      <c r="I35" s="333" t="s">
        <v>16</v>
      </c>
      <c r="J35" s="338"/>
      <c r="K35" s="348"/>
    </row>
    <row r="36">
      <c r="A36" s="328">
        <v>35.0</v>
      </c>
      <c r="B36" s="330"/>
      <c r="C36" s="329" t="s">
        <v>1021</v>
      </c>
      <c r="D36" s="330" t="s">
        <v>3383</v>
      </c>
      <c r="E36" s="346" t="s">
        <v>3370</v>
      </c>
      <c r="F36" s="329" t="s">
        <v>3290</v>
      </c>
      <c r="G36" s="331" t="s">
        <v>58</v>
      </c>
      <c r="H36" s="329" t="s">
        <v>94</v>
      </c>
      <c r="I36" s="333" t="s">
        <v>16</v>
      </c>
      <c r="J36" s="330"/>
      <c r="K36" s="348"/>
    </row>
    <row r="37">
      <c r="A37" s="336">
        <v>36.0</v>
      </c>
      <c r="B37" s="338"/>
      <c r="C37" s="337" t="s">
        <v>1245</v>
      </c>
      <c r="D37" s="338" t="s">
        <v>3375</v>
      </c>
      <c r="E37" s="346" t="s">
        <v>3370</v>
      </c>
      <c r="F37" s="337" t="s">
        <v>3357</v>
      </c>
      <c r="G37" s="339" t="s">
        <v>58</v>
      </c>
      <c r="H37" s="337" t="s">
        <v>88</v>
      </c>
      <c r="I37" s="333" t="s">
        <v>16</v>
      </c>
      <c r="J37" s="338"/>
      <c r="K37" s="348"/>
    </row>
    <row r="38">
      <c r="A38" s="328">
        <v>37.0</v>
      </c>
      <c r="B38" s="330"/>
      <c r="C38" s="329" t="s">
        <v>1283</v>
      </c>
      <c r="D38" s="330" t="s">
        <v>3376</v>
      </c>
      <c r="E38" s="346" t="s">
        <v>3370</v>
      </c>
      <c r="F38" s="329" t="s">
        <v>3359</v>
      </c>
      <c r="G38" s="331" t="s">
        <v>58</v>
      </c>
      <c r="H38" s="329" t="s">
        <v>88</v>
      </c>
      <c r="I38" s="333" t="s">
        <v>16</v>
      </c>
      <c r="J38" s="330"/>
      <c r="K38" s="348"/>
    </row>
    <row r="39">
      <c r="A39" s="336">
        <v>38.0</v>
      </c>
      <c r="B39" s="338"/>
      <c r="C39" s="337" t="s">
        <v>1307</v>
      </c>
      <c r="D39" s="338" t="s">
        <v>3377</v>
      </c>
      <c r="E39" s="346" t="s">
        <v>3370</v>
      </c>
      <c r="F39" s="337" t="s">
        <v>3363</v>
      </c>
      <c r="G39" s="339" t="s">
        <v>12</v>
      </c>
      <c r="H39" s="337" t="s">
        <v>94</v>
      </c>
      <c r="I39" s="333" t="s">
        <v>16</v>
      </c>
      <c r="J39" s="338"/>
      <c r="K39" s="348"/>
    </row>
    <row r="40">
      <c r="A40" s="328">
        <v>39.0</v>
      </c>
      <c r="B40" s="330"/>
      <c r="C40" s="329" t="s">
        <v>3384</v>
      </c>
      <c r="D40" s="330" t="s">
        <v>3385</v>
      </c>
      <c r="E40" s="346" t="s">
        <v>3370</v>
      </c>
      <c r="F40" s="329" t="s">
        <v>3363</v>
      </c>
      <c r="G40" s="339" t="s">
        <v>58</v>
      </c>
      <c r="H40" s="329" t="s">
        <v>94</v>
      </c>
      <c r="I40" s="333" t="s">
        <v>16</v>
      </c>
      <c r="J40" s="330"/>
      <c r="K40" s="348"/>
    </row>
    <row r="41">
      <c r="A41" s="336">
        <v>40.0</v>
      </c>
      <c r="B41" s="338"/>
      <c r="C41" s="337" t="s">
        <v>1350</v>
      </c>
      <c r="D41" s="338" t="s">
        <v>3378</v>
      </c>
      <c r="E41" s="346" t="s">
        <v>3370</v>
      </c>
      <c r="F41" s="337" t="s">
        <v>3367</v>
      </c>
      <c r="G41" s="339" t="s">
        <v>12</v>
      </c>
      <c r="H41" s="337" t="s">
        <v>94</v>
      </c>
      <c r="I41" s="333" t="s">
        <v>16</v>
      </c>
      <c r="J41" s="338"/>
      <c r="K41" s="348"/>
    </row>
    <row r="42">
      <c r="A42" s="328">
        <v>41.0</v>
      </c>
      <c r="B42" s="330"/>
      <c r="C42" s="329" t="s">
        <v>1357</v>
      </c>
      <c r="D42" s="330" t="s">
        <v>3386</v>
      </c>
      <c r="E42" s="346" t="s">
        <v>3370</v>
      </c>
      <c r="F42" s="329" t="s">
        <v>3367</v>
      </c>
      <c r="G42" s="339" t="s">
        <v>58</v>
      </c>
      <c r="H42" s="329" t="s">
        <v>94</v>
      </c>
      <c r="I42" s="333" t="s">
        <v>16</v>
      </c>
      <c r="J42" s="330"/>
      <c r="K42" s="348"/>
    </row>
    <row r="43">
      <c r="C43" s="349"/>
    </row>
    <row r="44">
      <c r="C44" s="349"/>
    </row>
    <row r="45">
      <c r="C45" s="349"/>
    </row>
    <row r="46">
      <c r="C46" s="349"/>
    </row>
    <row r="47">
      <c r="C47" s="349"/>
    </row>
    <row r="48">
      <c r="C48" s="349"/>
    </row>
    <row r="49">
      <c r="C49" s="349"/>
    </row>
    <row r="50">
      <c r="C50" s="349"/>
    </row>
    <row r="51">
      <c r="C51" s="349"/>
    </row>
    <row r="52">
      <c r="C52" s="349"/>
    </row>
    <row r="53">
      <c r="C53" s="349"/>
    </row>
    <row r="54">
      <c r="C54" s="349"/>
    </row>
    <row r="55">
      <c r="C55" s="349"/>
    </row>
    <row r="56">
      <c r="C56" s="349"/>
    </row>
    <row r="57">
      <c r="C57" s="349"/>
    </row>
    <row r="58">
      <c r="C58" s="349"/>
    </row>
    <row r="59">
      <c r="C59" s="349"/>
    </row>
    <row r="60">
      <c r="C60" s="349"/>
    </row>
    <row r="61">
      <c r="C61" s="349"/>
    </row>
    <row r="62">
      <c r="C62" s="349"/>
    </row>
    <row r="63">
      <c r="C63" s="349"/>
    </row>
    <row r="64">
      <c r="C64" s="349"/>
    </row>
    <row r="65">
      <c r="C65" s="349"/>
    </row>
    <row r="66">
      <c r="C66" s="349"/>
    </row>
    <row r="67">
      <c r="C67" s="349"/>
    </row>
    <row r="68">
      <c r="C68" s="349"/>
    </row>
    <row r="69">
      <c r="C69" s="349"/>
    </row>
    <row r="70">
      <c r="C70" s="349"/>
    </row>
    <row r="71">
      <c r="C71" s="349"/>
    </row>
    <row r="72">
      <c r="C72" s="349"/>
    </row>
    <row r="73">
      <c r="C73" s="349"/>
    </row>
    <row r="74">
      <c r="C74" s="349"/>
    </row>
    <row r="75">
      <c r="C75" s="349"/>
    </row>
    <row r="76">
      <c r="C76" s="349"/>
    </row>
    <row r="77">
      <c r="C77" s="349"/>
    </row>
    <row r="78">
      <c r="C78" s="349"/>
    </row>
    <row r="79">
      <c r="C79" s="349"/>
    </row>
    <row r="80">
      <c r="C80" s="349"/>
    </row>
    <row r="81">
      <c r="C81" s="349"/>
    </row>
    <row r="82">
      <c r="C82" s="349"/>
    </row>
    <row r="83">
      <c r="C83" s="349"/>
    </row>
    <row r="84">
      <c r="C84" s="349"/>
    </row>
    <row r="85">
      <c r="C85" s="349"/>
    </row>
    <row r="86">
      <c r="C86" s="349"/>
    </row>
    <row r="87">
      <c r="C87" s="349"/>
    </row>
    <row r="88">
      <c r="C88" s="349"/>
    </row>
    <row r="89">
      <c r="C89" s="349"/>
    </row>
    <row r="90">
      <c r="C90" s="349"/>
    </row>
    <row r="91">
      <c r="C91" s="349"/>
    </row>
    <row r="92">
      <c r="C92" s="349"/>
    </row>
    <row r="93">
      <c r="C93" s="349"/>
    </row>
    <row r="94">
      <c r="C94" s="349"/>
    </row>
    <row r="95">
      <c r="C95" s="349"/>
    </row>
    <row r="96">
      <c r="C96" s="349"/>
    </row>
    <row r="97">
      <c r="C97" s="349"/>
    </row>
    <row r="98">
      <c r="C98" s="349"/>
    </row>
    <row r="99">
      <c r="C99" s="349"/>
    </row>
    <row r="100">
      <c r="C100" s="349"/>
    </row>
    <row r="101">
      <c r="C101" s="349"/>
    </row>
    <row r="102">
      <c r="C102" s="349"/>
    </row>
    <row r="103">
      <c r="C103" s="349"/>
    </row>
    <row r="104">
      <c r="C104" s="349"/>
    </row>
    <row r="105">
      <c r="C105" s="349"/>
    </row>
    <row r="106">
      <c r="C106" s="349"/>
    </row>
    <row r="107">
      <c r="C107" s="349"/>
    </row>
    <row r="108">
      <c r="C108" s="349"/>
    </row>
    <row r="109">
      <c r="C109" s="349"/>
    </row>
    <row r="110">
      <c r="C110" s="349"/>
    </row>
    <row r="111">
      <c r="C111" s="349"/>
    </row>
    <row r="112">
      <c r="C112" s="349"/>
    </row>
    <row r="113">
      <c r="C113" s="349"/>
    </row>
    <row r="114">
      <c r="C114" s="349"/>
    </row>
    <row r="115">
      <c r="C115" s="349"/>
    </row>
    <row r="116">
      <c r="C116" s="349"/>
    </row>
    <row r="117">
      <c r="C117" s="349"/>
    </row>
    <row r="118">
      <c r="C118" s="349"/>
    </row>
    <row r="119">
      <c r="C119" s="349"/>
    </row>
    <row r="120">
      <c r="C120" s="349"/>
    </row>
    <row r="121">
      <c r="C121" s="349"/>
    </row>
    <row r="122">
      <c r="C122" s="349"/>
    </row>
    <row r="123">
      <c r="C123" s="349"/>
    </row>
    <row r="124">
      <c r="C124" s="349"/>
    </row>
    <row r="125">
      <c r="C125" s="349"/>
    </row>
    <row r="126">
      <c r="C126" s="349"/>
    </row>
    <row r="127">
      <c r="C127" s="349"/>
    </row>
    <row r="128">
      <c r="C128" s="349"/>
    </row>
    <row r="129">
      <c r="C129" s="349"/>
    </row>
    <row r="130">
      <c r="C130" s="349"/>
    </row>
    <row r="131">
      <c r="C131" s="349"/>
    </row>
    <row r="132">
      <c r="C132" s="349"/>
    </row>
    <row r="133">
      <c r="C133" s="349"/>
    </row>
    <row r="134">
      <c r="C134" s="349"/>
    </row>
    <row r="135">
      <c r="C135" s="349"/>
    </row>
    <row r="136">
      <c r="C136" s="349"/>
    </row>
    <row r="137">
      <c r="C137" s="349"/>
    </row>
    <row r="138">
      <c r="C138" s="349"/>
    </row>
    <row r="139">
      <c r="C139" s="349"/>
    </row>
    <row r="140">
      <c r="C140" s="349"/>
    </row>
    <row r="141">
      <c r="C141" s="349"/>
    </row>
    <row r="142">
      <c r="C142" s="349"/>
    </row>
    <row r="143">
      <c r="C143" s="349"/>
    </row>
    <row r="144">
      <c r="C144" s="349"/>
    </row>
    <row r="145">
      <c r="C145" s="349"/>
    </row>
    <row r="146">
      <c r="C146" s="349"/>
    </row>
    <row r="147">
      <c r="C147" s="349"/>
    </row>
    <row r="148">
      <c r="C148" s="349"/>
    </row>
    <row r="149">
      <c r="C149" s="349"/>
    </row>
    <row r="150">
      <c r="C150" s="349"/>
    </row>
    <row r="151">
      <c r="C151" s="349"/>
    </row>
    <row r="152">
      <c r="C152" s="349"/>
    </row>
    <row r="153">
      <c r="C153" s="349"/>
    </row>
    <row r="154">
      <c r="C154" s="349"/>
    </row>
    <row r="155">
      <c r="C155" s="349"/>
    </row>
    <row r="156">
      <c r="C156" s="349"/>
    </row>
    <row r="157">
      <c r="C157" s="349"/>
    </row>
    <row r="158">
      <c r="C158" s="349"/>
    </row>
    <row r="159">
      <c r="C159" s="349"/>
    </row>
    <row r="160">
      <c r="C160" s="349"/>
    </row>
    <row r="161">
      <c r="C161" s="349"/>
    </row>
    <row r="162">
      <c r="C162" s="349"/>
    </row>
    <row r="163">
      <c r="C163" s="349"/>
    </row>
    <row r="164">
      <c r="C164" s="349"/>
    </row>
    <row r="165">
      <c r="C165" s="349"/>
    </row>
    <row r="166">
      <c r="C166" s="349"/>
    </row>
    <row r="167">
      <c r="C167" s="349"/>
    </row>
    <row r="168">
      <c r="C168" s="349"/>
    </row>
    <row r="169">
      <c r="C169" s="349"/>
    </row>
    <row r="170">
      <c r="C170" s="349"/>
    </row>
    <row r="171">
      <c r="C171" s="349"/>
    </row>
    <row r="172">
      <c r="C172" s="349"/>
    </row>
    <row r="173">
      <c r="C173" s="349"/>
    </row>
    <row r="174">
      <c r="C174" s="349"/>
    </row>
    <row r="175">
      <c r="C175" s="349"/>
    </row>
    <row r="176">
      <c r="C176" s="349"/>
    </row>
    <row r="177">
      <c r="C177" s="349"/>
    </row>
    <row r="178">
      <c r="C178" s="349"/>
    </row>
    <row r="179">
      <c r="C179" s="349"/>
    </row>
    <row r="180">
      <c r="C180" s="349"/>
    </row>
    <row r="181">
      <c r="C181" s="349"/>
    </row>
    <row r="182">
      <c r="C182" s="349"/>
    </row>
    <row r="183">
      <c r="C183" s="349"/>
    </row>
    <row r="184">
      <c r="C184" s="349"/>
    </row>
    <row r="185">
      <c r="C185" s="349"/>
    </row>
    <row r="186">
      <c r="C186" s="349"/>
    </row>
    <row r="187">
      <c r="C187" s="349"/>
    </row>
    <row r="188">
      <c r="C188" s="349"/>
    </row>
    <row r="189">
      <c r="C189" s="349"/>
    </row>
    <row r="190">
      <c r="C190" s="349"/>
    </row>
    <row r="191">
      <c r="C191" s="349"/>
    </row>
    <row r="192">
      <c r="C192" s="349"/>
    </row>
    <row r="193">
      <c r="C193" s="349"/>
    </row>
    <row r="194">
      <c r="C194" s="349"/>
    </row>
    <row r="195">
      <c r="C195" s="349"/>
    </row>
    <row r="196">
      <c r="C196" s="349"/>
    </row>
    <row r="197">
      <c r="C197" s="349"/>
    </row>
    <row r="198">
      <c r="C198" s="349"/>
    </row>
    <row r="199">
      <c r="C199" s="349"/>
    </row>
    <row r="200">
      <c r="C200" s="349"/>
    </row>
    <row r="201">
      <c r="C201" s="349"/>
    </row>
    <row r="202">
      <c r="C202" s="349"/>
    </row>
    <row r="203">
      <c r="C203" s="349"/>
    </row>
    <row r="204">
      <c r="C204" s="349"/>
    </row>
    <row r="205">
      <c r="C205" s="349"/>
    </row>
    <row r="206">
      <c r="C206" s="349"/>
    </row>
    <row r="207">
      <c r="C207" s="349"/>
    </row>
    <row r="208">
      <c r="C208" s="349"/>
    </row>
    <row r="209">
      <c r="C209" s="349"/>
    </row>
    <row r="210">
      <c r="C210" s="349"/>
    </row>
    <row r="211">
      <c r="C211" s="349"/>
    </row>
    <row r="212">
      <c r="C212" s="349"/>
    </row>
    <row r="213">
      <c r="C213" s="349"/>
    </row>
    <row r="214">
      <c r="C214" s="349"/>
    </row>
    <row r="215">
      <c r="C215" s="349"/>
    </row>
    <row r="216">
      <c r="C216" s="349"/>
    </row>
    <row r="217">
      <c r="C217" s="349"/>
    </row>
    <row r="218">
      <c r="C218" s="349"/>
    </row>
    <row r="219">
      <c r="C219" s="349"/>
    </row>
    <row r="220">
      <c r="C220" s="349"/>
    </row>
    <row r="221">
      <c r="C221" s="349"/>
    </row>
    <row r="222">
      <c r="C222" s="349"/>
    </row>
    <row r="223">
      <c r="C223" s="349"/>
    </row>
    <row r="224">
      <c r="C224" s="349"/>
    </row>
    <row r="225">
      <c r="C225" s="349"/>
    </row>
    <row r="226">
      <c r="C226" s="349"/>
    </row>
    <row r="227">
      <c r="C227" s="349"/>
    </row>
    <row r="228">
      <c r="C228" s="349"/>
    </row>
    <row r="229">
      <c r="C229" s="349"/>
    </row>
    <row r="230">
      <c r="C230" s="349"/>
    </row>
    <row r="231">
      <c r="C231" s="349"/>
    </row>
    <row r="232">
      <c r="C232" s="349"/>
    </row>
    <row r="233">
      <c r="C233" s="349"/>
    </row>
    <row r="234">
      <c r="C234" s="349"/>
    </row>
    <row r="235">
      <c r="C235" s="349"/>
    </row>
    <row r="236">
      <c r="C236" s="349"/>
    </row>
    <row r="237">
      <c r="C237" s="349"/>
    </row>
    <row r="238">
      <c r="C238" s="349"/>
    </row>
    <row r="239">
      <c r="C239" s="349"/>
    </row>
    <row r="240">
      <c r="C240" s="349"/>
    </row>
    <row r="241">
      <c r="C241" s="349"/>
    </row>
    <row r="242">
      <c r="C242" s="349"/>
    </row>
    <row r="243">
      <c r="C243" s="349"/>
    </row>
    <row r="244">
      <c r="C244" s="349"/>
    </row>
    <row r="245">
      <c r="C245" s="349"/>
    </row>
    <row r="246">
      <c r="C246" s="349"/>
    </row>
    <row r="247">
      <c r="C247" s="349"/>
    </row>
    <row r="248">
      <c r="C248" s="349"/>
    </row>
    <row r="249">
      <c r="C249" s="349"/>
    </row>
    <row r="250">
      <c r="C250" s="349"/>
    </row>
    <row r="251">
      <c r="C251" s="349"/>
    </row>
    <row r="252">
      <c r="C252" s="349"/>
    </row>
    <row r="253">
      <c r="C253" s="349"/>
    </row>
    <row r="254">
      <c r="C254" s="349"/>
    </row>
    <row r="255">
      <c r="C255" s="349"/>
    </row>
    <row r="256">
      <c r="C256" s="349"/>
    </row>
    <row r="257">
      <c r="C257" s="349"/>
    </row>
    <row r="258">
      <c r="C258" s="349"/>
    </row>
    <row r="259">
      <c r="C259" s="349"/>
    </row>
    <row r="260">
      <c r="C260" s="349"/>
    </row>
    <row r="261">
      <c r="C261" s="349"/>
    </row>
    <row r="262">
      <c r="C262" s="349"/>
    </row>
    <row r="263">
      <c r="C263" s="349"/>
    </row>
    <row r="264">
      <c r="C264" s="349"/>
    </row>
    <row r="265">
      <c r="C265" s="349"/>
    </row>
    <row r="266">
      <c r="C266" s="349"/>
    </row>
    <row r="267">
      <c r="C267" s="349"/>
    </row>
    <row r="268">
      <c r="C268" s="349"/>
    </row>
    <row r="269">
      <c r="C269" s="349"/>
    </row>
    <row r="270">
      <c r="C270" s="349"/>
    </row>
    <row r="271">
      <c r="C271" s="349"/>
    </row>
    <row r="272">
      <c r="C272" s="349"/>
    </row>
    <row r="273">
      <c r="C273" s="349"/>
    </row>
    <row r="274">
      <c r="C274" s="349"/>
    </row>
    <row r="275">
      <c r="C275" s="349"/>
    </row>
    <row r="276">
      <c r="C276" s="349"/>
    </row>
    <row r="277">
      <c r="C277" s="349"/>
    </row>
    <row r="278">
      <c r="C278" s="349"/>
    </row>
    <row r="279">
      <c r="C279" s="349"/>
    </row>
    <row r="280">
      <c r="C280" s="349"/>
    </row>
    <row r="281">
      <c r="C281" s="349"/>
    </row>
    <row r="282">
      <c r="C282" s="349"/>
    </row>
    <row r="283">
      <c r="C283" s="349"/>
    </row>
    <row r="284">
      <c r="C284" s="349"/>
    </row>
    <row r="285">
      <c r="C285" s="349"/>
    </row>
    <row r="286">
      <c r="C286" s="349"/>
    </row>
    <row r="287">
      <c r="C287" s="349"/>
    </row>
    <row r="288">
      <c r="C288" s="349"/>
    </row>
    <row r="289">
      <c r="C289" s="349"/>
    </row>
    <row r="290">
      <c r="C290" s="349"/>
    </row>
    <row r="291">
      <c r="C291" s="349"/>
    </row>
    <row r="292">
      <c r="C292" s="349"/>
    </row>
    <row r="293">
      <c r="C293" s="349"/>
    </row>
    <row r="294">
      <c r="C294" s="349"/>
    </row>
    <row r="295">
      <c r="C295" s="349"/>
    </row>
    <row r="296">
      <c r="C296" s="349"/>
    </row>
    <row r="297">
      <c r="C297" s="349"/>
    </row>
    <row r="298">
      <c r="C298" s="349"/>
    </row>
    <row r="299">
      <c r="C299" s="349"/>
    </row>
    <row r="300">
      <c r="C300" s="349"/>
    </row>
    <row r="301">
      <c r="C301" s="349"/>
    </row>
    <row r="302">
      <c r="C302" s="349"/>
    </row>
    <row r="303">
      <c r="C303" s="349"/>
    </row>
    <row r="304">
      <c r="C304" s="349"/>
    </row>
    <row r="305">
      <c r="C305" s="349"/>
    </row>
    <row r="306">
      <c r="C306" s="349"/>
    </row>
    <row r="307">
      <c r="C307" s="349"/>
    </row>
    <row r="308">
      <c r="C308" s="349"/>
    </row>
    <row r="309">
      <c r="C309" s="349"/>
    </row>
    <row r="310">
      <c r="C310" s="349"/>
    </row>
    <row r="311">
      <c r="C311" s="349"/>
    </row>
    <row r="312">
      <c r="C312" s="349"/>
    </row>
    <row r="313">
      <c r="C313" s="349"/>
    </row>
    <row r="314">
      <c r="C314" s="349"/>
    </row>
    <row r="315">
      <c r="C315" s="349"/>
    </row>
    <row r="316">
      <c r="C316" s="349"/>
    </row>
    <row r="317">
      <c r="C317" s="349"/>
    </row>
    <row r="318">
      <c r="C318" s="349"/>
    </row>
    <row r="319">
      <c r="C319" s="349"/>
    </row>
    <row r="320">
      <c r="C320" s="349"/>
    </row>
    <row r="321">
      <c r="C321" s="349"/>
    </row>
    <row r="322">
      <c r="C322" s="349"/>
    </row>
    <row r="323">
      <c r="C323" s="349"/>
    </row>
    <row r="324">
      <c r="C324" s="349"/>
    </row>
    <row r="325">
      <c r="C325" s="349"/>
    </row>
    <row r="326">
      <c r="C326" s="349"/>
    </row>
    <row r="327">
      <c r="C327" s="349"/>
    </row>
    <row r="328">
      <c r="C328" s="349"/>
    </row>
    <row r="329">
      <c r="C329" s="349"/>
    </row>
    <row r="330">
      <c r="C330" s="349"/>
    </row>
    <row r="331">
      <c r="C331" s="349"/>
    </row>
    <row r="332">
      <c r="C332" s="349"/>
    </row>
    <row r="333">
      <c r="C333" s="349"/>
    </row>
    <row r="334">
      <c r="C334" s="349"/>
    </row>
    <row r="335">
      <c r="C335" s="349"/>
    </row>
    <row r="336">
      <c r="C336" s="349"/>
    </row>
    <row r="337">
      <c r="C337" s="349"/>
    </row>
    <row r="338">
      <c r="C338" s="349"/>
    </row>
    <row r="339">
      <c r="C339" s="349"/>
    </row>
    <row r="340">
      <c r="C340" s="349"/>
    </row>
    <row r="341">
      <c r="C341" s="349"/>
    </row>
    <row r="342">
      <c r="C342" s="349"/>
    </row>
    <row r="343">
      <c r="C343" s="349"/>
    </row>
    <row r="344">
      <c r="C344" s="349"/>
    </row>
    <row r="345">
      <c r="C345" s="349"/>
    </row>
    <row r="346">
      <c r="C346" s="349"/>
    </row>
    <row r="347">
      <c r="C347" s="349"/>
    </row>
    <row r="348">
      <c r="C348" s="349"/>
    </row>
    <row r="349">
      <c r="C349" s="349"/>
    </row>
    <row r="350">
      <c r="C350" s="349"/>
    </row>
    <row r="351">
      <c r="C351" s="349"/>
    </row>
    <row r="352">
      <c r="C352" s="349"/>
    </row>
    <row r="353">
      <c r="C353" s="349"/>
    </row>
    <row r="354">
      <c r="C354" s="349"/>
    </row>
    <row r="355">
      <c r="C355" s="349"/>
    </row>
    <row r="356">
      <c r="C356" s="349"/>
    </row>
    <row r="357">
      <c r="C357" s="349"/>
    </row>
    <row r="358">
      <c r="C358" s="349"/>
    </row>
    <row r="359">
      <c r="C359" s="349"/>
    </row>
    <row r="360">
      <c r="C360" s="349"/>
    </row>
    <row r="361">
      <c r="C361" s="349"/>
    </row>
    <row r="362">
      <c r="C362" s="349"/>
    </row>
    <row r="363">
      <c r="C363" s="349"/>
    </row>
    <row r="364">
      <c r="C364" s="349"/>
    </row>
    <row r="365">
      <c r="C365" s="349"/>
    </row>
    <row r="366">
      <c r="C366" s="349"/>
    </row>
    <row r="367">
      <c r="C367" s="349"/>
    </row>
    <row r="368">
      <c r="C368" s="349"/>
    </row>
    <row r="369">
      <c r="C369" s="349"/>
    </row>
    <row r="370">
      <c r="C370" s="349"/>
    </row>
    <row r="371">
      <c r="C371" s="349"/>
    </row>
    <row r="372">
      <c r="C372" s="349"/>
    </row>
    <row r="373">
      <c r="C373" s="349"/>
    </row>
    <row r="374">
      <c r="C374" s="349"/>
    </row>
    <row r="375">
      <c r="C375" s="349"/>
    </row>
    <row r="376">
      <c r="C376" s="349"/>
    </row>
    <row r="377">
      <c r="C377" s="349"/>
    </row>
    <row r="378">
      <c r="C378" s="349"/>
    </row>
    <row r="379">
      <c r="C379" s="349"/>
    </row>
    <row r="380">
      <c r="C380" s="349"/>
    </row>
    <row r="381">
      <c r="C381" s="349"/>
    </row>
    <row r="382">
      <c r="C382" s="349"/>
    </row>
    <row r="383">
      <c r="C383" s="349"/>
    </row>
    <row r="384">
      <c r="C384" s="349"/>
    </row>
    <row r="385">
      <c r="C385" s="349"/>
    </row>
    <row r="386">
      <c r="C386" s="349"/>
    </row>
    <row r="387">
      <c r="C387" s="349"/>
    </row>
    <row r="388">
      <c r="C388" s="349"/>
    </row>
    <row r="389">
      <c r="C389" s="349"/>
    </row>
    <row r="390">
      <c r="C390" s="349"/>
    </row>
    <row r="391">
      <c r="C391" s="349"/>
    </row>
    <row r="392">
      <c r="C392" s="349"/>
    </row>
    <row r="393">
      <c r="C393" s="349"/>
    </row>
    <row r="394">
      <c r="C394" s="349"/>
    </row>
    <row r="395">
      <c r="C395" s="349"/>
    </row>
    <row r="396">
      <c r="C396" s="349"/>
    </row>
    <row r="397">
      <c r="C397" s="349"/>
    </row>
    <row r="398">
      <c r="C398" s="349"/>
    </row>
    <row r="399">
      <c r="C399" s="349"/>
    </row>
    <row r="400">
      <c r="C400" s="349"/>
    </row>
    <row r="401">
      <c r="C401" s="349"/>
    </row>
    <row r="402">
      <c r="C402" s="349"/>
    </row>
    <row r="403">
      <c r="C403" s="349"/>
    </row>
    <row r="404">
      <c r="C404" s="349"/>
    </row>
    <row r="405">
      <c r="C405" s="349"/>
    </row>
    <row r="406">
      <c r="C406" s="349"/>
    </row>
    <row r="407">
      <c r="C407" s="349"/>
    </row>
    <row r="408">
      <c r="C408" s="349"/>
    </row>
    <row r="409">
      <c r="C409" s="349"/>
    </row>
    <row r="410">
      <c r="C410" s="349"/>
    </row>
    <row r="411">
      <c r="C411" s="349"/>
    </row>
    <row r="412">
      <c r="C412" s="349"/>
    </row>
    <row r="413">
      <c r="C413" s="349"/>
    </row>
    <row r="414">
      <c r="C414" s="349"/>
    </row>
    <row r="415">
      <c r="C415" s="349"/>
    </row>
    <row r="416">
      <c r="C416" s="349"/>
    </row>
    <row r="417">
      <c r="C417" s="349"/>
    </row>
    <row r="418">
      <c r="C418" s="349"/>
    </row>
    <row r="419">
      <c r="C419" s="349"/>
    </row>
    <row r="420">
      <c r="C420" s="349"/>
    </row>
    <row r="421">
      <c r="C421" s="349"/>
    </row>
    <row r="422">
      <c r="C422" s="349"/>
    </row>
    <row r="423">
      <c r="C423" s="349"/>
    </row>
    <row r="424">
      <c r="C424" s="349"/>
    </row>
    <row r="425">
      <c r="C425" s="349"/>
    </row>
    <row r="426">
      <c r="C426" s="349"/>
    </row>
    <row r="427">
      <c r="C427" s="349"/>
    </row>
    <row r="428">
      <c r="C428" s="349"/>
    </row>
    <row r="429">
      <c r="C429" s="349"/>
    </row>
    <row r="430">
      <c r="C430" s="349"/>
    </row>
    <row r="431">
      <c r="C431" s="349"/>
    </row>
    <row r="432">
      <c r="C432" s="349"/>
    </row>
    <row r="433">
      <c r="C433" s="349"/>
    </row>
    <row r="434">
      <c r="C434" s="349"/>
    </row>
    <row r="435">
      <c r="C435" s="349"/>
    </row>
    <row r="436">
      <c r="C436" s="349"/>
    </row>
    <row r="437">
      <c r="C437" s="349"/>
    </row>
    <row r="438">
      <c r="C438" s="349"/>
    </row>
    <row r="439">
      <c r="C439" s="349"/>
    </row>
    <row r="440">
      <c r="C440" s="349"/>
    </row>
    <row r="441">
      <c r="C441" s="349"/>
    </row>
    <row r="442">
      <c r="C442" s="349"/>
    </row>
    <row r="443">
      <c r="C443" s="349"/>
    </row>
    <row r="444">
      <c r="C444" s="349"/>
    </row>
    <row r="445">
      <c r="C445" s="349"/>
    </row>
    <row r="446">
      <c r="C446" s="349"/>
    </row>
    <row r="447">
      <c r="C447" s="349"/>
    </row>
    <row r="448">
      <c r="C448" s="349"/>
    </row>
    <row r="449">
      <c r="C449" s="349"/>
    </row>
    <row r="450">
      <c r="C450" s="349"/>
    </row>
    <row r="451">
      <c r="C451" s="349"/>
    </row>
    <row r="452">
      <c r="C452" s="349"/>
    </row>
    <row r="453">
      <c r="C453" s="349"/>
    </row>
    <row r="454">
      <c r="C454" s="349"/>
    </row>
    <row r="455">
      <c r="C455" s="349"/>
    </row>
    <row r="456">
      <c r="C456" s="349"/>
    </row>
    <row r="457">
      <c r="C457" s="349"/>
    </row>
    <row r="458">
      <c r="C458" s="349"/>
    </row>
    <row r="459">
      <c r="C459" s="349"/>
    </row>
    <row r="460">
      <c r="C460" s="349"/>
    </row>
    <row r="461">
      <c r="C461" s="349"/>
    </row>
    <row r="462">
      <c r="C462" s="349"/>
    </row>
    <row r="463">
      <c r="C463" s="349"/>
    </row>
    <row r="464">
      <c r="C464" s="349"/>
    </row>
    <row r="465">
      <c r="C465" s="349"/>
    </row>
    <row r="466">
      <c r="C466" s="349"/>
    </row>
    <row r="467">
      <c r="C467" s="349"/>
    </row>
    <row r="468">
      <c r="C468" s="349"/>
    </row>
    <row r="469">
      <c r="C469" s="349"/>
    </row>
    <row r="470">
      <c r="C470" s="349"/>
    </row>
    <row r="471">
      <c r="C471" s="349"/>
    </row>
    <row r="472">
      <c r="C472" s="349"/>
    </row>
    <row r="473">
      <c r="C473" s="349"/>
    </row>
    <row r="474">
      <c r="C474" s="349"/>
    </row>
    <row r="475">
      <c r="C475" s="349"/>
    </row>
    <row r="476">
      <c r="C476" s="349"/>
    </row>
    <row r="477">
      <c r="C477" s="349"/>
    </row>
    <row r="478">
      <c r="C478" s="349"/>
    </row>
    <row r="479">
      <c r="C479" s="349"/>
    </row>
    <row r="480">
      <c r="C480" s="349"/>
    </row>
    <row r="481">
      <c r="C481" s="349"/>
    </row>
    <row r="482">
      <c r="C482" s="349"/>
    </row>
    <row r="483">
      <c r="C483" s="349"/>
    </row>
    <row r="484">
      <c r="C484" s="349"/>
    </row>
    <row r="485">
      <c r="C485" s="349"/>
    </row>
    <row r="486">
      <c r="C486" s="349"/>
    </row>
    <row r="487">
      <c r="C487" s="349"/>
    </row>
    <row r="488">
      <c r="C488" s="349"/>
    </row>
    <row r="489">
      <c r="C489" s="349"/>
    </row>
    <row r="490">
      <c r="C490" s="349"/>
    </row>
    <row r="491">
      <c r="C491" s="349"/>
    </row>
    <row r="492">
      <c r="C492" s="349"/>
    </row>
    <row r="493">
      <c r="C493" s="349"/>
    </row>
    <row r="494">
      <c r="C494" s="349"/>
    </row>
    <row r="495">
      <c r="C495" s="349"/>
    </row>
    <row r="496">
      <c r="C496" s="349"/>
    </row>
    <row r="497">
      <c r="C497" s="349"/>
    </row>
    <row r="498">
      <c r="C498" s="349"/>
    </row>
    <row r="499">
      <c r="C499" s="349"/>
    </row>
    <row r="500">
      <c r="C500" s="349"/>
    </row>
    <row r="501">
      <c r="C501" s="349"/>
    </row>
    <row r="502">
      <c r="C502" s="349"/>
    </row>
    <row r="503">
      <c r="C503" s="349"/>
    </row>
    <row r="504">
      <c r="C504" s="349"/>
    </row>
    <row r="505">
      <c r="C505" s="349"/>
    </row>
    <row r="506">
      <c r="C506" s="349"/>
    </row>
    <row r="507">
      <c r="C507" s="349"/>
    </row>
    <row r="508">
      <c r="C508" s="349"/>
    </row>
    <row r="509">
      <c r="C509" s="349"/>
    </row>
    <row r="510">
      <c r="C510" s="349"/>
    </row>
    <row r="511">
      <c r="C511" s="349"/>
    </row>
    <row r="512">
      <c r="C512" s="349"/>
    </row>
    <row r="513">
      <c r="C513" s="349"/>
    </row>
    <row r="514">
      <c r="C514" s="349"/>
    </row>
    <row r="515">
      <c r="C515" s="349"/>
    </row>
    <row r="516">
      <c r="C516" s="349"/>
    </row>
    <row r="517">
      <c r="C517" s="349"/>
    </row>
    <row r="518">
      <c r="C518" s="349"/>
    </row>
    <row r="519">
      <c r="C519" s="349"/>
    </row>
    <row r="520">
      <c r="C520" s="349"/>
    </row>
    <row r="521">
      <c r="C521" s="349"/>
    </row>
    <row r="522">
      <c r="C522" s="349"/>
    </row>
    <row r="523">
      <c r="C523" s="349"/>
    </row>
    <row r="524">
      <c r="C524" s="349"/>
    </row>
    <row r="525">
      <c r="C525" s="349"/>
    </row>
    <row r="526">
      <c r="C526" s="349"/>
    </row>
    <row r="527">
      <c r="C527" s="349"/>
    </row>
    <row r="528">
      <c r="C528" s="349"/>
    </row>
    <row r="529">
      <c r="C529" s="349"/>
    </row>
    <row r="530">
      <c r="C530" s="349"/>
    </row>
    <row r="531">
      <c r="C531" s="349"/>
    </row>
    <row r="532">
      <c r="C532" s="349"/>
    </row>
    <row r="533">
      <c r="C533" s="349"/>
    </row>
    <row r="534">
      <c r="C534" s="349"/>
    </row>
    <row r="535">
      <c r="C535" s="349"/>
    </row>
    <row r="536">
      <c r="C536" s="349"/>
    </row>
    <row r="537">
      <c r="C537" s="349"/>
    </row>
    <row r="538">
      <c r="C538" s="349"/>
    </row>
    <row r="539">
      <c r="C539" s="349"/>
    </row>
    <row r="540">
      <c r="C540" s="349"/>
    </row>
    <row r="541">
      <c r="C541" s="349"/>
    </row>
    <row r="542">
      <c r="C542" s="349"/>
    </row>
    <row r="543">
      <c r="C543" s="349"/>
    </row>
    <row r="544">
      <c r="C544" s="349"/>
    </row>
    <row r="545">
      <c r="C545" s="349"/>
    </row>
    <row r="546">
      <c r="C546" s="349"/>
    </row>
    <row r="547">
      <c r="C547" s="349"/>
    </row>
    <row r="548">
      <c r="C548" s="349"/>
    </row>
    <row r="549">
      <c r="C549" s="349"/>
    </row>
    <row r="550">
      <c r="C550" s="349"/>
    </row>
    <row r="551">
      <c r="C551" s="349"/>
    </row>
    <row r="552">
      <c r="C552" s="349"/>
    </row>
    <row r="553">
      <c r="C553" s="349"/>
    </row>
    <row r="554">
      <c r="C554" s="349"/>
    </row>
    <row r="555">
      <c r="C555" s="349"/>
    </row>
    <row r="556">
      <c r="C556" s="349"/>
    </row>
    <row r="557">
      <c r="C557" s="349"/>
    </row>
    <row r="558">
      <c r="C558" s="349"/>
    </row>
    <row r="559">
      <c r="C559" s="349"/>
    </row>
    <row r="560">
      <c r="C560" s="349"/>
    </row>
    <row r="561">
      <c r="C561" s="349"/>
    </row>
    <row r="562">
      <c r="C562" s="349"/>
    </row>
    <row r="563">
      <c r="C563" s="349"/>
    </row>
    <row r="564">
      <c r="C564" s="349"/>
    </row>
    <row r="565">
      <c r="C565" s="349"/>
    </row>
    <row r="566">
      <c r="C566" s="349"/>
    </row>
    <row r="567">
      <c r="C567" s="349"/>
    </row>
    <row r="568">
      <c r="C568" s="349"/>
    </row>
    <row r="569">
      <c r="C569" s="349"/>
    </row>
    <row r="570">
      <c r="C570" s="349"/>
    </row>
    <row r="571">
      <c r="C571" s="349"/>
    </row>
    <row r="572">
      <c r="C572" s="349"/>
    </row>
    <row r="573">
      <c r="C573" s="349"/>
    </row>
    <row r="574">
      <c r="C574" s="349"/>
    </row>
    <row r="575">
      <c r="C575" s="349"/>
    </row>
    <row r="576">
      <c r="C576" s="349"/>
    </row>
    <row r="577">
      <c r="C577" s="349"/>
    </row>
    <row r="578">
      <c r="C578" s="349"/>
    </row>
    <row r="579">
      <c r="C579" s="349"/>
    </row>
    <row r="580">
      <c r="C580" s="349"/>
    </row>
    <row r="581">
      <c r="C581" s="349"/>
    </row>
    <row r="582">
      <c r="C582" s="349"/>
    </row>
    <row r="583">
      <c r="C583" s="349"/>
    </row>
    <row r="584">
      <c r="C584" s="349"/>
    </row>
    <row r="585">
      <c r="C585" s="349"/>
    </row>
    <row r="586">
      <c r="C586" s="349"/>
    </row>
    <row r="587">
      <c r="C587" s="349"/>
    </row>
    <row r="588">
      <c r="C588" s="349"/>
    </row>
    <row r="589">
      <c r="C589" s="349"/>
    </row>
    <row r="590">
      <c r="C590" s="349"/>
    </row>
    <row r="591">
      <c r="C591" s="349"/>
    </row>
    <row r="592">
      <c r="C592" s="349"/>
    </row>
    <row r="593">
      <c r="C593" s="349"/>
    </row>
    <row r="594">
      <c r="C594" s="349"/>
    </row>
    <row r="595">
      <c r="C595" s="349"/>
    </row>
    <row r="596">
      <c r="C596" s="349"/>
    </row>
    <row r="597">
      <c r="C597" s="349"/>
    </row>
    <row r="598">
      <c r="C598" s="349"/>
    </row>
    <row r="599">
      <c r="C599" s="349"/>
    </row>
    <row r="600">
      <c r="C600" s="349"/>
    </row>
    <row r="601">
      <c r="C601" s="349"/>
    </row>
    <row r="602">
      <c r="C602" s="349"/>
    </row>
    <row r="603">
      <c r="C603" s="349"/>
    </row>
    <row r="604">
      <c r="C604" s="349"/>
    </row>
    <row r="605">
      <c r="C605" s="349"/>
    </row>
    <row r="606">
      <c r="C606" s="349"/>
    </row>
    <row r="607">
      <c r="C607" s="349"/>
    </row>
    <row r="608">
      <c r="C608" s="349"/>
    </row>
    <row r="609">
      <c r="C609" s="349"/>
    </row>
    <row r="610">
      <c r="C610" s="349"/>
    </row>
    <row r="611">
      <c r="C611" s="349"/>
    </row>
    <row r="612">
      <c r="C612" s="349"/>
    </row>
    <row r="613">
      <c r="C613" s="349"/>
    </row>
    <row r="614">
      <c r="C614" s="349"/>
    </row>
    <row r="615">
      <c r="C615" s="349"/>
    </row>
    <row r="616">
      <c r="C616" s="349"/>
    </row>
    <row r="617">
      <c r="C617" s="349"/>
    </row>
    <row r="618">
      <c r="C618" s="349"/>
    </row>
    <row r="619">
      <c r="C619" s="349"/>
    </row>
    <row r="620">
      <c r="C620" s="349"/>
    </row>
    <row r="621">
      <c r="C621" s="349"/>
    </row>
    <row r="622">
      <c r="C622" s="349"/>
    </row>
    <row r="623">
      <c r="C623" s="349"/>
    </row>
    <row r="624">
      <c r="C624" s="349"/>
    </row>
    <row r="625">
      <c r="C625" s="349"/>
    </row>
    <row r="626">
      <c r="C626" s="349"/>
    </row>
    <row r="627">
      <c r="C627" s="349"/>
    </row>
    <row r="628">
      <c r="C628" s="349"/>
    </row>
    <row r="629">
      <c r="C629" s="349"/>
    </row>
    <row r="630">
      <c r="C630" s="349"/>
    </row>
    <row r="631">
      <c r="C631" s="349"/>
    </row>
    <row r="632">
      <c r="C632" s="349"/>
    </row>
    <row r="633">
      <c r="C633" s="349"/>
    </row>
    <row r="634">
      <c r="C634" s="349"/>
    </row>
    <row r="635">
      <c r="C635" s="349"/>
    </row>
    <row r="636">
      <c r="C636" s="349"/>
    </row>
    <row r="637">
      <c r="C637" s="349"/>
    </row>
    <row r="638">
      <c r="C638" s="349"/>
    </row>
    <row r="639">
      <c r="C639" s="349"/>
    </row>
    <row r="640">
      <c r="C640" s="349"/>
    </row>
    <row r="641">
      <c r="C641" s="349"/>
    </row>
    <row r="642">
      <c r="C642" s="349"/>
    </row>
    <row r="643">
      <c r="C643" s="349"/>
    </row>
    <row r="644">
      <c r="C644" s="349"/>
    </row>
    <row r="645">
      <c r="C645" s="349"/>
    </row>
    <row r="646">
      <c r="C646" s="349"/>
    </row>
    <row r="647">
      <c r="C647" s="349"/>
    </row>
    <row r="648">
      <c r="C648" s="349"/>
    </row>
    <row r="649">
      <c r="C649" s="349"/>
    </row>
    <row r="650">
      <c r="C650" s="349"/>
    </row>
    <row r="651">
      <c r="C651" s="349"/>
    </row>
    <row r="652">
      <c r="C652" s="349"/>
    </row>
    <row r="653">
      <c r="C653" s="349"/>
    </row>
    <row r="654">
      <c r="C654" s="349"/>
    </row>
    <row r="655">
      <c r="C655" s="349"/>
    </row>
    <row r="656">
      <c r="C656" s="349"/>
    </row>
    <row r="657">
      <c r="C657" s="349"/>
    </row>
    <row r="658">
      <c r="C658" s="349"/>
    </row>
    <row r="659">
      <c r="C659" s="349"/>
    </row>
    <row r="660">
      <c r="C660" s="349"/>
    </row>
    <row r="661">
      <c r="C661" s="349"/>
    </row>
    <row r="662">
      <c r="C662" s="349"/>
    </row>
    <row r="663">
      <c r="C663" s="349"/>
    </row>
    <row r="664">
      <c r="C664" s="349"/>
    </row>
    <row r="665">
      <c r="C665" s="349"/>
    </row>
    <row r="666">
      <c r="C666" s="349"/>
    </row>
    <row r="667">
      <c r="C667" s="349"/>
    </row>
    <row r="668">
      <c r="C668" s="349"/>
    </row>
    <row r="669">
      <c r="C669" s="349"/>
    </row>
    <row r="670">
      <c r="C670" s="349"/>
    </row>
    <row r="671">
      <c r="C671" s="349"/>
    </row>
    <row r="672">
      <c r="C672" s="349"/>
    </row>
    <row r="673">
      <c r="C673" s="349"/>
    </row>
    <row r="674">
      <c r="C674" s="349"/>
    </row>
    <row r="675">
      <c r="C675" s="349"/>
    </row>
    <row r="676">
      <c r="C676" s="349"/>
    </row>
    <row r="677">
      <c r="C677" s="349"/>
    </row>
    <row r="678">
      <c r="C678" s="349"/>
    </row>
    <row r="679">
      <c r="C679" s="349"/>
    </row>
    <row r="680">
      <c r="C680" s="349"/>
    </row>
    <row r="681">
      <c r="C681" s="349"/>
    </row>
    <row r="682">
      <c r="C682" s="349"/>
    </row>
    <row r="683">
      <c r="C683" s="349"/>
    </row>
    <row r="684">
      <c r="C684" s="349"/>
    </row>
    <row r="685">
      <c r="C685" s="349"/>
    </row>
    <row r="686">
      <c r="C686" s="349"/>
    </row>
    <row r="687">
      <c r="C687" s="349"/>
    </row>
    <row r="688">
      <c r="C688" s="349"/>
    </row>
    <row r="689">
      <c r="C689" s="349"/>
    </row>
    <row r="690">
      <c r="C690" s="349"/>
    </row>
    <row r="691">
      <c r="C691" s="349"/>
    </row>
    <row r="692">
      <c r="C692" s="349"/>
    </row>
    <row r="693">
      <c r="C693" s="349"/>
    </row>
    <row r="694">
      <c r="C694" s="349"/>
    </row>
    <row r="695">
      <c r="C695" s="349"/>
    </row>
    <row r="696">
      <c r="C696" s="349"/>
    </row>
    <row r="697">
      <c r="C697" s="349"/>
    </row>
    <row r="698">
      <c r="C698" s="349"/>
    </row>
    <row r="699">
      <c r="C699" s="349"/>
    </row>
    <row r="700">
      <c r="C700" s="349"/>
    </row>
    <row r="701">
      <c r="C701" s="349"/>
    </row>
    <row r="702">
      <c r="C702" s="349"/>
    </row>
    <row r="703">
      <c r="C703" s="349"/>
    </row>
    <row r="704">
      <c r="C704" s="349"/>
    </row>
    <row r="705">
      <c r="C705" s="349"/>
    </row>
    <row r="706">
      <c r="C706" s="349"/>
    </row>
    <row r="707">
      <c r="C707" s="349"/>
    </row>
    <row r="708">
      <c r="C708" s="349"/>
    </row>
    <row r="709">
      <c r="C709" s="349"/>
    </row>
    <row r="710">
      <c r="C710" s="349"/>
    </row>
    <row r="711">
      <c r="C711" s="349"/>
    </row>
    <row r="712">
      <c r="C712" s="349"/>
    </row>
    <row r="713">
      <c r="C713" s="349"/>
    </row>
    <row r="714">
      <c r="C714" s="349"/>
    </row>
    <row r="715">
      <c r="C715" s="349"/>
    </row>
    <row r="716">
      <c r="C716" s="349"/>
    </row>
    <row r="717">
      <c r="C717" s="349"/>
    </row>
    <row r="718">
      <c r="C718" s="349"/>
    </row>
    <row r="719">
      <c r="C719" s="349"/>
    </row>
    <row r="720">
      <c r="C720" s="349"/>
    </row>
    <row r="721">
      <c r="C721" s="349"/>
    </row>
    <row r="722">
      <c r="C722" s="349"/>
    </row>
    <row r="723">
      <c r="C723" s="349"/>
    </row>
    <row r="724">
      <c r="C724" s="349"/>
    </row>
    <row r="725">
      <c r="C725" s="349"/>
    </row>
    <row r="726">
      <c r="C726" s="349"/>
    </row>
    <row r="727">
      <c r="C727" s="349"/>
    </row>
    <row r="728">
      <c r="C728" s="349"/>
    </row>
    <row r="729">
      <c r="C729" s="349"/>
    </row>
    <row r="730">
      <c r="C730" s="349"/>
    </row>
    <row r="731">
      <c r="C731" s="349"/>
    </row>
    <row r="732">
      <c r="C732" s="349"/>
    </row>
    <row r="733">
      <c r="C733" s="349"/>
    </row>
    <row r="734">
      <c r="C734" s="349"/>
    </row>
    <row r="735">
      <c r="C735" s="349"/>
    </row>
    <row r="736">
      <c r="C736" s="349"/>
    </row>
    <row r="737">
      <c r="C737" s="349"/>
    </row>
    <row r="738">
      <c r="C738" s="349"/>
    </row>
    <row r="739">
      <c r="C739" s="349"/>
    </row>
    <row r="740">
      <c r="C740" s="349"/>
    </row>
    <row r="741">
      <c r="C741" s="349"/>
    </row>
    <row r="742">
      <c r="C742" s="349"/>
    </row>
    <row r="743">
      <c r="C743" s="349"/>
    </row>
    <row r="744">
      <c r="C744" s="349"/>
    </row>
    <row r="745">
      <c r="C745" s="349"/>
    </row>
    <row r="746">
      <c r="C746" s="349"/>
    </row>
    <row r="747">
      <c r="C747" s="349"/>
    </row>
    <row r="748">
      <c r="C748" s="349"/>
    </row>
    <row r="749">
      <c r="C749" s="349"/>
    </row>
    <row r="750">
      <c r="C750" s="349"/>
    </row>
    <row r="751">
      <c r="C751" s="349"/>
    </row>
    <row r="752">
      <c r="C752" s="349"/>
    </row>
    <row r="753">
      <c r="C753" s="349"/>
    </row>
    <row r="754">
      <c r="C754" s="349"/>
    </row>
    <row r="755">
      <c r="C755" s="349"/>
    </row>
    <row r="756">
      <c r="C756" s="349"/>
    </row>
    <row r="757">
      <c r="C757" s="349"/>
    </row>
    <row r="758">
      <c r="C758" s="349"/>
    </row>
    <row r="759">
      <c r="C759" s="349"/>
    </row>
    <row r="760">
      <c r="C760" s="349"/>
    </row>
    <row r="761">
      <c r="C761" s="349"/>
    </row>
    <row r="762">
      <c r="C762" s="349"/>
    </row>
    <row r="763">
      <c r="C763" s="349"/>
    </row>
    <row r="764">
      <c r="C764" s="349"/>
    </row>
    <row r="765">
      <c r="C765" s="349"/>
    </row>
    <row r="766">
      <c r="C766" s="349"/>
    </row>
    <row r="767">
      <c r="C767" s="349"/>
    </row>
    <row r="768">
      <c r="C768" s="349"/>
    </row>
    <row r="769">
      <c r="C769" s="349"/>
    </row>
    <row r="770">
      <c r="C770" s="349"/>
    </row>
    <row r="771">
      <c r="C771" s="349"/>
    </row>
    <row r="772">
      <c r="C772" s="349"/>
    </row>
    <row r="773">
      <c r="C773" s="349"/>
    </row>
    <row r="774">
      <c r="C774" s="349"/>
    </row>
    <row r="775">
      <c r="C775" s="349"/>
    </row>
    <row r="776">
      <c r="C776" s="349"/>
    </row>
    <row r="777">
      <c r="C777" s="349"/>
    </row>
    <row r="778">
      <c r="C778" s="349"/>
    </row>
    <row r="779">
      <c r="C779" s="349"/>
    </row>
    <row r="780">
      <c r="C780" s="349"/>
    </row>
    <row r="781">
      <c r="C781" s="349"/>
    </row>
    <row r="782">
      <c r="C782" s="349"/>
    </row>
    <row r="783">
      <c r="C783" s="349"/>
    </row>
    <row r="784">
      <c r="C784" s="349"/>
    </row>
    <row r="785">
      <c r="C785" s="349"/>
    </row>
    <row r="786">
      <c r="C786" s="349"/>
    </row>
    <row r="787">
      <c r="C787" s="349"/>
    </row>
    <row r="788">
      <c r="C788" s="349"/>
    </row>
    <row r="789">
      <c r="C789" s="349"/>
    </row>
    <row r="790">
      <c r="C790" s="349"/>
    </row>
    <row r="791">
      <c r="C791" s="349"/>
    </row>
    <row r="792">
      <c r="C792" s="349"/>
    </row>
    <row r="793">
      <c r="C793" s="349"/>
    </row>
    <row r="794">
      <c r="C794" s="349"/>
    </row>
    <row r="795">
      <c r="C795" s="349"/>
    </row>
    <row r="796">
      <c r="C796" s="349"/>
    </row>
    <row r="797">
      <c r="C797" s="349"/>
    </row>
    <row r="798">
      <c r="C798" s="349"/>
    </row>
    <row r="799">
      <c r="C799" s="349"/>
    </row>
    <row r="800">
      <c r="C800" s="349"/>
    </row>
    <row r="801">
      <c r="C801" s="349"/>
    </row>
    <row r="802">
      <c r="C802" s="349"/>
    </row>
    <row r="803">
      <c r="C803" s="349"/>
    </row>
    <row r="804">
      <c r="C804" s="349"/>
    </row>
    <row r="805">
      <c r="C805" s="349"/>
    </row>
    <row r="806">
      <c r="C806" s="349"/>
    </row>
    <row r="807">
      <c r="C807" s="349"/>
    </row>
    <row r="808">
      <c r="C808" s="349"/>
    </row>
    <row r="809">
      <c r="C809" s="349"/>
    </row>
    <row r="810">
      <c r="C810" s="349"/>
    </row>
    <row r="811">
      <c r="C811" s="349"/>
    </row>
    <row r="812">
      <c r="C812" s="349"/>
    </row>
    <row r="813">
      <c r="C813" s="349"/>
    </row>
    <row r="814">
      <c r="C814" s="349"/>
    </row>
    <row r="815">
      <c r="C815" s="349"/>
    </row>
    <row r="816">
      <c r="C816" s="349"/>
    </row>
    <row r="817">
      <c r="C817" s="349"/>
    </row>
    <row r="818">
      <c r="C818" s="349"/>
    </row>
    <row r="819">
      <c r="C819" s="349"/>
    </row>
    <row r="820">
      <c r="C820" s="349"/>
    </row>
    <row r="821">
      <c r="C821" s="349"/>
    </row>
    <row r="822">
      <c r="C822" s="349"/>
    </row>
    <row r="823">
      <c r="C823" s="349"/>
    </row>
    <row r="824">
      <c r="C824" s="349"/>
    </row>
    <row r="825">
      <c r="C825" s="349"/>
    </row>
    <row r="826">
      <c r="C826" s="349"/>
    </row>
    <row r="827">
      <c r="C827" s="349"/>
    </row>
    <row r="828">
      <c r="C828" s="349"/>
    </row>
    <row r="829">
      <c r="C829" s="349"/>
    </row>
    <row r="830">
      <c r="C830" s="349"/>
    </row>
    <row r="831">
      <c r="C831" s="349"/>
    </row>
    <row r="832">
      <c r="C832" s="349"/>
    </row>
    <row r="833">
      <c r="C833" s="349"/>
    </row>
    <row r="834">
      <c r="C834" s="349"/>
    </row>
    <row r="835">
      <c r="C835" s="349"/>
    </row>
    <row r="836">
      <c r="C836" s="349"/>
    </row>
    <row r="837">
      <c r="C837" s="349"/>
    </row>
    <row r="838">
      <c r="C838" s="349"/>
    </row>
    <row r="839">
      <c r="C839" s="349"/>
    </row>
    <row r="840">
      <c r="C840" s="349"/>
    </row>
    <row r="841">
      <c r="C841" s="349"/>
    </row>
    <row r="842">
      <c r="C842" s="349"/>
    </row>
    <row r="843">
      <c r="C843" s="349"/>
    </row>
    <row r="844">
      <c r="C844" s="349"/>
    </row>
    <row r="845">
      <c r="C845" s="349"/>
    </row>
    <row r="846">
      <c r="C846" s="349"/>
    </row>
    <row r="847">
      <c r="C847" s="349"/>
    </row>
    <row r="848">
      <c r="C848" s="349"/>
    </row>
    <row r="849">
      <c r="C849" s="349"/>
    </row>
    <row r="850">
      <c r="C850" s="349"/>
    </row>
    <row r="851">
      <c r="C851" s="349"/>
    </row>
    <row r="852">
      <c r="C852" s="349"/>
    </row>
    <row r="853">
      <c r="C853" s="349"/>
    </row>
    <row r="854">
      <c r="C854" s="349"/>
    </row>
    <row r="855">
      <c r="C855" s="349"/>
    </row>
    <row r="856">
      <c r="C856" s="349"/>
    </row>
    <row r="857">
      <c r="C857" s="349"/>
    </row>
    <row r="858">
      <c r="C858" s="349"/>
    </row>
    <row r="859">
      <c r="C859" s="349"/>
    </row>
    <row r="860">
      <c r="C860" s="349"/>
    </row>
    <row r="861">
      <c r="C861" s="349"/>
    </row>
    <row r="862">
      <c r="C862" s="349"/>
    </row>
    <row r="863">
      <c r="C863" s="349"/>
    </row>
    <row r="864">
      <c r="C864" s="349"/>
    </row>
    <row r="865">
      <c r="C865" s="349"/>
    </row>
    <row r="866">
      <c r="C866" s="349"/>
    </row>
    <row r="867">
      <c r="C867" s="349"/>
    </row>
    <row r="868">
      <c r="C868" s="349"/>
    </row>
    <row r="869">
      <c r="C869" s="349"/>
    </row>
    <row r="870">
      <c r="C870" s="349"/>
    </row>
    <row r="871">
      <c r="C871" s="349"/>
    </row>
    <row r="872">
      <c r="C872" s="349"/>
    </row>
    <row r="873">
      <c r="C873" s="349"/>
    </row>
    <row r="874">
      <c r="C874" s="349"/>
    </row>
    <row r="875">
      <c r="C875" s="349"/>
    </row>
    <row r="876">
      <c r="C876" s="349"/>
    </row>
    <row r="877">
      <c r="C877" s="349"/>
    </row>
    <row r="878">
      <c r="C878" s="349"/>
    </row>
    <row r="879">
      <c r="C879" s="349"/>
    </row>
    <row r="880">
      <c r="C880" s="349"/>
    </row>
    <row r="881">
      <c r="C881" s="349"/>
    </row>
    <row r="882">
      <c r="C882" s="349"/>
    </row>
    <row r="883">
      <c r="C883" s="349"/>
    </row>
    <row r="884">
      <c r="C884" s="349"/>
    </row>
    <row r="885">
      <c r="C885" s="349"/>
    </row>
    <row r="886">
      <c r="C886" s="349"/>
    </row>
    <row r="887">
      <c r="C887" s="349"/>
    </row>
    <row r="888">
      <c r="C888" s="349"/>
    </row>
    <row r="889">
      <c r="C889" s="349"/>
    </row>
    <row r="890">
      <c r="C890" s="349"/>
    </row>
    <row r="891">
      <c r="C891" s="349"/>
    </row>
    <row r="892">
      <c r="C892" s="349"/>
    </row>
    <row r="893">
      <c r="C893" s="349"/>
    </row>
    <row r="894">
      <c r="C894" s="349"/>
    </row>
    <row r="895">
      <c r="C895" s="349"/>
    </row>
    <row r="896">
      <c r="C896" s="349"/>
    </row>
    <row r="897">
      <c r="C897" s="349"/>
    </row>
    <row r="898">
      <c r="C898" s="349"/>
    </row>
    <row r="899">
      <c r="C899" s="349"/>
    </row>
    <row r="900">
      <c r="C900" s="349"/>
    </row>
    <row r="901">
      <c r="C901" s="349"/>
    </row>
    <row r="902">
      <c r="C902" s="349"/>
    </row>
    <row r="903">
      <c r="C903" s="349"/>
    </row>
    <row r="904">
      <c r="C904" s="349"/>
    </row>
    <row r="905">
      <c r="C905" s="349"/>
    </row>
    <row r="906">
      <c r="C906" s="349"/>
    </row>
    <row r="907">
      <c r="C907" s="349"/>
    </row>
    <row r="908">
      <c r="C908" s="349"/>
    </row>
    <row r="909">
      <c r="C909" s="349"/>
    </row>
    <row r="910">
      <c r="C910" s="349"/>
    </row>
    <row r="911">
      <c r="C911" s="349"/>
    </row>
    <row r="912">
      <c r="C912" s="349"/>
    </row>
    <row r="913">
      <c r="C913" s="349"/>
    </row>
    <row r="914">
      <c r="C914" s="349"/>
    </row>
    <row r="915">
      <c r="C915" s="349"/>
    </row>
    <row r="916">
      <c r="C916" s="349"/>
    </row>
    <row r="917">
      <c r="C917" s="349"/>
    </row>
    <row r="918">
      <c r="C918" s="349"/>
    </row>
    <row r="919">
      <c r="C919" s="349"/>
    </row>
    <row r="920">
      <c r="C920" s="349"/>
    </row>
    <row r="921">
      <c r="C921" s="349"/>
    </row>
    <row r="922">
      <c r="C922" s="349"/>
    </row>
    <row r="923">
      <c r="C923" s="349"/>
    </row>
    <row r="924">
      <c r="C924" s="349"/>
    </row>
    <row r="925">
      <c r="C925" s="349"/>
    </row>
    <row r="926">
      <c r="C926" s="349"/>
    </row>
    <row r="927">
      <c r="C927" s="349"/>
    </row>
    <row r="928">
      <c r="C928" s="349"/>
    </row>
    <row r="929">
      <c r="C929" s="349"/>
    </row>
    <row r="930">
      <c r="C930" s="349"/>
    </row>
    <row r="931">
      <c r="C931" s="349"/>
    </row>
    <row r="932">
      <c r="C932" s="349"/>
    </row>
    <row r="933">
      <c r="C933" s="349"/>
    </row>
    <row r="934">
      <c r="C934" s="349"/>
    </row>
    <row r="935">
      <c r="C935" s="349"/>
    </row>
    <row r="936">
      <c r="C936" s="349"/>
    </row>
    <row r="937">
      <c r="C937" s="349"/>
    </row>
    <row r="938">
      <c r="C938" s="349"/>
    </row>
    <row r="939">
      <c r="C939" s="349"/>
    </row>
    <row r="940">
      <c r="C940" s="349"/>
    </row>
    <row r="941">
      <c r="C941" s="349"/>
    </row>
    <row r="942">
      <c r="C942" s="349"/>
    </row>
    <row r="943">
      <c r="C943" s="349"/>
    </row>
    <row r="944">
      <c r="C944" s="349"/>
    </row>
    <row r="945">
      <c r="C945" s="349"/>
    </row>
    <row r="946">
      <c r="C946" s="349"/>
    </row>
    <row r="947">
      <c r="C947" s="349"/>
    </row>
    <row r="948">
      <c r="C948" s="349"/>
    </row>
    <row r="949">
      <c r="C949" s="349"/>
    </row>
    <row r="950">
      <c r="C950" s="349"/>
    </row>
    <row r="951">
      <c r="C951" s="349"/>
    </row>
    <row r="952">
      <c r="C952" s="349"/>
    </row>
    <row r="953">
      <c r="C953" s="349"/>
    </row>
    <row r="954">
      <c r="C954" s="349"/>
    </row>
    <row r="955">
      <c r="C955" s="349"/>
    </row>
    <row r="956">
      <c r="C956" s="349"/>
    </row>
    <row r="957">
      <c r="C957" s="349"/>
    </row>
    <row r="958">
      <c r="C958" s="349"/>
    </row>
    <row r="959">
      <c r="C959" s="349"/>
    </row>
    <row r="960">
      <c r="C960" s="349"/>
    </row>
    <row r="961">
      <c r="C961" s="349"/>
    </row>
    <row r="962">
      <c r="C962" s="349"/>
    </row>
    <row r="963">
      <c r="C963" s="349"/>
    </row>
    <row r="964">
      <c r="C964" s="349"/>
    </row>
    <row r="965">
      <c r="C965" s="349"/>
    </row>
    <row r="966">
      <c r="C966" s="349"/>
    </row>
    <row r="967">
      <c r="C967" s="349"/>
    </row>
    <row r="968">
      <c r="C968" s="349"/>
    </row>
    <row r="969">
      <c r="C969" s="349"/>
    </row>
    <row r="970">
      <c r="C970" s="349"/>
    </row>
    <row r="971">
      <c r="C971" s="349"/>
    </row>
    <row r="972">
      <c r="C972" s="349"/>
    </row>
    <row r="973">
      <c r="C973" s="349"/>
    </row>
    <row r="974">
      <c r="C974" s="349"/>
    </row>
    <row r="975">
      <c r="C975" s="349"/>
    </row>
    <row r="976">
      <c r="C976" s="349"/>
    </row>
    <row r="977">
      <c r="C977" s="349"/>
    </row>
    <row r="978">
      <c r="C978" s="349"/>
    </row>
    <row r="979">
      <c r="C979" s="349"/>
    </row>
    <row r="980">
      <c r="C980" s="349"/>
    </row>
    <row r="981">
      <c r="C981" s="349"/>
    </row>
    <row r="982">
      <c r="C982" s="349"/>
    </row>
    <row r="983">
      <c r="C983" s="349"/>
    </row>
    <row r="984">
      <c r="C984" s="349"/>
    </row>
    <row r="985">
      <c r="C985" s="349"/>
    </row>
    <row r="986">
      <c r="C986" s="349"/>
    </row>
    <row r="987">
      <c r="C987" s="349"/>
    </row>
    <row r="988">
      <c r="C988" s="349"/>
    </row>
    <row r="989">
      <c r="C989" s="349"/>
    </row>
    <row r="990">
      <c r="C990" s="349"/>
    </row>
    <row r="991">
      <c r="C991" s="349"/>
    </row>
    <row r="992">
      <c r="C992" s="349"/>
    </row>
    <row r="993">
      <c r="C993" s="349"/>
    </row>
    <row r="994">
      <c r="C994" s="349"/>
    </row>
    <row r="995">
      <c r="C995" s="349"/>
    </row>
  </sheetData>
  <dataValidations>
    <dataValidation type="list" allowBlank="1" showErrorMessage="1" sqref="G2:G42">
      <formula1>"Critical,High,Low,Medium"</formula1>
    </dataValidation>
  </dataValidations>
  <drawing r:id="rId1"/>
  <tableParts count="4">
    <tablePart r:id="rId6"/>
    <tablePart r:id="rId7"/>
    <tablePart r:id="rId8"/>
    <tablePart r:id="rId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4" max="4" width="14.63"/>
  </cols>
  <sheetData>
    <row r="1">
      <c r="A1" s="325" t="s">
        <v>3387</v>
      </c>
      <c r="G1" s="350"/>
      <c r="H1" s="350"/>
      <c r="I1" s="350"/>
      <c r="J1" s="350"/>
      <c r="K1" s="350"/>
      <c r="L1" s="350"/>
    </row>
    <row r="2">
      <c r="A2" s="296"/>
      <c r="B2" s="296"/>
      <c r="C2" s="296"/>
      <c r="D2" s="296"/>
      <c r="E2" s="296"/>
      <c r="F2" s="296"/>
      <c r="G2" s="351"/>
      <c r="H2" s="351"/>
      <c r="I2" s="351"/>
      <c r="J2" s="351"/>
      <c r="K2" s="351"/>
      <c r="L2" s="351"/>
    </row>
    <row r="3">
      <c r="A3" s="296"/>
      <c r="B3" s="296"/>
      <c r="C3" s="296"/>
      <c r="D3" s="296"/>
      <c r="E3" s="296"/>
      <c r="F3" s="296"/>
      <c r="G3" s="351"/>
      <c r="H3" s="351"/>
      <c r="I3" s="351"/>
      <c r="J3" s="351"/>
      <c r="K3" s="351"/>
      <c r="L3" s="351"/>
    </row>
    <row r="4">
      <c r="A4" s="296"/>
      <c r="B4" s="296"/>
      <c r="C4" s="296"/>
      <c r="D4" s="296"/>
      <c r="E4" s="296"/>
      <c r="F4" s="296"/>
      <c r="G4" s="351"/>
      <c r="H4" s="351"/>
      <c r="I4" s="351"/>
      <c r="J4" s="351"/>
      <c r="K4" s="351"/>
      <c r="L4" s="351"/>
    </row>
    <row r="5">
      <c r="A5" s="352" t="s">
        <v>3388</v>
      </c>
      <c r="G5" s="353"/>
      <c r="H5" s="353"/>
      <c r="I5" s="353"/>
      <c r="J5" s="353"/>
      <c r="K5" s="353"/>
      <c r="L5" s="353"/>
    </row>
    <row r="6">
      <c r="A6" s="354" t="s">
        <v>3257</v>
      </c>
      <c r="B6" s="354" t="s">
        <v>3389</v>
      </c>
      <c r="C6" s="354" t="s">
        <v>3390</v>
      </c>
      <c r="D6" s="354" t="s">
        <v>3391</v>
      </c>
      <c r="E6" s="296"/>
      <c r="F6" s="296"/>
      <c r="G6" s="351"/>
      <c r="H6" s="351"/>
      <c r="I6" s="351"/>
      <c r="J6" s="351"/>
      <c r="K6" s="351"/>
      <c r="L6" s="351"/>
    </row>
    <row r="7">
      <c r="A7" s="355" t="s">
        <v>3392</v>
      </c>
      <c r="B7" s="331">
        <v>286.0</v>
      </c>
      <c r="C7" s="331">
        <v>313.0</v>
      </c>
      <c r="D7" s="356">
        <v>27.0</v>
      </c>
      <c r="E7" s="296"/>
      <c r="F7" s="296"/>
      <c r="G7" s="351"/>
      <c r="H7" s="351"/>
      <c r="I7" s="351"/>
      <c r="J7" s="351"/>
      <c r="K7" s="351"/>
      <c r="L7" s="351"/>
    </row>
    <row r="8">
      <c r="A8" s="357" t="s">
        <v>16</v>
      </c>
      <c r="B8" s="358" t="s">
        <v>3393</v>
      </c>
      <c r="C8" s="356" t="s">
        <v>3394</v>
      </c>
      <c r="D8" s="359">
        <f>+45</f>
        <v>45</v>
      </c>
      <c r="E8" s="296"/>
      <c r="F8" s="296"/>
      <c r="G8" s="351"/>
      <c r="H8" s="351"/>
      <c r="I8" s="351"/>
      <c r="J8" s="351"/>
      <c r="K8" s="351"/>
      <c r="L8" s="351"/>
    </row>
    <row r="9">
      <c r="A9" s="355" t="s">
        <v>11</v>
      </c>
      <c r="B9" s="360" t="s">
        <v>3395</v>
      </c>
      <c r="C9" s="331" t="s">
        <v>3396</v>
      </c>
      <c r="D9" s="331">
        <v>-18.0</v>
      </c>
      <c r="E9" s="296"/>
      <c r="F9" s="296"/>
      <c r="G9" s="351"/>
      <c r="H9" s="351"/>
      <c r="I9" s="351"/>
      <c r="J9" s="351"/>
      <c r="K9" s="351"/>
      <c r="L9" s="351"/>
    </row>
    <row r="10">
      <c r="A10" s="357" t="s">
        <v>2725</v>
      </c>
      <c r="B10" s="358" t="s">
        <v>3396</v>
      </c>
      <c r="C10" s="358" t="s">
        <v>3396</v>
      </c>
      <c r="D10" s="356" t="s">
        <v>3397</v>
      </c>
      <c r="E10" s="296"/>
      <c r="F10" s="296"/>
      <c r="G10" s="351"/>
      <c r="H10" s="351"/>
      <c r="I10" s="351"/>
      <c r="J10" s="351"/>
      <c r="K10" s="351"/>
      <c r="L10" s="351"/>
    </row>
    <row r="11">
      <c r="A11" s="355" t="s">
        <v>3273</v>
      </c>
      <c r="B11" s="361">
        <v>1.0</v>
      </c>
      <c r="C11" s="362">
        <v>1.0</v>
      </c>
      <c r="D11" s="356" t="s">
        <v>3397</v>
      </c>
      <c r="E11" s="296"/>
      <c r="F11" s="296"/>
      <c r="G11" s="351"/>
      <c r="H11" s="351"/>
      <c r="I11" s="351"/>
      <c r="J11" s="351"/>
      <c r="K11" s="351"/>
      <c r="L11" s="351"/>
    </row>
    <row r="12">
      <c r="A12" s="296"/>
      <c r="B12" s="296"/>
      <c r="C12" s="296"/>
      <c r="D12" s="296"/>
      <c r="E12" s="296"/>
      <c r="F12" s="296"/>
      <c r="G12" s="351"/>
      <c r="H12" s="351"/>
      <c r="I12" s="351"/>
      <c r="J12" s="351"/>
      <c r="K12" s="351"/>
      <c r="L12" s="351"/>
    </row>
    <row r="13">
      <c r="A13" s="352" t="s">
        <v>3398</v>
      </c>
      <c r="G13" s="353"/>
      <c r="H13" s="353"/>
      <c r="I13" s="353"/>
      <c r="J13" s="353"/>
      <c r="K13" s="353"/>
      <c r="L13" s="353"/>
    </row>
    <row r="14">
      <c r="A14" s="363" t="s">
        <v>6</v>
      </c>
      <c r="B14" s="363" t="s">
        <v>3399</v>
      </c>
      <c r="C14" s="363" t="s">
        <v>3400</v>
      </c>
      <c r="D14" s="363" t="s">
        <v>3401</v>
      </c>
      <c r="E14" s="363" t="s">
        <v>3402</v>
      </c>
      <c r="F14" s="363" t="s">
        <v>3403</v>
      </c>
      <c r="G14" s="351"/>
      <c r="H14" s="351"/>
      <c r="I14" s="351"/>
      <c r="J14" s="351"/>
      <c r="K14" s="351"/>
      <c r="L14" s="351"/>
    </row>
    <row r="15">
      <c r="A15" s="364" t="s">
        <v>194</v>
      </c>
      <c r="B15" s="364">
        <v>3.0</v>
      </c>
      <c r="C15" s="365" t="s">
        <v>3264</v>
      </c>
      <c r="D15" s="333" t="s">
        <v>3404</v>
      </c>
      <c r="E15" s="333">
        <v>3.0</v>
      </c>
      <c r="F15" s="344">
        <v>1.0</v>
      </c>
      <c r="G15" s="351"/>
      <c r="H15" s="351"/>
      <c r="I15" s="351"/>
      <c r="J15" s="351"/>
      <c r="K15" s="351"/>
      <c r="L15" s="351"/>
    </row>
    <row r="16">
      <c r="A16" s="366" t="s">
        <v>58</v>
      </c>
      <c r="B16" s="366">
        <v>8.0</v>
      </c>
      <c r="C16" s="367" t="s">
        <v>3267</v>
      </c>
      <c r="D16" s="333" t="s">
        <v>3404</v>
      </c>
      <c r="E16" s="333">
        <v>8.0</v>
      </c>
      <c r="F16" s="344">
        <v>1.0</v>
      </c>
      <c r="G16" s="351"/>
      <c r="H16" s="351"/>
      <c r="I16" s="351"/>
      <c r="J16" s="351"/>
      <c r="K16" s="351"/>
      <c r="L16" s="351"/>
    </row>
    <row r="17">
      <c r="A17" s="368" t="s">
        <v>12</v>
      </c>
      <c r="B17" s="368">
        <v>5.0</v>
      </c>
      <c r="C17" s="369" t="s">
        <v>3270</v>
      </c>
      <c r="D17" s="333" t="s">
        <v>3404</v>
      </c>
      <c r="E17" s="333">
        <v>5.0</v>
      </c>
      <c r="F17" s="344">
        <v>1.0</v>
      </c>
      <c r="G17" s="351"/>
      <c r="H17" s="351"/>
      <c r="I17" s="351"/>
      <c r="J17" s="351"/>
      <c r="K17" s="351"/>
      <c r="L17" s="351"/>
    </row>
    <row r="18">
      <c r="A18" s="370" t="s">
        <v>51</v>
      </c>
      <c r="B18" s="370">
        <v>2.0</v>
      </c>
      <c r="C18" s="371" t="s">
        <v>3272</v>
      </c>
      <c r="D18" s="333" t="s">
        <v>3404</v>
      </c>
      <c r="E18" s="333">
        <v>2.0</v>
      </c>
      <c r="F18" s="344">
        <v>1.0</v>
      </c>
      <c r="G18" s="351"/>
      <c r="H18" s="351"/>
      <c r="I18" s="351"/>
      <c r="J18" s="351"/>
      <c r="K18" s="351"/>
      <c r="L18" s="351"/>
    </row>
    <row r="19">
      <c r="A19" s="372" t="s">
        <v>3405</v>
      </c>
      <c r="B19" s="372">
        <v>18.0</v>
      </c>
      <c r="C19" s="373">
        <v>1.0</v>
      </c>
      <c r="D19" s="333" t="s">
        <v>3406</v>
      </c>
      <c r="E19" s="333">
        <v>18.0</v>
      </c>
      <c r="F19" s="344">
        <v>1.0</v>
      </c>
      <c r="G19" s="351"/>
      <c r="H19" s="351"/>
      <c r="I19" s="351"/>
      <c r="J19" s="351"/>
      <c r="K19" s="351"/>
      <c r="L19" s="351"/>
    </row>
    <row r="20">
      <c r="A20" s="296"/>
      <c r="B20" s="296"/>
      <c r="C20" s="296"/>
      <c r="D20" s="296"/>
      <c r="E20" s="296"/>
      <c r="F20" s="296"/>
      <c r="G20" s="351"/>
      <c r="H20" s="351"/>
      <c r="I20" s="351"/>
      <c r="J20" s="351"/>
      <c r="K20" s="351"/>
      <c r="L20" s="351"/>
    </row>
    <row r="21">
      <c r="A21" s="352" t="s">
        <v>3407</v>
      </c>
      <c r="G21" s="353"/>
      <c r="H21" s="353"/>
      <c r="I21" s="353"/>
      <c r="J21" s="353"/>
      <c r="K21" s="353"/>
      <c r="L21" s="353"/>
    </row>
    <row r="22">
      <c r="A22" s="363" t="s">
        <v>3408</v>
      </c>
      <c r="B22" s="363" t="s">
        <v>3409</v>
      </c>
      <c r="C22" s="363" t="s">
        <v>3410</v>
      </c>
      <c r="D22" s="363" t="s">
        <v>149</v>
      </c>
      <c r="E22" s="363" t="s">
        <v>4</v>
      </c>
      <c r="F22" s="296"/>
      <c r="G22" s="296"/>
      <c r="H22" s="296"/>
      <c r="I22" s="296"/>
      <c r="J22" s="296"/>
      <c r="K22" s="296"/>
      <c r="L22" s="296"/>
    </row>
    <row r="23">
      <c r="A23" s="374" t="s">
        <v>3411</v>
      </c>
      <c r="B23" s="333" t="s">
        <v>3412</v>
      </c>
      <c r="C23" s="337" t="s">
        <v>3413</v>
      </c>
      <c r="D23" s="333" t="s">
        <v>3414</v>
      </c>
      <c r="E23" s="330" t="s">
        <v>3415</v>
      </c>
      <c r="F23" s="296"/>
      <c r="G23" s="296"/>
      <c r="H23" s="296"/>
      <c r="I23" s="296"/>
      <c r="J23" s="296"/>
      <c r="K23" s="296"/>
      <c r="L23" s="296"/>
    </row>
    <row r="24">
      <c r="A24" s="375" t="s">
        <v>3416</v>
      </c>
      <c r="B24" s="333" t="s">
        <v>3417</v>
      </c>
      <c r="C24" s="376"/>
      <c r="D24" s="333" t="s">
        <v>3414</v>
      </c>
      <c r="E24" s="338" t="s">
        <v>3418</v>
      </c>
      <c r="F24" s="296"/>
      <c r="G24" s="296"/>
      <c r="H24" s="296"/>
      <c r="I24" s="296"/>
      <c r="J24" s="296"/>
      <c r="K24" s="296"/>
      <c r="L24" s="296"/>
    </row>
    <row r="25">
      <c r="A25" s="374" t="s">
        <v>3419</v>
      </c>
      <c r="B25" s="333" t="s">
        <v>3420</v>
      </c>
      <c r="C25" s="337" t="s">
        <v>3421</v>
      </c>
      <c r="D25" s="333" t="s">
        <v>3414</v>
      </c>
      <c r="E25" s="330" t="s">
        <v>3422</v>
      </c>
      <c r="F25" s="296"/>
      <c r="G25" s="296"/>
      <c r="H25" s="296"/>
      <c r="I25" s="296"/>
      <c r="J25" s="296"/>
      <c r="K25" s="296"/>
      <c r="L25" s="296"/>
    </row>
    <row r="26">
      <c r="A26" s="375" t="s">
        <v>3423</v>
      </c>
      <c r="B26" s="333">
        <v>0.0</v>
      </c>
      <c r="C26" s="376"/>
      <c r="D26" s="333" t="s">
        <v>3414</v>
      </c>
      <c r="E26" s="338" t="s">
        <v>3424</v>
      </c>
      <c r="F26" s="296"/>
      <c r="G26" s="296"/>
      <c r="H26" s="296"/>
      <c r="I26" s="296"/>
      <c r="J26" s="296"/>
      <c r="K26" s="296"/>
      <c r="L26" s="296"/>
    </row>
    <row r="27">
      <c r="A27" s="374" t="s">
        <v>3425</v>
      </c>
      <c r="B27" s="333" t="s">
        <v>3426</v>
      </c>
      <c r="C27" s="337" t="s">
        <v>3427</v>
      </c>
      <c r="D27" s="333" t="s">
        <v>3414</v>
      </c>
      <c r="E27" s="330" t="s">
        <v>3428</v>
      </c>
      <c r="F27" s="296"/>
      <c r="G27" s="296"/>
      <c r="H27" s="296"/>
      <c r="I27" s="296"/>
      <c r="J27" s="296"/>
      <c r="K27" s="296"/>
      <c r="L27" s="296"/>
    </row>
    <row r="28">
      <c r="A28" s="375" t="s">
        <v>3429</v>
      </c>
      <c r="B28" s="333">
        <v>0.0</v>
      </c>
      <c r="C28" s="376"/>
      <c r="D28" s="333" t="s">
        <v>3414</v>
      </c>
      <c r="E28" s="338" t="s">
        <v>3430</v>
      </c>
      <c r="F28" s="296"/>
      <c r="G28" s="296"/>
      <c r="H28" s="296"/>
      <c r="I28" s="296"/>
      <c r="J28" s="296"/>
      <c r="K28" s="296"/>
      <c r="L28" s="296"/>
    </row>
    <row r="29">
      <c r="A29" s="374" t="s">
        <v>3431</v>
      </c>
      <c r="B29" s="333" t="s">
        <v>3432</v>
      </c>
      <c r="C29" s="376"/>
      <c r="D29" s="333" t="s">
        <v>3414</v>
      </c>
      <c r="E29" s="330" t="s">
        <v>3433</v>
      </c>
      <c r="F29" s="296"/>
      <c r="G29" s="296"/>
      <c r="H29" s="296"/>
      <c r="I29" s="296"/>
      <c r="J29" s="296"/>
      <c r="K29" s="296"/>
      <c r="L29" s="296"/>
    </row>
    <row r="30">
      <c r="A30" s="296"/>
      <c r="B30" s="296"/>
      <c r="C30" s="296"/>
      <c r="D30" s="296"/>
      <c r="E30" s="296"/>
      <c r="F30" s="296"/>
      <c r="G30" s="296"/>
      <c r="H30" s="351"/>
      <c r="I30" s="351"/>
      <c r="J30" s="351"/>
      <c r="K30" s="351"/>
      <c r="L30" s="351"/>
    </row>
    <row r="31">
      <c r="A31" s="352" t="s">
        <v>3434</v>
      </c>
      <c r="H31" s="353"/>
      <c r="I31" s="353"/>
      <c r="J31" s="353"/>
      <c r="K31" s="353"/>
      <c r="L31" s="353"/>
    </row>
    <row r="32">
      <c r="A32" s="363" t="s">
        <v>3435</v>
      </c>
      <c r="B32" s="363" t="s">
        <v>3436</v>
      </c>
      <c r="C32" s="363" t="s">
        <v>3437</v>
      </c>
      <c r="D32" s="363" t="s">
        <v>3438</v>
      </c>
      <c r="E32" s="363" t="s">
        <v>3439</v>
      </c>
      <c r="F32" s="363" t="s">
        <v>3440</v>
      </c>
      <c r="G32" s="363" t="s">
        <v>149</v>
      </c>
      <c r="H32" s="296"/>
      <c r="I32" s="296"/>
      <c r="J32" s="296"/>
      <c r="K32" s="296"/>
      <c r="L32" s="296"/>
    </row>
    <row r="33">
      <c r="A33" s="330" t="s">
        <v>3279</v>
      </c>
      <c r="B33" s="329">
        <v>9.0</v>
      </c>
      <c r="C33" s="329">
        <v>9.0</v>
      </c>
      <c r="D33" s="329">
        <v>0.0</v>
      </c>
      <c r="E33" s="329">
        <v>0.0</v>
      </c>
      <c r="F33" s="329">
        <v>9.0</v>
      </c>
      <c r="G33" s="333" t="s">
        <v>3441</v>
      </c>
      <c r="H33" s="296"/>
      <c r="I33" s="296"/>
      <c r="J33" s="296"/>
      <c r="K33" s="296"/>
      <c r="L33" s="296"/>
    </row>
    <row r="34">
      <c r="A34" s="338" t="s">
        <v>3280</v>
      </c>
      <c r="B34" s="337">
        <v>9.0</v>
      </c>
      <c r="C34" s="337">
        <v>9.0</v>
      </c>
      <c r="D34" s="337">
        <v>0.0</v>
      </c>
      <c r="E34" s="337">
        <v>0.0</v>
      </c>
      <c r="F34" s="337">
        <v>9.0</v>
      </c>
      <c r="G34" s="333" t="s">
        <v>3441</v>
      </c>
      <c r="H34" s="296"/>
      <c r="I34" s="296"/>
      <c r="J34" s="296"/>
      <c r="K34" s="296"/>
      <c r="L34" s="296"/>
    </row>
    <row r="35">
      <c r="A35" s="330" t="s">
        <v>3281</v>
      </c>
      <c r="B35" s="329">
        <v>11.0</v>
      </c>
      <c r="C35" s="329">
        <v>11.0</v>
      </c>
      <c r="D35" s="329">
        <v>0.0</v>
      </c>
      <c r="E35" s="329">
        <v>0.0</v>
      </c>
      <c r="F35" s="329">
        <v>11.0</v>
      </c>
      <c r="G35" s="333" t="s">
        <v>3441</v>
      </c>
      <c r="H35" s="296"/>
      <c r="I35" s="296"/>
      <c r="J35" s="296"/>
      <c r="K35" s="296"/>
      <c r="L35" s="296"/>
    </row>
    <row r="36">
      <c r="A36" s="375" t="s">
        <v>3282</v>
      </c>
      <c r="B36" s="337">
        <v>13.0</v>
      </c>
      <c r="C36" s="337">
        <v>12.0</v>
      </c>
      <c r="D36" s="377">
        <v>1.0</v>
      </c>
      <c r="E36" s="378">
        <v>1.0</v>
      </c>
      <c r="F36" s="337">
        <v>13.0</v>
      </c>
      <c r="G36" s="333" t="s">
        <v>3196</v>
      </c>
      <c r="H36" s="296"/>
      <c r="I36" s="296"/>
      <c r="J36" s="296"/>
      <c r="K36" s="296"/>
      <c r="L36" s="296"/>
    </row>
    <row r="37">
      <c r="A37" s="330" t="s">
        <v>3283</v>
      </c>
      <c r="B37" s="329">
        <v>14.0</v>
      </c>
      <c r="C37" s="329">
        <v>14.0</v>
      </c>
      <c r="D37" s="329">
        <v>0.0</v>
      </c>
      <c r="E37" s="329">
        <v>0.0</v>
      </c>
      <c r="F37" s="329">
        <v>14.0</v>
      </c>
      <c r="G37" s="333" t="s">
        <v>3441</v>
      </c>
      <c r="H37" s="296"/>
      <c r="I37" s="296"/>
      <c r="J37" s="296"/>
      <c r="K37" s="296"/>
      <c r="L37" s="296"/>
    </row>
    <row r="38">
      <c r="A38" s="338" t="s">
        <v>3284</v>
      </c>
      <c r="B38" s="337">
        <v>13.0</v>
      </c>
      <c r="C38" s="337">
        <v>13.0</v>
      </c>
      <c r="D38" s="337">
        <v>0.0</v>
      </c>
      <c r="E38" s="337">
        <v>0.0</v>
      </c>
      <c r="F38" s="337">
        <v>13.0</v>
      </c>
      <c r="G38" s="333" t="s">
        <v>3441</v>
      </c>
      <c r="H38" s="296"/>
      <c r="I38" s="296"/>
      <c r="J38" s="296"/>
      <c r="K38" s="296"/>
      <c r="L38" s="296"/>
    </row>
    <row r="39">
      <c r="A39" s="374" t="s">
        <v>3285</v>
      </c>
      <c r="B39" s="329">
        <v>10.0</v>
      </c>
      <c r="C39" s="329">
        <v>9.0</v>
      </c>
      <c r="D39" s="377">
        <v>1.0</v>
      </c>
      <c r="E39" s="378">
        <v>1.0</v>
      </c>
      <c r="F39" s="329">
        <v>10.0</v>
      </c>
      <c r="G39" s="333" t="s">
        <v>3196</v>
      </c>
      <c r="H39" s="296"/>
      <c r="I39" s="296"/>
      <c r="J39" s="296"/>
      <c r="K39" s="296"/>
      <c r="L39" s="296"/>
    </row>
    <row r="40">
      <c r="A40" s="375" t="s">
        <v>3286</v>
      </c>
      <c r="B40" s="337">
        <v>13.0</v>
      </c>
      <c r="C40" s="337">
        <v>11.0</v>
      </c>
      <c r="D40" s="377">
        <v>2.0</v>
      </c>
      <c r="E40" s="378">
        <v>2.0</v>
      </c>
      <c r="F40" s="337">
        <v>13.0</v>
      </c>
      <c r="G40" s="333" t="s">
        <v>3196</v>
      </c>
      <c r="H40" s="296"/>
      <c r="I40" s="296"/>
      <c r="J40" s="296"/>
      <c r="K40" s="296"/>
      <c r="L40" s="296"/>
    </row>
    <row r="41">
      <c r="A41" s="374" t="s">
        <v>3287</v>
      </c>
      <c r="B41" s="329">
        <v>16.0</v>
      </c>
      <c r="C41" s="329">
        <v>13.0</v>
      </c>
      <c r="D41" s="377">
        <v>3.0</v>
      </c>
      <c r="E41" s="378">
        <v>3.0</v>
      </c>
      <c r="F41" s="329">
        <v>16.0</v>
      </c>
      <c r="G41" s="333" t="s">
        <v>3196</v>
      </c>
      <c r="H41" s="296"/>
      <c r="I41" s="296"/>
      <c r="J41" s="296"/>
      <c r="K41" s="296"/>
      <c r="L41" s="296"/>
    </row>
    <row r="42">
      <c r="A42" s="338" t="s">
        <v>3288</v>
      </c>
      <c r="B42" s="337">
        <v>8.0</v>
      </c>
      <c r="C42" s="337">
        <v>8.0</v>
      </c>
      <c r="D42" s="337">
        <v>0.0</v>
      </c>
      <c r="E42" s="337">
        <v>0.0</v>
      </c>
      <c r="F42" s="337">
        <v>8.0</v>
      </c>
      <c r="G42" s="333" t="s">
        <v>3441</v>
      </c>
      <c r="H42" s="296"/>
      <c r="I42" s="296"/>
      <c r="J42" s="296"/>
      <c r="K42" s="296"/>
      <c r="L42" s="296"/>
    </row>
    <row r="43">
      <c r="A43" s="330" t="s">
        <v>3289</v>
      </c>
      <c r="B43" s="329">
        <v>12.0</v>
      </c>
      <c r="C43" s="329">
        <v>12.0</v>
      </c>
      <c r="D43" s="329">
        <v>0.0</v>
      </c>
      <c r="E43" s="329">
        <v>0.0</v>
      </c>
      <c r="F43" s="329">
        <v>12.0</v>
      </c>
      <c r="G43" s="333" t="s">
        <v>3441</v>
      </c>
      <c r="H43" s="296"/>
      <c r="I43" s="296"/>
      <c r="J43" s="296"/>
      <c r="K43" s="296"/>
      <c r="L43" s="296"/>
    </row>
    <row r="44">
      <c r="A44" s="375" t="s">
        <v>3290</v>
      </c>
      <c r="B44" s="337">
        <v>20.0</v>
      </c>
      <c r="C44" s="337">
        <v>19.0</v>
      </c>
      <c r="D44" s="377">
        <v>1.0</v>
      </c>
      <c r="E44" s="378">
        <v>1.0</v>
      </c>
      <c r="F44" s="337">
        <v>20.0</v>
      </c>
      <c r="G44" s="333" t="s">
        <v>3196</v>
      </c>
      <c r="H44" s="296"/>
      <c r="I44" s="296"/>
      <c r="J44" s="296"/>
      <c r="K44" s="296"/>
      <c r="L44" s="296"/>
    </row>
    <row r="45">
      <c r="A45" s="374" t="s">
        <v>3291</v>
      </c>
      <c r="B45" s="329">
        <v>24.0</v>
      </c>
      <c r="C45" s="329">
        <v>23.0</v>
      </c>
      <c r="D45" s="377">
        <v>1.0</v>
      </c>
      <c r="E45" s="378">
        <v>1.0</v>
      </c>
      <c r="F45" s="329">
        <v>24.0</v>
      </c>
      <c r="G45" s="333" t="s">
        <v>3196</v>
      </c>
      <c r="H45" s="296"/>
      <c r="I45" s="296"/>
      <c r="J45" s="296"/>
      <c r="K45" s="296"/>
      <c r="L45" s="296"/>
    </row>
    <row r="46">
      <c r="A46" s="338" t="s">
        <v>3442</v>
      </c>
      <c r="B46" s="337">
        <v>18.0</v>
      </c>
      <c r="C46" s="337">
        <v>18.0</v>
      </c>
      <c r="D46" s="337">
        <v>0.0</v>
      </c>
      <c r="E46" s="337">
        <v>0.0</v>
      </c>
      <c r="F46" s="337">
        <v>18.0</v>
      </c>
      <c r="G46" s="333" t="s">
        <v>3441</v>
      </c>
      <c r="H46" s="296"/>
      <c r="I46" s="296"/>
      <c r="J46" s="296"/>
      <c r="K46" s="296"/>
      <c r="L46" s="296"/>
    </row>
    <row r="47">
      <c r="A47" s="330" t="s">
        <v>3293</v>
      </c>
      <c r="B47" s="329">
        <v>19.0</v>
      </c>
      <c r="C47" s="329">
        <v>19.0</v>
      </c>
      <c r="D47" s="329">
        <v>0.0</v>
      </c>
      <c r="E47" s="329">
        <v>0.0</v>
      </c>
      <c r="F47" s="329">
        <v>19.0</v>
      </c>
      <c r="G47" s="333" t="s">
        <v>3441</v>
      </c>
      <c r="H47" s="296"/>
      <c r="I47" s="296"/>
      <c r="J47" s="296"/>
      <c r="K47" s="296"/>
      <c r="L47" s="296"/>
    </row>
    <row r="48">
      <c r="A48" s="338" t="s">
        <v>3294</v>
      </c>
      <c r="B48" s="337">
        <v>19.0</v>
      </c>
      <c r="C48" s="337">
        <v>19.0</v>
      </c>
      <c r="D48" s="337">
        <v>0.0</v>
      </c>
      <c r="E48" s="337">
        <v>0.0</v>
      </c>
      <c r="F48" s="337">
        <v>19.0</v>
      </c>
      <c r="G48" s="333" t="s">
        <v>3441</v>
      </c>
      <c r="H48" s="296"/>
      <c r="I48" s="296"/>
      <c r="J48" s="296"/>
      <c r="K48" s="296"/>
      <c r="L48" s="296"/>
    </row>
    <row r="49">
      <c r="A49" s="374" t="s">
        <v>3295</v>
      </c>
      <c r="B49" s="329">
        <v>16.0</v>
      </c>
      <c r="C49" s="329">
        <v>15.0</v>
      </c>
      <c r="D49" s="377">
        <v>1.0</v>
      </c>
      <c r="E49" s="378">
        <v>1.0</v>
      </c>
      <c r="F49" s="329">
        <v>16.0</v>
      </c>
      <c r="G49" s="333" t="s">
        <v>3196</v>
      </c>
      <c r="H49" s="296"/>
      <c r="I49" s="296"/>
      <c r="J49" s="296"/>
      <c r="K49" s="296"/>
      <c r="L49" s="296"/>
    </row>
    <row r="50">
      <c r="A50" s="375" t="s">
        <v>3443</v>
      </c>
      <c r="B50" s="337">
        <v>10.0</v>
      </c>
      <c r="C50" s="337">
        <v>7.0</v>
      </c>
      <c r="D50" s="377">
        <v>3.0</v>
      </c>
      <c r="E50" s="378">
        <v>3.0</v>
      </c>
      <c r="F50" s="337">
        <v>10.0</v>
      </c>
      <c r="G50" s="333" t="s">
        <v>3196</v>
      </c>
      <c r="H50" s="296"/>
      <c r="I50" s="296"/>
      <c r="J50" s="296"/>
      <c r="K50" s="296"/>
      <c r="L50" s="296"/>
    </row>
    <row r="51">
      <c r="A51" s="374" t="s">
        <v>3444</v>
      </c>
      <c r="B51" s="329">
        <v>16.0</v>
      </c>
      <c r="C51" s="329">
        <v>13.0</v>
      </c>
      <c r="D51" s="377">
        <v>3.0</v>
      </c>
      <c r="E51" s="378">
        <v>3.0</v>
      </c>
      <c r="F51" s="329">
        <v>16.0</v>
      </c>
      <c r="G51" s="333" t="s">
        <v>3196</v>
      </c>
      <c r="H51" s="296"/>
      <c r="I51" s="296"/>
      <c r="J51" s="296"/>
      <c r="K51" s="296"/>
      <c r="L51" s="296"/>
    </row>
    <row r="52">
      <c r="A52" s="375" t="s">
        <v>3298</v>
      </c>
      <c r="B52" s="337">
        <v>16.0</v>
      </c>
      <c r="C52" s="337">
        <v>14.0</v>
      </c>
      <c r="D52" s="377">
        <v>2.0</v>
      </c>
      <c r="E52" s="378">
        <v>2.0</v>
      </c>
      <c r="F52" s="337">
        <v>16.0</v>
      </c>
      <c r="G52" s="333" t="s">
        <v>3196</v>
      </c>
      <c r="H52" s="296"/>
      <c r="I52" s="296"/>
      <c r="J52" s="296"/>
      <c r="K52" s="296"/>
      <c r="L52" s="296"/>
    </row>
    <row r="53">
      <c r="A53" s="296"/>
      <c r="B53" s="296"/>
      <c r="C53" s="296"/>
      <c r="D53" s="296"/>
      <c r="E53" s="296"/>
      <c r="F53" s="296"/>
      <c r="G53" s="296"/>
      <c r="H53" s="296"/>
      <c r="I53" s="296"/>
      <c r="J53" s="296"/>
      <c r="K53" s="296"/>
      <c r="L53" s="296"/>
    </row>
    <row r="54">
      <c r="A54" s="296"/>
      <c r="B54" s="296"/>
      <c r="C54" s="296"/>
      <c r="D54" s="296"/>
      <c r="E54" s="296"/>
      <c r="F54" s="296"/>
      <c r="G54" s="296"/>
      <c r="H54" s="296"/>
      <c r="I54" s="296"/>
      <c r="J54" s="296"/>
      <c r="K54" s="296"/>
      <c r="L54" s="296"/>
    </row>
    <row r="55">
      <c r="A55" s="379" t="s">
        <v>3445</v>
      </c>
    </row>
    <row r="56">
      <c r="A56" s="375" t="s">
        <v>3446</v>
      </c>
      <c r="B56" s="322" t="s">
        <v>3447</v>
      </c>
      <c r="C56" s="323"/>
      <c r="D56" s="323"/>
      <c r="E56" s="323"/>
      <c r="F56" s="323"/>
      <c r="G56" s="323"/>
      <c r="H56" s="323"/>
      <c r="I56" s="323"/>
      <c r="J56" s="323"/>
      <c r="K56" s="323"/>
      <c r="L56" s="324"/>
    </row>
    <row r="57">
      <c r="A57" s="375" t="s">
        <v>3448</v>
      </c>
      <c r="B57" s="322" t="s">
        <v>3449</v>
      </c>
      <c r="C57" s="323"/>
      <c r="D57" s="323"/>
      <c r="E57" s="323"/>
      <c r="F57" s="323"/>
      <c r="G57" s="323"/>
      <c r="H57" s="323"/>
      <c r="I57" s="323"/>
      <c r="J57" s="323"/>
      <c r="K57" s="323"/>
      <c r="L57" s="324"/>
    </row>
    <row r="58">
      <c r="A58" s="375" t="s">
        <v>3450</v>
      </c>
      <c r="B58" s="322" t="s">
        <v>3451</v>
      </c>
      <c r="C58" s="323"/>
      <c r="D58" s="323"/>
      <c r="E58" s="323"/>
      <c r="F58" s="323"/>
      <c r="G58" s="323"/>
      <c r="H58" s="323"/>
      <c r="I58" s="323"/>
      <c r="J58" s="323"/>
      <c r="K58" s="323"/>
      <c r="L58" s="324"/>
    </row>
  </sheetData>
  <mergeCells count="9">
    <mergeCell ref="B57:L57"/>
    <mergeCell ref="B58:L58"/>
    <mergeCell ref="A1:F1"/>
    <mergeCell ref="A5:F5"/>
    <mergeCell ref="A13:F13"/>
    <mergeCell ref="A21:F21"/>
    <mergeCell ref="A31:G31"/>
    <mergeCell ref="A55:L55"/>
    <mergeCell ref="B56:L56"/>
  </mergeCell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9.75"/>
    <col customWidth="1" min="4" max="4" width="19.38"/>
    <col customWidth="1" min="5" max="5" width="39.5"/>
    <col customWidth="1" min="6" max="6" width="19.38"/>
    <col customWidth="1" min="7" max="7" width="32.5"/>
    <col customWidth="1" min="8" max="8" width="18.63"/>
    <col customWidth="1" min="9" max="10" width="17.0"/>
    <col customWidth="1" min="13" max="13" width="42.0"/>
  </cols>
  <sheetData>
    <row r="1" ht="52.5" customHeight="1">
      <c r="A1" s="294" t="s">
        <v>3452</v>
      </c>
      <c r="N1" s="380"/>
      <c r="O1" s="380"/>
      <c r="P1" s="380"/>
      <c r="Q1" s="380"/>
      <c r="R1" s="380"/>
      <c r="S1" s="380"/>
      <c r="T1" s="380"/>
      <c r="U1" s="380"/>
      <c r="V1" s="380"/>
      <c r="W1" s="380"/>
      <c r="X1" s="380"/>
      <c r="Y1" s="380"/>
      <c r="Z1" s="380"/>
      <c r="AA1" s="380"/>
    </row>
    <row r="2">
      <c r="A2" s="167" t="s">
        <v>1389</v>
      </c>
      <c r="B2" s="167" t="s">
        <v>3453</v>
      </c>
      <c r="C2" s="167" t="s">
        <v>1390</v>
      </c>
      <c r="D2" s="167" t="s">
        <v>1391</v>
      </c>
      <c r="E2" s="168" t="s">
        <v>1392</v>
      </c>
      <c r="F2" s="168" t="s">
        <v>1393</v>
      </c>
      <c r="G2" s="167" t="s">
        <v>1394</v>
      </c>
      <c r="H2" s="168" t="s">
        <v>1395</v>
      </c>
      <c r="I2" s="167" t="s">
        <v>1396</v>
      </c>
      <c r="J2" s="167" t="s">
        <v>3454</v>
      </c>
      <c r="K2" s="167" t="s">
        <v>1397</v>
      </c>
      <c r="L2" s="168" t="s">
        <v>185</v>
      </c>
      <c r="M2" s="167" t="s">
        <v>1399</v>
      </c>
      <c r="N2" s="380"/>
      <c r="O2" s="380"/>
      <c r="P2" s="380"/>
      <c r="Q2" s="380"/>
      <c r="R2" s="380"/>
      <c r="S2" s="380"/>
      <c r="T2" s="380"/>
      <c r="U2" s="380"/>
      <c r="V2" s="380"/>
      <c r="W2" s="380"/>
      <c r="X2" s="380"/>
      <c r="Y2" s="380"/>
      <c r="Z2" s="380"/>
      <c r="AA2" s="380"/>
    </row>
    <row r="3" ht="33.75" customHeight="1">
      <c r="A3" s="381" t="s">
        <v>3455</v>
      </c>
      <c r="B3" s="6"/>
      <c r="C3" s="6"/>
      <c r="D3" s="6"/>
      <c r="E3" s="6"/>
      <c r="F3" s="6"/>
      <c r="G3" s="6"/>
      <c r="H3" s="6"/>
      <c r="I3" s="6"/>
      <c r="J3" s="6"/>
      <c r="K3" s="6"/>
      <c r="L3" s="6"/>
      <c r="M3" s="7"/>
      <c r="N3" s="380"/>
      <c r="O3" s="380"/>
      <c r="P3" s="380"/>
      <c r="Q3" s="380"/>
      <c r="R3" s="380"/>
      <c r="S3" s="380"/>
      <c r="T3" s="380"/>
      <c r="U3" s="380"/>
      <c r="V3" s="380"/>
      <c r="W3" s="380"/>
      <c r="X3" s="380"/>
      <c r="Y3" s="380"/>
      <c r="Z3" s="380"/>
      <c r="AA3" s="380"/>
    </row>
    <row r="4">
      <c r="A4" s="382" t="s">
        <v>3456</v>
      </c>
      <c r="B4" s="382" t="s">
        <v>3457</v>
      </c>
      <c r="C4" s="383" t="s">
        <v>3458</v>
      </c>
      <c r="D4" s="383" t="s">
        <v>3459</v>
      </c>
      <c r="E4" s="383" t="s">
        <v>3460</v>
      </c>
      <c r="F4" s="383" t="s">
        <v>3461</v>
      </c>
      <c r="G4" s="383" t="s">
        <v>3462</v>
      </c>
      <c r="H4" s="214" t="s">
        <v>3463</v>
      </c>
      <c r="I4" s="382" t="s">
        <v>3464</v>
      </c>
      <c r="J4" s="382" t="s">
        <v>3465</v>
      </c>
      <c r="K4" s="384" t="s">
        <v>16</v>
      </c>
      <c r="L4" s="382" t="s">
        <v>58</v>
      </c>
      <c r="M4" s="385"/>
      <c r="N4" s="380"/>
      <c r="O4" s="380"/>
      <c r="P4" s="380"/>
      <c r="Q4" s="380"/>
      <c r="R4" s="380"/>
      <c r="S4" s="380"/>
      <c r="T4" s="380"/>
      <c r="U4" s="380"/>
      <c r="V4" s="380"/>
      <c r="W4" s="380"/>
      <c r="X4" s="380"/>
      <c r="Y4" s="380"/>
      <c r="Z4" s="380"/>
      <c r="AA4" s="380"/>
    </row>
    <row r="5">
      <c r="A5" s="386" t="s">
        <v>3466</v>
      </c>
      <c r="B5" s="386" t="s">
        <v>3467</v>
      </c>
      <c r="C5" s="387" t="s">
        <v>3468</v>
      </c>
      <c r="D5" s="387" t="s">
        <v>3469</v>
      </c>
      <c r="E5" s="387" t="s">
        <v>3470</v>
      </c>
      <c r="F5" s="387" t="s">
        <v>3471</v>
      </c>
      <c r="G5" s="387" t="s">
        <v>3472</v>
      </c>
      <c r="H5" s="388" t="s">
        <v>3473</v>
      </c>
      <c r="I5" s="386" t="s">
        <v>3464</v>
      </c>
      <c r="J5" s="386" t="s">
        <v>3465</v>
      </c>
      <c r="K5" s="384" t="s">
        <v>16</v>
      </c>
      <c r="L5" s="386" t="s">
        <v>58</v>
      </c>
      <c r="M5" s="385"/>
      <c r="N5" s="380"/>
      <c r="O5" s="380"/>
      <c r="P5" s="380"/>
      <c r="Q5" s="380"/>
      <c r="R5" s="380"/>
      <c r="S5" s="380"/>
      <c r="T5" s="380"/>
      <c r="U5" s="380"/>
      <c r="V5" s="380"/>
      <c r="W5" s="380"/>
      <c r="X5" s="380"/>
      <c r="Y5" s="380"/>
      <c r="Z5" s="380"/>
      <c r="AA5" s="380"/>
    </row>
    <row r="6">
      <c r="A6" s="382" t="s">
        <v>3474</v>
      </c>
      <c r="B6" s="382" t="s">
        <v>3475</v>
      </c>
      <c r="C6" s="383" t="s">
        <v>3476</v>
      </c>
      <c r="D6" s="383" t="s">
        <v>3477</v>
      </c>
      <c r="E6" s="383" t="s">
        <v>3478</v>
      </c>
      <c r="F6" s="383" t="s">
        <v>3479</v>
      </c>
      <c r="G6" s="383" t="s">
        <v>3480</v>
      </c>
      <c r="H6" s="388" t="s">
        <v>3481</v>
      </c>
      <c r="I6" s="382" t="s">
        <v>3464</v>
      </c>
      <c r="J6" s="382" t="s">
        <v>3465</v>
      </c>
      <c r="K6" s="384" t="s">
        <v>16</v>
      </c>
      <c r="L6" s="382" t="s">
        <v>194</v>
      </c>
      <c r="M6" s="385"/>
      <c r="N6" s="380"/>
      <c r="O6" s="380"/>
      <c r="P6" s="380"/>
      <c r="Q6" s="380"/>
      <c r="R6" s="380"/>
      <c r="S6" s="380"/>
      <c r="T6" s="380"/>
      <c r="U6" s="380"/>
      <c r="V6" s="380"/>
      <c r="W6" s="380"/>
      <c r="X6" s="380"/>
      <c r="Y6" s="380"/>
      <c r="Z6" s="380"/>
      <c r="AA6" s="380"/>
    </row>
    <row r="7">
      <c r="A7" s="386" t="s">
        <v>3482</v>
      </c>
      <c r="B7" s="386" t="s">
        <v>3483</v>
      </c>
      <c r="C7" s="387" t="s">
        <v>3484</v>
      </c>
      <c r="D7" s="387" t="s">
        <v>3485</v>
      </c>
      <c r="E7" s="387" t="s">
        <v>3486</v>
      </c>
      <c r="F7" s="387" t="s">
        <v>3487</v>
      </c>
      <c r="G7" s="387" t="s">
        <v>3488</v>
      </c>
      <c r="H7" s="388" t="s">
        <v>3489</v>
      </c>
      <c r="I7" s="386" t="s">
        <v>3464</v>
      </c>
      <c r="J7" s="386" t="s">
        <v>3490</v>
      </c>
      <c r="K7" s="384" t="s">
        <v>16</v>
      </c>
      <c r="L7" s="386" t="s">
        <v>58</v>
      </c>
      <c r="M7" s="385"/>
      <c r="N7" s="380"/>
      <c r="O7" s="380"/>
      <c r="P7" s="380"/>
      <c r="Q7" s="380"/>
      <c r="R7" s="380"/>
      <c r="S7" s="380"/>
      <c r="T7" s="380"/>
      <c r="U7" s="380"/>
      <c r="V7" s="380"/>
      <c r="W7" s="380"/>
      <c r="X7" s="380"/>
      <c r="Y7" s="380"/>
      <c r="Z7" s="380"/>
      <c r="AA7" s="380"/>
    </row>
    <row r="8">
      <c r="A8" s="382" t="s">
        <v>3491</v>
      </c>
      <c r="B8" s="382" t="s">
        <v>3467</v>
      </c>
      <c r="C8" s="383" t="s">
        <v>3492</v>
      </c>
      <c r="D8" s="383" t="s">
        <v>3493</v>
      </c>
      <c r="E8" s="383" t="s">
        <v>3494</v>
      </c>
      <c r="F8" s="383" t="s">
        <v>3495</v>
      </c>
      <c r="G8" s="383" t="s">
        <v>3496</v>
      </c>
      <c r="H8" s="388" t="s">
        <v>3497</v>
      </c>
      <c r="I8" s="382" t="s">
        <v>3498</v>
      </c>
      <c r="J8" s="382" t="s">
        <v>3499</v>
      </c>
      <c r="K8" s="384" t="s">
        <v>11</v>
      </c>
      <c r="L8" s="382" t="s">
        <v>58</v>
      </c>
      <c r="M8" s="385"/>
      <c r="N8" s="380"/>
      <c r="O8" s="380"/>
      <c r="P8" s="380"/>
      <c r="Q8" s="380"/>
      <c r="R8" s="380"/>
      <c r="S8" s="380"/>
      <c r="T8" s="380"/>
      <c r="U8" s="380"/>
      <c r="V8" s="380"/>
      <c r="W8" s="380"/>
      <c r="X8" s="380"/>
      <c r="Y8" s="380"/>
      <c r="Z8" s="380"/>
      <c r="AA8" s="380"/>
    </row>
    <row r="9">
      <c r="A9" s="386" t="s">
        <v>3500</v>
      </c>
      <c r="B9" s="386" t="s">
        <v>3501</v>
      </c>
      <c r="C9" s="387" t="s">
        <v>3502</v>
      </c>
      <c r="D9" s="387" t="s">
        <v>3493</v>
      </c>
      <c r="E9" s="387" t="s">
        <v>3503</v>
      </c>
      <c r="F9" s="387" t="s">
        <v>3504</v>
      </c>
      <c r="G9" s="387" t="s">
        <v>3496</v>
      </c>
      <c r="H9" s="388" t="s">
        <v>3505</v>
      </c>
      <c r="I9" s="386" t="s">
        <v>3498</v>
      </c>
      <c r="J9" s="386" t="s">
        <v>3499</v>
      </c>
      <c r="K9" s="384" t="s">
        <v>11</v>
      </c>
      <c r="L9" s="386" t="s">
        <v>12</v>
      </c>
      <c r="M9" s="385"/>
      <c r="N9" s="380"/>
      <c r="O9" s="380"/>
      <c r="P9" s="380"/>
      <c r="Q9" s="380"/>
      <c r="R9" s="380"/>
      <c r="S9" s="380"/>
      <c r="T9" s="380"/>
      <c r="U9" s="380"/>
      <c r="V9" s="380"/>
      <c r="W9" s="380"/>
      <c r="X9" s="380"/>
      <c r="Y9" s="380"/>
      <c r="Z9" s="380"/>
      <c r="AA9" s="380"/>
    </row>
    <row r="10">
      <c r="A10" s="382" t="s">
        <v>3506</v>
      </c>
      <c r="B10" s="382" t="s">
        <v>3507</v>
      </c>
      <c r="C10" s="383" t="s">
        <v>3508</v>
      </c>
      <c r="D10" s="383" t="s">
        <v>3509</v>
      </c>
      <c r="E10" s="383" t="s">
        <v>3510</v>
      </c>
      <c r="F10" s="383" t="s">
        <v>3511</v>
      </c>
      <c r="G10" s="383" t="s">
        <v>3496</v>
      </c>
      <c r="H10" s="388" t="s">
        <v>3512</v>
      </c>
      <c r="I10" s="382" t="s">
        <v>3498</v>
      </c>
      <c r="J10" s="382" t="s">
        <v>3499</v>
      </c>
      <c r="K10" s="384" t="s">
        <v>16</v>
      </c>
      <c r="L10" s="382" t="s">
        <v>12</v>
      </c>
      <c r="M10" s="385"/>
      <c r="N10" s="380"/>
      <c r="O10" s="380"/>
      <c r="P10" s="380"/>
      <c r="Q10" s="380"/>
      <c r="R10" s="380"/>
      <c r="S10" s="380"/>
      <c r="T10" s="380"/>
      <c r="U10" s="380"/>
      <c r="V10" s="380"/>
      <c r="W10" s="380"/>
      <c r="X10" s="380"/>
      <c r="Y10" s="380"/>
      <c r="Z10" s="380"/>
      <c r="AA10" s="380"/>
    </row>
    <row r="11">
      <c r="A11" s="386" t="s">
        <v>3513</v>
      </c>
      <c r="B11" s="386" t="s">
        <v>3483</v>
      </c>
      <c r="C11" s="387" t="s">
        <v>3514</v>
      </c>
      <c r="D11" s="387" t="s">
        <v>3509</v>
      </c>
      <c r="E11" s="387" t="s">
        <v>3515</v>
      </c>
      <c r="F11" s="387" t="s">
        <v>3516</v>
      </c>
      <c r="G11" s="387" t="s">
        <v>3517</v>
      </c>
      <c r="H11" s="388" t="s">
        <v>3518</v>
      </c>
      <c r="I11" s="386" t="s">
        <v>3498</v>
      </c>
      <c r="J11" s="386" t="s">
        <v>3499</v>
      </c>
      <c r="K11" s="384" t="s">
        <v>11</v>
      </c>
      <c r="L11" s="386" t="s">
        <v>58</v>
      </c>
      <c r="M11" s="385"/>
      <c r="N11" s="380"/>
      <c r="O11" s="380"/>
      <c r="P11" s="380"/>
      <c r="Q11" s="380"/>
      <c r="R11" s="380"/>
      <c r="S11" s="380"/>
      <c r="T11" s="380"/>
      <c r="U11" s="380"/>
      <c r="V11" s="380"/>
      <c r="W11" s="380"/>
      <c r="X11" s="380"/>
      <c r="Y11" s="380"/>
      <c r="Z11" s="380"/>
      <c r="AA11" s="380"/>
    </row>
    <row r="12" ht="35.25" customHeight="1">
      <c r="A12" s="389" t="s">
        <v>3519</v>
      </c>
      <c r="B12" s="6"/>
      <c r="C12" s="6"/>
      <c r="D12" s="6"/>
      <c r="E12" s="6"/>
      <c r="F12" s="6"/>
      <c r="G12" s="6"/>
      <c r="H12" s="6"/>
      <c r="I12" s="6"/>
      <c r="J12" s="6"/>
      <c r="K12" s="6"/>
      <c r="L12" s="6"/>
      <c r="M12" s="7"/>
      <c r="N12" s="390"/>
      <c r="O12" s="390"/>
      <c r="P12" s="390"/>
      <c r="Q12" s="390"/>
      <c r="R12" s="390"/>
      <c r="S12" s="390"/>
      <c r="T12" s="390"/>
      <c r="U12" s="390"/>
      <c r="V12" s="390"/>
      <c r="W12" s="390"/>
      <c r="X12" s="390"/>
      <c r="Y12" s="390"/>
      <c r="Z12" s="390"/>
      <c r="AA12" s="390"/>
    </row>
    <row r="13">
      <c r="A13" s="382" t="s">
        <v>3520</v>
      </c>
      <c r="B13" s="382" t="s">
        <v>3521</v>
      </c>
      <c r="C13" s="383" t="s">
        <v>3522</v>
      </c>
      <c r="D13" s="383" t="s">
        <v>3523</v>
      </c>
      <c r="E13" s="383" t="s">
        <v>3524</v>
      </c>
      <c r="F13" s="383" t="s">
        <v>3525</v>
      </c>
      <c r="G13" s="383" t="s">
        <v>3526</v>
      </c>
      <c r="H13" s="383" t="s">
        <v>3526</v>
      </c>
      <c r="I13" s="382" t="s">
        <v>3527</v>
      </c>
      <c r="J13" s="382" t="s">
        <v>3528</v>
      </c>
      <c r="K13" s="384" t="s">
        <v>16</v>
      </c>
      <c r="L13" s="382" t="s">
        <v>12</v>
      </c>
      <c r="M13" s="385"/>
      <c r="N13" s="380"/>
      <c r="O13" s="380"/>
      <c r="P13" s="380"/>
      <c r="Q13" s="380"/>
      <c r="R13" s="380"/>
      <c r="S13" s="380"/>
      <c r="T13" s="380"/>
      <c r="U13" s="380"/>
      <c r="V13" s="380"/>
      <c r="W13" s="380"/>
      <c r="X13" s="380"/>
      <c r="Y13" s="380"/>
      <c r="Z13" s="380"/>
      <c r="AA13" s="380"/>
    </row>
    <row r="14">
      <c r="A14" s="391" t="s">
        <v>3529</v>
      </c>
      <c r="B14" s="391" t="s">
        <v>3521</v>
      </c>
      <c r="C14" s="392" t="s">
        <v>3530</v>
      </c>
      <c r="D14" s="392" t="s">
        <v>3531</v>
      </c>
      <c r="E14" s="392" t="s">
        <v>3532</v>
      </c>
      <c r="F14" s="392" t="s">
        <v>3533</v>
      </c>
      <c r="G14" s="392" t="s">
        <v>3534</v>
      </c>
      <c r="H14" s="392" t="s">
        <v>3534</v>
      </c>
      <c r="I14" s="391" t="s">
        <v>3535</v>
      </c>
      <c r="J14" s="391" t="s">
        <v>3528</v>
      </c>
      <c r="K14" s="384" t="s">
        <v>16</v>
      </c>
      <c r="L14" s="391" t="s">
        <v>51</v>
      </c>
      <c r="M14" s="385"/>
      <c r="N14" s="380"/>
      <c r="O14" s="380"/>
      <c r="P14" s="380"/>
      <c r="Q14" s="380"/>
      <c r="R14" s="380"/>
      <c r="S14" s="380"/>
      <c r="T14" s="380"/>
      <c r="U14" s="380"/>
      <c r="V14" s="380"/>
      <c r="W14" s="380"/>
      <c r="X14" s="380"/>
      <c r="Y14" s="380"/>
      <c r="Z14" s="380"/>
      <c r="AA14" s="380"/>
    </row>
    <row r="15">
      <c r="A15" s="382" t="s">
        <v>3536</v>
      </c>
      <c r="B15" s="382" t="s">
        <v>3537</v>
      </c>
      <c r="C15" s="383" t="s">
        <v>3538</v>
      </c>
      <c r="D15" s="383" t="s">
        <v>3539</v>
      </c>
      <c r="E15" s="383" t="s">
        <v>3540</v>
      </c>
      <c r="F15" s="383" t="s">
        <v>3541</v>
      </c>
      <c r="G15" s="383" t="s">
        <v>3542</v>
      </c>
      <c r="H15" s="383" t="s">
        <v>3542</v>
      </c>
      <c r="I15" s="382" t="s">
        <v>3543</v>
      </c>
      <c r="J15" s="382" t="s">
        <v>3528</v>
      </c>
      <c r="K15" s="384" t="s">
        <v>16</v>
      </c>
      <c r="L15" s="382" t="s">
        <v>12</v>
      </c>
      <c r="M15" s="385"/>
      <c r="N15" s="380"/>
      <c r="O15" s="380"/>
      <c r="P15" s="380"/>
      <c r="Q15" s="380"/>
      <c r="R15" s="380"/>
      <c r="S15" s="380"/>
      <c r="T15" s="380"/>
      <c r="U15" s="380"/>
      <c r="V15" s="380"/>
      <c r="W15" s="380"/>
      <c r="X15" s="380"/>
      <c r="Y15" s="380"/>
      <c r="Z15" s="380"/>
      <c r="AA15" s="380"/>
    </row>
    <row r="16">
      <c r="A16" s="391" t="s">
        <v>3544</v>
      </c>
      <c r="B16" s="391" t="s">
        <v>158</v>
      </c>
      <c r="C16" s="392" t="s">
        <v>3545</v>
      </c>
      <c r="D16" s="392" t="s">
        <v>3546</v>
      </c>
      <c r="E16" s="392" t="s">
        <v>3547</v>
      </c>
      <c r="F16" s="392" t="s">
        <v>3548</v>
      </c>
      <c r="G16" s="392" t="s">
        <v>3549</v>
      </c>
      <c r="H16" s="392" t="s">
        <v>3549</v>
      </c>
      <c r="I16" s="391" t="s">
        <v>3550</v>
      </c>
      <c r="J16" s="391" t="s">
        <v>3528</v>
      </c>
      <c r="K16" s="384" t="s">
        <v>16</v>
      </c>
      <c r="L16" s="391" t="s">
        <v>58</v>
      </c>
      <c r="M16" s="385"/>
      <c r="N16" s="380"/>
      <c r="O16" s="380"/>
      <c r="P16" s="380"/>
      <c r="Q16" s="380"/>
      <c r="R16" s="380"/>
      <c r="S16" s="380"/>
      <c r="T16" s="380"/>
      <c r="U16" s="380"/>
      <c r="V16" s="380"/>
      <c r="W16" s="380"/>
      <c r="X16" s="380"/>
      <c r="Y16" s="380"/>
      <c r="Z16" s="380"/>
      <c r="AA16" s="380"/>
    </row>
    <row r="17">
      <c r="A17" s="382" t="s">
        <v>3551</v>
      </c>
      <c r="B17" s="382" t="s">
        <v>3552</v>
      </c>
      <c r="C17" s="383" t="s">
        <v>3553</v>
      </c>
      <c r="D17" s="383" t="s">
        <v>3554</v>
      </c>
      <c r="E17" s="383" t="s">
        <v>3555</v>
      </c>
      <c r="F17" s="383" t="s">
        <v>3556</v>
      </c>
      <c r="G17" s="383" t="s">
        <v>3557</v>
      </c>
      <c r="H17" s="383" t="s">
        <v>3557</v>
      </c>
      <c r="I17" s="382" t="s">
        <v>3558</v>
      </c>
      <c r="J17" s="382" t="s">
        <v>3528</v>
      </c>
      <c r="K17" s="384" t="s">
        <v>16</v>
      </c>
      <c r="L17" s="382" t="s">
        <v>12</v>
      </c>
      <c r="M17" s="385"/>
      <c r="N17" s="380"/>
      <c r="O17" s="380"/>
      <c r="P17" s="380"/>
      <c r="Q17" s="380"/>
      <c r="R17" s="380"/>
      <c r="S17" s="380"/>
      <c r="T17" s="380"/>
      <c r="U17" s="380"/>
      <c r="V17" s="380"/>
      <c r="W17" s="380"/>
      <c r="X17" s="380"/>
      <c r="Y17" s="380"/>
      <c r="Z17" s="380"/>
      <c r="AA17" s="380"/>
    </row>
    <row r="18">
      <c r="A18" s="391" t="s">
        <v>3559</v>
      </c>
      <c r="B18" s="391" t="s">
        <v>3560</v>
      </c>
      <c r="C18" s="392" t="s">
        <v>3561</v>
      </c>
      <c r="D18" s="392" t="s">
        <v>3562</v>
      </c>
      <c r="E18" s="392" t="s">
        <v>3563</v>
      </c>
      <c r="F18" s="392" t="s">
        <v>3564</v>
      </c>
      <c r="G18" s="392" t="s">
        <v>3565</v>
      </c>
      <c r="H18" s="392" t="s">
        <v>3565</v>
      </c>
      <c r="I18" s="391" t="s">
        <v>3566</v>
      </c>
      <c r="J18" s="391" t="s">
        <v>3528</v>
      </c>
      <c r="K18" s="384" t="s">
        <v>16</v>
      </c>
      <c r="L18" s="391" t="s">
        <v>51</v>
      </c>
      <c r="M18" s="385"/>
      <c r="N18" s="380"/>
      <c r="O18" s="380"/>
      <c r="P18" s="380"/>
      <c r="Q18" s="380"/>
      <c r="R18" s="380"/>
      <c r="S18" s="380"/>
      <c r="T18" s="380"/>
      <c r="U18" s="380"/>
      <c r="V18" s="380"/>
      <c r="W18" s="380"/>
      <c r="X18" s="380"/>
      <c r="Y18" s="380"/>
      <c r="Z18" s="380"/>
      <c r="AA18" s="380"/>
    </row>
    <row r="19">
      <c r="A19" s="382" t="s">
        <v>3567</v>
      </c>
      <c r="B19" s="382" t="s">
        <v>162</v>
      </c>
      <c r="C19" s="383" t="s">
        <v>3568</v>
      </c>
      <c r="D19" s="383" t="s">
        <v>3569</v>
      </c>
      <c r="E19" s="383" t="s">
        <v>3570</v>
      </c>
      <c r="F19" s="383" t="s">
        <v>3571</v>
      </c>
      <c r="G19" s="383" t="s">
        <v>3572</v>
      </c>
      <c r="H19" s="383" t="s">
        <v>3572</v>
      </c>
      <c r="I19" s="382" t="s">
        <v>3573</v>
      </c>
      <c r="J19" s="382" t="s">
        <v>3528</v>
      </c>
      <c r="K19" s="384" t="s">
        <v>16</v>
      </c>
      <c r="L19" s="382" t="s">
        <v>58</v>
      </c>
      <c r="M19" s="385"/>
      <c r="N19" s="380"/>
      <c r="O19" s="380"/>
      <c r="P19" s="380"/>
      <c r="Q19" s="380"/>
      <c r="R19" s="380"/>
      <c r="S19" s="380"/>
      <c r="T19" s="380"/>
      <c r="U19" s="380"/>
      <c r="V19" s="380"/>
      <c r="W19" s="380"/>
      <c r="X19" s="380"/>
      <c r="Y19" s="380"/>
      <c r="Z19" s="380"/>
      <c r="AA19" s="380"/>
    </row>
    <row r="20">
      <c r="A20" s="391" t="s">
        <v>3574</v>
      </c>
      <c r="B20" s="391" t="s">
        <v>158</v>
      </c>
      <c r="C20" s="392" t="s">
        <v>3575</v>
      </c>
      <c r="D20" s="392" t="s">
        <v>3576</v>
      </c>
      <c r="E20" s="392" t="s">
        <v>3577</v>
      </c>
      <c r="F20" s="392" t="s">
        <v>3578</v>
      </c>
      <c r="G20" s="392" t="s">
        <v>3579</v>
      </c>
      <c r="H20" s="392" t="s">
        <v>3579</v>
      </c>
      <c r="I20" s="391" t="s">
        <v>3580</v>
      </c>
      <c r="J20" s="391" t="s">
        <v>3528</v>
      </c>
      <c r="K20" s="384" t="s">
        <v>16</v>
      </c>
      <c r="L20" s="391" t="s">
        <v>12</v>
      </c>
      <c r="M20" s="385"/>
      <c r="N20" s="380"/>
      <c r="O20" s="380"/>
      <c r="P20" s="380"/>
      <c r="Q20" s="380"/>
      <c r="R20" s="380"/>
      <c r="S20" s="380"/>
      <c r="T20" s="380"/>
      <c r="U20" s="380"/>
      <c r="V20" s="380"/>
      <c r="W20" s="380"/>
      <c r="X20" s="380"/>
      <c r="Y20" s="380"/>
      <c r="Z20" s="380"/>
      <c r="AA20" s="380"/>
    </row>
    <row r="21">
      <c r="A21" s="382" t="s">
        <v>3581</v>
      </c>
      <c r="B21" s="382" t="s">
        <v>3582</v>
      </c>
      <c r="C21" s="383" t="s">
        <v>3583</v>
      </c>
      <c r="D21" s="383" t="s">
        <v>3584</v>
      </c>
      <c r="E21" s="383" t="s">
        <v>3585</v>
      </c>
      <c r="F21" s="383" t="s">
        <v>3586</v>
      </c>
      <c r="G21" s="383" t="s">
        <v>3587</v>
      </c>
      <c r="H21" s="383" t="s">
        <v>3587</v>
      </c>
      <c r="I21" s="382" t="s">
        <v>3588</v>
      </c>
      <c r="J21" s="382" t="s">
        <v>3528</v>
      </c>
      <c r="K21" s="384" t="s">
        <v>16</v>
      </c>
      <c r="L21" s="382" t="s">
        <v>12</v>
      </c>
      <c r="M21" s="385"/>
      <c r="N21" s="380"/>
      <c r="O21" s="380"/>
      <c r="P21" s="380"/>
      <c r="Q21" s="380"/>
      <c r="R21" s="380"/>
      <c r="S21" s="380"/>
      <c r="T21" s="380"/>
      <c r="U21" s="380"/>
      <c r="V21" s="380"/>
      <c r="W21" s="380"/>
      <c r="X21" s="380"/>
      <c r="Y21" s="380"/>
      <c r="Z21" s="380"/>
      <c r="AA21" s="380"/>
    </row>
    <row r="22">
      <c r="A22" s="391" t="s">
        <v>3589</v>
      </c>
      <c r="B22" s="391" t="s">
        <v>3537</v>
      </c>
      <c r="C22" s="392" t="s">
        <v>3590</v>
      </c>
      <c r="D22" s="392" t="s">
        <v>3591</v>
      </c>
      <c r="E22" s="392" t="s">
        <v>3592</v>
      </c>
      <c r="F22" s="392" t="s">
        <v>3593</v>
      </c>
      <c r="G22" s="392" t="s">
        <v>3594</v>
      </c>
      <c r="H22" s="392" t="s">
        <v>3594</v>
      </c>
      <c r="I22" s="391" t="s">
        <v>3595</v>
      </c>
      <c r="J22" s="391" t="s">
        <v>3528</v>
      </c>
      <c r="K22" s="384" t="s">
        <v>16</v>
      </c>
      <c r="L22" s="391" t="s">
        <v>12</v>
      </c>
      <c r="M22" s="385"/>
      <c r="N22" s="380"/>
      <c r="O22" s="380"/>
      <c r="P22" s="380"/>
      <c r="Q22" s="380"/>
      <c r="R22" s="380"/>
      <c r="S22" s="380"/>
      <c r="T22" s="380"/>
      <c r="U22" s="380"/>
      <c r="V22" s="380"/>
      <c r="W22" s="380"/>
      <c r="X22" s="380"/>
      <c r="Y22" s="380"/>
      <c r="Z22" s="380"/>
      <c r="AA22" s="380"/>
    </row>
    <row r="23" ht="30.0" customHeight="1">
      <c r="A23" s="393" t="s">
        <v>3596</v>
      </c>
      <c r="B23" s="6"/>
      <c r="C23" s="6"/>
      <c r="D23" s="6"/>
      <c r="E23" s="6"/>
      <c r="F23" s="6"/>
      <c r="G23" s="6"/>
      <c r="H23" s="6"/>
      <c r="I23" s="6"/>
      <c r="J23" s="6"/>
      <c r="K23" s="6"/>
      <c r="L23" s="6"/>
      <c r="M23" s="7"/>
      <c r="N23" s="390"/>
      <c r="O23" s="390"/>
      <c r="P23" s="390"/>
      <c r="Q23" s="390"/>
      <c r="R23" s="390"/>
      <c r="S23" s="390"/>
      <c r="T23" s="390"/>
      <c r="U23" s="390"/>
      <c r="V23" s="390"/>
      <c r="W23" s="390"/>
      <c r="X23" s="390"/>
      <c r="Y23" s="390"/>
      <c r="Z23" s="390"/>
      <c r="AA23" s="390"/>
    </row>
    <row r="24">
      <c r="A24" s="382" t="s">
        <v>3597</v>
      </c>
      <c r="B24" s="382" t="s">
        <v>3598</v>
      </c>
      <c r="C24" s="383" t="s">
        <v>3599</v>
      </c>
      <c r="D24" s="383" t="s">
        <v>3600</v>
      </c>
      <c r="E24" s="383" t="s">
        <v>3601</v>
      </c>
      <c r="F24" s="383" t="s">
        <v>3602</v>
      </c>
      <c r="G24" s="383" t="s">
        <v>3603</v>
      </c>
      <c r="H24" s="388" t="s">
        <v>3604</v>
      </c>
      <c r="I24" s="382" t="s">
        <v>3605</v>
      </c>
      <c r="J24" s="382" t="s">
        <v>3606</v>
      </c>
      <c r="K24" s="384" t="s">
        <v>16</v>
      </c>
      <c r="L24" s="382" t="s">
        <v>58</v>
      </c>
      <c r="M24" s="385"/>
      <c r="N24" s="380"/>
      <c r="O24" s="380"/>
      <c r="P24" s="380"/>
      <c r="Q24" s="380"/>
      <c r="R24" s="380"/>
      <c r="S24" s="380"/>
      <c r="T24" s="380"/>
      <c r="U24" s="380"/>
      <c r="V24" s="380"/>
      <c r="W24" s="380"/>
      <c r="X24" s="380"/>
      <c r="Y24" s="380"/>
      <c r="Z24" s="380"/>
      <c r="AA24" s="380"/>
    </row>
    <row r="25">
      <c r="A25" s="394" t="s">
        <v>3607</v>
      </c>
      <c r="B25" s="394" t="s">
        <v>3608</v>
      </c>
      <c r="C25" s="395" t="s">
        <v>3609</v>
      </c>
      <c r="D25" s="395" t="s">
        <v>3610</v>
      </c>
      <c r="E25" s="395" t="s">
        <v>3611</v>
      </c>
      <c r="F25" s="395" t="s">
        <v>3612</v>
      </c>
      <c r="G25" s="395" t="s">
        <v>3613</v>
      </c>
      <c r="H25" s="388" t="s">
        <v>3614</v>
      </c>
      <c r="I25" s="394" t="s">
        <v>3615</v>
      </c>
      <c r="J25" s="394" t="s">
        <v>3528</v>
      </c>
      <c r="K25" s="384" t="s">
        <v>11</v>
      </c>
      <c r="L25" s="394" t="s">
        <v>58</v>
      </c>
      <c r="M25" s="385"/>
      <c r="N25" s="380"/>
      <c r="O25" s="380"/>
      <c r="P25" s="380"/>
      <c r="Q25" s="380"/>
      <c r="R25" s="380"/>
      <c r="S25" s="380"/>
      <c r="T25" s="380"/>
      <c r="U25" s="380"/>
      <c r="V25" s="380"/>
      <c r="W25" s="380"/>
      <c r="X25" s="380"/>
      <c r="Y25" s="380"/>
      <c r="Z25" s="380"/>
      <c r="AA25" s="380"/>
    </row>
    <row r="26">
      <c r="A26" s="382" t="s">
        <v>3616</v>
      </c>
      <c r="B26" s="382" t="s">
        <v>3617</v>
      </c>
      <c r="C26" s="383" t="s">
        <v>3618</v>
      </c>
      <c r="D26" s="383" t="s">
        <v>3619</v>
      </c>
      <c r="E26" s="383" t="s">
        <v>3620</v>
      </c>
      <c r="F26" s="383" t="s">
        <v>3621</v>
      </c>
      <c r="G26" s="383" t="s">
        <v>3622</v>
      </c>
      <c r="H26" s="388" t="s">
        <v>3623</v>
      </c>
      <c r="I26" s="382" t="s">
        <v>3624</v>
      </c>
      <c r="J26" s="382" t="s">
        <v>3528</v>
      </c>
      <c r="K26" s="384" t="s">
        <v>16</v>
      </c>
      <c r="L26" s="382" t="s">
        <v>58</v>
      </c>
      <c r="M26" s="385"/>
      <c r="N26" s="380"/>
      <c r="O26" s="380"/>
      <c r="P26" s="380"/>
      <c r="Q26" s="380"/>
      <c r="R26" s="380"/>
      <c r="S26" s="380"/>
      <c r="T26" s="380"/>
      <c r="U26" s="380"/>
      <c r="V26" s="380"/>
      <c r="W26" s="380"/>
      <c r="X26" s="380"/>
      <c r="Y26" s="380"/>
      <c r="Z26" s="380"/>
      <c r="AA26" s="380"/>
    </row>
    <row r="27" ht="194.25" customHeight="1">
      <c r="A27" s="394" t="s">
        <v>3625</v>
      </c>
      <c r="B27" s="394" t="s">
        <v>3521</v>
      </c>
      <c r="C27" s="395" t="s">
        <v>3626</v>
      </c>
      <c r="D27" s="395" t="s">
        <v>3627</v>
      </c>
      <c r="E27" s="395" t="s">
        <v>3628</v>
      </c>
      <c r="F27" s="395" t="s">
        <v>3629</v>
      </c>
      <c r="G27" s="395" t="s">
        <v>3630</v>
      </c>
      <c r="H27" s="388" t="s">
        <v>3631</v>
      </c>
      <c r="I27" s="394" t="s">
        <v>3632</v>
      </c>
      <c r="J27" s="394" t="s">
        <v>3528</v>
      </c>
      <c r="K27" s="384" t="s">
        <v>16</v>
      </c>
      <c r="L27" s="394" t="s">
        <v>194</v>
      </c>
      <c r="M27" s="385"/>
      <c r="N27" s="380"/>
      <c r="O27" s="380"/>
      <c r="P27" s="380"/>
      <c r="Q27" s="380"/>
      <c r="R27" s="380"/>
      <c r="S27" s="380"/>
      <c r="T27" s="380"/>
      <c r="U27" s="380"/>
      <c r="V27" s="380"/>
      <c r="W27" s="380"/>
      <c r="X27" s="380"/>
      <c r="Y27" s="380"/>
      <c r="Z27" s="380"/>
      <c r="AA27" s="380"/>
    </row>
    <row r="28" ht="144.75" customHeight="1">
      <c r="A28" s="382" t="s">
        <v>3633</v>
      </c>
      <c r="B28" s="382" t="s">
        <v>3634</v>
      </c>
      <c r="C28" s="383" t="s">
        <v>3635</v>
      </c>
      <c r="D28" s="383" t="s">
        <v>3636</v>
      </c>
      <c r="E28" s="383" t="s">
        <v>3637</v>
      </c>
      <c r="F28" s="383" t="s">
        <v>3638</v>
      </c>
      <c r="G28" s="383" t="s">
        <v>3639</v>
      </c>
      <c r="H28" s="388" t="s">
        <v>3640</v>
      </c>
      <c r="I28" s="382" t="s">
        <v>3641</v>
      </c>
      <c r="J28" s="382" t="s">
        <v>3528</v>
      </c>
      <c r="K28" s="384" t="s">
        <v>16</v>
      </c>
      <c r="L28" s="382" t="s">
        <v>194</v>
      </c>
      <c r="M28" s="385"/>
      <c r="N28" s="380"/>
      <c r="O28" s="380"/>
      <c r="P28" s="380"/>
      <c r="Q28" s="380"/>
      <c r="R28" s="380"/>
      <c r="S28" s="380"/>
      <c r="T28" s="380"/>
      <c r="U28" s="380"/>
      <c r="V28" s="380"/>
      <c r="W28" s="380"/>
      <c r="X28" s="380"/>
      <c r="Y28" s="380"/>
      <c r="Z28" s="380"/>
      <c r="AA28" s="380"/>
    </row>
    <row r="29">
      <c r="A29" s="394" t="s">
        <v>3642</v>
      </c>
      <c r="B29" s="394" t="s">
        <v>3521</v>
      </c>
      <c r="C29" s="395" t="s">
        <v>3643</v>
      </c>
      <c r="D29" s="395" t="s">
        <v>3644</v>
      </c>
      <c r="E29" s="395" t="s">
        <v>3645</v>
      </c>
      <c r="F29" s="395" t="s">
        <v>3646</v>
      </c>
      <c r="G29" s="395" t="s">
        <v>3647</v>
      </c>
      <c r="H29" s="388" t="s">
        <v>3648</v>
      </c>
      <c r="I29" s="394" t="s">
        <v>3649</v>
      </c>
      <c r="J29" s="394" t="s">
        <v>3528</v>
      </c>
      <c r="K29" s="384" t="s">
        <v>11</v>
      </c>
      <c r="L29" s="394" t="s">
        <v>58</v>
      </c>
      <c r="M29" s="385"/>
      <c r="N29" s="380"/>
      <c r="O29" s="380"/>
      <c r="P29" s="380"/>
      <c r="Q29" s="380"/>
      <c r="R29" s="380"/>
      <c r="S29" s="380"/>
      <c r="T29" s="380"/>
      <c r="U29" s="380"/>
      <c r="V29" s="380"/>
      <c r="W29" s="380"/>
      <c r="X29" s="380"/>
      <c r="Y29" s="380"/>
      <c r="Z29" s="380"/>
      <c r="AA29" s="380"/>
    </row>
    <row r="30">
      <c r="A30" s="382" t="s">
        <v>3650</v>
      </c>
      <c r="B30" s="382" t="s">
        <v>3651</v>
      </c>
      <c r="C30" s="383" t="s">
        <v>3652</v>
      </c>
      <c r="D30" s="383" t="s">
        <v>3653</v>
      </c>
      <c r="E30" s="383" t="s">
        <v>3654</v>
      </c>
      <c r="F30" s="383" t="s">
        <v>3655</v>
      </c>
      <c r="G30" s="383" t="s">
        <v>3656</v>
      </c>
      <c r="H30" s="388" t="s">
        <v>3657</v>
      </c>
      <c r="I30" s="382" t="s">
        <v>3658</v>
      </c>
      <c r="J30" s="382" t="s">
        <v>3659</v>
      </c>
      <c r="K30" s="384" t="s">
        <v>16</v>
      </c>
      <c r="L30" s="382" t="s">
        <v>194</v>
      </c>
      <c r="M30" s="385"/>
      <c r="N30" s="380"/>
      <c r="O30" s="380"/>
      <c r="P30" s="380"/>
      <c r="Q30" s="380"/>
      <c r="R30" s="380"/>
      <c r="S30" s="380"/>
      <c r="T30" s="380"/>
      <c r="U30" s="380"/>
      <c r="V30" s="380"/>
      <c r="W30" s="380"/>
      <c r="X30" s="380"/>
      <c r="Y30" s="380"/>
      <c r="Z30" s="380"/>
      <c r="AA30" s="380"/>
    </row>
    <row r="31">
      <c r="A31" s="394" t="s">
        <v>3660</v>
      </c>
      <c r="B31" s="394" t="s">
        <v>3661</v>
      </c>
      <c r="C31" s="395" t="s">
        <v>3662</v>
      </c>
      <c r="D31" s="395" t="s">
        <v>3663</v>
      </c>
      <c r="E31" s="395" t="s">
        <v>3664</v>
      </c>
      <c r="F31" s="395" t="s">
        <v>3665</v>
      </c>
      <c r="G31" s="395" t="s">
        <v>3666</v>
      </c>
      <c r="H31" s="388" t="s">
        <v>3667</v>
      </c>
      <c r="I31" s="394" t="s">
        <v>3668</v>
      </c>
      <c r="J31" s="394" t="s">
        <v>3669</v>
      </c>
      <c r="K31" s="384" t="s">
        <v>16</v>
      </c>
      <c r="L31" s="394" t="s">
        <v>58</v>
      </c>
      <c r="M31" s="385"/>
      <c r="N31" s="380"/>
      <c r="O31" s="380"/>
      <c r="P31" s="380"/>
      <c r="Q31" s="380"/>
      <c r="R31" s="380"/>
      <c r="S31" s="380"/>
      <c r="T31" s="380"/>
      <c r="U31" s="380"/>
      <c r="V31" s="380"/>
      <c r="W31" s="380"/>
      <c r="X31" s="380"/>
      <c r="Y31" s="380"/>
      <c r="Z31" s="380"/>
      <c r="AA31" s="380"/>
    </row>
    <row r="32" ht="150.75" customHeight="1">
      <c r="A32" s="396" t="s">
        <v>3670</v>
      </c>
      <c r="B32" s="397" t="s">
        <v>3671</v>
      </c>
      <c r="C32" s="398" t="s">
        <v>3672</v>
      </c>
      <c r="D32" s="398" t="s">
        <v>3673</v>
      </c>
      <c r="E32" s="398" t="s">
        <v>3674</v>
      </c>
      <c r="F32" s="398" t="s">
        <v>3675</v>
      </c>
      <c r="G32" s="398" t="s">
        <v>3676</v>
      </c>
      <c r="H32" s="398" t="s">
        <v>3677</v>
      </c>
      <c r="I32" s="398" t="s">
        <v>3678</v>
      </c>
      <c r="J32" s="397" t="s">
        <v>3679</v>
      </c>
      <c r="K32" s="399" t="s">
        <v>11</v>
      </c>
      <c r="L32" s="396" t="s">
        <v>12</v>
      </c>
      <c r="M32" s="400"/>
      <c r="N32" s="401"/>
      <c r="O32" s="401"/>
      <c r="P32" s="401"/>
      <c r="Q32" s="401"/>
      <c r="R32" s="401"/>
      <c r="S32" s="401"/>
      <c r="T32" s="401"/>
      <c r="U32" s="401"/>
      <c r="V32" s="401"/>
      <c r="W32" s="401"/>
      <c r="X32" s="401"/>
      <c r="Y32" s="401"/>
      <c r="Z32" s="401"/>
      <c r="AA32" s="401"/>
    </row>
    <row r="33">
      <c r="A33" s="402"/>
      <c r="B33" s="402"/>
      <c r="C33" s="403"/>
      <c r="D33" s="403"/>
      <c r="E33" s="404"/>
      <c r="F33" s="404"/>
      <c r="G33" s="403"/>
      <c r="H33" s="403"/>
      <c r="I33" s="405"/>
      <c r="J33" s="405"/>
      <c r="K33" s="406"/>
      <c r="L33" s="407"/>
      <c r="M33" s="408"/>
      <c r="N33" s="380"/>
      <c r="O33" s="380"/>
      <c r="P33" s="380"/>
      <c r="Q33" s="380"/>
      <c r="R33" s="380"/>
      <c r="S33" s="380"/>
      <c r="T33" s="380"/>
      <c r="U33" s="380"/>
      <c r="V33" s="380"/>
      <c r="W33" s="380"/>
      <c r="X33" s="380"/>
      <c r="Y33" s="380"/>
      <c r="Z33" s="380"/>
      <c r="AA33" s="380"/>
    </row>
    <row r="34">
      <c r="A34" s="402"/>
      <c r="B34" s="402"/>
      <c r="C34" s="403"/>
      <c r="D34" s="403"/>
      <c r="E34" s="404"/>
      <c r="F34" s="404"/>
      <c r="G34" s="403"/>
      <c r="H34" s="403"/>
      <c r="I34" s="405"/>
      <c r="J34" s="405"/>
      <c r="K34" s="406"/>
      <c r="L34" s="407"/>
      <c r="M34" s="408"/>
      <c r="N34" s="380"/>
      <c r="O34" s="380"/>
      <c r="P34" s="380"/>
      <c r="Q34" s="380"/>
      <c r="R34" s="380"/>
      <c r="S34" s="380"/>
      <c r="T34" s="380"/>
      <c r="U34" s="380"/>
      <c r="V34" s="380"/>
      <c r="W34" s="380"/>
      <c r="X34" s="380"/>
      <c r="Y34" s="380"/>
      <c r="Z34" s="380"/>
      <c r="AA34" s="380"/>
    </row>
    <row r="35">
      <c r="A35" s="380"/>
      <c r="B35" s="380"/>
      <c r="C35" s="380"/>
      <c r="D35" s="380"/>
      <c r="E35" s="380"/>
      <c r="F35" s="380"/>
      <c r="G35" s="380"/>
      <c r="H35" s="380"/>
      <c r="I35" s="380"/>
      <c r="J35" s="380"/>
      <c r="K35" s="380"/>
      <c r="L35" s="380"/>
      <c r="M35" s="380"/>
      <c r="N35" s="380"/>
      <c r="O35" s="380"/>
      <c r="P35" s="380"/>
      <c r="Q35" s="380"/>
      <c r="R35" s="380"/>
      <c r="S35" s="380"/>
      <c r="T35" s="380"/>
      <c r="U35" s="380"/>
      <c r="V35" s="380"/>
      <c r="W35" s="380"/>
      <c r="X35" s="380"/>
      <c r="Y35" s="380"/>
      <c r="Z35" s="380"/>
      <c r="AA35" s="380"/>
    </row>
    <row r="36">
      <c r="A36" s="380"/>
      <c r="B36" s="380"/>
      <c r="C36" s="380"/>
      <c r="D36" s="380"/>
      <c r="E36" s="380"/>
      <c r="F36" s="380"/>
      <c r="G36" s="380"/>
      <c r="H36" s="380"/>
      <c r="I36" s="380"/>
      <c r="J36" s="380"/>
      <c r="K36" s="380"/>
      <c r="L36" s="380"/>
      <c r="M36" s="380"/>
      <c r="N36" s="380"/>
      <c r="O36" s="380"/>
      <c r="P36" s="380"/>
      <c r="Q36" s="380"/>
      <c r="R36" s="380"/>
      <c r="S36" s="380"/>
      <c r="T36" s="380"/>
      <c r="U36" s="380"/>
      <c r="V36" s="380"/>
      <c r="W36" s="380"/>
      <c r="X36" s="380"/>
      <c r="Y36" s="380"/>
      <c r="Z36" s="380"/>
      <c r="AA36" s="380"/>
    </row>
    <row r="37">
      <c r="A37" s="380"/>
      <c r="B37" s="380"/>
      <c r="C37" s="380"/>
      <c r="D37" s="380"/>
      <c r="E37" s="380"/>
      <c r="F37" s="380"/>
      <c r="G37" s="380"/>
      <c r="H37" s="380"/>
      <c r="I37" s="380"/>
      <c r="J37" s="380"/>
      <c r="K37" s="380"/>
      <c r="L37" s="380"/>
      <c r="M37" s="380"/>
      <c r="N37" s="380"/>
      <c r="O37" s="380"/>
      <c r="P37" s="380"/>
      <c r="Q37" s="380"/>
      <c r="R37" s="380"/>
      <c r="S37" s="380"/>
      <c r="T37" s="380"/>
      <c r="U37" s="380"/>
      <c r="V37" s="380"/>
      <c r="W37" s="380"/>
      <c r="X37" s="380"/>
      <c r="Y37" s="380"/>
      <c r="Z37" s="380"/>
      <c r="AA37" s="380"/>
    </row>
    <row r="38">
      <c r="A38" s="380"/>
      <c r="B38" s="380"/>
      <c r="C38" s="380"/>
      <c r="D38" s="380"/>
      <c r="E38" s="380"/>
      <c r="F38" s="380"/>
      <c r="G38" s="380"/>
      <c r="H38" s="380"/>
      <c r="I38" s="380"/>
      <c r="J38" s="380"/>
      <c r="K38" s="380"/>
      <c r="L38" s="380"/>
      <c r="M38" s="380"/>
      <c r="N38" s="380"/>
      <c r="O38" s="380"/>
      <c r="P38" s="380"/>
      <c r="Q38" s="380"/>
      <c r="R38" s="380"/>
      <c r="S38" s="380"/>
      <c r="T38" s="380"/>
      <c r="U38" s="380"/>
      <c r="V38" s="380"/>
      <c r="W38" s="380"/>
      <c r="X38" s="380"/>
      <c r="Y38" s="380"/>
      <c r="Z38" s="380"/>
      <c r="AA38" s="380"/>
    </row>
    <row r="39">
      <c r="A39" s="380"/>
      <c r="B39" s="380"/>
      <c r="C39" s="380"/>
      <c r="D39" s="380"/>
      <c r="E39" s="380"/>
      <c r="F39" s="380"/>
      <c r="G39" s="380"/>
      <c r="H39" s="380"/>
      <c r="I39" s="380"/>
      <c r="J39" s="380"/>
      <c r="K39" s="380"/>
      <c r="L39" s="380"/>
      <c r="M39" s="380"/>
      <c r="N39" s="380"/>
      <c r="O39" s="380"/>
      <c r="P39" s="380"/>
      <c r="Q39" s="380"/>
      <c r="R39" s="380"/>
      <c r="S39" s="380"/>
      <c r="T39" s="380"/>
      <c r="U39" s="380"/>
      <c r="V39" s="380"/>
      <c r="W39" s="380"/>
      <c r="X39" s="380"/>
      <c r="Y39" s="380"/>
      <c r="Z39" s="380"/>
      <c r="AA39" s="380"/>
    </row>
    <row r="40">
      <c r="A40" s="380"/>
      <c r="B40" s="380"/>
      <c r="C40" s="380"/>
      <c r="D40" s="380"/>
      <c r="E40" s="380"/>
      <c r="F40" s="380"/>
      <c r="G40" s="380"/>
      <c r="H40" s="380"/>
      <c r="I40" s="380"/>
      <c r="J40" s="380"/>
      <c r="K40" s="380"/>
      <c r="L40" s="380"/>
      <c r="M40" s="380"/>
      <c r="N40" s="380"/>
      <c r="O40" s="380"/>
      <c r="P40" s="380"/>
      <c r="Q40" s="380"/>
      <c r="R40" s="380"/>
      <c r="S40" s="380"/>
      <c r="T40" s="380"/>
      <c r="U40" s="380"/>
      <c r="V40" s="380"/>
      <c r="W40" s="380"/>
      <c r="X40" s="380"/>
      <c r="Y40" s="380"/>
      <c r="Z40" s="380"/>
      <c r="AA40" s="380"/>
    </row>
    <row r="41">
      <c r="A41" s="380"/>
      <c r="B41" s="380"/>
      <c r="C41" s="380"/>
      <c r="D41" s="380"/>
      <c r="E41" s="380"/>
      <c r="F41" s="380"/>
      <c r="G41" s="380"/>
      <c r="H41" s="380"/>
      <c r="I41" s="380"/>
      <c r="J41" s="380"/>
      <c r="K41" s="380"/>
      <c r="L41" s="380"/>
      <c r="M41" s="380"/>
      <c r="N41" s="380"/>
      <c r="O41" s="380"/>
      <c r="P41" s="380"/>
      <c r="Q41" s="380"/>
      <c r="R41" s="380"/>
      <c r="S41" s="380"/>
      <c r="T41" s="380"/>
      <c r="U41" s="380"/>
      <c r="V41" s="380"/>
      <c r="W41" s="380"/>
      <c r="X41" s="380"/>
      <c r="Y41" s="380"/>
      <c r="Z41" s="380"/>
      <c r="AA41" s="380"/>
    </row>
    <row r="42">
      <c r="A42" s="380"/>
      <c r="B42" s="380"/>
      <c r="C42" s="380"/>
      <c r="D42" s="380"/>
      <c r="E42" s="380"/>
      <c r="F42" s="380"/>
      <c r="G42" s="380"/>
      <c r="H42" s="380"/>
      <c r="I42" s="380"/>
      <c r="J42" s="380"/>
      <c r="K42" s="380"/>
      <c r="L42" s="380"/>
      <c r="M42" s="380"/>
      <c r="N42" s="380"/>
      <c r="O42" s="380"/>
      <c r="P42" s="380"/>
      <c r="Q42" s="380"/>
      <c r="R42" s="380"/>
      <c r="S42" s="380"/>
      <c r="T42" s="380"/>
      <c r="U42" s="380"/>
      <c r="V42" s="380"/>
      <c r="W42" s="380"/>
      <c r="X42" s="380"/>
      <c r="Y42" s="380"/>
      <c r="Z42" s="380"/>
      <c r="AA42" s="380"/>
    </row>
    <row r="43">
      <c r="A43" s="380"/>
      <c r="B43" s="380"/>
      <c r="C43" s="380"/>
      <c r="D43" s="380"/>
      <c r="E43" s="380"/>
      <c r="F43" s="380"/>
      <c r="G43" s="380"/>
      <c r="H43" s="380"/>
      <c r="I43" s="380"/>
      <c r="J43" s="380"/>
      <c r="K43" s="380"/>
      <c r="L43" s="380"/>
      <c r="M43" s="380"/>
      <c r="N43" s="380"/>
      <c r="O43" s="380"/>
      <c r="P43" s="380"/>
      <c r="Q43" s="380"/>
      <c r="R43" s="380"/>
      <c r="S43" s="380"/>
      <c r="T43" s="380"/>
      <c r="U43" s="380"/>
      <c r="V43" s="380"/>
      <c r="W43" s="380"/>
      <c r="X43" s="380"/>
      <c r="Y43" s="380"/>
      <c r="Z43" s="380"/>
      <c r="AA43" s="380"/>
    </row>
    <row r="44">
      <c r="A44" s="380"/>
      <c r="B44" s="380"/>
      <c r="C44" s="380"/>
      <c r="D44" s="380"/>
      <c r="E44" s="380"/>
      <c r="F44" s="380"/>
      <c r="G44" s="380"/>
      <c r="H44" s="380"/>
      <c r="I44" s="380"/>
      <c r="J44" s="380"/>
      <c r="K44" s="380"/>
      <c r="L44" s="380"/>
      <c r="M44" s="380"/>
      <c r="N44" s="380"/>
      <c r="O44" s="380"/>
      <c r="P44" s="380"/>
      <c r="Q44" s="380"/>
      <c r="R44" s="380"/>
      <c r="S44" s="380"/>
      <c r="T44" s="380"/>
      <c r="U44" s="380"/>
      <c r="V44" s="380"/>
      <c r="W44" s="380"/>
      <c r="X44" s="380"/>
      <c r="Y44" s="380"/>
      <c r="Z44" s="380"/>
      <c r="AA44" s="380"/>
    </row>
    <row r="45">
      <c r="A45" s="380"/>
      <c r="B45" s="380"/>
      <c r="C45" s="380"/>
      <c r="D45" s="380"/>
      <c r="E45" s="380"/>
      <c r="F45" s="380"/>
      <c r="G45" s="380"/>
      <c r="H45" s="380"/>
      <c r="I45" s="380"/>
      <c r="J45" s="380"/>
      <c r="K45" s="380"/>
      <c r="L45" s="380"/>
      <c r="M45" s="380"/>
      <c r="N45" s="380"/>
      <c r="O45" s="380"/>
      <c r="P45" s="380"/>
      <c r="Q45" s="380"/>
      <c r="R45" s="380"/>
      <c r="S45" s="380"/>
      <c r="T45" s="380"/>
      <c r="U45" s="380"/>
      <c r="V45" s="380"/>
      <c r="W45" s="380"/>
      <c r="X45" s="380"/>
      <c r="Y45" s="380"/>
      <c r="Z45" s="380"/>
      <c r="AA45" s="380"/>
    </row>
    <row r="46">
      <c r="A46" s="380"/>
      <c r="B46" s="380"/>
      <c r="C46" s="380"/>
      <c r="D46" s="380"/>
      <c r="E46" s="380"/>
      <c r="F46" s="380"/>
      <c r="G46" s="380"/>
      <c r="H46" s="380"/>
      <c r="I46" s="380"/>
      <c r="J46" s="380"/>
      <c r="K46" s="380"/>
      <c r="L46" s="380"/>
      <c r="M46" s="380"/>
      <c r="N46" s="380"/>
      <c r="O46" s="380"/>
      <c r="P46" s="380"/>
      <c r="Q46" s="380"/>
      <c r="R46" s="380"/>
      <c r="S46" s="380"/>
      <c r="T46" s="380"/>
      <c r="U46" s="380"/>
      <c r="V46" s="380"/>
      <c r="W46" s="380"/>
      <c r="X46" s="380"/>
      <c r="Y46" s="380"/>
      <c r="Z46" s="380"/>
      <c r="AA46" s="380"/>
    </row>
    <row r="47">
      <c r="A47" s="380"/>
      <c r="B47" s="380"/>
      <c r="C47" s="380"/>
      <c r="D47" s="380"/>
      <c r="E47" s="380"/>
      <c r="F47" s="380"/>
      <c r="G47" s="380"/>
      <c r="H47" s="380"/>
      <c r="I47" s="380"/>
      <c r="J47" s="380"/>
      <c r="K47" s="380"/>
      <c r="L47" s="380"/>
      <c r="M47" s="380"/>
      <c r="N47" s="380"/>
      <c r="O47" s="380"/>
      <c r="P47" s="380"/>
      <c r="Q47" s="380"/>
      <c r="R47" s="380"/>
      <c r="S47" s="380"/>
      <c r="T47" s="380"/>
      <c r="U47" s="380"/>
      <c r="V47" s="380"/>
      <c r="W47" s="380"/>
      <c r="X47" s="380"/>
      <c r="Y47" s="380"/>
      <c r="Z47" s="380"/>
      <c r="AA47" s="380"/>
    </row>
    <row r="48">
      <c r="A48" s="380"/>
      <c r="B48" s="380"/>
      <c r="C48" s="380"/>
      <c r="D48" s="380"/>
      <c r="E48" s="380"/>
      <c r="F48" s="380"/>
      <c r="G48" s="380"/>
      <c r="H48" s="380"/>
      <c r="I48" s="380"/>
      <c r="J48" s="380"/>
      <c r="K48" s="380"/>
      <c r="L48" s="380"/>
      <c r="M48" s="380"/>
      <c r="N48" s="380"/>
      <c r="O48" s="380"/>
      <c r="P48" s="380"/>
      <c r="Q48" s="380"/>
      <c r="R48" s="380"/>
      <c r="S48" s="380"/>
      <c r="T48" s="380"/>
      <c r="U48" s="380"/>
      <c r="V48" s="380"/>
      <c r="W48" s="380"/>
      <c r="X48" s="380"/>
      <c r="Y48" s="380"/>
      <c r="Z48" s="380"/>
      <c r="AA48" s="380"/>
    </row>
    <row r="49">
      <c r="A49" s="380"/>
      <c r="B49" s="380"/>
      <c r="C49" s="380"/>
      <c r="D49" s="380"/>
      <c r="E49" s="380"/>
      <c r="F49" s="380"/>
      <c r="G49" s="380"/>
      <c r="H49" s="380"/>
      <c r="I49" s="380"/>
      <c r="J49" s="380"/>
      <c r="K49" s="380"/>
      <c r="L49" s="380"/>
      <c r="M49" s="380"/>
      <c r="N49" s="380"/>
      <c r="O49" s="380"/>
      <c r="P49" s="380"/>
      <c r="Q49" s="380"/>
      <c r="R49" s="380"/>
      <c r="S49" s="380"/>
      <c r="T49" s="380"/>
      <c r="U49" s="380"/>
      <c r="V49" s="380"/>
      <c r="W49" s="380"/>
      <c r="X49" s="380"/>
      <c r="Y49" s="380"/>
      <c r="Z49" s="380"/>
      <c r="AA49" s="380"/>
    </row>
    <row r="50">
      <c r="A50" s="380"/>
      <c r="B50" s="380"/>
      <c r="C50" s="380"/>
      <c r="D50" s="380"/>
      <c r="E50" s="380"/>
      <c r="F50" s="380"/>
      <c r="G50" s="380"/>
      <c r="H50" s="380"/>
      <c r="I50" s="380"/>
      <c r="J50" s="380"/>
      <c r="K50" s="380"/>
      <c r="L50" s="380"/>
      <c r="M50" s="380"/>
      <c r="N50" s="380"/>
      <c r="O50" s="380"/>
      <c r="P50" s="380"/>
      <c r="Q50" s="380"/>
      <c r="R50" s="380"/>
      <c r="S50" s="380"/>
      <c r="T50" s="380"/>
      <c r="U50" s="380"/>
      <c r="V50" s="380"/>
      <c r="W50" s="380"/>
      <c r="X50" s="380"/>
      <c r="Y50" s="380"/>
      <c r="Z50" s="380"/>
      <c r="AA50" s="380"/>
    </row>
    <row r="51">
      <c r="A51" s="380"/>
      <c r="B51" s="380"/>
      <c r="C51" s="380"/>
      <c r="D51" s="380"/>
      <c r="E51" s="380"/>
      <c r="F51" s="380"/>
      <c r="G51" s="380"/>
      <c r="H51" s="380"/>
      <c r="I51" s="380"/>
      <c r="J51" s="380"/>
      <c r="K51" s="380"/>
      <c r="L51" s="380"/>
      <c r="M51" s="380"/>
      <c r="N51" s="380"/>
      <c r="O51" s="380"/>
      <c r="P51" s="380"/>
      <c r="Q51" s="380"/>
      <c r="R51" s="380"/>
      <c r="S51" s="380"/>
      <c r="T51" s="380"/>
      <c r="U51" s="380"/>
      <c r="V51" s="380"/>
      <c r="W51" s="380"/>
      <c r="X51" s="380"/>
      <c r="Y51" s="380"/>
      <c r="Z51" s="380"/>
      <c r="AA51" s="380"/>
    </row>
    <row r="52">
      <c r="A52" s="380"/>
      <c r="B52" s="380"/>
      <c r="C52" s="380"/>
      <c r="D52" s="380"/>
      <c r="E52" s="380"/>
      <c r="F52" s="380"/>
      <c r="G52" s="380"/>
      <c r="H52" s="380"/>
      <c r="I52" s="380"/>
      <c r="J52" s="380"/>
      <c r="K52" s="380"/>
      <c r="L52" s="380"/>
      <c r="M52" s="380"/>
      <c r="N52" s="380"/>
      <c r="O52" s="380"/>
      <c r="P52" s="380"/>
      <c r="Q52" s="380"/>
      <c r="R52" s="380"/>
      <c r="S52" s="380"/>
      <c r="T52" s="380"/>
      <c r="U52" s="380"/>
      <c r="V52" s="380"/>
      <c r="W52" s="380"/>
      <c r="X52" s="380"/>
      <c r="Y52" s="380"/>
      <c r="Z52" s="380"/>
      <c r="AA52" s="380"/>
    </row>
    <row r="53">
      <c r="A53" s="380"/>
      <c r="B53" s="380"/>
      <c r="C53" s="380"/>
      <c r="D53" s="380"/>
      <c r="E53" s="380"/>
      <c r="F53" s="380"/>
      <c r="G53" s="380"/>
      <c r="H53" s="380"/>
      <c r="I53" s="380"/>
      <c r="J53" s="380"/>
      <c r="K53" s="380"/>
      <c r="L53" s="380"/>
      <c r="M53" s="380"/>
      <c r="N53" s="380"/>
      <c r="O53" s="380"/>
      <c r="P53" s="380"/>
      <c r="Q53" s="380"/>
      <c r="R53" s="380"/>
      <c r="S53" s="380"/>
      <c r="T53" s="380"/>
      <c r="U53" s="380"/>
      <c r="V53" s="380"/>
      <c r="W53" s="380"/>
      <c r="X53" s="380"/>
      <c r="Y53" s="380"/>
      <c r="Z53" s="380"/>
      <c r="AA53" s="380"/>
    </row>
    <row r="54">
      <c r="A54" s="380"/>
      <c r="B54" s="380"/>
      <c r="C54" s="380"/>
      <c r="D54" s="380"/>
      <c r="E54" s="380"/>
      <c r="F54" s="380"/>
      <c r="G54" s="380"/>
      <c r="H54" s="380"/>
      <c r="I54" s="380"/>
      <c r="J54" s="380"/>
      <c r="K54" s="380"/>
      <c r="L54" s="380"/>
      <c r="M54" s="380"/>
      <c r="N54" s="380"/>
      <c r="O54" s="380"/>
      <c r="P54" s="380"/>
      <c r="Q54" s="380"/>
      <c r="R54" s="380"/>
      <c r="S54" s="380"/>
      <c r="T54" s="380"/>
      <c r="U54" s="380"/>
      <c r="V54" s="380"/>
      <c r="W54" s="380"/>
      <c r="X54" s="380"/>
      <c r="Y54" s="380"/>
      <c r="Z54" s="380"/>
      <c r="AA54" s="380"/>
    </row>
    <row r="55">
      <c r="A55" s="380"/>
      <c r="B55" s="380"/>
      <c r="C55" s="380"/>
      <c r="D55" s="380"/>
      <c r="E55" s="380"/>
      <c r="F55" s="380"/>
      <c r="G55" s="380"/>
      <c r="H55" s="380"/>
      <c r="I55" s="380"/>
      <c r="J55" s="380"/>
      <c r="K55" s="380"/>
      <c r="L55" s="380"/>
      <c r="M55" s="380"/>
      <c r="N55" s="380"/>
      <c r="O55" s="380"/>
      <c r="P55" s="380"/>
      <c r="Q55" s="380"/>
      <c r="R55" s="380"/>
      <c r="S55" s="380"/>
      <c r="T55" s="380"/>
      <c r="U55" s="380"/>
      <c r="V55" s="380"/>
      <c r="W55" s="380"/>
      <c r="X55" s="380"/>
      <c r="Y55" s="380"/>
      <c r="Z55" s="380"/>
      <c r="AA55" s="380"/>
    </row>
    <row r="56">
      <c r="A56" s="380"/>
      <c r="B56" s="380"/>
      <c r="C56" s="380"/>
      <c r="D56" s="380"/>
      <c r="E56" s="380"/>
      <c r="F56" s="380"/>
      <c r="G56" s="380"/>
      <c r="H56" s="380"/>
      <c r="I56" s="380"/>
      <c r="J56" s="380"/>
      <c r="K56" s="380"/>
      <c r="L56" s="380"/>
      <c r="M56" s="380"/>
      <c r="N56" s="380"/>
      <c r="O56" s="380"/>
      <c r="P56" s="380"/>
      <c r="Q56" s="380"/>
      <c r="R56" s="380"/>
      <c r="S56" s="380"/>
      <c r="T56" s="380"/>
      <c r="U56" s="380"/>
      <c r="V56" s="380"/>
      <c r="W56" s="380"/>
      <c r="X56" s="380"/>
      <c r="Y56" s="380"/>
      <c r="Z56" s="380"/>
      <c r="AA56" s="380"/>
    </row>
    <row r="57">
      <c r="A57" s="380"/>
      <c r="B57" s="380"/>
      <c r="C57" s="380"/>
      <c r="D57" s="380"/>
      <c r="E57" s="380"/>
      <c r="F57" s="380"/>
      <c r="G57" s="380"/>
      <c r="H57" s="380"/>
      <c r="I57" s="380"/>
      <c r="J57" s="380"/>
      <c r="K57" s="380"/>
      <c r="L57" s="380"/>
      <c r="M57" s="380"/>
      <c r="N57" s="380"/>
      <c r="O57" s="380"/>
      <c r="P57" s="380"/>
      <c r="Q57" s="380"/>
      <c r="R57" s="380"/>
      <c r="S57" s="380"/>
      <c r="T57" s="380"/>
      <c r="U57" s="380"/>
      <c r="V57" s="380"/>
      <c r="W57" s="380"/>
      <c r="X57" s="380"/>
      <c r="Y57" s="380"/>
      <c r="Z57" s="380"/>
      <c r="AA57" s="380"/>
    </row>
    <row r="58">
      <c r="A58" s="380"/>
      <c r="B58" s="380"/>
      <c r="C58" s="380"/>
      <c r="D58" s="380"/>
      <c r="E58" s="380"/>
      <c r="F58" s="380"/>
      <c r="G58" s="380"/>
      <c r="H58" s="380"/>
      <c r="I58" s="380"/>
      <c r="J58" s="380"/>
      <c r="K58" s="380"/>
      <c r="L58" s="380"/>
      <c r="M58" s="380"/>
      <c r="N58" s="380"/>
      <c r="O58" s="380"/>
      <c r="P58" s="380"/>
      <c r="Q58" s="380"/>
      <c r="R58" s="380"/>
      <c r="S58" s="380"/>
      <c r="T58" s="380"/>
      <c r="U58" s="380"/>
      <c r="V58" s="380"/>
      <c r="W58" s="380"/>
      <c r="X58" s="380"/>
      <c r="Y58" s="380"/>
      <c r="Z58" s="380"/>
      <c r="AA58" s="380"/>
    </row>
    <row r="59">
      <c r="A59" s="380"/>
      <c r="B59" s="380"/>
      <c r="C59" s="380"/>
      <c r="D59" s="380"/>
      <c r="E59" s="380"/>
      <c r="F59" s="380"/>
      <c r="G59" s="380"/>
      <c r="H59" s="380"/>
      <c r="I59" s="380"/>
      <c r="J59" s="380"/>
      <c r="K59" s="380"/>
      <c r="L59" s="380"/>
      <c r="M59" s="380"/>
      <c r="N59" s="380"/>
      <c r="O59" s="380"/>
      <c r="P59" s="380"/>
      <c r="Q59" s="380"/>
      <c r="R59" s="380"/>
      <c r="S59" s="380"/>
      <c r="T59" s="380"/>
      <c r="U59" s="380"/>
      <c r="V59" s="380"/>
      <c r="W59" s="380"/>
      <c r="X59" s="380"/>
      <c r="Y59" s="380"/>
      <c r="Z59" s="380"/>
      <c r="AA59" s="380"/>
    </row>
    <row r="60">
      <c r="A60" s="380"/>
      <c r="B60" s="380"/>
      <c r="C60" s="380"/>
      <c r="D60" s="380"/>
      <c r="E60" s="380"/>
      <c r="F60" s="380"/>
      <c r="G60" s="380"/>
      <c r="H60" s="380"/>
      <c r="I60" s="380"/>
      <c r="J60" s="380"/>
      <c r="K60" s="380"/>
      <c r="L60" s="380"/>
      <c r="M60" s="380"/>
      <c r="N60" s="380"/>
      <c r="O60" s="380"/>
      <c r="P60" s="380"/>
      <c r="Q60" s="380"/>
      <c r="R60" s="380"/>
      <c r="S60" s="380"/>
      <c r="T60" s="380"/>
      <c r="U60" s="380"/>
      <c r="V60" s="380"/>
      <c r="W60" s="380"/>
      <c r="X60" s="380"/>
      <c r="Y60" s="380"/>
      <c r="Z60" s="380"/>
      <c r="AA60" s="380"/>
    </row>
    <row r="61">
      <c r="A61" s="380"/>
      <c r="B61" s="380"/>
      <c r="C61" s="380"/>
      <c r="D61" s="380"/>
      <c r="E61" s="380"/>
      <c r="F61" s="380"/>
      <c r="G61" s="380"/>
      <c r="H61" s="380"/>
      <c r="I61" s="380"/>
      <c r="J61" s="380"/>
      <c r="K61" s="380"/>
      <c r="L61" s="380"/>
      <c r="M61" s="380"/>
      <c r="N61" s="380"/>
      <c r="O61" s="380"/>
      <c r="P61" s="380"/>
      <c r="Q61" s="380"/>
      <c r="R61" s="380"/>
      <c r="S61" s="380"/>
      <c r="T61" s="380"/>
      <c r="U61" s="380"/>
      <c r="V61" s="380"/>
      <c r="W61" s="380"/>
      <c r="X61" s="380"/>
      <c r="Y61" s="380"/>
      <c r="Z61" s="380"/>
      <c r="AA61" s="380"/>
    </row>
    <row r="62">
      <c r="A62" s="380"/>
      <c r="B62" s="380"/>
      <c r="C62" s="380"/>
      <c r="D62" s="380"/>
      <c r="E62" s="380"/>
      <c r="F62" s="380"/>
      <c r="G62" s="380"/>
      <c r="H62" s="380"/>
      <c r="I62" s="380"/>
      <c r="J62" s="380"/>
      <c r="K62" s="380"/>
      <c r="L62" s="380"/>
      <c r="M62" s="380"/>
      <c r="N62" s="380"/>
      <c r="O62" s="380"/>
      <c r="P62" s="380"/>
      <c r="Q62" s="380"/>
      <c r="R62" s="380"/>
      <c r="S62" s="380"/>
      <c r="T62" s="380"/>
      <c r="U62" s="380"/>
      <c r="V62" s="380"/>
      <c r="W62" s="380"/>
      <c r="X62" s="380"/>
      <c r="Y62" s="380"/>
      <c r="Z62" s="380"/>
      <c r="AA62" s="380"/>
    </row>
    <row r="63">
      <c r="A63" s="380"/>
      <c r="B63" s="380"/>
      <c r="C63" s="380"/>
      <c r="D63" s="380"/>
      <c r="E63" s="380"/>
      <c r="F63" s="380"/>
      <c r="G63" s="380"/>
      <c r="H63" s="380"/>
      <c r="I63" s="380"/>
      <c r="J63" s="380"/>
      <c r="K63" s="380"/>
      <c r="L63" s="380"/>
      <c r="M63" s="380"/>
      <c r="N63" s="380"/>
      <c r="O63" s="380"/>
      <c r="P63" s="380"/>
      <c r="Q63" s="380"/>
      <c r="R63" s="380"/>
      <c r="S63" s="380"/>
      <c r="T63" s="380"/>
      <c r="U63" s="380"/>
      <c r="V63" s="380"/>
      <c r="W63" s="380"/>
      <c r="X63" s="380"/>
      <c r="Y63" s="380"/>
      <c r="Z63" s="380"/>
      <c r="AA63" s="380"/>
    </row>
    <row r="64">
      <c r="A64" s="380"/>
      <c r="B64" s="380"/>
      <c r="C64" s="380"/>
      <c r="D64" s="380"/>
      <c r="E64" s="380"/>
      <c r="F64" s="380"/>
      <c r="G64" s="380"/>
      <c r="H64" s="380"/>
      <c r="I64" s="380"/>
      <c r="J64" s="380"/>
      <c r="K64" s="380"/>
      <c r="L64" s="380"/>
      <c r="M64" s="380"/>
      <c r="N64" s="380"/>
      <c r="O64" s="380"/>
      <c r="P64" s="380"/>
      <c r="Q64" s="380"/>
      <c r="R64" s="380"/>
      <c r="S64" s="380"/>
      <c r="T64" s="380"/>
      <c r="U64" s="380"/>
      <c r="V64" s="380"/>
      <c r="W64" s="380"/>
      <c r="X64" s="380"/>
      <c r="Y64" s="380"/>
      <c r="Z64" s="380"/>
      <c r="AA64" s="380"/>
    </row>
    <row r="65">
      <c r="A65" s="380"/>
      <c r="B65" s="380"/>
      <c r="C65" s="380"/>
      <c r="D65" s="380"/>
      <c r="E65" s="380"/>
      <c r="F65" s="380"/>
      <c r="G65" s="380"/>
      <c r="H65" s="380"/>
      <c r="I65" s="380"/>
      <c r="J65" s="380"/>
      <c r="K65" s="380"/>
      <c r="L65" s="380"/>
      <c r="M65" s="380"/>
      <c r="N65" s="380"/>
      <c r="O65" s="380"/>
      <c r="P65" s="380"/>
      <c r="Q65" s="380"/>
      <c r="R65" s="380"/>
      <c r="S65" s="380"/>
      <c r="T65" s="380"/>
      <c r="U65" s="380"/>
      <c r="V65" s="380"/>
      <c r="W65" s="380"/>
      <c r="X65" s="380"/>
      <c r="Y65" s="380"/>
      <c r="Z65" s="380"/>
      <c r="AA65" s="380"/>
    </row>
    <row r="66">
      <c r="A66" s="380"/>
      <c r="B66" s="380"/>
      <c r="C66" s="380"/>
      <c r="D66" s="380"/>
      <c r="E66" s="380"/>
      <c r="F66" s="380"/>
      <c r="G66" s="380"/>
      <c r="H66" s="380"/>
      <c r="I66" s="380"/>
      <c r="J66" s="380"/>
      <c r="K66" s="380"/>
      <c r="L66" s="380"/>
      <c r="M66" s="380"/>
      <c r="N66" s="380"/>
      <c r="O66" s="380"/>
      <c r="P66" s="380"/>
      <c r="Q66" s="380"/>
      <c r="R66" s="380"/>
      <c r="S66" s="380"/>
      <c r="T66" s="380"/>
      <c r="U66" s="380"/>
      <c r="V66" s="380"/>
      <c r="W66" s="380"/>
      <c r="X66" s="380"/>
      <c r="Y66" s="380"/>
      <c r="Z66" s="380"/>
      <c r="AA66" s="380"/>
    </row>
    <row r="67">
      <c r="A67" s="380"/>
      <c r="B67" s="380"/>
      <c r="C67" s="380"/>
      <c r="D67" s="380"/>
      <c r="E67" s="380"/>
      <c r="F67" s="380"/>
      <c r="G67" s="380"/>
      <c r="H67" s="380"/>
      <c r="I67" s="380"/>
      <c r="J67" s="380"/>
      <c r="K67" s="380"/>
      <c r="L67" s="380"/>
      <c r="M67" s="380"/>
      <c r="N67" s="380"/>
      <c r="O67" s="380"/>
      <c r="P67" s="380"/>
      <c r="Q67" s="380"/>
      <c r="R67" s="380"/>
      <c r="S67" s="380"/>
      <c r="T67" s="380"/>
      <c r="U67" s="380"/>
      <c r="V67" s="380"/>
      <c r="W67" s="380"/>
      <c r="X67" s="380"/>
      <c r="Y67" s="380"/>
      <c r="Z67" s="380"/>
      <c r="AA67" s="380"/>
    </row>
    <row r="68">
      <c r="A68" s="380"/>
      <c r="B68" s="380"/>
      <c r="C68" s="380"/>
      <c r="D68" s="380"/>
      <c r="E68" s="380"/>
      <c r="F68" s="380"/>
      <c r="G68" s="380"/>
      <c r="H68" s="380"/>
      <c r="I68" s="380"/>
      <c r="J68" s="380"/>
      <c r="K68" s="380"/>
      <c r="L68" s="380"/>
      <c r="M68" s="380"/>
      <c r="N68" s="380"/>
      <c r="O68" s="380"/>
      <c r="P68" s="380"/>
      <c r="Q68" s="380"/>
      <c r="R68" s="380"/>
      <c r="S68" s="380"/>
      <c r="T68" s="380"/>
      <c r="U68" s="380"/>
      <c r="V68" s="380"/>
      <c r="W68" s="380"/>
      <c r="X68" s="380"/>
      <c r="Y68" s="380"/>
      <c r="Z68" s="380"/>
      <c r="AA68" s="380"/>
    </row>
    <row r="69">
      <c r="A69" s="380"/>
      <c r="B69" s="380"/>
      <c r="C69" s="380"/>
      <c r="D69" s="380"/>
      <c r="E69" s="380"/>
      <c r="F69" s="380"/>
      <c r="G69" s="380"/>
      <c r="H69" s="380"/>
      <c r="I69" s="380"/>
      <c r="J69" s="380"/>
      <c r="K69" s="380"/>
      <c r="L69" s="380"/>
      <c r="M69" s="380"/>
      <c r="N69" s="380"/>
      <c r="O69" s="380"/>
      <c r="P69" s="380"/>
      <c r="Q69" s="380"/>
      <c r="R69" s="380"/>
      <c r="S69" s="380"/>
      <c r="T69" s="380"/>
      <c r="U69" s="380"/>
      <c r="V69" s="380"/>
      <c r="W69" s="380"/>
      <c r="X69" s="380"/>
      <c r="Y69" s="380"/>
      <c r="Z69" s="380"/>
      <c r="AA69" s="380"/>
    </row>
    <row r="70">
      <c r="A70" s="380"/>
      <c r="B70" s="380"/>
      <c r="C70" s="380"/>
      <c r="D70" s="380"/>
      <c r="E70" s="380"/>
      <c r="F70" s="380"/>
      <c r="G70" s="380"/>
      <c r="H70" s="380"/>
      <c r="I70" s="380"/>
      <c r="J70" s="380"/>
      <c r="K70" s="380"/>
      <c r="L70" s="380"/>
      <c r="M70" s="380"/>
      <c r="N70" s="380"/>
      <c r="O70" s="380"/>
      <c r="P70" s="380"/>
      <c r="Q70" s="380"/>
      <c r="R70" s="380"/>
      <c r="S70" s="380"/>
      <c r="T70" s="380"/>
      <c r="U70" s="380"/>
      <c r="V70" s="380"/>
      <c r="W70" s="380"/>
      <c r="X70" s="380"/>
      <c r="Y70" s="380"/>
      <c r="Z70" s="380"/>
      <c r="AA70" s="380"/>
    </row>
    <row r="71">
      <c r="A71" s="380"/>
      <c r="B71" s="380"/>
      <c r="C71" s="380"/>
      <c r="D71" s="380"/>
      <c r="E71" s="380"/>
      <c r="F71" s="380"/>
      <c r="G71" s="380"/>
      <c r="H71" s="380"/>
      <c r="I71" s="380"/>
      <c r="J71" s="380"/>
      <c r="K71" s="380"/>
      <c r="L71" s="380"/>
      <c r="M71" s="380"/>
      <c r="N71" s="380"/>
      <c r="O71" s="380"/>
      <c r="P71" s="380"/>
      <c r="Q71" s="380"/>
      <c r="R71" s="380"/>
      <c r="S71" s="380"/>
      <c r="T71" s="380"/>
      <c r="U71" s="380"/>
      <c r="V71" s="380"/>
      <c r="W71" s="380"/>
      <c r="X71" s="380"/>
      <c r="Y71" s="380"/>
      <c r="Z71" s="380"/>
      <c r="AA71" s="380"/>
    </row>
    <row r="72">
      <c r="A72" s="380"/>
      <c r="B72" s="380"/>
      <c r="C72" s="380"/>
      <c r="D72" s="380"/>
      <c r="E72" s="380"/>
      <c r="F72" s="380"/>
      <c r="G72" s="380"/>
      <c r="H72" s="380"/>
      <c r="I72" s="380"/>
      <c r="J72" s="380"/>
      <c r="K72" s="380"/>
      <c r="L72" s="380"/>
      <c r="M72" s="380"/>
      <c r="N72" s="380"/>
      <c r="O72" s="380"/>
      <c r="P72" s="380"/>
      <c r="Q72" s="380"/>
      <c r="R72" s="380"/>
      <c r="S72" s="380"/>
      <c r="T72" s="380"/>
      <c r="U72" s="380"/>
      <c r="V72" s="380"/>
      <c r="W72" s="380"/>
      <c r="X72" s="380"/>
      <c r="Y72" s="380"/>
      <c r="Z72" s="380"/>
      <c r="AA72" s="380"/>
    </row>
    <row r="73">
      <c r="A73" s="380"/>
      <c r="B73" s="380"/>
      <c r="C73" s="380"/>
      <c r="D73" s="380"/>
      <c r="E73" s="380"/>
      <c r="F73" s="380"/>
      <c r="G73" s="380"/>
      <c r="H73" s="380"/>
      <c r="I73" s="380"/>
      <c r="J73" s="380"/>
      <c r="K73" s="380"/>
      <c r="L73" s="380"/>
      <c r="M73" s="380"/>
      <c r="N73" s="380"/>
      <c r="O73" s="380"/>
      <c r="P73" s="380"/>
      <c r="Q73" s="380"/>
      <c r="R73" s="380"/>
      <c r="S73" s="380"/>
      <c r="T73" s="380"/>
      <c r="U73" s="380"/>
      <c r="V73" s="380"/>
      <c r="W73" s="380"/>
      <c r="X73" s="380"/>
      <c r="Y73" s="380"/>
      <c r="Z73" s="380"/>
      <c r="AA73" s="380"/>
    </row>
    <row r="74">
      <c r="A74" s="380"/>
      <c r="B74" s="380"/>
      <c r="C74" s="380"/>
      <c r="D74" s="380"/>
      <c r="E74" s="380"/>
      <c r="F74" s="380"/>
      <c r="G74" s="380"/>
      <c r="H74" s="380"/>
      <c r="I74" s="380"/>
      <c r="J74" s="380"/>
      <c r="K74" s="380"/>
      <c r="L74" s="380"/>
      <c r="M74" s="380"/>
      <c r="N74" s="380"/>
      <c r="O74" s="380"/>
      <c r="P74" s="380"/>
      <c r="Q74" s="380"/>
      <c r="R74" s="380"/>
      <c r="S74" s="380"/>
      <c r="T74" s="380"/>
      <c r="U74" s="380"/>
      <c r="V74" s="380"/>
      <c r="W74" s="380"/>
      <c r="X74" s="380"/>
      <c r="Y74" s="380"/>
      <c r="Z74" s="380"/>
      <c r="AA74" s="380"/>
    </row>
    <row r="75">
      <c r="A75" s="380"/>
      <c r="B75" s="380"/>
      <c r="C75" s="380"/>
      <c r="D75" s="380"/>
      <c r="E75" s="380"/>
      <c r="F75" s="380"/>
      <c r="G75" s="380"/>
      <c r="H75" s="380"/>
      <c r="I75" s="380"/>
      <c r="J75" s="380"/>
      <c r="K75" s="380"/>
      <c r="L75" s="380"/>
      <c r="M75" s="380"/>
      <c r="N75" s="380"/>
      <c r="O75" s="380"/>
      <c r="P75" s="380"/>
      <c r="Q75" s="380"/>
      <c r="R75" s="380"/>
      <c r="S75" s="380"/>
      <c r="T75" s="380"/>
      <c r="U75" s="380"/>
      <c r="V75" s="380"/>
      <c r="W75" s="380"/>
      <c r="X75" s="380"/>
      <c r="Y75" s="380"/>
      <c r="Z75" s="380"/>
      <c r="AA75" s="380"/>
    </row>
    <row r="76">
      <c r="A76" s="380"/>
      <c r="B76" s="380"/>
      <c r="C76" s="380"/>
      <c r="D76" s="380"/>
      <c r="E76" s="380"/>
      <c r="F76" s="380"/>
      <c r="G76" s="380"/>
      <c r="H76" s="380"/>
      <c r="I76" s="380"/>
      <c r="J76" s="380"/>
      <c r="K76" s="380"/>
      <c r="L76" s="380"/>
      <c r="M76" s="380"/>
      <c r="N76" s="380"/>
      <c r="O76" s="380"/>
      <c r="P76" s="380"/>
      <c r="Q76" s="380"/>
      <c r="R76" s="380"/>
      <c r="S76" s="380"/>
      <c r="T76" s="380"/>
      <c r="U76" s="380"/>
      <c r="V76" s="380"/>
      <c r="W76" s="380"/>
      <c r="X76" s="380"/>
      <c r="Y76" s="380"/>
      <c r="Z76" s="380"/>
      <c r="AA76" s="380"/>
    </row>
    <row r="77">
      <c r="A77" s="380"/>
      <c r="B77" s="380"/>
      <c r="C77" s="380"/>
      <c r="D77" s="380"/>
      <c r="E77" s="380"/>
      <c r="F77" s="380"/>
      <c r="G77" s="380"/>
      <c r="H77" s="380"/>
      <c r="I77" s="380"/>
      <c r="J77" s="380"/>
      <c r="K77" s="380"/>
      <c r="L77" s="380"/>
      <c r="M77" s="380"/>
      <c r="N77" s="380"/>
      <c r="O77" s="380"/>
      <c r="P77" s="380"/>
      <c r="Q77" s="380"/>
      <c r="R77" s="380"/>
      <c r="S77" s="380"/>
      <c r="T77" s="380"/>
      <c r="U77" s="380"/>
      <c r="V77" s="380"/>
      <c r="W77" s="380"/>
      <c r="X77" s="380"/>
      <c r="Y77" s="380"/>
      <c r="Z77" s="380"/>
      <c r="AA77" s="380"/>
    </row>
    <row r="78">
      <c r="A78" s="380"/>
      <c r="B78" s="380"/>
      <c r="C78" s="380"/>
      <c r="D78" s="380"/>
      <c r="E78" s="380"/>
      <c r="F78" s="380"/>
      <c r="G78" s="380"/>
      <c r="H78" s="380"/>
      <c r="I78" s="380"/>
      <c r="J78" s="380"/>
      <c r="K78" s="380"/>
      <c r="L78" s="380"/>
      <c r="M78" s="380"/>
      <c r="N78" s="380"/>
      <c r="O78" s="380"/>
      <c r="P78" s="380"/>
      <c r="Q78" s="380"/>
      <c r="R78" s="380"/>
      <c r="S78" s="380"/>
      <c r="T78" s="380"/>
      <c r="U78" s="380"/>
      <c r="V78" s="380"/>
      <c r="W78" s="380"/>
      <c r="X78" s="380"/>
      <c r="Y78" s="380"/>
      <c r="Z78" s="380"/>
      <c r="AA78" s="380"/>
    </row>
    <row r="79">
      <c r="A79" s="380"/>
      <c r="B79" s="380"/>
      <c r="C79" s="380"/>
      <c r="D79" s="380"/>
      <c r="E79" s="380"/>
      <c r="F79" s="380"/>
      <c r="G79" s="380"/>
      <c r="H79" s="380"/>
      <c r="I79" s="380"/>
      <c r="J79" s="380"/>
      <c r="K79" s="380"/>
      <c r="L79" s="380"/>
      <c r="M79" s="380"/>
      <c r="N79" s="380"/>
      <c r="O79" s="380"/>
      <c r="P79" s="380"/>
      <c r="Q79" s="380"/>
      <c r="R79" s="380"/>
      <c r="S79" s="380"/>
      <c r="T79" s="380"/>
      <c r="U79" s="380"/>
      <c r="V79" s="380"/>
      <c r="W79" s="380"/>
      <c r="X79" s="380"/>
      <c r="Y79" s="380"/>
      <c r="Z79" s="380"/>
      <c r="AA79" s="380"/>
    </row>
    <row r="80">
      <c r="A80" s="380"/>
      <c r="B80" s="380"/>
      <c r="C80" s="380"/>
      <c r="D80" s="380"/>
      <c r="E80" s="380"/>
      <c r="F80" s="380"/>
      <c r="G80" s="380"/>
      <c r="H80" s="380"/>
      <c r="I80" s="380"/>
      <c r="J80" s="380"/>
      <c r="K80" s="380"/>
      <c r="L80" s="380"/>
      <c r="M80" s="380"/>
      <c r="N80" s="380"/>
      <c r="O80" s="380"/>
      <c r="P80" s="380"/>
      <c r="Q80" s="380"/>
      <c r="R80" s="380"/>
      <c r="S80" s="380"/>
      <c r="T80" s="380"/>
      <c r="U80" s="380"/>
      <c r="V80" s="380"/>
      <c r="W80" s="380"/>
      <c r="X80" s="380"/>
      <c r="Y80" s="380"/>
      <c r="Z80" s="380"/>
      <c r="AA80" s="380"/>
    </row>
    <row r="81">
      <c r="A81" s="380"/>
      <c r="B81" s="380"/>
      <c r="C81" s="380"/>
      <c r="D81" s="380"/>
      <c r="E81" s="380"/>
      <c r="F81" s="380"/>
      <c r="G81" s="380"/>
      <c r="H81" s="380"/>
      <c r="I81" s="380"/>
      <c r="J81" s="380"/>
      <c r="K81" s="380"/>
      <c r="L81" s="380"/>
      <c r="M81" s="380"/>
      <c r="N81" s="380"/>
      <c r="O81" s="380"/>
      <c r="P81" s="380"/>
      <c r="Q81" s="380"/>
      <c r="R81" s="380"/>
      <c r="S81" s="380"/>
      <c r="T81" s="380"/>
      <c r="U81" s="380"/>
      <c r="V81" s="380"/>
      <c r="W81" s="380"/>
      <c r="X81" s="380"/>
      <c r="Y81" s="380"/>
      <c r="Z81" s="380"/>
      <c r="AA81" s="380"/>
    </row>
    <row r="82">
      <c r="A82" s="380"/>
      <c r="B82" s="380"/>
      <c r="C82" s="380"/>
      <c r="D82" s="380"/>
      <c r="E82" s="380"/>
      <c r="F82" s="380"/>
      <c r="G82" s="380"/>
      <c r="H82" s="380"/>
      <c r="I82" s="380"/>
      <c r="J82" s="380"/>
      <c r="K82" s="380"/>
      <c r="L82" s="380"/>
      <c r="M82" s="380"/>
      <c r="N82" s="380"/>
      <c r="O82" s="380"/>
      <c r="P82" s="380"/>
      <c r="Q82" s="380"/>
      <c r="R82" s="380"/>
      <c r="S82" s="380"/>
      <c r="T82" s="380"/>
      <c r="U82" s="380"/>
      <c r="V82" s="380"/>
      <c r="W82" s="380"/>
      <c r="X82" s="380"/>
      <c r="Y82" s="380"/>
      <c r="Z82" s="380"/>
      <c r="AA82" s="380"/>
    </row>
    <row r="83">
      <c r="A83" s="380"/>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row>
    <row r="84">
      <c r="A84" s="380"/>
      <c r="B84" s="380"/>
      <c r="C84" s="380"/>
      <c r="D84" s="380"/>
      <c r="E84" s="380"/>
      <c r="F84" s="380"/>
      <c r="G84" s="380"/>
      <c r="H84" s="380"/>
      <c r="I84" s="380"/>
      <c r="J84" s="380"/>
      <c r="K84" s="380"/>
      <c r="L84" s="380"/>
      <c r="M84" s="380"/>
      <c r="N84" s="380"/>
      <c r="O84" s="380"/>
      <c r="P84" s="380"/>
      <c r="Q84" s="380"/>
      <c r="R84" s="380"/>
      <c r="S84" s="380"/>
      <c r="T84" s="380"/>
      <c r="U84" s="380"/>
      <c r="V84" s="380"/>
      <c r="W84" s="380"/>
      <c r="X84" s="380"/>
      <c r="Y84" s="380"/>
      <c r="Z84" s="380"/>
      <c r="AA84" s="380"/>
    </row>
    <row r="85">
      <c r="A85" s="380"/>
      <c r="B85" s="380"/>
      <c r="C85" s="380"/>
      <c r="D85" s="380"/>
      <c r="E85" s="380"/>
      <c r="F85" s="380"/>
      <c r="G85" s="380"/>
      <c r="H85" s="380"/>
      <c r="I85" s="380"/>
      <c r="J85" s="380"/>
      <c r="K85" s="380"/>
      <c r="L85" s="380"/>
      <c r="M85" s="380"/>
      <c r="N85" s="380"/>
      <c r="O85" s="380"/>
      <c r="P85" s="380"/>
      <c r="Q85" s="380"/>
      <c r="R85" s="380"/>
      <c r="S85" s="380"/>
      <c r="T85" s="380"/>
      <c r="U85" s="380"/>
      <c r="V85" s="380"/>
      <c r="W85" s="380"/>
      <c r="X85" s="380"/>
      <c r="Y85" s="380"/>
      <c r="Z85" s="380"/>
      <c r="AA85" s="380"/>
    </row>
    <row r="86">
      <c r="A86" s="380"/>
      <c r="B86" s="380"/>
      <c r="C86" s="380"/>
      <c r="D86" s="380"/>
      <c r="E86" s="380"/>
      <c r="F86" s="380"/>
      <c r="G86" s="380"/>
      <c r="H86" s="380"/>
      <c r="I86" s="380"/>
      <c r="J86" s="380"/>
      <c r="K86" s="380"/>
      <c r="L86" s="380"/>
      <c r="M86" s="380"/>
      <c r="N86" s="380"/>
      <c r="O86" s="380"/>
      <c r="P86" s="380"/>
      <c r="Q86" s="380"/>
      <c r="R86" s="380"/>
      <c r="S86" s="380"/>
      <c r="T86" s="380"/>
      <c r="U86" s="380"/>
      <c r="V86" s="380"/>
      <c r="W86" s="380"/>
      <c r="X86" s="380"/>
      <c r="Y86" s="380"/>
      <c r="Z86" s="380"/>
      <c r="AA86" s="380"/>
    </row>
    <row r="87">
      <c r="A87" s="380"/>
      <c r="B87" s="380"/>
      <c r="C87" s="380"/>
      <c r="D87" s="380"/>
      <c r="E87" s="380"/>
      <c r="F87" s="380"/>
      <c r="G87" s="380"/>
      <c r="H87" s="380"/>
      <c r="I87" s="380"/>
      <c r="J87" s="380"/>
      <c r="K87" s="380"/>
      <c r="L87" s="380"/>
      <c r="M87" s="380"/>
      <c r="N87" s="380"/>
      <c r="O87" s="380"/>
      <c r="P87" s="380"/>
      <c r="Q87" s="380"/>
      <c r="R87" s="380"/>
      <c r="S87" s="380"/>
      <c r="T87" s="380"/>
      <c r="U87" s="380"/>
      <c r="V87" s="380"/>
      <c r="W87" s="380"/>
      <c r="X87" s="380"/>
      <c r="Y87" s="380"/>
      <c r="Z87" s="380"/>
      <c r="AA87" s="380"/>
    </row>
    <row r="88">
      <c r="A88" s="380"/>
      <c r="B88" s="380"/>
      <c r="C88" s="380"/>
      <c r="D88" s="380"/>
      <c r="E88" s="380"/>
      <c r="F88" s="380"/>
      <c r="G88" s="380"/>
      <c r="H88" s="380"/>
      <c r="I88" s="380"/>
      <c r="J88" s="380"/>
      <c r="K88" s="380"/>
      <c r="L88" s="380"/>
      <c r="M88" s="380"/>
      <c r="N88" s="380"/>
      <c r="O88" s="380"/>
      <c r="P88" s="380"/>
      <c r="Q88" s="380"/>
      <c r="R88" s="380"/>
      <c r="S88" s="380"/>
      <c r="T88" s="380"/>
      <c r="U88" s="380"/>
      <c r="V88" s="380"/>
      <c r="W88" s="380"/>
      <c r="X88" s="380"/>
      <c r="Y88" s="380"/>
      <c r="Z88" s="380"/>
      <c r="AA88" s="380"/>
    </row>
    <row r="89">
      <c r="A89" s="380"/>
      <c r="B89" s="380"/>
      <c r="C89" s="380"/>
      <c r="D89" s="380"/>
      <c r="E89" s="380"/>
      <c r="F89" s="380"/>
      <c r="G89" s="380"/>
      <c r="H89" s="380"/>
      <c r="I89" s="380"/>
      <c r="J89" s="380"/>
      <c r="K89" s="380"/>
      <c r="L89" s="380"/>
      <c r="M89" s="380"/>
      <c r="N89" s="380"/>
      <c r="O89" s="380"/>
      <c r="P89" s="380"/>
      <c r="Q89" s="380"/>
      <c r="R89" s="380"/>
      <c r="S89" s="380"/>
      <c r="T89" s="380"/>
      <c r="U89" s="380"/>
      <c r="V89" s="380"/>
      <c r="W89" s="380"/>
      <c r="X89" s="380"/>
      <c r="Y89" s="380"/>
      <c r="Z89" s="380"/>
      <c r="AA89" s="380"/>
    </row>
    <row r="90">
      <c r="A90" s="380"/>
      <c r="B90" s="380"/>
      <c r="C90" s="380"/>
      <c r="D90" s="380"/>
      <c r="E90" s="380"/>
      <c r="F90" s="380"/>
      <c r="G90" s="380"/>
      <c r="H90" s="380"/>
      <c r="I90" s="380"/>
      <c r="J90" s="380"/>
      <c r="K90" s="380"/>
      <c r="L90" s="380"/>
      <c r="M90" s="380"/>
      <c r="N90" s="380"/>
      <c r="O90" s="380"/>
      <c r="P90" s="380"/>
      <c r="Q90" s="380"/>
      <c r="R90" s="380"/>
      <c r="S90" s="380"/>
      <c r="T90" s="380"/>
      <c r="U90" s="380"/>
      <c r="V90" s="380"/>
      <c r="W90" s="380"/>
      <c r="X90" s="380"/>
      <c r="Y90" s="380"/>
      <c r="Z90" s="380"/>
      <c r="AA90" s="380"/>
    </row>
    <row r="91">
      <c r="A91" s="380"/>
      <c r="B91" s="380"/>
      <c r="C91" s="380"/>
      <c r="D91" s="380"/>
      <c r="E91" s="380"/>
      <c r="F91" s="380"/>
      <c r="G91" s="380"/>
      <c r="H91" s="380"/>
      <c r="I91" s="380"/>
      <c r="J91" s="380"/>
      <c r="K91" s="380"/>
      <c r="L91" s="380"/>
      <c r="M91" s="380"/>
      <c r="N91" s="380"/>
      <c r="O91" s="380"/>
      <c r="P91" s="380"/>
      <c r="Q91" s="380"/>
      <c r="R91" s="380"/>
      <c r="S91" s="380"/>
      <c r="T91" s="380"/>
      <c r="U91" s="380"/>
      <c r="V91" s="380"/>
      <c r="W91" s="380"/>
      <c r="X91" s="380"/>
      <c r="Y91" s="380"/>
      <c r="Z91" s="380"/>
      <c r="AA91" s="380"/>
    </row>
    <row r="92">
      <c r="A92" s="380"/>
      <c r="B92" s="380"/>
      <c r="C92" s="380"/>
      <c r="D92" s="380"/>
      <c r="E92" s="380"/>
      <c r="F92" s="380"/>
      <c r="G92" s="380"/>
      <c r="H92" s="380"/>
      <c r="I92" s="380"/>
      <c r="J92" s="380"/>
      <c r="K92" s="380"/>
      <c r="L92" s="380"/>
      <c r="M92" s="380"/>
      <c r="N92" s="380"/>
      <c r="O92" s="380"/>
      <c r="P92" s="380"/>
      <c r="Q92" s="380"/>
      <c r="R92" s="380"/>
      <c r="S92" s="380"/>
      <c r="T92" s="380"/>
      <c r="U92" s="380"/>
      <c r="V92" s="380"/>
      <c r="W92" s="380"/>
      <c r="X92" s="380"/>
      <c r="Y92" s="380"/>
      <c r="Z92" s="380"/>
      <c r="AA92" s="380"/>
    </row>
    <row r="93">
      <c r="A93" s="380"/>
      <c r="B93" s="380"/>
      <c r="C93" s="380"/>
      <c r="D93" s="380"/>
      <c r="E93" s="380"/>
      <c r="F93" s="380"/>
      <c r="G93" s="380"/>
      <c r="H93" s="380"/>
      <c r="I93" s="380"/>
      <c r="J93" s="380"/>
      <c r="K93" s="380"/>
      <c r="L93" s="380"/>
      <c r="M93" s="380"/>
      <c r="N93" s="380"/>
      <c r="O93" s="380"/>
      <c r="P93" s="380"/>
      <c r="Q93" s="380"/>
      <c r="R93" s="380"/>
      <c r="S93" s="380"/>
      <c r="T93" s="380"/>
      <c r="U93" s="380"/>
      <c r="V93" s="380"/>
      <c r="W93" s="380"/>
      <c r="X93" s="380"/>
      <c r="Y93" s="380"/>
      <c r="Z93" s="380"/>
      <c r="AA93" s="380"/>
    </row>
    <row r="94">
      <c r="A94" s="380"/>
      <c r="B94" s="380"/>
      <c r="C94" s="380"/>
      <c r="D94" s="380"/>
      <c r="E94" s="380"/>
      <c r="F94" s="380"/>
      <c r="G94" s="380"/>
      <c r="H94" s="380"/>
      <c r="I94" s="380"/>
      <c r="J94" s="380"/>
      <c r="K94" s="380"/>
      <c r="L94" s="380"/>
      <c r="M94" s="380"/>
      <c r="N94" s="380"/>
      <c r="O94" s="380"/>
      <c r="P94" s="380"/>
      <c r="Q94" s="380"/>
      <c r="R94" s="380"/>
      <c r="S94" s="380"/>
      <c r="T94" s="380"/>
      <c r="U94" s="380"/>
      <c r="V94" s="380"/>
      <c r="W94" s="380"/>
      <c r="X94" s="380"/>
      <c r="Y94" s="380"/>
      <c r="Z94" s="380"/>
      <c r="AA94" s="380"/>
    </row>
    <row r="95">
      <c r="A95" s="380"/>
      <c r="B95" s="380"/>
      <c r="C95" s="380"/>
      <c r="D95" s="380"/>
      <c r="E95" s="380"/>
      <c r="F95" s="380"/>
      <c r="G95" s="380"/>
      <c r="H95" s="380"/>
      <c r="I95" s="380"/>
      <c r="J95" s="380"/>
      <c r="K95" s="380"/>
      <c r="L95" s="380"/>
      <c r="M95" s="380"/>
      <c r="N95" s="380"/>
      <c r="O95" s="380"/>
      <c r="P95" s="380"/>
      <c r="Q95" s="380"/>
      <c r="R95" s="380"/>
      <c r="S95" s="380"/>
      <c r="T95" s="380"/>
      <c r="U95" s="380"/>
      <c r="V95" s="380"/>
      <c r="W95" s="380"/>
      <c r="X95" s="380"/>
      <c r="Y95" s="380"/>
      <c r="Z95" s="380"/>
      <c r="AA95" s="380"/>
    </row>
    <row r="96">
      <c r="A96" s="380"/>
      <c r="B96" s="380"/>
      <c r="C96" s="380"/>
      <c r="D96" s="380"/>
      <c r="E96" s="380"/>
      <c r="F96" s="380"/>
      <c r="G96" s="380"/>
      <c r="H96" s="380"/>
      <c r="I96" s="380"/>
      <c r="J96" s="380"/>
      <c r="K96" s="380"/>
      <c r="L96" s="380"/>
      <c r="M96" s="380"/>
      <c r="N96" s="380"/>
      <c r="O96" s="380"/>
      <c r="P96" s="380"/>
      <c r="Q96" s="380"/>
      <c r="R96" s="380"/>
      <c r="S96" s="380"/>
      <c r="T96" s="380"/>
      <c r="U96" s="380"/>
      <c r="V96" s="380"/>
      <c r="W96" s="380"/>
      <c r="X96" s="380"/>
      <c r="Y96" s="380"/>
      <c r="Z96" s="380"/>
      <c r="AA96" s="380"/>
    </row>
    <row r="97">
      <c r="A97" s="380"/>
      <c r="B97" s="380"/>
      <c r="C97" s="380"/>
      <c r="D97" s="380"/>
      <c r="E97" s="380"/>
      <c r="F97" s="380"/>
      <c r="G97" s="380"/>
      <c r="H97" s="380"/>
      <c r="I97" s="380"/>
      <c r="J97" s="380"/>
      <c r="K97" s="380"/>
      <c r="L97" s="380"/>
      <c r="M97" s="380"/>
      <c r="N97" s="380"/>
      <c r="O97" s="380"/>
      <c r="P97" s="380"/>
      <c r="Q97" s="380"/>
      <c r="R97" s="380"/>
      <c r="S97" s="380"/>
      <c r="T97" s="380"/>
      <c r="U97" s="380"/>
      <c r="V97" s="380"/>
      <c r="W97" s="380"/>
      <c r="X97" s="380"/>
      <c r="Y97" s="380"/>
      <c r="Z97" s="380"/>
      <c r="AA97" s="380"/>
    </row>
    <row r="98">
      <c r="A98" s="380"/>
      <c r="B98" s="380"/>
      <c r="C98" s="380"/>
      <c r="D98" s="380"/>
      <c r="E98" s="380"/>
      <c r="F98" s="380"/>
      <c r="G98" s="380"/>
      <c r="H98" s="380"/>
      <c r="I98" s="380"/>
      <c r="J98" s="380"/>
      <c r="K98" s="380"/>
      <c r="L98" s="380"/>
      <c r="M98" s="380"/>
      <c r="N98" s="380"/>
      <c r="O98" s="380"/>
      <c r="P98" s="380"/>
      <c r="Q98" s="380"/>
      <c r="R98" s="380"/>
      <c r="S98" s="380"/>
      <c r="T98" s="380"/>
      <c r="U98" s="380"/>
      <c r="V98" s="380"/>
      <c r="W98" s="380"/>
      <c r="X98" s="380"/>
      <c r="Y98" s="380"/>
      <c r="Z98" s="380"/>
      <c r="AA98" s="380"/>
    </row>
    <row r="99">
      <c r="A99" s="380"/>
      <c r="B99" s="380"/>
      <c r="C99" s="380"/>
      <c r="D99" s="380"/>
      <c r="E99" s="380"/>
      <c r="F99" s="380"/>
      <c r="G99" s="380"/>
      <c r="H99" s="380"/>
      <c r="I99" s="380"/>
      <c r="J99" s="380"/>
      <c r="K99" s="380"/>
      <c r="L99" s="380"/>
      <c r="M99" s="380"/>
      <c r="N99" s="380"/>
      <c r="O99" s="380"/>
      <c r="P99" s="380"/>
      <c r="Q99" s="380"/>
      <c r="R99" s="380"/>
      <c r="S99" s="380"/>
      <c r="T99" s="380"/>
      <c r="U99" s="380"/>
      <c r="V99" s="380"/>
      <c r="W99" s="380"/>
      <c r="X99" s="380"/>
      <c r="Y99" s="380"/>
      <c r="Z99" s="380"/>
      <c r="AA99" s="380"/>
    </row>
    <row r="100">
      <c r="A100" s="380"/>
      <c r="B100" s="380"/>
      <c r="C100" s="380"/>
      <c r="D100" s="380"/>
      <c r="E100" s="380"/>
      <c r="F100" s="380"/>
      <c r="G100" s="380"/>
      <c r="H100" s="380"/>
      <c r="I100" s="380"/>
      <c r="J100" s="380"/>
      <c r="K100" s="380"/>
      <c r="L100" s="380"/>
      <c r="M100" s="380"/>
      <c r="N100" s="380"/>
      <c r="O100" s="380"/>
      <c r="P100" s="380"/>
      <c r="Q100" s="380"/>
      <c r="R100" s="380"/>
      <c r="S100" s="380"/>
      <c r="T100" s="380"/>
      <c r="U100" s="380"/>
      <c r="V100" s="380"/>
      <c r="W100" s="380"/>
      <c r="X100" s="380"/>
      <c r="Y100" s="380"/>
      <c r="Z100" s="380"/>
      <c r="AA100" s="380"/>
    </row>
    <row r="101">
      <c r="A101" s="380"/>
      <c r="B101" s="380"/>
      <c r="C101" s="380"/>
      <c r="D101" s="380"/>
      <c r="E101" s="380"/>
      <c r="F101" s="380"/>
      <c r="G101" s="380"/>
      <c r="H101" s="380"/>
      <c r="I101" s="380"/>
      <c r="J101" s="380"/>
      <c r="K101" s="380"/>
      <c r="L101" s="380"/>
      <c r="M101" s="380"/>
      <c r="N101" s="380"/>
      <c r="O101" s="380"/>
      <c r="P101" s="380"/>
      <c r="Q101" s="380"/>
      <c r="R101" s="380"/>
      <c r="S101" s="380"/>
      <c r="T101" s="380"/>
      <c r="U101" s="380"/>
      <c r="V101" s="380"/>
      <c r="W101" s="380"/>
      <c r="X101" s="380"/>
      <c r="Y101" s="380"/>
      <c r="Z101" s="380"/>
      <c r="AA101" s="380"/>
    </row>
    <row r="102">
      <c r="A102" s="380"/>
      <c r="B102" s="380"/>
      <c r="C102" s="380"/>
      <c r="D102" s="380"/>
      <c r="E102" s="380"/>
      <c r="F102" s="380"/>
      <c r="G102" s="380"/>
      <c r="H102" s="380"/>
      <c r="I102" s="380"/>
      <c r="J102" s="380"/>
      <c r="K102" s="380"/>
      <c r="L102" s="380"/>
      <c r="M102" s="380"/>
      <c r="N102" s="380"/>
      <c r="O102" s="380"/>
      <c r="P102" s="380"/>
      <c r="Q102" s="380"/>
      <c r="R102" s="380"/>
      <c r="S102" s="380"/>
      <c r="T102" s="380"/>
      <c r="U102" s="380"/>
      <c r="V102" s="380"/>
      <c r="W102" s="380"/>
      <c r="X102" s="380"/>
      <c r="Y102" s="380"/>
      <c r="Z102" s="380"/>
      <c r="AA102" s="380"/>
    </row>
    <row r="103">
      <c r="A103" s="380"/>
      <c r="B103" s="380"/>
      <c r="C103" s="380"/>
      <c r="D103" s="380"/>
      <c r="E103" s="380"/>
      <c r="F103" s="380"/>
      <c r="G103" s="380"/>
      <c r="H103" s="380"/>
      <c r="I103" s="380"/>
      <c r="J103" s="380"/>
      <c r="K103" s="380"/>
      <c r="L103" s="380"/>
      <c r="M103" s="380"/>
      <c r="N103" s="380"/>
      <c r="O103" s="380"/>
      <c r="P103" s="380"/>
      <c r="Q103" s="380"/>
      <c r="R103" s="380"/>
      <c r="S103" s="380"/>
      <c r="T103" s="380"/>
      <c r="U103" s="380"/>
      <c r="V103" s="380"/>
      <c r="W103" s="380"/>
      <c r="X103" s="380"/>
      <c r="Y103" s="380"/>
      <c r="Z103" s="380"/>
      <c r="AA103" s="380"/>
    </row>
    <row r="104">
      <c r="A104" s="380"/>
      <c r="B104" s="380"/>
      <c r="C104" s="380"/>
      <c r="D104" s="380"/>
      <c r="E104" s="380"/>
      <c r="F104" s="380"/>
      <c r="G104" s="380"/>
      <c r="H104" s="380"/>
      <c r="I104" s="380"/>
      <c r="J104" s="380"/>
      <c r="K104" s="380"/>
      <c r="L104" s="380"/>
      <c r="M104" s="380"/>
      <c r="N104" s="380"/>
      <c r="O104" s="380"/>
      <c r="P104" s="380"/>
      <c r="Q104" s="380"/>
      <c r="R104" s="380"/>
      <c r="S104" s="380"/>
      <c r="T104" s="380"/>
      <c r="U104" s="380"/>
      <c r="V104" s="380"/>
      <c r="W104" s="380"/>
      <c r="X104" s="380"/>
      <c r="Y104" s="380"/>
      <c r="Z104" s="380"/>
      <c r="AA104" s="380"/>
    </row>
    <row r="105">
      <c r="A105" s="380"/>
      <c r="B105" s="380"/>
      <c r="C105" s="380"/>
      <c r="D105" s="380"/>
      <c r="E105" s="380"/>
      <c r="F105" s="380"/>
      <c r="G105" s="380"/>
      <c r="H105" s="380"/>
      <c r="I105" s="380"/>
      <c r="J105" s="380"/>
      <c r="K105" s="380"/>
      <c r="L105" s="380"/>
      <c r="M105" s="380"/>
      <c r="N105" s="380"/>
      <c r="O105" s="380"/>
      <c r="P105" s="380"/>
      <c r="Q105" s="380"/>
      <c r="R105" s="380"/>
      <c r="S105" s="380"/>
      <c r="T105" s="380"/>
      <c r="U105" s="380"/>
      <c r="V105" s="380"/>
      <c r="W105" s="380"/>
      <c r="X105" s="380"/>
      <c r="Y105" s="380"/>
      <c r="Z105" s="380"/>
      <c r="AA105" s="380"/>
    </row>
    <row r="106">
      <c r="A106" s="380"/>
      <c r="B106" s="380"/>
      <c r="C106" s="380"/>
      <c r="D106" s="380"/>
      <c r="E106" s="380"/>
      <c r="F106" s="380"/>
      <c r="G106" s="380"/>
      <c r="H106" s="380"/>
      <c r="I106" s="380"/>
      <c r="J106" s="380"/>
      <c r="K106" s="380"/>
      <c r="L106" s="380"/>
      <c r="M106" s="380"/>
      <c r="N106" s="380"/>
      <c r="O106" s="380"/>
      <c r="P106" s="380"/>
      <c r="Q106" s="380"/>
      <c r="R106" s="380"/>
      <c r="S106" s="380"/>
      <c r="T106" s="380"/>
      <c r="U106" s="380"/>
      <c r="V106" s="380"/>
      <c r="W106" s="380"/>
      <c r="X106" s="380"/>
      <c r="Y106" s="380"/>
      <c r="Z106" s="380"/>
      <c r="AA106" s="380"/>
    </row>
    <row r="107">
      <c r="A107" s="380"/>
      <c r="B107" s="380"/>
      <c r="C107" s="380"/>
      <c r="D107" s="380"/>
      <c r="E107" s="380"/>
      <c r="F107" s="380"/>
      <c r="G107" s="380"/>
      <c r="H107" s="380"/>
      <c r="I107" s="380"/>
      <c r="J107" s="380"/>
      <c r="K107" s="380"/>
      <c r="L107" s="380"/>
      <c r="M107" s="380"/>
      <c r="N107" s="380"/>
      <c r="O107" s="380"/>
      <c r="P107" s="380"/>
      <c r="Q107" s="380"/>
      <c r="R107" s="380"/>
      <c r="S107" s="380"/>
      <c r="T107" s="380"/>
      <c r="U107" s="380"/>
      <c r="V107" s="380"/>
      <c r="W107" s="380"/>
      <c r="X107" s="380"/>
      <c r="Y107" s="380"/>
      <c r="Z107" s="380"/>
      <c r="AA107" s="380"/>
    </row>
    <row r="108">
      <c r="A108" s="380"/>
      <c r="B108" s="380"/>
      <c r="C108" s="380"/>
      <c r="D108" s="380"/>
      <c r="E108" s="380"/>
      <c r="F108" s="380"/>
      <c r="G108" s="380"/>
      <c r="H108" s="380"/>
      <c r="I108" s="380"/>
      <c r="J108" s="380"/>
      <c r="K108" s="380"/>
      <c r="L108" s="380"/>
      <c r="M108" s="380"/>
      <c r="N108" s="380"/>
      <c r="O108" s="380"/>
      <c r="P108" s="380"/>
      <c r="Q108" s="380"/>
      <c r="R108" s="380"/>
      <c r="S108" s="380"/>
      <c r="T108" s="380"/>
      <c r="U108" s="380"/>
      <c r="V108" s="380"/>
      <c r="W108" s="380"/>
      <c r="X108" s="380"/>
      <c r="Y108" s="380"/>
      <c r="Z108" s="380"/>
      <c r="AA108" s="380"/>
    </row>
    <row r="109">
      <c r="A109" s="380"/>
      <c r="B109" s="380"/>
      <c r="C109" s="380"/>
      <c r="D109" s="380"/>
      <c r="E109" s="380"/>
      <c r="F109" s="380"/>
      <c r="G109" s="380"/>
      <c r="H109" s="380"/>
      <c r="I109" s="380"/>
      <c r="J109" s="380"/>
      <c r="K109" s="380"/>
      <c r="L109" s="380"/>
      <c r="M109" s="380"/>
      <c r="N109" s="380"/>
      <c r="O109" s="380"/>
      <c r="P109" s="380"/>
      <c r="Q109" s="380"/>
      <c r="R109" s="380"/>
      <c r="S109" s="380"/>
      <c r="T109" s="380"/>
      <c r="U109" s="380"/>
      <c r="V109" s="380"/>
      <c r="W109" s="380"/>
      <c r="X109" s="380"/>
      <c r="Y109" s="380"/>
      <c r="Z109" s="380"/>
      <c r="AA109" s="380"/>
    </row>
    <row r="110">
      <c r="A110" s="380"/>
      <c r="B110" s="380"/>
      <c r="C110" s="380"/>
      <c r="D110" s="380"/>
      <c r="E110" s="380"/>
      <c r="F110" s="380"/>
      <c r="G110" s="380"/>
      <c r="H110" s="380"/>
      <c r="I110" s="380"/>
      <c r="J110" s="380"/>
      <c r="K110" s="380"/>
      <c r="L110" s="380"/>
      <c r="M110" s="380"/>
      <c r="N110" s="380"/>
      <c r="O110" s="380"/>
      <c r="P110" s="380"/>
      <c r="Q110" s="380"/>
      <c r="R110" s="380"/>
      <c r="S110" s="380"/>
      <c r="T110" s="380"/>
      <c r="U110" s="380"/>
      <c r="V110" s="380"/>
      <c r="W110" s="380"/>
      <c r="X110" s="380"/>
      <c r="Y110" s="380"/>
      <c r="Z110" s="380"/>
      <c r="AA110" s="380"/>
    </row>
    <row r="111">
      <c r="A111" s="380"/>
      <c r="B111" s="380"/>
      <c r="C111" s="380"/>
      <c r="D111" s="380"/>
      <c r="E111" s="380"/>
      <c r="F111" s="380"/>
      <c r="G111" s="380"/>
      <c r="H111" s="380"/>
      <c r="I111" s="380"/>
      <c r="J111" s="380"/>
      <c r="K111" s="380"/>
      <c r="L111" s="380"/>
      <c r="M111" s="380"/>
      <c r="N111" s="380"/>
      <c r="O111" s="380"/>
      <c r="P111" s="380"/>
      <c r="Q111" s="380"/>
      <c r="R111" s="380"/>
      <c r="S111" s="380"/>
      <c r="T111" s="380"/>
      <c r="U111" s="380"/>
      <c r="V111" s="380"/>
      <c r="W111" s="380"/>
      <c r="X111" s="380"/>
      <c r="Y111" s="380"/>
      <c r="Z111" s="380"/>
      <c r="AA111" s="380"/>
    </row>
    <row r="112">
      <c r="A112" s="380"/>
      <c r="B112" s="380"/>
      <c r="C112" s="380"/>
      <c r="D112" s="380"/>
      <c r="E112" s="380"/>
      <c r="F112" s="380"/>
      <c r="G112" s="380"/>
      <c r="H112" s="380"/>
      <c r="I112" s="380"/>
      <c r="J112" s="380"/>
      <c r="K112" s="380"/>
      <c r="L112" s="380"/>
      <c r="M112" s="380"/>
      <c r="N112" s="380"/>
      <c r="O112" s="380"/>
      <c r="P112" s="380"/>
      <c r="Q112" s="380"/>
      <c r="R112" s="380"/>
      <c r="S112" s="380"/>
      <c r="T112" s="380"/>
      <c r="U112" s="380"/>
      <c r="V112" s="380"/>
      <c r="W112" s="380"/>
      <c r="X112" s="380"/>
      <c r="Y112" s="380"/>
      <c r="Z112" s="380"/>
      <c r="AA112" s="380"/>
    </row>
    <row r="113">
      <c r="A113" s="380"/>
      <c r="B113" s="380"/>
      <c r="C113" s="380"/>
      <c r="D113" s="380"/>
      <c r="E113" s="380"/>
      <c r="F113" s="380"/>
      <c r="G113" s="380"/>
      <c r="H113" s="380"/>
      <c r="I113" s="380"/>
      <c r="J113" s="380"/>
      <c r="K113" s="380"/>
      <c r="L113" s="380"/>
      <c r="M113" s="380"/>
      <c r="N113" s="380"/>
      <c r="O113" s="380"/>
      <c r="P113" s="380"/>
      <c r="Q113" s="380"/>
      <c r="R113" s="380"/>
      <c r="S113" s="380"/>
      <c r="T113" s="380"/>
      <c r="U113" s="380"/>
      <c r="V113" s="380"/>
      <c r="W113" s="380"/>
      <c r="X113" s="380"/>
      <c r="Y113" s="380"/>
      <c r="Z113" s="380"/>
      <c r="AA113" s="380"/>
    </row>
    <row r="114">
      <c r="A114" s="380"/>
      <c r="B114" s="380"/>
      <c r="C114" s="380"/>
      <c r="D114" s="380"/>
      <c r="E114" s="380"/>
      <c r="F114" s="380"/>
      <c r="G114" s="380"/>
      <c r="H114" s="380"/>
      <c r="I114" s="380"/>
      <c r="J114" s="380"/>
      <c r="K114" s="380"/>
      <c r="L114" s="380"/>
      <c r="M114" s="380"/>
      <c r="N114" s="380"/>
      <c r="O114" s="380"/>
      <c r="P114" s="380"/>
      <c r="Q114" s="380"/>
      <c r="R114" s="380"/>
      <c r="S114" s="380"/>
      <c r="T114" s="380"/>
      <c r="U114" s="380"/>
      <c r="V114" s="380"/>
      <c r="W114" s="380"/>
      <c r="X114" s="380"/>
      <c r="Y114" s="380"/>
      <c r="Z114" s="380"/>
      <c r="AA114" s="380"/>
    </row>
    <row r="115">
      <c r="A115" s="380"/>
      <c r="B115" s="380"/>
      <c r="C115" s="380"/>
      <c r="D115" s="380"/>
      <c r="E115" s="380"/>
      <c r="F115" s="380"/>
      <c r="G115" s="380"/>
      <c r="H115" s="380"/>
      <c r="I115" s="380"/>
      <c r="J115" s="380"/>
      <c r="K115" s="380"/>
      <c r="L115" s="380"/>
      <c r="M115" s="380"/>
      <c r="N115" s="380"/>
      <c r="O115" s="380"/>
      <c r="P115" s="380"/>
      <c r="Q115" s="380"/>
      <c r="R115" s="380"/>
      <c r="S115" s="380"/>
      <c r="T115" s="380"/>
      <c r="U115" s="380"/>
      <c r="V115" s="380"/>
      <c r="W115" s="380"/>
      <c r="X115" s="380"/>
      <c r="Y115" s="380"/>
      <c r="Z115" s="380"/>
      <c r="AA115" s="380"/>
    </row>
    <row r="116">
      <c r="A116" s="380"/>
      <c r="B116" s="380"/>
      <c r="C116" s="380"/>
      <c r="D116" s="380"/>
      <c r="E116" s="380"/>
      <c r="F116" s="380"/>
      <c r="G116" s="380"/>
      <c r="H116" s="380"/>
      <c r="I116" s="380"/>
      <c r="J116" s="380"/>
      <c r="K116" s="380"/>
      <c r="L116" s="380"/>
      <c r="M116" s="380"/>
      <c r="N116" s="380"/>
      <c r="O116" s="380"/>
      <c r="P116" s="380"/>
      <c r="Q116" s="380"/>
      <c r="R116" s="380"/>
      <c r="S116" s="380"/>
      <c r="T116" s="380"/>
      <c r="U116" s="380"/>
      <c r="V116" s="380"/>
      <c r="W116" s="380"/>
      <c r="X116" s="380"/>
      <c r="Y116" s="380"/>
      <c r="Z116" s="380"/>
      <c r="AA116" s="380"/>
    </row>
    <row r="117">
      <c r="A117" s="380"/>
      <c r="B117" s="380"/>
      <c r="C117" s="380"/>
      <c r="D117" s="380"/>
      <c r="E117" s="380"/>
      <c r="F117" s="380"/>
      <c r="G117" s="380"/>
      <c r="H117" s="380"/>
      <c r="I117" s="380"/>
      <c r="J117" s="380"/>
      <c r="K117" s="380"/>
      <c r="L117" s="380"/>
      <c r="M117" s="380"/>
      <c r="N117" s="380"/>
      <c r="O117" s="380"/>
      <c r="P117" s="380"/>
      <c r="Q117" s="380"/>
      <c r="R117" s="380"/>
      <c r="S117" s="380"/>
      <c r="T117" s="380"/>
      <c r="U117" s="380"/>
      <c r="V117" s="380"/>
      <c r="W117" s="380"/>
      <c r="X117" s="380"/>
      <c r="Y117" s="380"/>
      <c r="Z117" s="380"/>
      <c r="AA117" s="380"/>
    </row>
    <row r="118">
      <c r="A118" s="380"/>
      <c r="B118" s="380"/>
      <c r="C118" s="380"/>
      <c r="D118" s="380"/>
      <c r="E118" s="380"/>
      <c r="F118" s="380"/>
      <c r="G118" s="380"/>
      <c r="H118" s="380"/>
      <c r="I118" s="380"/>
      <c r="J118" s="380"/>
      <c r="K118" s="380"/>
      <c r="L118" s="380"/>
      <c r="M118" s="380"/>
      <c r="N118" s="380"/>
      <c r="O118" s="380"/>
      <c r="P118" s="380"/>
      <c r="Q118" s="380"/>
      <c r="R118" s="380"/>
      <c r="S118" s="380"/>
      <c r="T118" s="380"/>
      <c r="U118" s="380"/>
      <c r="V118" s="380"/>
      <c r="W118" s="380"/>
      <c r="X118" s="380"/>
      <c r="Y118" s="380"/>
      <c r="Z118" s="380"/>
      <c r="AA118" s="380"/>
    </row>
    <row r="119">
      <c r="A119" s="380"/>
      <c r="B119" s="380"/>
      <c r="C119" s="380"/>
      <c r="D119" s="380"/>
      <c r="E119" s="380"/>
      <c r="F119" s="380"/>
      <c r="G119" s="380"/>
      <c r="H119" s="380"/>
      <c r="I119" s="380"/>
      <c r="J119" s="380"/>
      <c r="K119" s="380"/>
      <c r="L119" s="380"/>
      <c r="M119" s="380"/>
      <c r="N119" s="380"/>
      <c r="O119" s="380"/>
      <c r="P119" s="380"/>
      <c r="Q119" s="380"/>
      <c r="R119" s="380"/>
      <c r="S119" s="380"/>
      <c r="T119" s="380"/>
      <c r="U119" s="380"/>
      <c r="V119" s="380"/>
      <c r="W119" s="380"/>
      <c r="X119" s="380"/>
      <c r="Y119" s="380"/>
      <c r="Z119" s="380"/>
      <c r="AA119" s="380"/>
    </row>
    <row r="120">
      <c r="A120" s="380"/>
      <c r="B120" s="380"/>
      <c r="C120" s="380"/>
      <c r="D120" s="380"/>
      <c r="E120" s="380"/>
      <c r="F120" s="380"/>
      <c r="G120" s="380"/>
      <c r="H120" s="380"/>
      <c r="I120" s="380"/>
      <c r="J120" s="380"/>
      <c r="K120" s="380"/>
      <c r="L120" s="380"/>
      <c r="M120" s="380"/>
      <c r="N120" s="380"/>
      <c r="O120" s="380"/>
      <c r="P120" s="380"/>
      <c r="Q120" s="380"/>
      <c r="R120" s="380"/>
      <c r="S120" s="380"/>
      <c r="T120" s="380"/>
      <c r="U120" s="380"/>
      <c r="V120" s="380"/>
      <c r="W120" s="380"/>
      <c r="X120" s="380"/>
      <c r="Y120" s="380"/>
      <c r="Z120" s="380"/>
      <c r="AA120" s="380"/>
    </row>
    <row r="121">
      <c r="A121" s="380"/>
      <c r="B121" s="380"/>
      <c r="C121" s="380"/>
      <c r="D121" s="380"/>
      <c r="E121" s="380"/>
      <c r="F121" s="380"/>
      <c r="G121" s="380"/>
      <c r="H121" s="380"/>
      <c r="I121" s="380"/>
      <c r="J121" s="380"/>
      <c r="K121" s="380"/>
      <c r="L121" s="380"/>
      <c r="M121" s="380"/>
      <c r="N121" s="380"/>
      <c r="O121" s="380"/>
      <c r="P121" s="380"/>
      <c r="Q121" s="380"/>
      <c r="R121" s="380"/>
      <c r="S121" s="380"/>
      <c r="T121" s="380"/>
      <c r="U121" s="380"/>
      <c r="V121" s="380"/>
      <c r="W121" s="380"/>
      <c r="X121" s="380"/>
      <c r="Y121" s="380"/>
      <c r="Z121" s="380"/>
      <c r="AA121" s="380"/>
    </row>
    <row r="122">
      <c r="A122" s="380"/>
      <c r="B122" s="380"/>
      <c r="C122" s="380"/>
      <c r="D122" s="380"/>
      <c r="E122" s="380"/>
      <c r="F122" s="380"/>
      <c r="G122" s="380"/>
      <c r="H122" s="380"/>
      <c r="I122" s="380"/>
      <c r="J122" s="380"/>
      <c r="K122" s="380"/>
      <c r="L122" s="380"/>
      <c r="M122" s="380"/>
      <c r="N122" s="380"/>
      <c r="O122" s="380"/>
      <c r="P122" s="380"/>
      <c r="Q122" s="380"/>
      <c r="R122" s="380"/>
      <c r="S122" s="380"/>
      <c r="T122" s="380"/>
      <c r="U122" s="380"/>
      <c r="V122" s="380"/>
      <c r="W122" s="380"/>
      <c r="X122" s="380"/>
      <c r="Y122" s="380"/>
      <c r="Z122" s="380"/>
      <c r="AA122" s="380"/>
    </row>
    <row r="123">
      <c r="A123" s="380"/>
      <c r="B123" s="380"/>
      <c r="C123" s="380"/>
      <c r="D123" s="380"/>
      <c r="E123" s="380"/>
      <c r="F123" s="380"/>
      <c r="G123" s="380"/>
      <c r="H123" s="380"/>
      <c r="I123" s="380"/>
      <c r="J123" s="380"/>
      <c r="K123" s="380"/>
      <c r="L123" s="380"/>
      <c r="M123" s="380"/>
      <c r="N123" s="380"/>
      <c r="O123" s="380"/>
      <c r="P123" s="380"/>
      <c r="Q123" s="380"/>
      <c r="R123" s="380"/>
      <c r="S123" s="380"/>
      <c r="T123" s="380"/>
      <c r="U123" s="380"/>
      <c r="V123" s="380"/>
      <c r="W123" s="380"/>
      <c r="X123" s="380"/>
      <c r="Y123" s="380"/>
      <c r="Z123" s="380"/>
      <c r="AA123" s="380"/>
    </row>
    <row r="124">
      <c r="A124" s="380"/>
      <c r="B124" s="380"/>
      <c r="C124" s="380"/>
      <c r="D124" s="380"/>
      <c r="E124" s="380"/>
      <c r="F124" s="380"/>
      <c r="G124" s="380"/>
      <c r="H124" s="380"/>
      <c r="I124" s="380"/>
      <c r="J124" s="380"/>
      <c r="K124" s="380"/>
      <c r="L124" s="380"/>
      <c r="M124" s="380"/>
      <c r="N124" s="380"/>
      <c r="O124" s="380"/>
      <c r="P124" s="380"/>
      <c r="Q124" s="380"/>
      <c r="R124" s="380"/>
      <c r="S124" s="380"/>
      <c r="T124" s="380"/>
      <c r="U124" s="380"/>
      <c r="V124" s="380"/>
      <c r="W124" s="380"/>
      <c r="X124" s="380"/>
      <c r="Y124" s="380"/>
      <c r="Z124" s="380"/>
      <c r="AA124" s="380"/>
    </row>
    <row r="125">
      <c r="A125" s="380"/>
      <c r="B125" s="380"/>
      <c r="C125" s="380"/>
      <c r="D125" s="380"/>
      <c r="E125" s="380"/>
      <c r="F125" s="380"/>
      <c r="G125" s="380"/>
      <c r="H125" s="380"/>
      <c r="I125" s="380"/>
      <c r="J125" s="380"/>
      <c r="K125" s="380"/>
      <c r="L125" s="380"/>
      <c r="M125" s="380"/>
      <c r="N125" s="380"/>
      <c r="O125" s="380"/>
      <c r="P125" s="380"/>
      <c r="Q125" s="380"/>
      <c r="R125" s="380"/>
      <c r="S125" s="380"/>
      <c r="T125" s="380"/>
      <c r="U125" s="380"/>
      <c r="V125" s="380"/>
      <c r="W125" s="380"/>
      <c r="X125" s="380"/>
      <c r="Y125" s="380"/>
      <c r="Z125" s="380"/>
      <c r="AA125" s="380"/>
    </row>
    <row r="126">
      <c r="A126" s="380"/>
      <c r="B126" s="380"/>
      <c r="C126" s="380"/>
      <c r="D126" s="380"/>
      <c r="E126" s="380"/>
      <c r="F126" s="380"/>
      <c r="G126" s="380"/>
      <c r="H126" s="380"/>
      <c r="I126" s="380"/>
      <c r="J126" s="380"/>
      <c r="K126" s="380"/>
      <c r="L126" s="380"/>
      <c r="M126" s="380"/>
      <c r="N126" s="380"/>
      <c r="O126" s="380"/>
      <c r="P126" s="380"/>
      <c r="Q126" s="380"/>
      <c r="R126" s="380"/>
      <c r="S126" s="380"/>
      <c r="T126" s="380"/>
      <c r="U126" s="380"/>
      <c r="V126" s="380"/>
      <c r="W126" s="380"/>
      <c r="X126" s="380"/>
      <c r="Y126" s="380"/>
      <c r="Z126" s="380"/>
      <c r="AA126" s="380"/>
    </row>
    <row r="127">
      <c r="A127" s="380"/>
      <c r="B127" s="380"/>
      <c r="C127" s="380"/>
      <c r="D127" s="380"/>
      <c r="E127" s="380"/>
      <c r="F127" s="380"/>
      <c r="G127" s="380"/>
      <c r="H127" s="380"/>
      <c r="I127" s="380"/>
      <c r="J127" s="380"/>
      <c r="K127" s="380"/>
      <c r="L127" s="380"/>
      <c r="M127" s="380"/>
      <c r="N127" s="380"/>
      <c r="O127" s="380"/>
      <c r="P127" s="380"/>
      <c r="Q127" s="380"/>
      <c r="R127" s="380"/>
      <c r="S127" s="380"/>
      <c r="T127" s="380"/>
      <c r="U127" s="380"/>
      <c r="V127" s="380"/>
      <c r="W127" s="380"/>
      <c r="X127" s="380"/>
      <c r="Y127" s="380"/>
      <c r="Z127" s="380"/>
      <c r="AA127" s="380"/>
    </row>
    <row r="128">
      <c r="A128" s="380"/>
      <c r="B128" s="380"/>
      <c r="C128" s="380"/>
      <c r="D128" s="380"/>
      <c r="E128" s="380"/>
      <c r="F128" s="380"/>
      <c r="G128" s="380"/>
      <c r="H128" s="380"/>
      <c r="I128" s="380"/>
      <c r="J128" s="380"/>
      <c r="K128" s="380"/>
      <c r="L128" s="380"/>
      <c r="M128" s="380"/>
      <c r="N128" s="380"/>
      <c r="O128" s="380"/>
      <c r="P128" s="380"/>
      <c r="Q128" s="380"/>
      <c r="R128" s="380"/>
      <c r="S128" s="380"/>
      <c r="T128" s="380"/>
      <c r="U128" s="380"/>
      <c r="V128" s="380"/>
      <c r="W128" s="380"/>
      <c r="X128" s="380"/>
      <c r="Y128" s="380"/>
      <c r="Z128" s="380"/>
      <c r="AA128" s="380"/>
    </row>
    <row r="129">
      <c r="A129" s="380"/>
      <c r="B129" s="380"/>
      <c r="C129" s="380"/>
      <c r="D129" s="380"/>
      <c r="E129" s="380"/>
      <c r="F129" s="380"/>
      <c r="G129" s="380"/>
      <c r="H129" s="380"/>
      <c r="I129" s="380"/>
      <c r="J129" s="380"/>
      <c r="K129" s="380"/>
      <c r="L129" s="380"/>
      <c r="M129" s="380"/>
      <c r="N129" s="380"/>
      <c r="O129" s="380"/>
      <c r="P129" s="380"/>
      <c r="Q129" s="380"/>
      <c r="R129" s="380"/>
      <c r="S129" s="380"/>
      <c r="T129" s="380"/>
      <c r="U129" s="380"/>
      <c r="V129" s="380"/>
      <c r="W129" s="380"/>
      <c r="X129" s="380"/>
      <c r="Y129" s="380"/>
      <c r="Z129" s="380"/>
      <c r="AA129" s="380"/>
    </row>
    <row r="130">
      <c r="A130" s="380"/>
      <c r="B130" s="380"/>
      <c r="C130" s="380"/>
      <c r="D130" s="380"/>
      <c r="E130" s="380"/>
      <c r="F130" s="380"/>
      <c r="G130" s="380"/>
      <c r="H130" s="380"/>
      <c r="I130" s="380"/>
      <c r="J130" s="380"/>
      <c r="K130" s="380"/>
      <c r="L130" s="380"/>
      <c r="M130" s="380"/>
      <c r="N130" s="380"/>
      <c r="O130" s="380"/>
      <c r="P130" s="380"/>
      <c r="Q130" s="380"/>
      <c r="R130" s="380"/>
      <c r="S130" s="380"/>
      <c r="T130" s="380"/>
      <c r="U130" s="380"/>
      <c r="V130" s="380"/>
      <c r="W130" s="380"/>
      <c r="X130" s="380"/>
      <c r="Y130" s="380"/>
      <c r="Z130" s="380"/>
      <c r="AA130" s="380"/>
    </row>
    <row r="131">
      <c r="A131" s="380"/>
      <c r="B131" s="380"/>
      <c r="C131" s="380"/>
      <c r="D131" s="380"/>
      <c r="E131" s="380"/>
      <c r="F131" s="380"/>
      <c r="G131" s="380"/>
      <c r="H131" s="380"/>
      <c r="I131" s="380"/>
      <c r="J131" s="380"/>
      <c r="K131" s="380"/>
      <c r="L131" s="380"/>
      <c r="M131" s="380"/>
      <c r="N131" s="380"/>
      <c r="O131" s="380"/>
      <c r="P131" s="380"/>
      <c r="Q131" s="380"/>
      <c r="R131" s="380"/>
      <c r="S131" s="380"/>
      <c r="T131" s="380"/>
      <c r="U131" s="380"/>
      <c r="V131" s="380"/>
      <c r="W131" s="380"/>
      <c r="X131" s="380"/>
      <c r="Y131" s="380"/>
      <c r="Z131" s="380"/>
      <c r="AA131" s="380"/>
    </row>
    <row r="132">
      <c r="A132" s="380"/>
      <c r="B132" s="380"/>
      <c r="C132" s="380"/>
      <c r="D132" s="380"/>
      <c r="E132" s="380"/>
      <c r="F132" s="380"/>
      <c r="G132" s="380"/>
      <c r="H132" s="380"/>
      <c r="I132" s="380"/>
      <c r="J132" s="380"/>
      <c r="K132" s="380"/>
      <c r="L132" s="380"/>
      <c r="M132" s="380"/>
      <c r="N132" s="380"/>
      <c r="O132" s="380"/>
      <c r="P132" s="380"/>
      <c r="Q132" s="380"/>
      <c r="R132" s="380"/>
      <c r="S132" s="380"/>
      <c r="T132" s="380"/>
      <c r="U132" s="380"/>
      <c r="V132" s="380"/>
      <c r="W132" s="380"/>
      <c r="X132" s="380"/>
      <c r="Y132" s="380"/>
      <c r="Z132" s="380"/>
      <c r="AA132" s="380"/>
    </row>
    <row r="133">
      <c r="A133" s="380"/>
      <c r="B133" s="380"/>
      <c r="C133" s="380"/>
      <c r="D133" s="380"/>
      <c r="E133" s="380"/>
      <c r="F133" s="380"/>
      <c r="G133" s="380"/>
      <c r="H133" s="380"/>
      <c r="I133" s="380"/>
      <c r="J133" s="380"/>
      <c r="K133" s="380"/>
      <c r="L133" s="380"/>
      <c r="M133" s="380"/>
      <c r="N133" s="380"/>
      <c r="O133" s="380"/>
      <c r="P133" s="380"/>
      <c r="Q133" s="380"/>
      <c r="R133" s="380"/>
      <c r="S133" s="380"/>
      <c r="T133" s="380"/>
      <c r="U133" s="380"/>
      <c r="V133" s="380"/>
      <c r="W133" s="380"/>
      <c r="X133" s="380"/>
      <c r="Y133" s="380"/>
      <c r="Z133" s="380"/>
      <c r="AA133" s="380"/>
    </row>
    <row r="134">
      <c r="A134" s="380"/>
      <c r="B134" s="380"/>
      <c r="C134" s="380"/>
      <c r="D134" s="380"/>
      <c r="E134" s="380"/>
      <c r="F134" s="380"/>
      <c r="G134" s="380"/>
      <c r="H134" s="380"/>
      <c r="I134" s="380"/>
      <c r="J134" s="380"/>
      <c r="K134" s="380"/>
      <c r="L134" s="380"/>
      <c r="M134" s="380"/>
      <c r="N134" s="380"/>
      <c r="O134" s="380"/>
      <c r="P134" s="380"/>
      <c r="Q134" s="380"/>
      <c r="R134" s="380"/>
      <c r="S134" s="380"/>
      <c r="T134" s="380"/>
      <c r="U134" s="380"/>
      <c r="V134" s="380"/>
      <c r="W134" s="380"/>
      <c r="X134" s="380"/>
      <c r="Y134" s="380"/>
      <c r="Z134" s="380"/>
      <c r="AA134" s="380"/>
    </row>
    <row r="135">
      <c r="A135" s="380"/>
      <c r="B135" s="380"/>
      <c r="C135" s="380"/>
      <c r="D135" s="380"/>
      <c r="E135" s="380"/>
      <c r="F135" s="380"/>
      <c r="G135" s="380"/>
      <c r="H135" s="380"/>
      <c r="I135" s="380"/>
      <c r="J135" s="380"/>
      <c r="K135" s="380"/>
      <c r="L135" s="380"/>
      <c r="M135" s="380"/>
      <c r="N135" s="380"/>
      <c r="O135" s="380"/>
      <c r="P135" s="380"/>
      <c r="Q135" s="380"/>
      <c r="R135" s="380"/>
      <c r="S135" s="380"/>
      <c r="T135" s="380"/>
      <c r="U135" s="380"/>
      <c r="V135" s="380"/>
      <c r="W135" s="380"/>
      <c r="X135" s="380"/>
      <c r="Y135" s="380"/>
      <c r="Z135" s="380"/>
      <c r="AA135" s="380"/>
    </row>
    <row r="136">
      <c r="A136" s="380"/>
      <c r="B136" s="380"/>
      <c r="C136" s="380"/>
      <c r="D136" s="380"/>
      <c r="E136" s="380"/>
      <c r="F136" s="380"/>
      <c r="G136" s="380"/>
      <c r="H136" s="380"/>
      <c r="I136" s="380"/>
      <c r="J136" s="380"/>
      <c r="K136" s="380"/>
      <c r="L136" s="380"/>
      <c r="M136" s="380"/>
      <c r="N136" s="380"/>
      <c r="O136" s="380"/>
      <c r="P136" s="380"/>
      <c r="Q136" s="380"/>
      <c r="R136" s="380"/>
      <c r="S136" s="380"/>
      <c r="T136" s="380"/>
      <c r="U136" s="380"/>
      <c r="V136" s="380"/>
      <c r="W136" s="380"/>
      <c r="X136" s="380"/>
      <c r="Y136" s="380"/>
      <c r="Z136" s="380"/>
      <c r="AA136" s="380"/>
    </row>
    <row r="137">
      <c r="A137" s="380"/>
      <c r="B137" s="380"/>
      <c r="C137" s="380"/>
      <c r="D137" s="380"/>
      <c r="E137" s="380"/>
      <c r="F137" s="380"/>
      <c r="G137" s="380"/>
      <c r="H137" s="380"/>
      <c r="I137" s="380"/>
      <c r="J137" s="380"/>
      <c r="K137" s="380"/>
      <c r="L137" s="380"/>
      <c r="M137" s="380"/>
      <c r="N137" s="380"/>
      <c r="O137" s="380"/>
      <c r="P137" s="380"/>
      <c r="Q137" s="380"/>
      <c r="R137" s="380"/>
      <c r="S137" s="380"/>
      <c r="T137" s="380"/>
      <c r="U137" s="380"/>
      <c r="V137" s="380"/>
      <c r="W137" s="380"/>
      <c r="X137" s="380"/>
      <c r="Y137" s="380"/>
      <c r="Z137" s="380"/>
      <c r="AA137" s="380"/>
    </row>
    <row r="138">
      <c r="A138" s="380"/>
      <c r="B138" s="380"/>
      <c r="C138" s="380"/>
      <c r="D138" s="380"/>
      <c r="E138" s="380"/>
      <c r="F138" s="380"/>
      <c r="G138" s="380"/>
      <c r="H138" s="380"/>
      <c r="I138" s="380"/>
      <c r="J138" s="380"/>
      <c r="K138" s="380"/>
      <c r="L138" s="380"/>
      <c r="M138" s="380"/>
      <c r="N138" s="380"/>
      <c r="O138" s="380"/>
      <c r="P138" s="380"/>
      <c r="Q138" s="380"/>
      <c r="R138" s="380"/>
      <c r="S138" s="380"/>
      <c r="T138" s="380"/>
      <c r="U138" s="380"/>
      <c r="V138" s="380"/>
      <c r="W138" s="380"/>
      <c r="X138" s="380"/>
      <c r="Y138" s="380"/>
      <c r="Z138" s="380"/>
      <c r="AA138" s="380"/>
    </row>
    <row r="139">
      <c r="A139" s="380"/>
      <c r="B139" s="380"/>
      <c r="C139" s="380"/>
      <c r="D139" s="380"/>
      <c r="E139" s="380"/>
      <c r="F139" s="380"/>
      <c r="G139" s="380"/>
      <c r="H139" s="380"/>
      <c r="I139" s="380"/>
      <c r="J139" s="380"/>
      <c r="K139" s="380"/>
      <c r="L139" s="380"/>
      <c r="M139" s="380"/>
      <c r="N139" s="380"/>
      <c r="O139" s="380"/>
      <c r="P139" s="380"/>
      <c r="Q139" s="380"/>
      <c r="R139" s="380"/>
      <c r="S139" s="380"/>
      <c r="T139" s="380"/>
      <c r="U139" s="380"/>
      <c r="V139" s="380"/>
      <c r="W139" s="380"/>
      <c r="X139" s="380"/>
      <c r="Y139" s="380"/>
      <c r="Z139" s="380"/>
      <c r="AA139" s="380"/>
    </row>
    <row r="140">
      <c r="A140" s="380"/>
      <c r="B140" s="380"/>
      <c r="C140" s="380"/>
      <c r="D140" s="380"/>
      <c r="E140" s="380"/>
      <c r="F140" s="380"/>
      <c r="G140" s="380"/>
      <c r="H140" s="380"/>
      <c r="I140" s="380"/>
      <c r="J140" s="380"/>
      <c r="K140" s="380"/>
      <c r="L140" s="380"/>
      <c r="M140" s="380"/>
      <c r="N140" s="380"/>
      <c r="O140" s="380"/>
      <c r="P140" s="380"/>
      <c r="Q140" s="380"/>
      <c r="R140" s="380"/>
      <c r="S140" s="380"/>
      <c r="T140" s="380"/>
      <c r="U140" s="380"/>
      <c r="V140" s="380"/>
      <c r="W140" s="380"/>
      <c r="X140" s="380"/>
      <c r="Y140" s="380"/>
      <c r="Z140" s="380"/>
      <c r="AA140" s="380"/>
    </row>
    <row r="141">
      <c r="A141" s="380"/>
      <c r="B141" s="380"/>
      <c r="C141" s="380"/>
      <c r="D141" s="380"/>
      <c r="E141" s="380"/>
      <c r="F141" s="380"/>
      <c r="G141" s="380"/>
      <c r="H141" s="380"/>
      <c r="I141" s="380"/>
      <c r="J141" s="380"/>
      <c r="K141" s="380"/>
      <c r="L141" s="380"/>
      <c r="M141" s="380"/>
      <c r="N141" s="380"/>
      <c r="O141" s="380"/>
      <c r="P141" s="380"/>
      <c r="Q141" s="380"/>
      <c r="R141" s="380"/>
      <c r="S141" s="380"/>
      <c r="T141" s="380"/>
      <c r="U141" s="380"/>
      <c r="V141" s="380"/>
      <c r="W141" s="380"/>
      <c r="X141" s="380"/>
      <c r="Y141" s="380"/>
      <c r="Z141" s="380"/>
      <c r="AA141" s="380"/>
    </row>
    <row r="142">
      <c r="A142" s="380"/>
      <c r="B142" s="380"/>
      <c r="C142" s="380"/>
      <c r="D142" s="380"/>
      <c r="E142" s="380"/>
      <c r="F142" s="380"/>
      <c r="G142" s="380"/>
      <c r="H142" s="380"/>
      <c r="I142" s="380"/>
      <c r="J142" s="380"/>
      <c r="K142" s="380"/>
      <c r="L142" s="380"/>
      <c r="M142" s="380"/>
      <c r="N142" s="380"/>
      <c r="O142" s="380"/>
      <c r="P142" s="380"/>
      <c r="Q142" s="380"/>
      <c r="R142" s="380"/>
      <c r="S142" s="380"/>
      <c r="T142" s="380"/>
      <c r="U142" s="380"/>
      <c r="V142" s="380"/>
      <c r="W142" s="380"/>
      <c r="X142" s="380"/>
      <c r="Y142" s="380"/>
      <c r="Z142" s="380"/>
      <c r="AA142" s="380"/>
    </row>
    <row r="143">
      <c r="A143" s="380"/>
      <c r="B143" s="380"/>
      <c r="C143" s="380"/>
      <c r="D143" s="380"/>
      <c r="E143" s="380"/>
      <c r="F143" s="380"/>
      <c r="G143" s="380"/>
      <c r="H143" s="380"/>
      <c r="I143" s="380"/>
      <c r="J143" s="380"/>
      <c r="K143" s="380"/>
      <c r="L143" s="380"/>
      <c r="M143" s="380"/>
      <c r="N143" s="380"/>
      <c r="O143" s="380"/>
      <c r="P143" s="380"/>
      <c r="Q143" s="380"/>
      <c r="R143" s="380"/>
      <c r="S143" s="380"/>
      <c r="T143" s="380"/>
      <c r="U143" s="380"/>
      <c r="V143" s="380"/>
      <c r="W143" s="380"/>
      <c r="X143" s="380"/>
      <c r="Y143" s="380"/>
      <c r="Z143" s="380"/>
      <c r="AA143" s="380"/>
    </row>
    <row r="144">
      <c r="A144" s="380"/>
      <c r="B144" s="380"/>
      <c r="C144" s="380"/>
      <c r="D144" s="380"/>
      <c r="E144" s="380"/>
      <c r="F144" s="380"/>
      <c r="G144" s="380"/>
      <c r="H144" s="380"/>
      <c r="I144" s="380"/>
      <c r="J144" s="380"/>
      <c r="K144" s="380"/>
      <c r="L144" s="380"/>
      <c r="M144" s="380"/>
      <c r="N144" s="380"/>
      <c r="O144" s="380"/>
      <c r="P144" s="380"/>
      <c r="Q144" s="380"/>
      <c r="R144" s="380"/>
      <c r="S144" s="380"/>
      <c r="T144" s="380"/>
      <c r="U144" s="380"/>
      <c r="V144" s="380"/>
      <c r="W144" s="380"/>
      <c r="X144" s="380"/>
      <c r="Y144" s="380"/>
      <c r="Z144" s="380"/>
      <c r="AA144" s="380"/>
    </row>
    <row r="145">
      <c r="A145" s="380"/>
      <c r="B145" s="380"/>
      <c r="C145" s="380"/>
      <c r="D145" s="380"/>
      <c r="E145" s="380"/>
      <c r="F145" s="380"/>
      <c r="G145" s="380"/>
      <c r="H145" s="380"/>
      <c r="I145" s="380"/>
      <c r="J145" s="380"/>
      <c r="K145" s="380"/>
      <c r="L145" s="380"/>
      <c r="M145" s="380"/>
      <c r="N145" s="380"/>
      <c r="O145" s="380"/>
      <c r="P145" s="380"/>
      <c r="Q145" s="380"/>
      <c r="R145" s="380"/>
      <c r="S145" s="380"/>
      <c r="T145" s="380"/>
      <c r="U145" s="380"/>
      <c r="V145" s="380"/>
      <c r="W145" s="380"/>
      <c r="X145" s="380"/>
      <c r="Y145" s="380"/>
      <c r="Z145" s="380"/>
      <c r="AA145" s="380"/>
    </row>
    <row r="146">
      <c r="A146" s="380"/>
      <c r="B146" s="380"/>
      <c r="C146" s="380"/>
      <c r="D146" s="380"/>
      <c r="E146" s="380"/>
      <c r="F146" s="380"/>
      <c r="G146" s="380"/>
      <c r="H146" s="380"/>
      <c r="I146" s="380"/>
      <c r="J146" s="380"/>
      <c r="K146" s="380"/>
      <c r="L146" s="380"/>
      <c r="M146" s="380"/>
      <c r="N146" s="380"/>
      <c r="O146" s="380"/>
      <c r="P146" s="380"/>
      <c r="Q146" s="380"/>
      <c r="R146" s="380"/>
      <c r="S146" s="380"/>
      <c r="T146" s="380"/>
      <c r="U146" s="380"/>
      <c r="V146" s="380"/>
      <c r="W146" s="380"/>
      <c r="X146" s="380"/>
      <c r="Y146" s="380"/>
      <c r="Z146" s="380"/>
      <c r="AA146" s="380"/>
    </row>
    <row r="147">
      <c r="A147" s="380"/>
      <c r="B147" s="380"/>
      <c r="C147" s="380"/>
      <c r="D147" s="380"/>
      <c r="E147" s="380"/>
      <c r="F147" s="380"/>
      <c r="G147" s="380"/>
      <c r="H147" s="380"/>
      <c r="I147" s="380"/>
      <c r="J147" s="380"/>
      <c r="K147" s="380"/>
      <c r="L147" s="380"/>
      <c r="M147" s="380"/>
      <c r="N147" s="380"/>
      <c r="O147" s="380"/>
      <c r="P147" s="380"/>
      <c r="Q147" s="380"/>
      <c r="R147" s="380"/>
      <c r="S147" s="380"/>
      <c r="T147" s="380"/>
      <c r="U147" s="380"/>
      <c r="V147" s="380"/>
      <c r="W147" s="380"/>
      <c r="X147" s="380"/>
      <c r="Y147" s="380"/>
      <c r="Z147" s="380"/>
      <c r="AA147" s="380"/>
    </row>
    <row r="148">
      <c r="A148" s="380"/>
      <c r="B148" s="380"/>
      <c r="C148" s="380"/>
      <c r="D148" s="380"/>
      <c r="E148" s="380"/>
      <c r="F148" s="380"/>
      <c r="G148" s="380"/>
      <c r="H148" s="380"/>
      <c r="I148" s="380"/>
      <c r="J148" s="380"/>
      <c r="K148" s="380"/>
      <c r="L148" s="380"/>
      <c r="M148" s="380"/>
      <c r="N148" s="380"/>
      <c r="O148" s="380"/>
      <c r="P148" s="380"/>
      <c r="Q148" s="380"/>
      <c r="R148" s="380"/>
      <c r="S148" s="380"/>
      <c r="T148" s="380"/>
      <c r="U148" s="380"/>
      <c r="V148" s="380"/>
      <c r="W148" s="380"/>
      <c r="X148" s="380"/>
      <c r="Y148" s="380"/>
      <c r="Z148" s="380"/>
      <c r="AA148" s="380"/>
    </row>
    <row r="149">
      <c r="A149" s="380"/>
      <c r="B149" s="380"/>
      <c r="C149" s="380"/>
      <c r="D149" s="380"/>
      <c r="E149" s="380"/>
      <c r="F149" s="380"/>
      <c r="G149" s="380"/>
      <c r="H149" s="380"/>
      <c r="I149" s="380"/>
      <c r="J149" s="380"/>
      <c r="K149" s="380"/>
      <c r="L149" s="380"/>
      <c r="M149" s="380"/>
      <c r="N149" s="380"/>
      <c r="O149" s="380"/>
      <c r="P149" s="380"/>
      <c r="Q149" s="380"/>
      <c r="R149" s="380"/>
      <c r="S149" s="380"/>
      <c r="T149" s="380"/>
      <c r="U149" s="380"/>
      <c r="V149" s="380"/>
      <c r="W149" s="380"/>
      <c r="X149" s="380"/>
      <c r="Y149" s="380"/>
      <c r="Z149" s="380"/>
      <c r="AA149" s="380"/>
    </row>
    <row r="150">
      <c r="A150" s="380"/>
      <c r="B150" s="380"/>
      <c r="C150" s="380"/>
      <c r="D150" s="380"/>
      <c r="E150" s="380"/>
      <c r="F150" s="380"/>
      <c r="G150" s="380"/>
      <c r="H150" s="380"/>
      <c r="I150" s="380"/>
      <c r="J150" s="380"/>
      <c r="K150" s="380"/>
      <c r="L150" s="380"/>
      <c r="M150" s="380"/>
      <c r="N150" s="380"/>
      <c r="O150" s="380"/>
      <c r="P150" s="380"/>
      <c r="Q150" s="380"/>
      <c r="R150" s="380"/>
      <c r="S150" s="380"/>
      <c r="T150" s="380"/>
      <c r="U150" s="380"/>
      <c r="V150" s="380"/>
      <c r="W150" s="380"/>
      <c r="X150" s="380"/>
      <c r="Y150" s="380"/>
      <c r="Z150" s="380"/>
      <c r="AA150" s="380"/>
    </row>
    <row r="151">
      <c r="A151" s="380"/>
      <c r="B151" s="380"/>
      <c r="C151" s="380"/>
      <c r="D151" s="380"/>
      <c r="E151" s="380"/>
      <c r="F151" s="380"/>
      <c r="G151" s="380"/>
      <c r="H151" s="380"/>
      <c r="I151" s="380"/>
      <c r="J151" s="380"/>
      <c r="K151" s="380"/>
      <c r="L151" s="380"/>
      <c r="M151" s="380"/>
      <c r="N151" s="380"/>
      <c r="O151" s="380"/>
      <c r="P151" s="380"/>
      <c r="Q151" s="380"/>
      <c r="R151" s="380"/>
      <c r="S151" s="380"/>
      <c r="T151" s="380"/>
      <c r="U151" s="380"/>
      <c r="V151" s="380"/>
      <c r="W151" s="380"/>
      <c r="X151" s="380"/>
      <c r="Y151" s="380"/>
      <c r="Z151" s="380"/>
      <c r="AA151" s="380"/>
    </row>
    <row r="152">
      <c r="A152" s="380"/>
      <c r="B152" s="380"/>
      <c r="C152" s="380"/>
      <c r="D152" s="380"/>
      <c r="E152" s="380"/>
      <c r="F152" s="380"/>
      <c r="G152" s="380"/>
      <c r="H152" s="380"/>
      <c r="I152" s="380"/>
      <c r="J152" s="380"/>
      <c r="K152" s="380"/>
      <c r="L152" s="380"/>
      <c r="M152" s="380"/>
      <c r="N152" s="380"/>
      <c r="O152" s="380"/>
      <c r="P152" s="380"/>
      <c r="Q152" s="380"/>
      <c r="R152" s="380"/>
      <c r="S152" s="380"/>
      <c r="T152" s="380"/>
      <c r="U152" s="380"/>
      <c r="V152" s="380"/>
      <c r="W152" s="380"/>
      <c r="X152" s="380"/>
      <c r="Y152" s="380"/>
      <c r="Z152" s="380"/>
      <c r="AA152" s="380"/>
    </row>
    <row r="153">
      <c r="A153" s="380"/>
      <c r="B153" s="380"/>
      <c r="C153" s="380"/>
      <c r="D153" s="380"/>
      <c r="E153" s="380"/>
      <c r="F153" s="380"/>
      <c r="G153" s="380"/>
      <c r="H153" s="380"/>
      <c r="I153" s="380"/>
      <c r="J153" s="380"/>
      <c r="K153" s="380"/>
      <c r="L153" s="380"/>
      <c r="M153" s="380"/>
      <c r="N153" s="380"/>
      <c r="O153" s="380"/>
      <c r="P153" s="380"/>
      <c r="Q153" s="380"/>
      <c r="R153" s="380"/>
      <c r="S153" s="380"/>
      <c r="T153" s="380"/>
      <c r="U153" s="380"/>
      <c r="V153" s="380"/>
      <c r="W153" s="380"/>
      <c r="X153" s="380"/>
      <c r="Y153" s="380"/>
      <c r="Z153" s="380"/>
      <c r="AA153" s="380"/>
    </row>
    <row r="154">
      <c r="A154" s="380"/>
      <c r="B154" s="380"/>
      <c r="C154" s="380"/>
      <c r="D154" s="380"/>
      <c r="E154" s="380"/>
      <c r="F154" s="380"/>
      <c r="G154" s="380"/>
      <c r="H154" s="380"/>
      <c r="I154" s="380"/>
      <c r="J154" s="380"/>
      <c r="K154" s="380"/>
      <c r="L154" s="380"/>
      <c r="M154" s="380"/>
      <c r="N154" s="380"/>
      <c r="O154" s="380"/>
      <c r="P154" s="380"/>
      <c r="Q154" s="380"/>
      <c r="R154" s="380"/>
      <c r="S154" s="380"/>
      <c r="T154" s="380"/>
      <c r="U154" s="380"/>
      <c r="V154" s="380"/>
      <c r="W154" s="380"/>
      <c r="X154" s="380"/>
      <c r="Y154" s="380"/>
      <c r="Z154" s="380"/>
      <c r="AA154" s="380"/>
    </row>
    <row r="155">
      <c r="A155" s="380"/>
      <c r="B155" s="380"/>
      <c r="C155" s="380"/>
      <c r="D155" s="380"/>
      <c r="E155" s="380"/>
      <c r="F155" s="380"/>
      <c r="G155" s="380"/>
      <c r="H155" s="380"/>
      <c r="I155" s="380"/>
      <c r="J155" s="380"/>
      <c r="K155" s="380"/>
      <c r="L155" s="380"/>
      <c r="M155" s="380"/>
      <c r="N155" s="380"/>
      <c r="O155" s="380"/>
      <c r="P155" s="380"/>
      <c r="Q155" s="380"/>
      <c r="R155" s="380"/>
      <c r="S155" s="380"/>
      <c r="T155" s="380"/>
      <c r="U155" s="380"/>
      <c r="V155" s="380"/>
      <c r="W155" s="380"/>
      <c r="X155" s="380"/>
      <c r="Y155" s="380"/>
      <c r="Z155" s="380"/>
      <c r="AA155" s="380"/>
    </row>
    <row r="156">
      <c r="A156" s="380"/>
      <c r="B156" s="380"/>
      <c r="C156" s="380"/>
      <c r="D156" s="380"/>
      <c r="E156" s="380"/>
      <c r="F156" s="380"/>
      <c r="G156" s="380"/>
      <c r="H156" s="380"/>
      <c r="I156" s="380"/>
      <c r="J156" s="380"/>
      <c r="K156" s="380"/>
      <c r="L156" s="380"/>
      <c r="M156" s="380"/>
      <c r="N156" s="380"/>
      <c r="O156" s="380"/>
      <c r="P156" s="380"/>
      <c r="Q156" s="380"/>
      <c r="R156" s="380"/>
      <c r="S156" s="380"/>
      <c r="T156" s="380"/>
      <c r="U156" s="380"/>
      <c r="V156" s="380"/>
      <c r="W156" s="380"/>
      <c r="X156" s="380"/>
      <c r="Y156" s="380"/>
      <c r="Z156" s="380"/>
      <c r="AA156" s="380"/>
    </row>
    <row r="157">
      <c r="A157" s="380"/>
      <c r="B157" s="380"/>
      <c r="C157" s="380"/>
      <c r="D157" s="380"/>
      <c r="E157" s="380"/>
      <c r="F157" s="380"/>
      <c r="G157" s="380"/>
      <c r="H157" s="380"/>
      <c r="I157" s="380"/>
      <c r="J157" s="380"/>
      <c r="K157" s="380"/>
      <c r="L157" s="380"/>
      <c r="M157" s="380"/>
      <c r="N157" s="380"/>
      <c r="O157" s="380"/>
      <c r="P157" s="380"/>
      <c r="Q157" s="380"/>
      <c r="R157" s="380"/>
      <c r="S157" s="380"/>
      <c r="T157" s="380"/>
      <c r="U157" s="380"/>
      <c r="V157" s="380"/>
      <c r="W157" s="380"/>
      <c r="X157" s="380"/>
      <c r="Y157" s="380"/>
      <c r="Z157" s="380"/>
      <c r="AA157" s="380"/>
    </row>
    <row r="158">
      <c r="A158" s="380"/>
      <c r="B158" s="380"/>
      <c r="C158" s="380"/>
      <c r="D158" s="380"/>
      <c r="E158" s="380"/>
      <c r="F158" s="380"/>
      <c r="G158" s="380"/>
      <c r="H158" s="380"/>
      <c r="I158" s="380"/>
      <c r="J158" s="380"/>
      <c r="K158" s="380"/>
      <c r="L158" s="380"/>
      <c r="M158" s="380"/>
      <c r="N158" s="380"/>
      <c r="O158" s="380"/>
      <c r="P158" s="380"/>
      <c r="Q158" s="380"/>
      <c r="R158" s="380"/>
      <c r="S158" s="380"/>
      <c r="T158" s="380"/>
      <c r="U158" s="380"/>
      <c r="V158" s="380"/>
      <c r="W158" s="380"/>
      <c r="X158" s="380"/>
      <c r="Y158" s="380"/>
      <c r="Z158" s="380"/>
      <c r="AA158" s="380"/>
    </row>
    <row r="159">
      <c r="A159" s="380"/>
      <c r="B159" s="380"/>
      <c r="C159" s="380"/>
      <c r="D159" s="380"/>
      <c r="E159" s="380"/>
      <c r="F159" s="380"/>
      <c r="G159" s="380"/>
      <c r="H159" s="380"/>
      <c r="I159" s="380"/>
      <c r="J159" s="380"/>
      <c r="K159" s="380"/>
      <c r="L159" s="380"/>
      <c r="M159" s="380"/>
      <c r="N159" s="380"/>
      <c r="O159" s="380"/>
      <c r="P159" s="380"/>
      <c r="Q159" s="380"/>
      <c r="R159" s="380"/>
      <c r="S159" s="380"/>
      <c r="T159" s="380"/>
      <c r="U159" s="380"/>
      <c r="V159" s="380"/>
      <c r="W159" s="380"/>
      <c r="X159" s="380"/>
      <c r="Y159" s="380"/>
      <c r="Z159" s="380"/>
      <c r="AA159" s="380"/>
    </row>
    <row r="160">
      <c r="A160" s="380"/>
      <c r="B160" s="380"/>
      <c r="C160" s="380"/>
      <c r="D160" s="380"/>
      <c r="E160" s="380"/>
      <c r="F160" s="380"/>
      <c r="G160" s="380"/>
      <c r="H160" s="380"/>
      <c r="I160" s="380"/>
      <c r="J160" s="380"/>
      <c r="K160" s="380"/>
      <c r="L160" s="380"/>
      <c r="M160" s="380"/>
      <c r="N160" s="380"/>
      <c r="O160" s="380"/>
      <c r="P160" s="380"/>
      <c r="Q160" s="380"/>
      <c r="R160" s="380"/>
      <c r="S160" s="380"/>
      <c r="T160" s="380"/>
      <c r="U160" s="380"/>
      <c r="V160" s="380"/>
      <c r="W160" s="380"/>
      <c r="X160" s="380"/>
      <c r="Y160" s="380"/>
      <c r="Z160" s="380"/>
      <c r="AA160" s="380"/>
    </row>
    <row r="161">
      <c r="A161" s="380"/>
      <c r="B161" s="380"/>
      <c r="C161" s="380"/>
      <c r="D161" s="380"/>
      <c r="E161" s="380"/>
      <c r="F161" s="380"/>
      <c r="G161" s="380"/>
      <c r="H161" s="380"/>
      <c r="I161" s="380"/>
      <c r="J161" s="380"/>
      <c r="K161" s="380"/>
      <c r="L161" s="380"/>
      <c r="M161" s="380"/>
      <c r="N161" s="380"/>
      <c r="O161" s="380"/>
      <c r="P161" s="380"/>
      <c r="Q161" s="380"/>
      <c r="R161" s="380"/>
      <c r="S161" s="380"/>
      <c r="T161" s="380"/>
      <c r="U161" s="380"/>
      <c r="V161" s="380"/>
      <c r="W161" s="380"/>
      <c r="X161" s="380"/>
      <c r="Y161" s="380"/>
      <c r="Z161" s="380"/>
      <c r="AA161" s="380"/>
    </row>
    <row r="162">
      <c r="A162" s="380"/>
      <c r="B162" s="380"/>
      <c r="C162" s="380"/>
      <c r="D162" s="380"/>
      <c r="E162" s="380"/>
      <c r="F162" s="380"/>
      <c r="G162" s="380"/>
      <c r="H162" s="380"/>
      <c r="I162" s="380"/>
      <c r="J162" s="380"/>
      <c r="K162" s="380"/>
      <c r="L162" s="380"/>
      <c r="M162" s="380"/>
      <c r="N162" s="380"/>
      <c r="O162" s="380"/>
      <c r="P162" s="380"/>
      <c r="Q162" s="380"/>
      <c r="R162" s="380"/>
      <c r="S162" s="380"/>
      <c r="T162" s="380"/>
      <c r="U162" s="380"/>
      <c r="V162" s="380"/>
      <c r="W162" s="380"/>
      <c r="X162" s="380"/>
      <c r="Y162" s="380"/>
      <c r="Z162" s="380"/>
      <c r="AA162" s="380"/>
    </row>
    <row r="163">
      <c r="A163" s="380"/>
      <c r="B163" s="380"/>
      <c r="C163" s="380"/>
      <c r="D163" s="380"/>
      <c r="E163" s="380"/>
      <c r="F163" s="380"/>
      <c r="G163" s="380"/>
      <c r="H163" s="380"/>
      <c r="I163" s="380"/>
      <c r="J163" s="380"/>
      <c r="K163" s="380"/>
      <c r="L163" s="380"/>
      <c r="M163" s="380"/>
      <c r="N163" s="380"/>
      <c r="O163" s="380"/>
      <c r="P163" s="380"/>
      <c r="Q163" s="380"/>
      <c r="R163" s="380"/>
      <c r="S163" s="380"/>
      <c r="T163" s="380"/>
      <c r="U163" s="380"/>
      <c r="V163" s="380"/>
      <c r="W163" s="380"/>
      <c r="X163" s="380"/>
      <c r="Y163" s="380"/>
      <c r="Z163" s="380"/>
      <c r="AA163" s="380"/>
    </row>
    <row r="164">
      <c r="A164" s="380"/>
      <c r="B164" s="380"/>
      <c r="C164" s="380"/>
      <c r="D164" s="380"/>
      <c r="E164" s="380"/>
      <c r="F164" s="380"/>
      <c r="G164" s="380"/>
      <c r="H164" s="380"/>
      <c r="I164" s="380"/>
      <c r="J164" s="380"/>
      <c r="K164" s="380"/>
      <c r="L164" s="380"/>
      <c r="M164" s="380"/>
      <c r="N164" s="380"/>
      <c r="O164" s="380"/>
      <c r="P164" s="380"/>
      <c r="Q164" s="380"/>
      <c r="R164" s="380"/>
      <c r="S164" s="380"/>
      <c r="T164" s="380"/>
      <c r="U164" s="380"/>
      <c r="V164" s="380"/>
      <c r="W164" s="380"/>
      <c r="X164" s="380"/>
      <c r="Y164" s="380"/>
      <c r="Z164" s="380"/>
      <c r="AA164" s="380"/>
    </row>
    <row r="165">
      <c r="A165" s="380"/>
      <c r="B165" s="380"/>
      <c r="C165" s="380"/>
      <c r="D165" s="380"/>
      <c r="E165" s="380"/>
      <c r="F165" s="380"/>
      <c r="G165" s="380"/>
      <c r="H165" s="380"/>
      <c r="I165" s="380"/>
      <c r="J165" s="380"/>
      <c r="K165" s="380"/>
      <c r="L165" s="380"/>
      <c r="M165" s="380"/>
      <c r="N165" s="380"/>
      <c r="O165" s="380"/>
      <c r="P165" s="380"/>
      <c r="Q165" s="380"/>
      <c r="R165" s="380"/>
      <c r="S165" s="380"/>
      <c r="T165" s="380"/>
      <c r="U165" s="380"/>
      <c r="V165" s="380"/>
      <c r="W165" s="380"/>
      <c r="X165" s="380"/>
      <c r="Y165" s="380"/>
      <c r="Z165" s="380"/>
      <c r="AA165" s="380"/>
    </row>
    <row r="166">
      <c r="A166" s="380"/>
      <c r="B166" s="380"/>
      <c r="C166" s="380"/>
      <c r="D166" s="380"/>
      <c r="E166" s="380"/>
      <c r="F166" s="380"/>
      <c r="G166" s="380"/>
      <c r="H166" s="380"/>
      <c r="I166" s="380"/>
      <c r="J166" s="380"/>
      <c r="K166" s="380"/>
      <c r="L166" s="380"/>
      <c r="M166" s="380"/>
      <c r="N166" s="380"/>
      <c r="O166" s="380"/>
      <c r="P166" s="380"/>
      <c r="Q166" s="380"/>
      <c r="R166" s="380"/>
      <c r="S166" s="380"/>
      <c r="T166" s="380"/>
      <c r="U166" s="380"/>
      <c r="V166" s="380"/>
      <c r="W166" s="380"/>
      <c r="X166" s="380"/>
      <c r="Y166" s="380"/>
      <c r="Z166" s="380"/>
      <c r="AA166" s="380"/>
    </row>
    <row r="167">
      <c r="A167" s="380"/>
      <c r="B167" s="380"/>
      <c r="C167" s="380"/>
      <c r="D167" s="380"/>
      <c r="E167" s="380"/>
      <c r="F167" s="380"/>
      <c r="G167" s="380"/>
      <c r="H167" s="380"/>
      <c r="I167" s="380"/>
      <c r="J167" s="380"/>
      <c r="K167" s="380"/>
      <c r="L167" s="380"/>
      <c r="M167" s="380"/>
      <c r="N167" s="380"/>
      <c r="O167" s="380"/>
      <c r="P167" s="380"/>
      <c r="Q167" s="380"/>
      <c r="R167" s="380"/>
      <c r="S167" s="380"/>
      <c r="T167" s="380"/>
      <c r="U167" s="380"/>
      <c r="V167" s="380"/>
      <c r="W167" s="380"/>
      <c r="X167" s="380"/>
      <c r="Y167" s="380"/>
      <c r="Z167" s="380"/>
      <c r="AA167" s="380"/>
    </row>
    <row r="168">
      <c r="A168" s="380"/>
      <c r="B168" s="380"/>
      <c r="C168" s="380"/>
      <c r="D168" s="380"/>
      <c r="E168" s="380"/>
      <c r="F168" s="380"/>
      <c r="G168" s="380"/>
      <c r="H168" s="380"/>
      <c r="I168" s="380"/>
      <c r="J168" s="380"/>
      <c r="K168" s="380"/>
      <c r="L168" s="380"/>
      <c r="M168" s="380"/>
      <c r="N168" s="380"/>
      <c r="O168" s="380"/>
      <c r="P168" s="380"/>
      <c r="Q168" s="380"/>
      <c r="R168" s="380"/>
      <c r="S168" s="380"/>
      <c r="T168" s="380"/>
      <c r="U168" s="380"/>
      <c r="V168" s="380"/>
      <c r="W168" s="380"/>
      <c r="X168" s="380"/>
      <c r="Y168" s="380"/>
      <c r="Z168" s="380"/>
      <c r="AA168" s="380"/>
    </row>
    <row r="169">
      <c r="A169" s="380"/>
      <c r="B169" s="380"/>
      <c r="C169" s="380"/>
      <c r="D169" s="380"/>
      <c r="E169" s="380"/>
      <c r="F169" s="380"/>
      <c r="G169" s="380"/>
      <c r="H169" s="380"/>
      <c r="I169" s="380"/>
      <c r="J169" s="380"/>
      <c r="K169" s="380"/>
      <c r="L169" s="380"/>
      <c r="M169" s="380"/>
      <c r="N169" s="380"/>
      <c r="O169" s="380"/>
      <c r="P169" s="380"/>
      <c r="Q169" s="380"/>
      <c r="R169" s="380"/>
      <c r="S169" s="380"/>
      <c r="T169" s="380"/>
      <c r="U169" s="380"/>
      <c r="V169" s="380"/>
      <c r="W169" s="380"/>
      <c r="X169" s="380"/>
      <c r="Y169" s="380"/>
      <c r="Z169" s="380"/>
      <c r="AA169" s="380"/>
    </row>
    <row r="170">
      <c r="A170" s="380"/>
      <c r="B170" s="380"/>
      <c r="C170" s="380"/>
      <c r="D170" s="380"/>
      <c r="E170" s="380"/>
      <c r="F170" s="380"/>
      <c r="G170" s="380"/>
      <c r="H170" s="380"/>
      <c r="I170" s="380"/>
      <c r="J170" s="380"/>
      <c r="K170" s="380"/>
      <c r="L170" s="380"/>
      <c r="M170" s="380"/>
      <c r="N170" s="380"/>
      <c r="O170" s="380"/>
      <c r="P170" s="380"/>
      <c r="Q170" s="380"/>
      <c r="R170" s="380"/>
      <c r="S170" s="380"/>
      <c r="T170" s="380"/>
      <c r="U170" s="380"/>
      <c r="V170" s="380"/>
      <c r="W170" s="380"/>
      <c r="X170" s="380"/>
      <c r="Y170" s="380"/>
      <c r="Z170" s="380"/>
      <c r="AA170" s="380"/>
    </row>
    <row r="171">
      <c r="A171" s="380"/>
      <c r="B171" s="380"/>
      <c r="C171" s="380"/>
      <c r="D171" s="380"/>
      <c r="E171" s="380"/>
      <c r="F171" s="380"/>
      <c r="G171" s="380"/>
      <c r="H171" s="380"/>
      <c r="I171" s="380"/>
      <c r="J171" s="380"/>
      <c r="K171" s="380"/>
      <c r="L171" s="380"/>
      <c r="M171" s="380"/>
      <c r="N171" s="380"/>
      <c r="O171" s="380"/>
      <c r="P171" s="380"/>
      <c r="Q171" s="380"/>
      <c r="R171" s="380"/>
      <c r="S171" s="380"/>
      <c r="T171" s="380"/>
      <c r="U171" s="380"/>
      <c r="V171" s="380"/>
      <c r="W171" s="380"/>
      <c r="X171" s="380"/>
      <c r="Y171" s="380"/>
      <c r="Z171" s="380"/>
      <c r="AA171" s="380"/>
    </row>
    <row r="172">
      <c r="A172" s="380"/>
      <c r="B172" s="380"/>
      <c r="C172" s="380"/>
      <c r="D172" s="380"/>
      <c r="E172" s="380"/>
      <c r="F172" s="380"/>
      <c r="G172" s="380"/>
      <c r="H172" s="380"/>
      <c r="I172" s="380"/>
      <c r="J172" s="380"/>
      <c r="K172" s="380"/>
      <c r="L172" s="380"/>
      <c r="M172" s="380"/>
      <c r="N172" s="380"/>
      <c r="O172" s="380"/>
      <c r="P172" s="380"/>
      <c r="Q172" s="380"/>
      <c r="R172" s="380"/>
      <c r="S172" s="380"/>
      <c r="T172" s="380"/>
      <c r="U172" s="380"/>
      <c r="V172" s="380"/>
      <c r="W172" s="380"/>
      <c r="X172" s="380"/>
      <c r="Y172" s="380"/>
      <c r="Z172" s="380"/>
      <c r="AA172" s="380"/>
    </row>
    <row r="173">
      <c r="A173" s="380"/>
      <c r="B173" s="380"/>
      <c r="C173" s="380"/>
      <c r="D173" s="380"/>
      <c r="E173" s="380"/>
      <c r="F173" s="380"/>
      <c r="G173" s="380"/>
      <c r="H173" s="380"/>
      <c r="I173" s="380"/>
      <c r="J173" s="380"/>
      <c r="K173" s="380"/>
      <c r="L173" s="380"/>
      <c r="M173" s="380"/>
      <c r="N173" s="380"/>
      <c r="O173" s="380"/>
      <c r="P173" s="380"/>
      <c r="Q173" s="380"/>
      <c r="R173" s="380"/>
      <c r="S173" s="380"/>
      <c r="T173" s="380"/>
      <c r="U173" s="380"/>
      <c r="V173" s="380"/>
      <c r="W173" s="380"/>
      <c r="X173" s="380"/>
      <c r="Y173" s="380"/>
      <c r="Z173" s="380"/>
      <c r="AA173" s="380"/>
    </row>
    <row r="174">
      <c r="A174" s="380"/>
      <c r="B174" s="380"/>
      <c r="C174" s="380"/>
      <c r="D174" s="380"/>
      <c r="E174" s="380"/>
      <c r="F174" s="380"/>
      <c r="G174" s="380"/>
      <c r="H174" s="380"/>
      <c r="I174" s="380"/>
      <c r="J174" s="380"/>
      <c r="K174" s="380"/>
      <c r="L174" s="380"/>
      <c r="M174" s="380"/>
      <c r="N174" s="380"/>
      <c r="O174" s="380"/>
      <c r="P174" s="380"/>
      <c r="Q174" s="380"/>
      <c r="R174" s="380"/>
      <c r="S174" s="380"/>
      <c r="T174" s="380"/>
      <c r="U174" s="380"/>
      <c r="V174" s="380"/>
      <c r="W174" s="380"/>
      <c r="X174" s="380"/>
      <c r="Y174" s="380"/>
      <c r="Z174" s="380"/>
      <c r="AA174" s="380"/>
    </row>
    <row r="175">
      <c r="A175" s="380"/>
      <c r="B175" s="380"/>
      <c r="C175" s="380"/>
      <c r="D175" s="380"/>
      <c r="E175" s="380"/>
      <c r="F175" s="380"/>
      <c r="G175" s="380"/>
      <c r="H175" s="380"/>
      <c r="I175" s="380"/>
      <c r="J175" s="380"/>
      <c r="K175" s="380"/>
      <c r="L175" s="380"/>
      <c r="M175" s="380"/>
      <c r="N175" s="380"/>
      <c r="O175" s="380"/>
      <c r="P175" s="380"/>
      <c r="Q175" s="380"/>
      <c r="R175" s="380"/>
      <c r="S175" s="380"/>
      <c r="T175" s="380"/>
      <c r="U175" s="380"/>
      <c r="V175" s="380"/>
      <c r="W175" s="380"/>
      <c r="X175" s="380"/>
      <c r="Y175" s="380"/>
      <c r="Z175" s="380"/>
      <c r="AA175" s="380"/>
    </row>
    <row r="176">
      <c r="A176" s="380"/>
      <c r="B176" s="380"/>
      <c r="C176" s="380"/>
      <c r="D176" s="380"/>
      <c r="E176" s="380"/>
      <c r="F176" s="380"/>
      <c r="G176" s="380"/>
      <c r="H176" s="380"/>
      <c r="I176" s="380"/>
      <c r="J176" s="380"/>
      <c r="K176" s="380"/>
      <c r="L176" s="380"/>
      <c r="M176" s="380"/>
      <c r="N176" s="380"/>
      <c r="O176" s="380"/>
      <c r="P176" s="380"/>
      <c r="Q176" s="380"/>
      <c r="R176" s="380"/>
      <c r="S176" s="380"/>
      <c r="T176" s="380"/>
      <c r="U176" s="380"/>
      <c r="V176" s="380"/>
      <c r="W176" s="380"/>
      <c r="X176" s="380"/>
      <c r="Y176" s="380"/>
      <c r="Z176" s="380"/>
      <c r="AA176" s="380"/>
    </row>
    <row r="177">
      <c r="A177" s="380"/>
      <c r="B177" s="380"/>
      <c r="C177" s="380"/>
      <c r="D177" s="380"/>
      <c r="E177" s="380"/>
      <c r="F177" s="380"/>
      <c r="G177" s="380"/>
      <c r="H177" s="380"/>
      <c r="I177" s="380"/>
      <c r="J177" s="380"/>
      <c r="K177" s="380"/>
      <c r="L177" s="380"/>
      <c r="M177" s="380"/>
      <c r="N177" s="380"/>
      <c r="O177" s="380"/>
      <c r="P177" s="380"/>
      <c r="Q177" s="380"/>
      <c r="R177" s="380"/>
      <c r="S177" s="380"/>
      <c r="T177" s="380"/>
      <c r="U177" s="380"/>
      <c r="V177" s="380"/>
      <c r="W177" s="380"/>
      <c r="X177" s="380"/>
      <c r="Y177" s="380"/>
      <c r="Z177" s="380"/>
      <c r="AA177" s="380"/>
    </row>
    <row r="178">
      <c r="A178" s="380"/>
      <c r="B178" s="380"/>
      <c r="C178" s="380"/>
      <c r="D178" s="380"/>
      <c r="E178" s="380"/>
      <c r="F178" s="380"/>
      <c r="G178" s="380"/>
      <c r="H178" s="380"/>
      <c r="I178" s="380"/>
      <c r="J178" s="380"/>
      <c r="K178" s="380"/>
      <c r="L178" s="380"/>
      <c r="M178" s="380"/>
      <c r="N178" s="380"/>
      <c r="O178" s="380"/>
      <c r="P178" s="380"/>
      <c r="Q178" s="380"/>
      <c r="R178" s="380"/>
      <c r="S178" s="380"/>
      <c r="T178" s="380"/>
      <c r="U178" s="380"/>
      <c r="V178" s="380"/>
      <c r="W178" s="380"/>
      <c r="X178" s="380"/>
      <c r="Y178" s="380"/>
      <c r="Z178" s="380"/>
      <c r="AA178" s="380"/>
    </row>
    <row r="179">
      <c r="A179" s="380"/>
      <c r="B179" s="380"/>
      <c r="C179" s="380"/>
      <c r="D179" s="380"/>
      <c r="E179" s="380"/>
      <c r="F179" s="380"/>
      <c r="G179" s="380"/>
      <c r="H179" s="380"/>
      <c r="I179" s="380"/>
      <c r="J179" s="380"/>
      <c r="K179" s="380"/>
      <c r="L179" s="380"/>
      <c r="M179" s="380"/>
      <c r="N179" s="380"/>
      <c r="O179" s="380"/>
      <c r="P179" s="380"/>
      <c r="Q179" s="380"/>
      <c r="R179" s="380"/>
      <c r="S179" s="380"/>
      <c r="T179" s="380"/>
      <c r="U179" s="380"/>
      <c r="V179" s="380"/>
      <c r="W179" s="380"/>
      <c r="X179" s="380"/>
      <c r="Y179" s="380"/>
      <c r="Z179" s="380"/>
      <c r="AA179" s="380"/>
    </row>
    <row r="180">
      <c r="A180" s="380"/>
      <c r="B180" s="380"/>
      <c r="C180" s="380"/>
      <c r="D180" s="380"/>
      <c r="E180" s="380"/>
      <c r="F180" s="380"/>
      <c r="G180" s="380"/>
      <c r="H180" s="380"/>
      <c r="I180" s="380"/>
      <c r="J180" s="380"/>
      <c r="K180" s="380"/>
      <c r="L180" s="380"/>
      <c r="M180" s="380"/>
      <c r="N180" s="380"/>
      <c r="O180" s="380"/>
      <c r="P180" s="380"/>
      <c r="Q180" s="380"/>
      <c r="R180" s="380"/>
      <c r="S180" s="380"/>
      <c r="T180" s="380"/>
      <c r="U180" s="380"/>
      <c r="V180" s="380"/>
      <c r="W180" s="380"/>
      <c r="X180" s="380"/>
      <c r="Y180" s="380"/>
      <c r="Z180" s="380"/>
      <c r="AA180" s="380"/>
    </row>
    <row r="181">
      <c r="A181" s="380"/>
      <c r="B181" s="380"/>
      <c r="C181" s="380"/>
      <c r="D181" s="380"/>
      <c r="E181" s="380"/>
      <c r="F181" s="380"/>
      <c r="G181" s="380"/>
      <c r="H181" s="380"/>
      <c r="I181" s="380"/>
      <c r="J181" s="380"/>
      <c r="K181" s="380"/>
      <c r="L181" s="380"/>
      <c r="M181" s="380"/>
      <c r="N181" s="380"/>
      <c r="O181" s="380"/>
      <c r="P181" s="380"/>
      <c r="Q181" s="380"/>
      <c r="R181" s="380"/>
      <c r="S181" s="380"/>
      <c r="T181" s="380"/>
      <c r="U181" s="380"/>
      <c r="V181" s="380"/>
      <c r="W181" s="380"/>
      <c r="X181" s="380"/>
      <c r="Y181" s="380"/>
      <c r="Z181" s="380"/>
      <c r="AA181" s="380"/>
    </row>
    <row r="182">
      <c r="A182" s="380"/>
      <c r="B182" s="380"/>
      <c r="C182" s="380"/>
      <c r="D182" s="380"/>
      <c r="E182" s="380"/>
      <c r="F182" s="380"/>
      <c r="G182" s="380"/>
      <c r="H182" s="380"/>
      <c r="I182" s="380"/>
      <c r="J182" s="380"/>
      <c r="K182" s="380"/>
      <c r="L182" s="380"/>
      <c r="M182" s="380"/>
      <c r="N182" s="380"/>
      <c r="O182" s="380"/>
      <c r="P182" s="380"/>
      <c r="Q182" s="380"/>
      <c r="R182" s="380"/>
      <c r="S182" s="380"/>
      <c r="T182" s="380"/>
      <c r="U182" s="380"/>
      <c r="V182" s="380"/>
      <c r="W182" s="380"/>
      <c r="X182" s="380"/>
      <c r="Y182" s="380"/>
      <c r="Z182" s="380"/>
      <c r="AA182" s="380"/>
    </row>
    <row r="183">
      <c r="A183" s="380"/>
      <c r="B183" s="380"/>
      <c r="C183" s="380"/>
      <c r="D183" s="380"/>
      <c r="E183" s="380"/>
      <c r="F183" s="380"/>
      <c r="G183" s="380"/>
      <c r="H183" s="380"/>
      <c r="I183" s="380"/>
      <c r="J183" s="380"/>
      <c r="K183" s="380"/>
      <c r="L183" s="380"/>
      <c r="M183" s="380"/>
      <c r="N183" s="380"/>
      <c r="O183" s="380"/>
      <c r="P183" s="380"/>
      <c r="Q183" s="380"/>
      <c r="R183" s="380"/>
      <c r="S183" s="380"/>
      <c r="T183" s="380"/>
      <c r="U183" s="380"/>
      <c r="V183" s="380"/>
      <c r="W183" s="380"/>
      <c r="X183" s="380"/>
      <c r="Y183" s="380"/>
      <c r="Z183" s="380"/>
      <c r="AA183" s="380"/>
    </row>
    <row r="184">
      <c r="A184" s="380"/>
      <c r="B184" s="380"/>
      <c r="C184" s="380"/>
      <c r="D184" s="380"/>
      <c r="E184" s="380"/>
      <c r="F184" s="380"/>
      <c r="G184" s="380"/>
      <c r="H184" s="380"/>
      <c r="I184" s="380"/>
      <c r="J184" s="380"/>
      <c r="K184" s="380"/>
      <c r="L184" s="380"/>
      <c r="M184" s="380"/>
      <c r="N184" s="380"/>
      <c r="O184" s="380"/>
      <c r="P184" s="380"/>
      <c r="Q184" s="380"/>
      <c r="R184" s="380"/>
      <c r="S184" s="380"/>
      <c r="T184" s="380"/>
      <c r="U184" s="380"/>
      <c r="V184" s="380"/>
      <c r="W184" s="380"/>
      <c r="X184" s="380"/>
      <c r="Y184" s="380"/>
      <c r="Z184" s="380"/>
      <c r="AA184" s="380"/>
    </row>
    <row r="185">
      <c r="A185" s="380"/>
      <c r="B185" s="380"/>
      <c r="C185" s="380"/>
      <c r="D185" s="380"/>
      <c r="E185" s="380"/>
      <c r="F185" s="380"/>
      <c r="G185" s="380"/>
      <c r="H185" s="380"/>
      <c r="I185" s="380"/>
      <c r="J185" s="380"/>
      <c r="K185" s="380"/>
      <c r="L185" s="380"/>
      <c r="M185" s="380"/>
      <c r="N185" s="380"/>
      <c r="O185" s="380"/>
      <c r="P185" s="380"/>
      <c r="Q185" s="380"/>
      <c r="R185" s="380"/>
      <c r="S185" s="380"/>
      <c r="T185" s="380"/>
      <c r="U185" s="380"/>
      <c r="V185" s="380"/>
      <c r="W185" s="380"/>
      <c r="X185" s="380"/>
      <c r="Y185" s="380"/>
      <c r="Z185" s="380"/>
      <c r="AA185" s="380"/>
    </row>
    <row r="186">
      <c r="A186" s="380"/>
      <c r="B186" s="380"/>
      <c r="C186" s="380"/>
      <c r="D186" s="380"/>
      <c r="E186" s="380"/>
      <c r="F186" s="380"/>
      <c r="G186" s="380"/>
      <c r="H186" s="380"/>
      <c r="I186" s="380"/>
      <c r="J186" s="380"/>
      <c r="K186" s="380"/>
      <c r="L186" s="380"/>
      <c r="M186" s="380"/>
      <c r="N186" s="380"/>
      <c r="O186" s="380"/>
      <c r="P186" s="380"/>
      <c r="Q186" s="380"/>
      <c r="R186" s="380"/>
      <c r="S186" s="380"/>
      <c r="T186" s="380"/>
      <c r="U186" s="380"/>
      <c r="V186" s="380"/>
      <c r="W186" s="380"/>
      <c r="X186" s="380"/>
      <c r="Y186" s="380"/>
      <c r="Z186" s="380"/>
      <c r="AA186" s="380"/>
    </row>
    <row r="187">
      <c r="A187" s="380"/>
      <c r="B187" s="380"/>
      <c r="C187" s="380"/>
      <c r="D187" s="380"/>
      <c r="E187" s="380"/>
      <c r="F187" s="380"/>
      <c r="G187" s="380"/>
      <c r="H187" s="380"/>
      <c r="I187" s="380"/>
      <c r="J187" s="380"/>
      <c r="K187" s="380"/>
      <c r="L187" s="380"/>
      <c r="M187" s="380"/>
      <c r="N187" s="380"/>
      <c r="O187" s="380"/>
      <c r="P187" s="380"/>
      <c r="Q187" s="380"/>
      <c r="R187" s="380"/>
      <c r="S187" s="380"/>
      <c r="T187" s="380"/>
      <c r="U187" s="380"/>
      <c r="V187" s="380"/>
      <c r="W187" s="380"/>
      <c r="X187" s="380"/>
      <c r="Y187" s="380"/>
      <c r="Z187" s="380"/>
      <c r="AA187" s="380"/>
    </row>
    <row r="188">
      <c r="A188" s="380"/>
      <c r="B188" s="380"/>
      <c r="C188" s="380"/>
      <c r="D188" s="380"/>
      <c r="E188" s="380"/>
      <c r="F188" s="380"/>
      <c r="G188" s="380"/>
      <c r="H188" s="380"/>
      <c r="I188" s="380"/>
      <c r="J188" s="380"/>
      <c r="K188" s="380"/>
      <c r="L188" s="380"/>
      <c r="M188" s="380"/>
      <c r="N188" s="380"/>
      <c r="O188" s="380"/>
      <c r="P188" s="380"/>
      <c r="Q188" s="380"/>
      <c r="R188" s="380"/>
      <c r="S188" s="380"/>
      <c r="T188" s="380"/>
      <c r="U188" s="380"/>
      <c r="V188" s="380"/>
      <c r="W188" s="380"/>
      <c r="X188" s="380"/>
      <c r="Y188" s="380"/>
      <c r="Z188" s="380"/>
      <c r="AA188" s="380"/>
    </row>
    <row r="189">
      <c r="A189" s="380"/>
      <c r="B189" s="380"/>
      <c r="C189" s="380"/>
      <c r="D189" s="380"/>
      <c r="E189" s="380"/>
      <c r="F189" s="380"/>
      <c r="G189" s="380"/>
      <c r="H189" s="380"/>
      <c r="I189" s="380"/>
      <c r="J189" s="380"/>
      <c r="K189" s="380"/>
      <c r="L189" s="380"/>
      <c r="M189" s="380"/>
      <c r="N189" s="380"/>
      <c r="O189" s="380"/>
      <c r="P189" s="380"/>
      <c r="Q189" s="380"/>
      <c r="R189" s="380"/>
      <c r="S189" s="380"/>
      <c r="T189" s="380"/>
      <c r="U189" s="380"/>
      <c r="V189" s="380"/>
      <c r="W189" s="380"/>
      <c r="X189" s="380"/>
      <c r="Y189" s="380"/>
      <c r="Z189" s="380"/>
      <c r="AA189" s="380"/>
    </row>
    <row r="190">
      <c r="A190" s="380"/>
      <c r="B190" s="380"/>
      <c r="C190" s="380"/>
      <c r="D190" s="380"/>
      <c r="E190" s="380"/>
      <c r="F190" s="380"/>
      <c r="G190" s="380"/>
      <c r="H190" s="380"/>
      <c r="I190" s="380"/>
      <c r="J190" s="380"/>
      <c r="K190" s="380"/>
      <c r="L190" s="380"/>
      <c r="M190" s="380"/>
      <c r="N190" s="380"/>
      <c r="O190" s="380"/>
      <c r="P190" s="380"/>
      <c r="Q190" s="380"/>
      <c r="R190" s="380"/>
      <c r="S190" s="380"/>
      <c r="T190" s="380"/>
      <c r="U190" s="380"/>
      <c r="V190" s="380"/>
      <c r="W190" s="380"/>
      <c r="X190" s="380"/>
      <c r="Y190" s="380"/>
      <c r="Z190" s="380"/>
      <c r="AA190" s="380"/>
    </row>
    <row r="191">
      <c r="A191" s="380"/>
      <c r="B191" s="380"/>
      <c r="C191" s="380"/>
      <c r="D191" s="380"/>
      <c r="E191" s="380"/>
      <c r="F191" s="380"/>
      <c r="G191" s="380"/>
      <c r="H191" s="380"/>
      <c r="I191" s="380"/>
      <c r="J191" s="380"/>
      <c r="K191" s="380"/>
      <c r="L191" s="380"/>
      <c r="M191" s="380"/>
      <c r="N191" s="380"/>
      <c r="O191" s="380"/>
      <c r="P191" s="380"/>
      <c r="Q191" s="380"/>
      <c r="R191" s="380"/>
      <c r="S191" s="380"/>
      <c r="T191" s="380"/>
      <c r="U191" s="380"/>
      <c r="V191" s="380"/>
      <c r="W191" s="380"/>
      <c r="X191" s="380"/>
      <c r="Y191" s="380"/>
      <c r="Z191" s="380"/>
      <c r="AA191" s="380"/>
    </row>
    <row r="192">
      <c r="A192" s="380"/>
      <c r="B192" s="380"/>
      <c r="C192" s="380"/>
      <c r="D192" s="380"/>
      <c r="E192" s="380"/>
      <c r="F192" s="380"/>
      <c r="G192" s="380"/>
      <c r="H192" s="380"/>
      <c r="I192" s="380"/>
      <c r="J192" s="380"/>
      <c r="K192" s="380"/>
      <c r="L192" s="380"/>
      <c r="M192" s="380"/>
      <c r="N192" s="380"/>
      <c r="O192" s="380"/>
      <c r="P192" s="380"/>
      <c r="Q192" s="380"/>
      <c r="R192" s="380"/>
      <c r="S192" s="380"/>
      <c r="T192" s="380"/>
      <c r="U192" s="380"/>
      <c r="V192" s="380"/>
      <c r="W192" s="380"/>
      <c r="X192" s="380"/>
      <c r="Y192" s="380"/>
      <c r="Z192" s="380"/>
      <c r="AA192" s="380"/>
    </row>
    <row r="193">
      <c r="A193" s="380"/>
      <c r="B193" s="380"/>
      <c r="C193" s="380"/>
      <c r="D193" s="380"/>
      <c r="E193" s="380"/>
      <c r="F193" s="380"/>
      <c r="G193" s="380"/>
      <c r="H193" s="380"/>
      <c r="I193" s="380"/>
      <c r="J193" s="380"/>
      <c r="K193" s="380"/>
      <c r="L193" s="380"/>
      <c r="M193" s="380"/>
      <c r="N193" s="380"/>
      <c r="O193" s="380"/>
      <c r="P193" s="380"/>
      <c r="Q193" s="380"/>
      <c r="R193" s="380"/>
      <c r="S193" s="380"/>
      <c r="T193" s="380"/>
      <c r="U193" s="380"/>
      <c r="V193" s="380"/>
      <c r="W193" s="380"/>
      <c r="X193" s="380"/>
      <c r="Y193" s="380"/>
      <c r="Z193" s="380"/>
      <c r="AA193" s="380"/>
    </row>
    <row r="194">
      <c r="A194" s="380"/>
      <c r="B194" s="380"/>
      <c r="C194" s="380"/>
      <c r="D194" s="380"/>
      <c r="E194" s="380"/>
      <c r="F194" s="380"/>
      <c r="G194" s="380"/>
      <c r="H194" s="380"/>
      <c r="I194" s="380"/>
      <c r="J194" s="380"/>
      <c r="K194" s="380"/>
      <c r="L194" s="380"/>
      <c r="M194" s="380"/>
      <c r="N194" s="380"/>
      <c r="O194" s="380"/>
      <c r="P194" s="380"/>
      <c r="Q194" s="380"/>
      <c r="R194" s="380"/>
      <c r="S194" s="380"/>
      <c r="T194" s="380"/>
      <c r="U194" s="380"/>
      <c r="V194" s="380"/>
      <c r="W194" s="380"/>
      <c r="X194" s="380"/>
      <c r="Y194" s="380"/>
      <c r="Z194" s="380"/>
      <c r="AA194" s="380"/>
    </row>
    <row r="195">
      <c r="A195" s="380"/>
      <c r="B195" s="380"/>
      <c r="C195" s="380"/>
      <c r="D195" s="380"/>
      <c r="E195" s="380"/>
      <c r="F195" s="380"/>
      <c r="G195" s="380"/>
      <c r="H195" s="380"/>
      <c r="I195" s="380"/>
      <c r="J195" s="380"/>
      <c r="K195" s="380"/>
      <c r="L195" s="380"/>
      <c r="M195" s="380"/>
      <c r="N195" s="380"/>
      <c r="O195" s="380"/>
      <c r="P195" s="380"/>
      <c r="Q195" s="380"/>
      <c r="R195" s="380"/>
      <c r="S195" s="380"/>
      <c r="T195" s="380"/>
      <c r="U195" s="380"/>
      <c r="V195" s="380"/>
      <c r="W195" s="380"/>
      <c r="X195" s="380"/>
      <c r="Y195" s="380"/>
      <c r="Z195" s="380"/>
      <c r="AA195" s="380"/>
    </row>
    <row r="196">
      <c r="A196" s="380"/>
      <c r="B196" s="380"/>
      <c r="C196" s="380"/>
      <c r="D196" s="380"/>
      <c r="E196" s="380"/>
      <c r="F196" s="380"/>
      <c r="G196" s="380"/>
      <c r="H196" s="380"/>
      <c r="I196" s="380"/>
      <c r="J196" s="380"/>
      <c r="K196" s="380"/>
      <c r="L196" s="380"/>
      <c r="M196" s="380"/>
      <c r="N196" s="380"/>
      <c r="O196" s="380"/>
      <c r="P196" s="380"/>
      <c r="Q196" s="380"/>
      <c r="R196" s="380"/>
      <c r="S196" s="380"/>
      <c r="T196" s="380"/>
      <c r="U196" s="380"/>
      <c r="V196" s="380"/>
      <c r="W196" s="380"/>
      <c r="X196" s="380"/>
      <c r="Y196" s="380"/>
      <c r="Z196" s="380"/>
      <c r="AA196" s="380"/>
    </row>
    <row r="197">
      <c r="A197" s="380"/>
      <c r="B197" s="380"/>
      <c r="C197" s="380"/>
      <c r="D197" s="380"/>
      <c r="E197" s="380"/>
      <c r="F197" s="380"/>
      <c r="G197" s="380"/>
      <c r="H197" s="380"/>
      <c r="I197" s="380"/>
      <c r="J197" s="380"/>
      <c r="K197" s="380"/>
      <c r="L197" s="380"/>
      <c r="M197" s="380"/>
      <c r="N197" s="380"/>
      <c r="O197" s="380"/>
      <c r="P197" s="380"/>
      <c r="Q197" s="380"/>
      <c r="R197" s="380"/>
      <c r="S197" s="380"/>
      <c r="T197" s="380"/>
      <c r="U197" s="380"/>
      <c r="V197" s="380"/>
      <c r="W197" s="380"/>
      <c r="X197" s="380"/>
      <c r="Y197" s="380"/>
      <c r="Z197" s="380"/>
      <c r="AA197" s="380"/>
    </row>
    <row r="198">
      <c r="A198" s="380"/>
      <c r="B198" s="380"/>
      <c r="C198" s="380"/>
      <c r="D198" s="380"/>
      <c r="E198" s="380"/>
      <c r="F198" s="380"/>
      <c r="G198" s="380"/>
      <c r="H198" s="380"/>
      <c r="I198" s="380"/>
      <c r="J198" s="380"/>
      <c r="K198" s="380"/>
      <c r="L198" s="380"/>
      <c r="M198" s="380"/>
      <c r="N198" s="380"/>
      <c r="O198" s="380"/>
      <c r="P198" s="380"/>
      <c r="Q198" s="380"/>
      <c r="R198" s="380"/>
      <c r="S198" s="380"/>
      <c r="T198" s="380"/>
      <c r="U198" s="380"/>
      <c r="V198" s="380"/>
      <c r="W198" s="380"/>
      <c r="X198" s="380"/>
      <c r="Y198" s="380"/>
      <c r="Z198" s="380"/>
      <c r="AA198" s="380"/>
    </row>
    <row r="199">
      <c r="A199" s="380"/>
      <c r="B199" s="380"/>
      <c r="C199" s="380"/>
      <c r="D199" s="380"/>
      <c r="E199" s="380"/>
      <c r="F199" s="380"/>
      <c r="G199" s="380"/>
      <c r="H199" s="380"/>
      <c r="I199" s="380"/>
      <c r="J199" s="380"/>
      <c r="K199" s="380"/>
      <c r="L199" s="380"/>
      <c r="M199" s="380"/>
      <c r="N199" s="380"/>
      <c r="O199" s="380"/>
      <c r="P199" s="380"/>
      <c r="Q199" s="380"/>
      <c r="R199" s="380"/>
      <c r="S199" s="380"/>
      <c r="T199" s="380"/>
      <c r="U199" s="380"/>
      <c r="V199" s="380"/>
      <c r="W199" s="380"/>
      <c r="X199" s="380"/>
      <c r="Y199" s="380"/>
      <c r="Z199" s="380"/>
      <c r="AA199" s="380"/>
    </row>
    <row r="200">
      <c r="A200" s="380"/>
      <c r="B200" s="380"/>
      <c r="C200" s="380"/>
      <c r="D200" s="380"/>
      <c r="E200" s="380"/>
      <c r="F200" s="380"/>
      <c r="G200" s="380"/>
      <c r="H200" s="380"/>
      <c r="I200" s="380"/>
      <c r="J200" s="380"/>
      <c r="K200" s="380"/>
      <c r="L200" s="380"/>
      <c r="M200" s="380"/>
      <c r="N200" s="380"/>
      <c r="O200" s="380"/>
      <c r="P200" s="380"/>
      <c r="Q200" s="380"/>
      <c r="R200" s="380"/>
      <c r="S200" s="380"/>
      <c r="T200" s="380"/>
      <c r="U200" s="380"/>
      <c r="V200" s="380"/>
      <c r="W200" s="380"/>
      <c r="X200" s="380"/>
      <c r="Y200" s="380"/>
      <c r="Z200" s="380"/>
      <c r="AA200" s="380"/>
    </row>
    <row r="201">
      <c r="A201" s="380"/>
      <c r="B201" s="380"/>
      <c r="C201" s="380"/>
      <c r="D201" s="380"/>
      <c r="E201" s="380"/>
      <c r="F201" s="380"/>
      <c r="G201" s="380"/>
      <c r="H201" s="380"/>
      <c r="I201" s="380"/>
      <c r="J201" s="380"/>
      <c r="K201" s="380"/>
      <c r="L201" s="380"/>
      <c r="M201" s="380"/>
      <c r="N201" s="380"/>
      <c r="O201" s="380"/>
      <c r="P201" s="380"/>
      <c r="Q201" s="380"/>
      <c r="R201" s="380"/>
      <c r="S201" s="380"/>
      <c r="T201" s="380"/>
      <c r="U201" s="380"/>
      <c r="V201" s="380"/>
      <c r="W201" s="380"/>
      <c r="X201" s="380"/>
      <c r="Y201" s="380"/>
      <c r="Z201" s="380"/>
      <c r="AA201" s="380"/>
    </row>
    <row r="202">
      <c r="A202" s="380"/>
      <c r="B202" s="380"/>
      <c r="C202" s="380"/>
      <c r="D202" s="380"/>
      <c r="E202" s="380"/>
      <c r="F202" s="380"/>
      <c r="G202" s="380"/>
      <c r="H202" s="380"/>
      <c r="I202" s="380"/>
      <c r="J202" s="380"/>
      <c r="K202" s="380"/>
      <c r="L202" s="380"/>
      <c r="M202" s="380"/>
      <c r="N202" s="380"/>
      <c r="O202" s="380"/>
      <c r="P202" s="380"/>
      <c r="Q202" s="380"/>
      <c r="R202" s="380"/>
      <c r="S202" s="380"/>
      <c r="T202" s="380"/>
      <c r="U202" s="380"/>
      <c r="V202" s="380"/>
      <c r="W202" s="380"/>
      <c r="X202" s="380"/>
      <c r="Y202" s="380"/>
      <c r="Z202" s="380"/>
      <c r="AA202" s="380"/>
    </row>
    <row r="203">
      <c r="A203" s="380"/>
      <c r="B203" s="380"/>
      <c r="C203" s="380"/>
      <c r="D203" s="380"/>
      <c r="E203" s="380"/>
      <c r="F203" s="380"/>
      <c r="G203" s="380"/>
      <c r="H203" s="380"/>
      <c r="I203" s="380"/>
      <c r="J203" s="380"/>
      <c r="K203" s="380"/>
      <c r="L203" s="380"/>
      <c r="M203" s="380"/>
      <c r="N203" s="380"/>
      <c r="O203" s="380"/>
      <c r="P203" s="380"/>
      <c r="Q203" s="380"/>
      <c r="R203" s="380"/>
      <c r="S203" s="380"/>
      <c r="T203" s="380"/>
      <c r="U203" s="380"/>
      <c r="V203" s="380"/>
      <c r="W203" s="380"/>
      <c r="X203" s="380"/>
      <c r="Y203" s="380"/>
      <c r="Z203" s="380"/>
      <c r="AA203" s="380"/>
    </row>
    <row r="204">
      <c r="A204" s="380"/>
      <c r="B204" s="380"/>
      <c r="C204" s="380"/>
      <c r="D204" s="380"/>
      <c r="E204" s="380"/>
      <c r="F204" s="380"/>
      <c r="G204" s="380"/>
      <c r="H204" s="380"/>
      <c r="I204" s="380"/>
      <c r="J204" s="380"/>
      <c r="K204" s="380"/>
      <c r="L204" s="380"/>
      <c r="M204" s="380"/>
      <c r="N204" s="380"/>
      <c r="O204" s="380"/>
      <c r="P204" s="380"/>
      <c r="Q204" s="380"/>
      <c r="R204" s="380"/>
      <c r="S204" s="380"/>
      <c r="T204" s="380"/>
      <c r="U204" s="380"/>
      <c r="V204" s="380"/>
      <c r="W204" s="380"/>
      <c r="X204" s="380"/>
      <c r="Y204" s="380"/>
      <c r="Z204" s="380"/>
      <c r="AA204" s="380"/>
    </row>
    <row r="205">
      <c r="A205" s="380"/>
      <c r="B205" s="380"/>
      <c r="C205" s="380"/>
      <c r="D205" s="380"/>
      <c r="E205" s="380"/>
      <c r="F205" s="380"/>
      <c r="G205" s="380"/>
      <c r="H205" s="380"/>
      <c r="I205" s="380"/>
      <c r="J205" s="380"/>
      <c r="K205" s="380"/>
      <c r="L205" s="380"/>
      <c r="M205" s="380"/>
      <c r="N205" s="380"/>
      <c r="O205" s="380"/>
      <c r="P205" s="380"/>
      <c r="Q205" s="380"/>
      <c r="R205" s="380"/>
      <c r="S205" s="380"/>
      <c r="T205" s="380"/>
      <c r="U205" s="380"/>
      <c r="V205" s="380"/>
      <c r="W205" s="380"/>
      <c r="X205" s="380"/>
      <c r="Y205" s="380"/>
      <c r="Z205" s="380"/>
      <c r="AA205" s="380"/>
    </row>
    <row r="206">
      <c r="A206" s="380"/>
      <c r="B206" s="380"/>
      <c r="C206" s="380"/>
      <c r="D206" s="380"/>
      <c r="E206" s="380"/>
      <c r="F206" s="380"/>
      <c r="G206" s="380"/>
      <c r="H206" s="380"/>
      <c r="I206" s="380"/>
      <c r="J206" s="380"/>
      <c r="K206" s="380"/>
      <c r="L206" s="380"/>
      <c r="M206" s="380"/>
      <c r="N206" s="380"/>
      <c r="O206" s="380"/>
      <c r="P206" s="380"/>
      <c r="Q206" s="380"/>
      <c r="R206" s="380"/>
      <c r="S206" s="380"/>
      <c r="T206" s="380"/>
      <c r="U206" s="380"/>
      <c r="V206" s="380"/>
      <c r="W206" s="380"/>
      <c r="X206" s="380"/>
      <c r="Y206" s="380"/>
      <c r="Z206" s="380"/>
      <c r="AA206" s="380"/>
    </row>
    <row r="207">
      <c r="A207" s="380"/>
      <c r="B207" s="380"/>
      <c r="C207" s="380"/>
      <c r="D207" s="380"/>
      <c r="E207" s="380"/>
      <c r="F207" s="380"/>
      <c r="G207" s="380"/>
      <c r="H207" s="380"/>
      <c r="I207" s="380"/>
      <c r="J207" s="380"/>
      <c r="K207" s="380"/>
      <c r="L207" s="380"/>
      <c r="M207" s="380"/>
      <c r="N207" s="380"/>
      <c r="O207" s="380"/>
      <c r="P207" s="380"/>
      <c r="Q207" s="380"/>
      <c r="R207" s="380"/>
      <c r="S207" s="380"/>
      <c r="T207" s="380"/>
      <c r="U207" s="380"/>
      <c r="V207" s="380"/>
      <c r="W207" s="380"/>
      <c r="X207" s="380"/>
      <c r="Y207" s="380"/>
      <c r="Z207" s="380"/>
      <c r="AA207" s="380"/>
    </row>
    <row r="208">
      <c r="A208" s="380"/>
      <c r="B208" s="380"/>
      <c r="C208" s="380"/>
      <c r="D208" s="380"/>
      <c r="E208" s="380"/>
      <c r="F208" s="380"/>
      <c r="G208" s="380"/>
      <c r="H208" s="380"/>
      <c r="I208" s="380"/>
      <c r="J208" s="380"/>
      <c r="K208" s="380"/>
      <c r="L208" s="380"/>
      <c r="M208" s="380"/>
      <c r="N208" s="380"/>
      <c r="O208" s="380"/>
      <c r="P208" s="380"/>
      <c r="Q208" s="380"/>
      <c r="R208" s="380"/>
      <c r="S208" s="380"/>
      <c r="T208" s="380"/>
      <c r="U208" s="380"/>
      <c r="V208" s="380"/>
      <c r="W208" s="380"/>
      <c r="X208" s="380"/>
      <c r="Y208" s="380"/>
      <c r="Z208" s="380"/>
      <c r="AA208" s="380"/>
    </row>
    <row r="209">
      <c r="A209" s="380"/>
      <c r="B209" s="380"/>
      <c r="C209" s="380"/>
      <c r="D209" s="380"/>
      <c r="E209" s="380"/>
      <c r="F209" s="380"/>
      <c r="G209" s="380"/>
      <c r="H209" s="380"/>
      <c r="I209" s="380"/>
      <c r="J209" s="380"/>
      <c r="K209" s="380"/>
      <c r="L209" s="380"/>
      <c r="M209" s="380"/>
      <c r="N209" s="380"/>
      <c r="O209" s="380"/>
      <c r="P209" s="380"/>
      <c r="Q209" s="380"/>
      <c r="R209" s="380"/>
      <c r="S209" s="380"/>
      <c r="T209" s="380"/>
      <c r="U209" s="380"/>
      <c r="V209" s="380"/>
      <c r="W209" s="380"/>
      <c r="X209" s="380"/>
      <c r="Y209" s="380"/>
      <c r="Z209" s="380"/>
      <c r="AA209" s="380"/>
    </row>
    <row r="210">
      <c r="A210" s="380"/>
      <c r="B210" s="380"/>
      <c r="C210" s="380"/>
      <c r="D210" s="380"/>
      <c r="E210" s="380"/>
      <c r="F210" s="380"/>
      <c r="G210" s="380"/>
      <c r="H210" s="380"/>
      <c r="I210" s="380"/>
      <c r="J210" s="380"/>
      <c r="K210" s="380"/>
      <c r="L210" s="380"/>
      <c r="M210" s="380"/>
      <c r="N210" s="380"/>
      <c r="O210" s="380"/>
      <c r="P210" s="380"/>
      <c r="Q210" s="380"/>
      <c r="R210" s="380"/>
      <c r="S210" s="380"/>
      <c r="T210" s="380"/>
      <c r="U210" s="380"/>
      <c r="V210" s="380"/>
      <c r="W210" s="380"/>
      <c r="X210" s="380"/>
      <c r="Y210" s="380"/>
      <c r="Z210" s="380"/>
      <c r="AA210" s="380"/>
    </row>
    <row r="211">
      <c r="A211" s="380"/>
      <c r="B211" s="380"/>
      <c r="C211" s="380"/>
      <c r="D211" s="380"/>
      <c r="E211" s="380"/>
      <c r="F211" s="380"/>
      <c r="G211" s="380"/>
      <c r="H211" s="380"/>
      <c r="I211" s="380"/>
      <c r="J211" s="380"/>
      <c r="K211" s="380"/>
      <c r="L211" s="380"/>
      <c r="M211" s="380"/>
      <c r="N211" s="380"/>
      <c r="O211" s="380"/>
      <c r="P211" s="380"/>
      <c r="Q211" s="380"/>
      <c r="R211" s="380"/>
      <c r="S211" s="380"/>
      <c r="T211" s="380"/>
      <c r="U211" s="380"/>
      <c r="V211" s="380"/>
      <c r="W211" s="380"/>
      <c r="X211" s="380"/>
      <c r="Y211" s="380"/>
      <c r="Z211" s="380"/>
      <c r="AA211" s="380"/>
    </row>
    <row r="212">
      <c r="A212" s="380"/>
      <c r="B212" s="380"/>
      <c r="C212" s="380"/>
      <c r="D212" s="380"/>
      <c r="E212" s="380"/>
      <c r="F212" s="380"/>
      <c r="G212" s="380"/>
      <c r="H212" s="380"/>
      <c r="I212" s="380"/>
      <c r="J212" s="380"/>
      <c r="K212" s="380"/>
      <c r="L212" s="380"/>
      <c r="M212" s="380"/>
      <c r="N212" s="380"/>
      <c r="O212" s="380"/>
      <c r="P212" s="380"/>
      <c r="Q212" s="380"/>
      <c r="R212" s="380"/>
      <c r="S212" s="380"/>
      <c r="T212" s="380"/>
      <c r="U212" s="380"/>
      <c r="V212" s="380"/>
      <c r="W212" s="380"/>
      <c r="X212" s="380"/>
      <c r="Y212" s="380"/>
      <c r="Z212" s="380"/>
      <c r="AA212" s="380"/>
    </row>
    <row r="213">
      <c r="A213" s="380"/>
      <c r="B213" s="380"/>
      <c r="C213" s="380"/>
      <c r="D213" s="380"/>
      <c r="E213" s="380"/>
      <c r="F213" s="380"/>
      <c r="G213" s="380"/>
      <c r="H213" s="380"/>
      <c r="I213" s="380"/>
      <c r="J213" s="380"/>
      <c r="K213" s="380"/>
      <c r="L213" s="380"/>
      <c r="M213" s="380"/>
      <c r="N213" s="380"/>
      <c r="O213" s="380"/>
      <c r="P213" s="380"/>
      <c r="Q213" s="380"/>
      <c r="R213" s="380"/>
      <c r="S213" s="380"/>
      <c r="T213" s="380"/>
      <c r="U213" s="380"/>
      <c r="V213" s="380"/>
      <c r="W213" s="380"/>
      <c r="X213" s="380"/>
      <c r="Y213" s="380"/>
      <c r="Z213" s="380"/>
      <c r="AA213" s="380"/>
    </row>
    <row r="214">
      <c r="A214" s="380"/>
      <c r="B214" s="380"/>
      <c r="C214" s="380"/>
      <c r="D214" s="380"/>
      <c r="E214" s="380"/>
      <c r="F214" s="380"/>
      <c r="G214" s="380"/>
      <c r="H214" s="380"/>
      <c r="I214" s="380"/>
      <c r="J214" s="380"/>
      <c r="K214" s="380"/>
      <c r="L214" s="380"/>
      <c r="M214" s="380"/>
      <c r="N214" s="380"/>
      <c r="O214" s="380"/>
      <c r="P214" s="380"/>
      <c r="Q214" s="380"/>
      <c r="R214" s="380"/>
      <c r="S214" s="380"/>
      <c r="T214" s="380"/>
      <c r="U214" s="380"/>
      <c r="V214" s="380"/>
      <c r="W214" s="380"/>
      <c r="X214" s="380"/>
      <c r="Y214" s="380"/>
      <c r="Z214" s="380"/>
      <c r="AA214" s="380"/>
    </row>
    <row r="215">
      <c r="A215" s="380"/>
      <c r="B215" s="380"/>
      <c r="C215" s="380"/>
      <c r="D215" s="380"/>
      <c r="E215" s="380"/>
      <c r="F215" s="380"/>
      <c r="G215" s="380"/>
      <c r="H215" s="380"/>
      <c r="I215" s="380"/>
      <c r="J215" s="380"/>
      <c r="K215" s="380"/>
      <c r="L215" s="380"/>
      <c r="M215" s="380"/>
      <c r="N215" s="380"/>
      <c r="O215" s="380"/>
      <c r="P215" s="380"/>
      <c r="Q215" s="380"/>
      <c r="R215" s="380"/>
      <c r="S215" s="380"/>
      <c r="T215" s="380"/>
      <c r="U215" s="380"/>
      <c r="V215" s="380"/>
      <c r="W215" s="380"/>
      <c r="X215" s="380"/>
      <c r="Y215" s="380"/>
      <c r="Z215" s="380"/>
      <c r="AA215" s="380"/>
    </row>
    <row r="216">
      <c r="A216" s="380"/>
      <c r="B216" s="380"/>
      <c r="C216" s="380"/>
      <c r="D216" s="380"/>
      <c r="E216" s="380"/>
      <c r="F216" s="380"/>
      <c r="G216" s="380"/>
      <c r="H216" s="380"/>
      <c r="I216" s="380"/>
      <c r="J216" s="380"/>
      <c r="K216" s="380"/>
      <c r="L216" s="380"/>
      <c r="M216" s="380"/>
      <c r="N216" s="380"/>
      <c r="O216" s="380"/>
      <c r="P216" s="380"/>
      <c r="Q216" s="380"/>
      <c r="R216" s="380"/>
      <c r="S216" s="380"/>
      <c r="T216" s="380"/>
      <c r="U216" s="380"/>
      <c r="V216" s="380"/>
      <c r="W216" s="380"/>
      <c r="X216" s="380"/>
      <c r="Y216" s="380"/>
      <c r="Z216" s="380"/>
      <c r="AA216" s="380"/>
    </row>
    <row r="217">
      <c r="A217" s="380"/>
      <c r="B217" s="380"/>
      <c r="C217" s="380"/>
      <c r="D217" s="380"/>
      <c r="E217" s="380"/>
      <c r="F217" s="380"/>
      <c r="G217" s="380"/>
      <c r="H217" s="380"/>
      <c r="I217" s="380"/>
      <c r="J217" s="380"/>
      <c r="K217" s="380"/>
      <c r="L217" s="380"/>
      <c r="M217" s="380"/>
      <c r="N217" s="380"/>
      <c r="O217" s="380"/>
      <c r="P217" s="380"/>
      <c r="Q217" s="380"/>
      <c r="R217" s="380"/>
      <c r="S217" s="380"/>
      <c r="T217" s="380"/>
      <c r="U217" s="380"/>
      <c r="V217" s="380"/>
      <c r="W217" s="380"/>
      <c r="X217" s="380"/>
      <c r="Y217" s="380"/>
      <c r="Z217" s="380"/>
      <c r="AA217" s="380"/>
    </row>
    <row r="218">
      <c r="A218" s="380"/>
      <c r="B218" s="380"/>
      <c r="C218" s="380"/>
      <c r="D218" s="380"/>
      <c r="E218" s="380"/>
      <c r="F218" s="380"/>
      <c r="G218" s="380"/>
      <c r="H218" s="380"/>
      <c r="I218" s="380"/>
      <c r="J218" s="380"/>
      <c r="K218" s="380"/>
      <c r="L218" s="380"/>
      <c r="M218" s="380"/>
      <c r="N218" s="380"/>
      <c r="O218" s="380"/>
      <c r="P218" s="380"/>
      <c r="Q218" s="380"/>
      <c r="R218" s="380"/>
      <c r="S218" s="380"/>
      <c r="T218" s="380"/>
      <c r="U218" s="380"/>
      <c r="V218" s="380"/>
      <c r="W218" s="380"/>
      <c r="X218" s="380"/>
      <c r="Y218" s="380"/>
      <c r="Z218" s="380"/>
      <c r="AA218" s="380"/>
    </row>
    <row r="219">
      <c r="A219" s="380"/>
      <c r="B219" s="380"/>
      <c r="C219" s="380"/>
      <c r="D219" s="380"/>
      <c r="E219" s="380"/>
      <c r="F219" s="380"/>
      <c r="G219" s="380"/>
      <c r="H219" s="380"/>
      <c r="I219" s="380"/>
      <c r="J219" s="380"/>
      <c r="K219" s="380"/>
      <c r="L219" s="380"/>
      <c r="M219" s="380"/>
      <c r="N219" s="380"/>
      <c r="O219" s="380"/>
      <c r="P219" s="380"/>
      <c r="Q219" s="380"/>
      <c r="R219" s="380"/>
      <c r="S219" s="380"/>
      <c r="T219" s="380"/>
      <c r="U219" s="380"/>
      <c r="V219" s="380"/>
      <c r="W219" s="380"/>
      <c r="X219" s="380"/>
      <c r="Y219" s="380"/>
      <c r="Z219" s="380"/>
      <c r="AA219" s="380"/>
    </row>
    <row r="220">
      <c r="A220" s="380"/>
      <c r="B220" s="380"/>
      <c r="C220" s="380"/>
      <c r="D220" s="380"/>
      <c r="E220" s="380"/>
      <c r="F220" s="380"/>
      <c r="G220" s="380"/>
      <c r="H220" s="380"/>
      <c r="I220" s="380"/>
      <c r="J220" s="380"/>
      <c r="K220" s="380"/>
      <c r="L220" s="380"/>
      <c r="M220" s="380"/>
      <c r="N220" s="380"/>
      <c r="O220" s="380"/>
      <c r="P220" s="380"/>
      <c r="Q220" s="380"/>
      <c r="R220" s="380"/>
      <c r="S220" s="380"/>
      <c r="T220" s="380"/>
      <c r="U220" s="380"/>
      <c r="V220" s="380"/>
      <c r="W220" s="380"/>
      <c r="X220" s="380"/>
      <c r="Y220" s="380"/>
      <c r="Z220" s="380"/>
      <c r="AA220" s="380"/>
    </row>
    <row r="221">
      <c r="A221" s="380"/>
      <c r="B221" s="380"/>
      <c r="C221" s="380"/>
      <c r="D221" s="380"/>
      <c r="E221" s="380"/>
      <c r="F221" s="380"/>
      <c r="G221" s="380"/>
      <c r="H221" s="380"/>
      <c r="I221" s="380"/>
      <c r="J221" s="380"/>
      <c r="K221" s="380"/>
      <c r="L221" s="380"/>
      <c r="M221" s="380"/>
      <c r="N221" s="380"/>
      <c r="O221" s="380"/>
      <c r="P221" s="380"/>
      <c r="Q221" s="380"/>
      <c r="R221" s="380"/>
      <c r="S221" s="380"/>
      <c r="T221" s="380"/>
      <c r="U221" s="380"/>
      <c r="V221" s="380"/>
      <c r="W221" s="380"/>
      <c r="X221" s="380"/>
      <c r="Y221" s="380"/>
      <c r="Z221" s="380"/>
      <c r="AA221" s="380"/>
    </row>
    <row r="222">
      <c r="A222" s="380"/>
      <c r="B222" s="380"/>
      <c r="C222" s="380"/>
      <c r="D222" s="380"/>
      <c r="E222" s="380"/>
      <c r="F222" s="380"/>
      <c r="G222" s="380"/>
      <c r="H222" s="380"/>
      <c r="I222" s="380"/>
      <c r="J222" s="380"/>
      <c r="K222" s="380"/>
      <c r="L222" s="380"/>
      <c r="M222" s="380"/>
      <c r="N222" s="380"/>
      <c r="O222" s="380"/>
      <c r="P222" s="380"/>
      <c r="Q222" s="380"/>
      <c r="R222" s="380"/>
      <c r="S222" s="380"/>
      <c r="T222" s="380"/>
      <c r="U222" s="380"/>
      <c r="V222" s="380"/>
      <c r="W222" s="380"/>
      <c r="X222" s="380"/>
      <c r="Y222" s="380"/>
      <c r="Z222" s="380"/>
      <c r="AA222" s="380"/>
    </row>
    <row r="223">
      <c r="A223" s="380"/>
      <c r="B223" s="380"/>
      <c r="C223" s="380"/>
      <c r="D223" s="380"/>
      <c r="E223" s="380"/>
      <c r="F223" s="380"/>
      <c r="G223" s="380"/>
      <c r="H223" s="380"/>
      <c r="I223" s="380"/>
      <c r="J223" s="380"/>
      <c r="K223" s="380"/>
      <c r="L223" s="380"/>
      <c r="M223" s="380"/>
      <c r="N223" s="380"/>
      <c r="O223" s="380"/>
      <c r="P223" s="380"/>
      <c r="Q223" s="380"/>
      <c r="R223" s="380"/>
      <c r="S223" s="380"/>
      <c r="T223" s="380"/>
      <c r="U223" s="380"/>
      <c r="V223" s="380"/>
      <c r="W223" s="380"/>
      <c r="X223" s="380"/>
      <c r="Y223" s="380"/>
      <c r="Z223" s="380"/>
      <c r="AA223" s="380"/>
    </row>
    <row r="224">
      <c r="A224" s="380"/>
      <c r="B224" s="380"/>
      <c r="C224" s="380"/>
      <c r="D224" s="380"/>
      <c r="E224" s="380"/>
      <c r="F224" s="380"/>
      <c r="G224" s="380"/>
      <c r="H224" s="380"/>
      <c r="I224" s="380"/>
      <c r="J224" s="380"/>
      <c r="K224" s="380"/>
      <c r="L224" s="380"/>
      <c r="M224" s="380"/>
      <c r="N224" s="380"/>
      <c r="O224" s="380"/>
      <c r="P224" s="380"/>
      <c r="Q224" s="380"/>
      <c r="R224" s="380"/>
      <c r="S224" s="380"/>
      <c r="T224" s="380"/>
      <c r="U224" s="380"/>
      <c r="V224" s="380"/>
      <c r="W224" s="380"/>
      <c r="X224" s="380"/>
      <c r="Y224" s="380"/>
      <c r="Z224" s="380"/>
      <c r="AA224" s="380"/>
    </row>
    <row r="225">
      <c r="A225" s="380"/>
      <c r="B225" s="380"/>
      <c r="C225" s="380"/>
      <c r="D225" s="380"/>
      <c r="E225" s="380"/>
      <c r="F225" s="380"/>
      <c r="G225" s="380"/>
      <c r="H225" s="380"/>
      <c r="I225" s="380"/>
      <c r="J225" s="380"/>
      <c r="K225" s="380"/>
      <c r="L225" s="380"/>
      <c r="M225" s="380"/>
      <c r="N225" s="380"/>
      <c r="O225" s="380"/>
      <c r="P225" s="380"/>
      <c r="Q225" s="380"/>
      <c r="R225" s="380"/>
      <c r="S225" s="380"/>
      <c r="T225" s="380"/>
      <c r="U225" s="380"/>
      <c r="V225" s="380"/>
      <c r="W225" s="380"/>
      <c r="X225" s="380"/>
      <c r="Y225" s="380"/>
      <c r="Z225" s="380"/>
      <c r="AA225" s="380"/>
    </row>
    <row r="226">
      <c r="A226" s="380"/>
      <c r="B226" s="380"/>
      <c r="C226" s="380"/>
      <c r="D226" s="380"/>
      <c r="E226" s="380"/>
      <c r="F226" s="380"/>
      <c r="G226" s="380"/>
      <c r="H226" s="380"/>
      <c r="I226" s="380"/>
      <c r="J226" s="380"/>
      <c r="K226" s="380"/>
      <c r="L226" s="380"/>
      <c r="M226" s="380"/>
      <c r="N226" s="380"/>
      <c r="O226" s="380"/>
      <c r="P226" s="380"/>
      <c r="Q226" s="380"/>
      <c r="R226" s="380"/>
      <c r="S226" s="380"/>
      <c r="T226" s="380"/>
      <c r="U226" s="380"/>
      <c r="V226" s="380"/>
      <c r="W226" s="380"/>
      <c r="X226" s="380"/>
      <c r="Y226" s="380"/>
      <c r="Z226" s="380"/>
      <c r="AA226" s="380"/>
    </row>
    <row r="227">
      <c r="A227" s="380"/>
      <c r="B227" s="380"/>
      <c r="C227" s="380"/>
      <c r="D227" s="380"/>
      <c r="E227" s="380"/>
      <c r="F227" s="380"/>
      <c r="G227" s="380"/>
      <c r="H227" s="380"/>
      <c r="I227" s="380"/>
      <c r="J227" s="380"/>
      <c r="K227" s="380"/>
      <c r="L227" s="380"/>
      <c r="M227" s="380"/>
      <c r="N227" s="380"/>
      <c r="O227" s="380"/>
      <c r="P227" s="380"/>
      <c r="Q227" s="380"/>
      <c r="R227" s="380"/>
      <c r="S227" s="380"/>
      <c r="T227" s="380"/>
      <c r="U227" s="380"/>
      <c r="V227" s="380"/>
      <c r="W227" s="380"/>
      <c r="X227" s="380"/>
      <c r="Y227" s="380"/>
      <c r="Z227" s="380"/>
      <c r="AA227" s="380"/>
    </row>
    <row r="228">
      <c r="A228" s="380"/>
      <c r="B228" s="380"/>
      <c r="C228" s="380"/>
      <c r="D228" s="380"/>
      <c r="E228" s="380"/>
      <c r="F228" s="380"/>
      <c r="G228" s="380"/>
      <c r="H228" s="380"/>
      <c r="I228" s="380"/>
      <c r="J228" s="380"/>
      <c r="K228" s="380"/>
      <c r="L228" s="380"/>
      <c r="M228" s="380"/>
      <c r="N228" s="380"/>
      <c r="O228" s="380"/>
      <c r="P228" s="380"/>
      <c r="Q228" s="380"/>
      <c r="R228" s="380"/>
      <c r="S228" s="380"/>
      <c r="T228" s="380"/>
      <c r="U228" s="380"/>
      <c r="V228" s="380"/>
      <c r="W228" s="380"/>
      <c r="X228" s="380"/>
      <c r="Y228" s="380"/>
      <c r="Z228" s="380"/>
      <c r="AA228" s="380"/>
    </row>
    <row r="229">
      <c r="A229" s="380"/>
      <c r="B229" s="380"/>
      <c r="C229" s="380"/>
      <c r="D229" s="380"/>
      <c r="E229" s="380"/>
      <c r="F229" s="380"/>
      <c r="G229" s="380"/>
      <c r="H229" s="380"/>
      <c r="I229" s="380"/>
      <c r="J229" s="380"/>
      <c r="K229" s="380"/>
      <c r="L229" s="380"/>
      <c r="M229" s="380"/>
      <c r="N229" s="380"/>
      <c r="O229" s="380"/>
      <c r="P229" s="380"/>
      <c r="Q229" s="380"/>
      <c r="R229" s="380"/>
      <c r="S229" s="380"/>
      <c r="T229" s="380"/>
      <c r="U229" s="380"/>
      <c r="V229" s="380"/>
      <c r="W229" s="380"/>
      <c r="X229" s="380"/>
      <c r="Y229" s="380"/>
      <c r="Z229" s="380"/>
      <c r="AA229" s="380"/>
    </row>
    <row r="230">
      <c r="A230" s="380"/>
      <c r="B230" s="380"/>
      <c r="C230" s="380"/>
      <c r="D230" s="380"/>
      <c r="E230" s="380"/>
      <c r="F230" s="380"/>
      <c r="G230" s="380"/>
      <c r="H230" s="380"/>
      <c r="I230" s="380"/>
      <c r="J230" s="380"/>
      <c r="K230" s="380"/>
      <c r="L230" s="380"/>
      <c r="M230" s="380"/>
      <c r="N230" s="380"/>
      <c r="O230" s="380"/>
      <c r="P230" s="380"/>
      <c r="Q230" s="380"/>
      <c r="R230" s="380"/>
      <c r="S230" s="380"/>
      <c r="T230" s="380"/>
      <c r="U230" s="380"/>
      <c r="V230" s="380"/>
      <c r="W230" s="380"/>
      <c r="X230" s="380"/>
      <c r="Y230" s="380"/>
      <c r="Z230" s="380"/>
      <c r="AA230" s="380"/>
    </row>
    <row r="231">
      <c r="A231" s="380"/>
      <c r="B231" s="380"/>
      <c r="C231" s="380"/>
      <c r="D231" s="380"/>
      <c r="E231" s="380"/>
      <c r="F231" s="380"/>
      <c r="G231" s="380"/>
      <c r="H231" s="380"/>
      <c r="I231" s="380"/>
      <c r="J231" s="380"/>
      <c r="K231" s="380"/>
      <c r="L231" s="380"/>
      <c r="M231" s="380"/>
      <c r="N231" s="380"/>
      <c r="O231" s="380"/>
      <c r="P231" s="380"/>
      <c r="Q231" s="380"/>
      <c r="R231" s="380"/>
      <c r="S231" s="380"/>
      <c r="T231" s="380"/>
      <c r="U231" s="380"/>
      <c r="V231" s="380"/>
      <c r="W231" s="380"/>
      <c r="X231" s="380"/>
      <c r="Y231" s="380"/>
      <c r="Z231" s="380"/>
      <c r="AA231" s="380"/>
    </row>
    <row r="232">
      <c r="A232" s="380"/>
      <c r="B232" s="380"/>
      <c r="C232" s="380"/>
      <c r="D232" s="380"/>
      <c r="E232" s="380"/>
      <c r="F232" s="380"/>
      <c r="G232" s="380"/>
      <c r="H232" s="380"/>
      <c r="I232" s="380"/>
      <c r="J232" s="380"/>
      <c r="K232" s="380"/>
      <c r="L232" s="380"/>
      <c r="M232" s="380"/>
      <c r="N232" s="380"/>
      <c r="O232" s="380"/>
      <c r="P232" s="380"/>
      <c r="Q232" s="380"/>
      <c r="R232" s="380"/>
      <c r="S232" s="380"/>
      <c r="T232" s="380"/>
      <c r="U232" s="380"/>
      <c r="V232" s="380"/>
      <c r="W232" s="380"/>
      <c r="X232" s="380"/>
      <c r="Y232" s="380"/>
      <c r="Z232" s="380"/>
      <c r="AA232" s="380"/>
    </row>
    <row r="233">
      <c r="A233" s="380"/>
      <c r="B233" s="380"/>
      <c r="C233" s="380"/>
      <c r="D233" s="380"/>
      <c r="E233" s="380"/>
      <c r="F233" s="380"/>
      <c r="G233" s="380"/>
      <c r="H233" s="380"/>
      <c r="I233" s="380"/>
      <c r="J233" s="380"/>
      <c r="K233" s="380"/>
      <c r="L233" s="380"/>
      <c r="M233" s="380"/>
      <c r="N233" s="380"/>
      <c r="O233" s="380"/>
      <c r="P233" s="380"/>
      <c r="Q233" s="380"/>
      <c r="R233" s="380"/>
      <c r="S233" s="380"/>
      <c r="T233" s="380"/>
      <c r="U233" s="380"/>
      <c r="V233" s="380"/>
      <c r="W233" s="380"/>
      <c r="X233" s="380"/>
      <c r="Y233" s="380"/>
      <c r="Z233" s="380"/>
      <c r="AA233" s="380"/>
    </row>
    <row r="234">
      <c r="A234" s="380"/>
      <c r="B234" s="380"/>
      <c r="C234" s="380"/>
      <c r="D234" s="380"/>
      <c r="E234" s="380"/>
      <c r="F234" s="380"/>
      <c r="G234" s="380"/>
      <c r="H234" s="380"/>
      <c r="I234" s="380"/>
      <c r="J234" s="380"/>
      <c r="K234" s="380"/>
      <c r="L234" s="380"/>
      <c r="M234" s="380"/>
      <c r="N234" s="380"/>
      <c r="O234" s="380"/>
      <c r="P234" s="380"/>
      <c r="Q234" s="380"/>
      <c r="R234" s="380"/>
      <c r="S234" s="380"/>
      <c r="T234" s="380"/>
      <c r="U234" s="380"/>
      <c r="V234" s="380"/>
      <c r="W234" s="380"/>
      <c r="X234" s="380"/>
      <c r="Y234" s="380"/>
      <c r="Z234" s="380"/>
      <c r="AA234" s="380"/>
    </row>
    <row r="235">
      <c r="A235" s="380"/>
      <c r="B235" s="380"/>
      <c r="C235" s="380"/>
      <c r="D235" s="380"/>
      <c r="E235" s="380"/>
      <c r="F235" s="380"/>
      <c r="G235" s="380"/>
      <c r="H235" s="380"/>
      <c r="I235" s="380"/>
      <c r="J235" s="380"/>
      <c r="K235" s="380"/>
      <c r="L235" s="380"/>
      <c r="M235" s="380"/>
      <c r="N235" s="380"/>
      <c r="O235" s="380"/>
      <c r="P235" s="380"/>
      <c r="Q235" s="380"/>
      <c r="R235" s="380"/>
      <c r="S235" s="380"/>
      <c r="T235" s="380"/>
      <c r="U235" s="380"/>
      <c r="V235" s="380"/>
      <c r="W235" s="380"/>
      <c r="X235" s="380"/>
      <c r="Y235" s="380"/>
      <c r="Z235" s="380"/>
      <c r="AA235" s="380"/>
    </row>
    <row r="236">
      <c r="A236" s="380"/>
      <c r="B236" s="380"/>
      <c r="C236" s="380"/>
      <c r="D236" s="380"/>
      <c r="E236" s="380"/>
      <c r="F236" s="380"/>
      <c r="G236" s="380"/>
      <c r="H236" s="380"/>
      <c r="I236" s="380"/>
      <c r="J236" s="380"/>
      <c r="K236" s="380"/>
      <c r="L236" s="380"/>
      <c r="M236" s="380"/>
      <c r="N236" s="380"/>
      <c r="O236" s="380"/>
      <c r="P236" s="380"/>
      <c r="Q236" s="380"/>
      <c r="R236" s="380"/>
      <c r="S236" s="380"/>
      <c r="T236" s="380"/>
      <c r="U236" s="380"/>
      <c r="V236" s="380"/>
      <c r="W236" s="380"/>
      <c r="X236" s="380"/>
      <c r="Y236" s="380"/>
      <c r="Z236" s="380"/>
      <c r="AA236" s="380"/>
    </row>
    <row r="237">
      <c r="A237" s="380"/>
      <c r="B237" s="380"/>
      <c r="C237" s="380"/>
      <c r="D237" s="380"/>
      <c r="E237" s="380"/>
      <c r="F237" s="380"/>
      <c r="G237" s="380"/>
      <c r="H237" s="380"/>
      <c r="I237" s="380"/>
      <c r="J237" s="380"/>
      <c r="K237" s="380"/>
      <c r="L237" s="380"/>
      <c r="M237" s="380"/>
      <c r="N237" s="380"/>
      <c r="O237" s="380"/>
      <c r="P237" s="380"/>
      <c r="Q237" s="380"/>
      <c r="R237" s="380"/>
      <c r="S237" s="380"/>
      <c r="T237" s="380"/>
      <c r="U237" s="380"/>
      <c r="V237" s="380"/>
      <c r="W237" s="380"/>
      <c r="X237" s="380"/>
      <c r="Y237" s="380"/>
      <c r="Z237" s="380"/>
      <c r="AA237" s="380"/>
    </row>
    <row r="238">
      <c r="A238" s="380"/>
      <c r="B238" s="380"/>
      <c r="C238" s="380"/>
      <c r="D238" s="380"/>
      <c r="E238" s="380"/>
      <c r="F238" s="380"/>
      <c r="G238" s="380"/>
      <c r="H238" s="380"/>
      <c r="I238" s="380"/>
      <c r="J238" s="380"/>
      <c r="K238" s="380"/>
      <c r="L238" s="380"/>
      <c r="M238" s="380"/>
      <c r="N238" s="380"/>
      <c r="O238" s="380"/>
      <c r="P238" s="380"/>
      <c r="Q238" s="380"/>
      <c r="R238" s="380"/>
      <c r="S238" s="380"/>
      <c r="T238" s="380"/>
      <c r="U238" s="380"/>
      <c r="V238" s="380"/>
      <c r="W238" s="380"/>
      <c r="X238" s="380"/>
      <c r="Y238" s="380"/>
      <c r="Z238" s="380"/>
      <c r="AA238" s="380"/>
    </row>
    <row r="239">
      <c r="A239" s="380"/>
      <c r="B239" s="380"/>
      <c r="C239" s="380"/>
      <c r="D239" s="380"/>
      <c r="E239" s="380"/>
      <c r="F239" s="380"/>
      <c r="G239" s="380"/>
      <c r="H239" s="380"/>
      <c r="I239" s="380"/>
      <c r="J239" s="380"/>
      <c r="K239" s="380"/>
      <c r="L239" s="380"/>
      <c r="M239" s="380"/>
      <c r="N239" s="380"/>
      <c r="O239" s="380"/>
      <c r="P239" s="380"/>
      <c r="Q239" s="380"/>
      <c r="R239" s="380"/>
      <c r="S239" s="380"/>
      <c r="T239" s="380"/>
      <c r="U239" s="380"/>
      <c r="V239" s="380"/>
      <c r="W239" s="380"/>
      <c r="X239" s="380"/>
      <c r="Y239" s="380"/>
      <c r="Z239" s="380"/>
      <c r="AA239" s="380"/>
    </row>
    <row r="240">
      <c r="A240" s="380"/>
      <c r="B240" s="380"/>
      <c r="C240" s="380"/>
      <c r="D240" s="380"/>
      <c r="E240" s="380"/>
      <c r="F240" s="380"/>
      <c r="G240" s="380"/>
      <c r="H240" s="380"/>
      <c r="I240" s="380"/>
      <c r="J240" s="380"/>
      <c r="K240" s="380"/>
      <c r="L240" s="380"/>
      <c r="M240" s="380"/>
      <c r="N240" s="380"/>
      <c r="O240" s="380"/>
      <c r="P240" s="380"/>
      <c r="Q240" s="380"/>
      <c r="R240" s="380"/>
      <c r="S240" s="380"/>
      <c r="T240" s="380"/>
      <c r="U240" s="380"/>
      <c r="V240" s="380"/>
      <c r="W240" s="380"/>
      <c r="X240" s="380"/>
      <c r="Y240" s="380"/>
      <c r="Z240" s="380"/>
      <c r="AA240" s="380"/>
    </row>
    <row r="241">
      <c r="A241" s="380"/>
      <c r="B241" s="380"/>
      <c r="C241" s="380"/>
      <c r="D241" s="380"/>
      <c r="E241" s="380"/>
      <c r="F241" s="380"/>
      <c r="G241" s="380"/>
      <c r="H241" s="380"/>
      <c r="I241" s="380"/>
      <c r="J241" s="380"/>
      <c r="K241" s="380"/>
      <c r="L241" s="380"/>
      <c r="M241" s="380"/>
      <c r="N241" s="380"/>
      <c r="O241" s="380"/>
      <c r="P241" s="380"/>
      <c r="Q241" s="380"/>
      <c r="R241" s="380"/>
      <c r="S241" s="380"/>
      <c r="T241" s="380"/>
      <c r="U241" s="380"/>
      <c r="V241" s="380"/>
      <c r="W241" s="380"/>
      <c r="X241" s="380"/>
      <c r="Y241" s="380"/>
      <c r="Z241" s="380"/>
      <c r="AA241" s="380"/>
    </row>
    <row r="242">
      <c r="A242" s="380"/>
      <c r="B242" s="380"/>
      <c r="C242" s="380"/>
      <c r="D242" s="380"/>
      <c r="E242" s="380"/>
      <c r="F242" s="380"/>
      <c r="G242" s="380"/>
      <c r="H242" s="380"/>
      <c r="I242" s="380"/>
      <c r="J242" s="380"/>
      <c r="K242" s="380"/>
      <c r="L242" s="380"/>
      <c r="M242" s="380"/>
      <c r="N242" s="380"/>
      <c r="O242" s="380"/>
      <c r="P242" s="380"/>
      <c r="Q242" s="380"/>
      <c r="R242" s="380"/>
      <c r="S242" s="380"/>
      <c r="T242" s="380"/>
      <c r="U242" s="380"/>
      <c r="V242" s="380"/>
      <c r="W242" s="380"/>
      <c r="X242" s="380"/>
      <c r="Y242" s="380"/>
      <c r="Z242" s="380"/>
      <c r="AA242" s="380"/>
    </row>
    <row r="243">
      <c r="A243" s="380"/>
      <c r="B243" s="380"/>
      <c r="C243" s="380"/>
      <c r="D243" s="380"/>
      <c r="E243" s="380"/>
      <c r="F243" s="380"/>
      <c r="G243" s="380"/>
      <c r="H243" s="380"/>
      <c r="I243" s="380"/>
      <c r="J243" s="380"/>
      <c r="K243" s="380"/>
      <c r="L243" s="380"/>
      <c r="M243" s="380"/>
      <c r="N243" s="380"/>
      <c r="O243" s="380"/>
      <c r="P243" s="380"/>
      <c r="Q243" s="380"/>
      <c r="R243" s="380"/>
      <c r="S243" s="380"/>
      <c r="T243" s="380"/>
      <c r="U243" s="380"/>
      <c r="V243" s="380"/>
      <c r="W243" s="380"/>
      <c r="X243" s="380"/>
      <c r="Y243" s="380"/>
      <c r="Z243" s="380"/>
      <c r="AA243" s="380"/>
    </row>
    <row r="244">
      <c r="A244" s="380"/>
      <c r="B244" s="380"/>
      <c r="C244" s="380"/>
      <c r="D244" s="380"/>
      <c r="E244" s="380"/>
      <c r="F244" s="380"/>
      <c r="G244" s="380"/>
      <c r="H244" s="380"/>
      <c r="I244" s="380"/>
      <c r="J244" s="380"/>
      <c r="K244" s="380"/>
      <c r="L244" s="380"/>
      <c r="M244" s="380"/>
      <c r="N244" s="380"/>
      <c r="O244" s="380"/>
      <c r="P244" s="380"/>
      <c r="Q244" s="380"/>
      <c r="R244" s="380"/>
      <c r="S244" s="380"/>
      <c r="T244" s="380"/>
      <c r="U244" s="380"/>
      <c r="V244" s="380"/>
      <c r="W244" s="380"/>
      <c r="X244" s="380"/>
      <c r="Y244" s="380"/>
      <c r="Z244" s="380"/>
      <c r="AA244" s="380"/>
    </row>
    <row r="245">
      <c r="A245" s="380"/>
      <c r="B245" s="380"/>
      <c r="C245" s="380"/>
      <c r="D245" s="380"/>
      <c r="E245" s="380"/>
      <c r="F245" s="380"/>
      <c r="G245" s="380"/>
      <c r="H245" s="380"/>
      <c r="I245" s="380"/>
      <c r="J245" s="380"/>
      <c r="K245" s="380"/>
      <c r="L245" s="380"/>
      <c r="M245" s="380"/>
      <c r="N245" s="380"/>
      <c r="O245" s="380"/>
      <c r="P245" s="380"/>
      <c r="Q245" s="380"/>
      <c r="R245" s="380"/>
      <c r="S245" s="380"/>
      <c r="T245" s="380"/>
      <c r="U245" s="380"/>
      <c r="V245" s="380"/>
      <c r="W245" s="380"/>
      <c r="X245" s="380"/>
      <c r="Y245" s="380"/>
      <c r="Z245" s="380"/>
      <c r="AA245" s="380"/>
    </row>
    <row r="246">
      <c r="A246" s="380"/>
      <c r="B246" s="380"/>
      <c r="C246" s="380"/>
      <c r="D246" s="380"/>
      <c r="E246" s="380"/>
      <c r="F246" s="380"/>
      <c r="G246" s="380"/>
      <c r="H246" s="380"/>
      <c r="I246" s="380"/>
      <c r="J246" s="380"/>
      <c r="K246" s="380"/>
      <c r="L246" s="380"/>
      <c r="M246" s="380"/>
      <c r="N246" s="380"/>
      <c r="O246" s="380"/>
      <c r="P246" s="380"/>
      <c r="Q246" s="380"/>
      <c r="R246" s="380"/>
      <c r="S246" s="380"/>
      <c r="T246" s="380"/>
      <c r="U246" s="380"/>
      <c r="V246" s="380"/>
      <c r="W246" s="380"/>
      <c r="X246" s="380"/>
      <c r="Y246" s="380"/>
      <c r="Z246" s="380"/>
      <c r="AA246" s="380"/>
    </row>
    <row r="247">
      <c r="A247" s="380"/>
      <c r="B247" s="380"/>
      <c r="C247" s="380"/>
      <c r="D247" s="380"/>
      <c r="E247" s="380"/>
      <c r="F247" s="380"/>
      <c r="G247" s="380"/>
      <c r="H247" s="380"/>
      <c r="I247" s="380"/>
      <c r="J247" s="380"/>
      <c r="K247" s="380"/>
      <c r="L247" s="380"/>
      <c r="M247" s="380"/>
      <c r="N247" s="380"/>
      <c r="O247" s="380"/>
      <c r="P247" s="380"/>
      <c r="Q247" s="380"/>
      <c r="R247" s="380"/>
      <c r="S247" s="380"/>
      <c r="T247" s="380"/>
      <c r="U247" s="380"/>
      <c r="V247" s="380"/>
      <c r="W247" s="380"/>
      <c r="X247" s="380"/>
      <c r="Y247" s="380"/>
      <c r="Z247" s="380"/>
      <c r="AA247" s="380"/>
    </row>
    <row r="248">
      <c r="A248" s="380"/>
      <c r="B248" s="380"/>
      <c r="C248" s="380"/>
      <c r="D248" s="380"/>
      <c r="E248" s="380"/>
      <c r="F248" s="380"/>
      <c r="G248" s="380"/>
      <c r="H248" s="380"/>
      <c r="I248" s="380"/>
      <c r="J248" s="380"/>
      <c r="K248" s="380"/>
      <c r="L248" s="380"/>
      <c r="M248" s="380"/>
      <c r="N248" s="380"/>
      <c r="O248" s="380"/>
      <c r="P248" s="380"/>
      <c r="Q248" s="380"/>
      <c r="R248" s="380"/>
      <c r="S248" s="380"/>
      <c r="T248" s="380"/>
      <c r="U248" s="380"/>
      <c r="V248" s="380"/>
      <c r="W248" s="380"/>
      <c r="X248" s="380"/>
      <c r="Y248" s="380"/>
      <c r="Z248" s="380"/>
      <c r="AA248" s="380"/>
    </row>
    <row r="249">
      <c r="A249" s="380"/>
      <c r="B249" s="380"/>
      <c r="C249" s="380"/>
      <c r="D249" s="380"/>
      <c r="E249" s="380"/>
      <c r="F249" s="380"/>
      <c r="G249" s="380"/>
      <c r="H249" s="380"/>
      <c r="I249" s="380"/>
      <c r="J249" s="380"/>
      <c r="K249" s="380"/>
      <c r="L249" s="380"/>
      <c r="M249" s="380"/>
      <c r="N249" s="380"/>
      <c r="O249" s="380"/>
      <c r="P249" s="380"/>
      <c r="Q249" s="380"/>
      <c r="R249" s="380"/>
      <c r="S249" s="380"/>
      <c r="T249" s="380"/>
      <c r="U249" s="380"/>
      <c r="V249" s="380"/>
      <c r="W249" s="380"/>
      <c r="X249" s="380"/>
      <c r="Y249" s="380"/>
      <c r="Z249" s="380"/>
      <c r="AA249" s="380"/>
    </row>
    <row r="250">
      <c r="A250" s="380"/>
      <c r="B250" s="380"/>
      <c r="C250" s="380"/>
      <c r="D250" s="380"/>
      <c r="E250" s="380"/>
      <c r="F250" s="380"/>
      <c r="G250" s="380"/>
      <c r="H250" s="380"/>
      <c r="I250" s="380"/>
      <c r="J250" s="380"/>
      <c r="K250" s="380"/>
      <c r="L250" s="380"/>
      <c r="M250" s="380"/>
      <c r="N250" s="380"/>
      <c r="O250" s="380"/>
      <c r="P250" s="380"/>
      <c r="Q250" s="380"/>
      <c r="R250" s="380"/>
      <c r="S250" s="380"/>
      <c r="T250" s="380"/>
      <c r="U250" s="380"/>
      <c r="V250" s="380"/>
      <c r="W250" s="380"/>
      <c r="X250" s="380"/>
      <c r="Y250" s="380"/>
      <c r="Z250" s="380"/>
      <c r="AA250" s="380"/>
    </row>
    <row r="251">
      <c r="A251" s="380"/>
      <c r="B251" s="380"/>
      <c r="C251" s="380"/>
      <c r="D251" s="380"/>
      <c r="E251" s="380"/>
      <c r="F251" s="380"/>
      <c r="G251" s="380"/>
      <c r="H251" s="380"/>
      <c r="I251" s="380"/>
      <c r="J251" s="380"/>
      <c r="K251" s="380"/>
      <c r="L251" s="380"/>
      <c r="M251" s="380"/>
      <c r="N251" s="380"/>
      <c r="O251" s="380"/>
      <c r="P251" s="380"/>
      <c r="Q251" s="380"/>
      <c r="R251" s="380"/>
      <c r="S251" s="380"/>
      <c r="T251" s="380"/>
      <c r="U251" s="380"/>
      <c r="V251" s="380"/>
      <c r="W251" s="380"/>
      <c r="X251" s="380"/>
      <c r="Y251" s="380"/>
      <c r="Z251" s="380"/>
      <c r="AA251" s="380"/>
    </row>
    <row r="252">
      <c r="A252" s="380"/>
      <c r="B252" s="380"/>
      <c r="C252" s="380"/>
      <c r="D252" s="380"/>
      <c r="E252" s="380"/>
      <c r="F252" s="380"/>
      <c r="G252" s="380"/>
      <c r="H252" s="380"/>
      <c r="I252" s="380"/>
      <c r="J252" s="380"/>
      <c r="K252" s="380"/>
      <c r="L252" s="380"/>
      <c r="M252" s="380"/>
      <c r="N252" s="380"/>
      <c r="O252" s="380"/>
      <c r="P252" s="380"/>
      <c r="Q252" s="380"/>
      <c r="R252" s="380"/>
      <c r="S252" s="380"/>
      <c r="T252" s="380"/>
      <c r="U252" s="380"/>
      <c r="V252" s="380"/>
      <c r="W252" s="380"/>
      <c r="X252" s="380"/>
      <c r="Y252" s="380"/>
      <c r="Z252" s="380"/>
      <c r="AA252" s="380"/>
    </row>
    <row r="253">
      <c r="A253" s="380"/>
      <c r="B253" s="380"/>
      <c r="C253" s="380"/>
      <c r="D253" s="380"/>
      <c r="E253" s="380"/>
      <c r="F253" s="380"/>
      <c r="G253" s="380"/>
      <c r="H253" s="380"/>
      <c r="I253" s="380"/>
      <c r="J253" s="380"/>
      <c r="K253" s="380"/>
      <c r="L253" s="380"/>
      <c r="M253" s="380"/>
      <c r="N253" s="380"/>
      <c r="O253" s="380"/>
      <c r="P253" s="380"/>
      <c r="Q253" s="380"/>
      <c r="R253" s="380"/>
      <c r="S253" s="380"/>
      <c r="T253" s="380"/>
      <c r="U253" s="380"/>
      <c r="V253" s="380"/>
      <c r="W253" s="380"/>
      <c r="X253" s="380"/>
      <c r="Y253" s="380"/>
      <c r="Z253" s="380"/>
      <c r="AA253" s="380"/>
    </row>
    <row r="254">
      <c r="A254" s="380"/>
      <c r="B254" s="380"/>
      <c r="C254" s="380"/>
      <c r="D254" s="380"/>
      <c r="E254" s="380"/>
      <c r="F254" s="380"/>
      <c r="G254" s="380"/>
      <c r="H254" s="380"/>
      <c r="I254" s="380"/>
      <c r="J254" s="380"/>
      <c r="K254" s="380"/>
      <c r="L254" s="380"/>
      <c r="M254" s="380"/>
      <c r="N254" s="380"/>
      <c r="O254" s="380"/>
      <c r="P254" s="380"/>
      <c r="Q254" s="380"/>
      <c r="R254" s="380"/>
      <c r="S254" s="380"/>
      <c r="T254" s="380"/>
      <c r="U254" s="380"/>
      <c r="V254" s="380"/>
      <c r="W254" s="380"/>
      <c r="X254" s="380"/>
      <c r="Y254" s="380"/>
      <c r="Z254" s="380"/>
      <c r="AA254" s="380"/>
    </row>
    <row r="255">
      <c r="A255" s="380"/>
      <c r="B255" s="380"/>
      <c r="C255" s="380"/>
      <c r="D255" s="380"/>
      <c r="E255" s="380"/>
      <c r="F255" s="380"/>
      <c r="G255" s="380"/>
      <c r="H255" s="380"/>
      <c r="I255" s="380"/>
      <c r="J255" s="380"/>
      <c r="K255" s="380"/>
      <c r="L255" s="380"/>
      <c r="M255" s="380"/>
      <c r="N255" s="380"/>
      <c r="O255" s="380"/>
      <c r="P255" s="380"/>
      <c r="Q255" s="380"/>
      <c r="R255" s="380"/>
      <c r="S255" s="380"/>
      <c r="T255" s="380"/>
      <c r="U255" s="380"/>
      <c r="V255" s="380"/>
      <c r="W255" s="380"/>
      <c r="X255" s="380"/>
      <c r="Y255" s="380"/>
      <c r="Z255" s="380"/>
      <c r="AA255" s="380"/>
    </row>
    <row r="256">
      <c r="A256" s="380"/>
      <c r="B256" s="380"/>
      <c r="C256" s="380"/>
      <c r="D256" s="380"/>
      <c r="E256" s="380"/>
      <c r="F256" s="380"/>
      <c r="G256" s="380"/>
      <c r="H256" s="380"/>
      <c r="I256" s="380"/>
      <c r="J256" s="380"/>
      <c r="K256" s="380"/>
      <c r="L256" s="380"/>
      <c r="M256" s="380"/>
      <c r="N256" s="380"/>
      <c r="O256" s="380"/>
      <c r="P256" s="380"/>
      <c r="Q256" s="380"/>
      <c r="R256" s="380"/>
      <c r="S256" s="380"/>
      <c r="T256" s="380"/>
      <c r="U256" s="380"/>
      <c r="V256" s="380"/>
      <c r="W256" s="380"/>
      <c r="X256" s="380"/>
      <c r="Y256" s="380"/>
      <c r="Z256" s="380"/>
      <c r="AA256" s="380"/>
    </row>
    <row r="257">
      <c r="A257" s="380"/>
      <c r="B257" s="380"/>
      <c r="C257" s="380"/>
      <c r="D257" s="380"/>
      <c r="E257" s="380"/>
      <c r="F257" s="380"/>
      <c r="G257" s="380"/>
      <c r="H257" s="380"/>
      <c r="I257" s="380"/>
      <c r="J257" s="380"/>
      <c r="K257" s="380"/>
      <c r="L257" s="380"/>
      <c r="M257" s="380"/>
      <c r="N257" s="380"/>
      <c r="O257" s="380"/>
      <c r="P257" s="380"/>
      <c r="Q257" s="380"/>
      <c r="R257" s="380"/>
      <c r="S257" s="380"/>
      <c r="T257" s="380"/>
      <c r="U257" s="380"/>
      <c r="V257" s="380"/>
      <c r="W257" s="380"/>
      <c r="X257" s="380"/>
      <c r="Y257" s="380"/>
      <c r="Z257" s="380"/>
      <c r="AA257" s="380"/>
    </row>
    <row r="258">
      <c r="A258" s="380"/>
      <c r="B258" s="380"/>
      <c r="C258" s="380"/>
      <c r="D258" s="380"/>
      <c r="E258" s="380"/>
      <c r="F258" s="380"/>
      <c r="G258" s="380"/>
      <c r="H258" s="380"/>
      <c r="I258" s="380"/>
      <c r="J258" s="380"/>
      <c r="K258" s="380"/>
      <c r="L258" s="380"/>
      <c r="M258" s="380"/>
      <c r="N258" s="380"/>
      <c r="O258" s="380"/>
      <c r="P258" s="380"/>
      <c r="Q258" s="380"/>
      <c r="R258" s="380"/>
      <c r="S258" s="380"/>
      <c r="T258" s="380"/>
      <c r="U258" s="380"/>
      <c r="V258" s="380"/>
      <c r="W258" s="380"/>
      <c r="X258" s="380"/>
      <c r="Y258" s="380"/>
      <c r="Z258" s="380"/>
      <c r="AA258" s="380"/>
    </row>
    <row r="259">
      <c r="A259" s="380"/>
      <c r="B259" s="380"/>
      <c r="C259" s="380"/>
      <c r="D259" s="380"/>
      <c r="E259" s="380"/>
      <c r="F259" s="380"/>
      <c r="G259" s="380"/>
      <c r="H259" s="380"/>
      <c r="I259" s="380"/>
      <c r="J259" s="380"/>
      <c r="K259" s="380"/>
      <c r="L259" s="380"/>
      <c r="M259" s="380"/>
      <c r="N259" s="380"/>
      <c r="O259" s="380"/>
      <c r="P259" s="380"/>
      <c r="Q259" s="380"/>
      <c r="R259" s="380"/>
      <c r="S259" s="380"/>
      <c r="T259" s="380"/>
      <c r="U259" s="380"/>
      <c r="V259" s="380"/>
      <c r="W259" s="380"/>
      <c r="X259" s="380"/>
      <c r="Y259" s="380"/>
      <c r="Z259" s="380"/>
      <c r="AA259" s="380"/>
    </row>
    <row r="260">
      <c r="A260" s="380"/>
      <c r="B260" s="380"/>
      <c r="C260" s="380"/>
      <c r="D260" s="380"/>
      <c r="E260" s="380"/>
      <c r="F260" s="380"/>
      <c r="G260" s="380"/>
      <c r="H260" s="380"/>
      <c r="I260" s="380"/>
      <c r="J260" s="380"/>
      <c r="K260" s="380"/>
      <c r="L260" s="380"/>
      <c r="M260" s="380"/>
      <c r="N260" s="380"/>
      <c r="O260" s="380"/>
      <c r="P260" s="380"/>
      <c r="Q260" s="380"/>
      <c r="R260" s="380"/>
      <c r="S260" s="380"/>
      <c r="T260" s="380"/>
      <c r="U260" s="380"/>
      <c r="V260" s="380"/>
      <c r="W260" s="380"/>
      <c r="X260" s="380"/>
      <c r="Y260" s="380"/>
      <c r="Z260" s="380"/>
      <c r="AA260" s="380"/>
    </row>
    <row r="261">
      <c r="A261" s="380"/>
      <c r="B261" s="380"/>
      <c r="C261" s="380"/>
      <c r="D261" s="380"/>
      <c r="E261" s="380"/>
      <c r="F261" s="380"/>
      <c r="G261" s="380"/>
      <c r="H261" s="380"/>
      <c r="I261" s="380"/>
      <c r="J261" s="380"/>
      <c r="K261" s="380"/>
      <c r="L261" s="380"/>
      <c r="M261" s="380"/>
      <c r="N261" s="380"/>
      <c r="O261" s="380"/>
      <c r="P261" s="380"/>
      <c r="Q261" s="380"/>
      <c r="R261" s="380"/>
      <c r="S261" s="380"/>
      <c r="T261" s="380"/>
      <c r="U261" s="380"/>
      <c r="V261" s="380"/>
      <c r="W261" s="380"/>
      <c r="X261" s="380"/>
      <c r="Y261" s="380"/>
      <c r="Z261" s="380"/>
      <c r="AA261" s="380"/>
    </row>
    <row r="262">
      <c r="A262" s="380"/>
      <c r="B262" s="380"/>
      <c r="C262" s="380"/>
      <c r="D262" s="380"/>
      <c r="E262" s="380"/>
      <c r="F262" s="380"/>
      <c r="G262" s="380"/>
      <c r="H262" s="380"/>
      <c r="I262" s="380"/>
      <c r="J262" s="380"/>
      <c r="K262" s="380"/>
      <c r="L262" s="380"/>
      <c r="M262" s="380"/>
      <c r="N262" s="380"/>
      <c r="O262" s="380"/>
      <c r="P262" s="380"/>
      <c r="Q262" s="380"/>
      <c r="R262" s="380"/>
      <c r="S262" s="380"/>
      <c r="T262" s="380"/>
      <c r="U262" s="380"/>
      <c r="V262" s="380"/>
      <c r="W262" s="380"/>
      <c r="X262" s="380"/>
      <c r="Y262" s="380"/>
      <c r="Z262" s="380"/>
      <c r="AA262" s="380"/>
    </row>
    <row r="263">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c r="X263" s="380"/>
      <c r="Y263" s="380"/>
      <c r="Z263" s="380"/>
      <c r="AA263" s="380"/>
    </row>
    <row r="264">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c r="X264" s="380"/>
      <c r="Y264" s="380"/>
      <c r="Z264" s="380"/>
      <c r="AA264" s="380"/>
    </row>
    <row r="265">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c r="X265" s="380"/>
      <c r="Y265" s="380"/>
      <c r="Z265" s="380"/>
      <c r="AA265" s="380"/>
    </row>
    <row r="266">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c r="X266" s="380"/>
      <c r="Y266" s="380"/>
      <c r="Z266" s="380"/>
      <c r="AA266" s="380"/>
    </row>
    <row r="267">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c r="X267" s="380"/>
      <c r="Y267" s="380"/>
      <c r="Z267" s="380"/>
      <c r="AA267" s="380"/>
    </row>
    <row r="268">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c r="X268" s="380"/>
      <c r="Y268" s="380"/>
      <c r="Z268" s="380"/>
      <c r="AA268" s="380"/>
    </row>
    <row r="269">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c r="AA269" s="380"/>
    </row>
    <row r="270">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c r="AA270" s="380"/>
    </row>
    <row r="271">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c r="AA271" s="380"/>
    </row>
    <row r="272">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c r="AA272" s="380"/>
    </row>
    <row r="273">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c r="AA273" s="380"/>
    </row>
    <row r="274">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c r="AA274" s="380"/>
    </row>
    <row r="275">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c r="AA275" s="380"/>
    </row>
    <row r="276">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c r="AA276" s="380"/>
    </row>
    <row r="277">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c r="AA277" s="380"/>
    </row>
    <row r="278">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c r="AA278" s="380"/>
    </row>
    <row r="279">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c r="AA279" s="380"/>
    </row>
    <row r="280">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c r="AA280" s="380"/>
    </row>
    <row r="281">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c r="AA281" s="380"/>
    </row>
    <row r="282">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c r="AA282" s="380"/>
    </row>
    <row r="283">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c r="AA283" s="380"/>
    </row>
    <row r="284">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c r="AA284" s="380"/>
    </row>
    <row r="285">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c r="AA285" s="380"/>
    </row>
    <row r="286">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c r="AA286" s="380"/>
    </row>
    <row r="287">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c r="AA287" s="380"/>
    </row>
    <row r="288">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c r="AA288" s="380"/>
    </row>
    <row r="289">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c r="AA289" s="380"/>
    </row>
    <row r="290">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c r="AA290" s="380"/>
    </row>
    <row r="291">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c r="AA291" s="380"/>
    </row>
    <row r="292">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c r="AA292" s="380"/>
    </row>
    <row r="293">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c r="AA293" s="380"/>
    </row>
    <row r="294">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c r="AA294" s="380"/>
    </row>
    <row r="295">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c r="AA295" s="380"/>
    </row>
    <row r="296">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c r="AA296" s="380"/>
    </row>
    <row r="297">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c r="AA297" s="380"/>
    </row>
    <row r="298">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c r="AA298" s="380"/>
    </row>
    <row r="299">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c r="AA299" s="380"/>
    </row>
    <row r="300">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c r="AA300" s="380"/>
    </row>
    <row r="301">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c r="AA301" s="380"/>
    </row>
    <row r="302">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c r="AA302" s="380"/>
    </row>
    <row r="303">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c r="AA303" s="380"/>
    </row>
    <row r="304">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c r="AA304" s="380"/>
    </row>
    <row r="305">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c r="AA305" s="380"/>
    </row>
    <row r="306">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c r="AA306" s="380"/>
    </row>
    <row r="307">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c r="AA307" s="380"/>
    </row>
    <row r="308">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c r="AA308" s="380"/>
    </row>
    <row r="309">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c r="AA309" s="380"/>
    </row>
    <row r="310">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c r="AA310" s="380"/>
    </row>
    <row r="311">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c r="AA311" s="380"/>
    </row>
    <row r="312">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c r="AA312" s="380"/>
    </row>
    <row r="313">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c r="AA313" s="380"/>
    </row>
    <row r="314">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c r="AA314" s="380"/>
    </row>
    <row r="315">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c r="AA315" s="380"/>
    </row>
    <row r="316">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c r="AA316" s="380"/>
    </row>
    <row r="317">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c r="AA317" s="380"/>
    </row>
    <row r="318">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c r="AA318" s="380"/>
    </row>
    <row r="319">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c r="AA319" s="380"/>
    </row>
    <row r="320">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c r="AA320" s="380"/>
    </row>
    <row r="321">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c r="AA321" s="380"/>
    </row>
    <row r="322">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c r="AA322" s="380"/>
    </row>
    <row r="323">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c r="AA323" s="380"/>
    </row>
    <row r="324">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c r="AA324" s="380"/>
    </row>
    <row r="325">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c r="AA325" s="380"/>
    </row>
    <row r="326">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c r="AA326" s="380"/>
    </row>
    <row r="327">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c r="AA327" s="380"/>
    </row>
    <row r="328">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c r="AA328" s="380"/>
    </row>
    <row r="329">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c r="AA329" s="380"/>
    </row>
    <row r="330">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c r="AA330" s="380"/>
    </row>
    <row r="331">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c r="AA331" s="380"/>
    </row>
    <row r="332">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c r="AA332" s="380"/>
    </row>
    <row r="333">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c r="AA333" s="380"/>
    </row>
    <row r="334">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c r="AA334" s="380"/>
    </row>
    <row r="335">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c r="AA335" s="380"/>
    </row>
    <row r="336">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c r="AA336" s="380"/>
    </row>
    <row r="337">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c r="AA337" s="380"/>
    </row>
    <row r="338">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c r="AA338" s="380"/>
    </row>
    <row r="339">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c r="AA339" s="380"/>
    </row>
    <row r="340">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c r="AA340" s="380"/>
    </row>
    <row r="341">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c r="AA341" s="380"/>
    </row>
    <row r="342">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c r="AA342" s="380"/>
    </row>
    <row r="343">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c r="AA343" s="380"/>
    </row>
    <row r="344">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c r="AA344" s="380"/>
    </row>
    <row r="345">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c r="AA345" s="380"/>
    </row>
    <row r="346">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c r="AA346" s="380"/>
    </row>
    <row r="347">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c r="AA347" s="380"/>
    </row>
    <row r="348">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c r="AA348" s="380"/>
    </row>
    <row r="349">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c r="AA349" s="380"/>
    </row>
    <row r="350">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c r="AA350" s="380"/>
    </row>
    <row r="351">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c r="AA351" s="380"/>
    </row>
    <row r="352">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c r="AA352" s="380"/>
    </row>
    <row r="353">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c r="AA353" s="380"/>
    </row>
    <row r="354">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c r="AA354" s="380"/>
    </row>
    <row r="355">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c r="AA355" s="380"/>
    </row>
    <row r="356">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c r="AA356" s="380"/>
    </row>
    <row r="357">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c r="AA357" s="380"/>
    </row>
    <row r="358">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c r="AA358" s="380"/>
    </row>
    <row r="359">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c r="AA359" s="380"/>
    </row>
    <row r="360">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c r="AA360" s="380"/>
    </row>
    <row r="361">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c r="AA361" s="380"/>
    </row>
    <row r="362">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c r="AA362" s="380"/>
    </row>
    <row r="363">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c r="AA363" s="380"/>
    </row>
    <row r="364">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c r="AA364" s="380"/>
    </row>
    <row r="365">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c r="AA365" s="380"/>
    </row>
    <row r="366">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c r="AA366" s="380"/>
    </row>
    <row r="367">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c r="AA367" s="380"/>
    </row>
    <row r="368">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c r="AA368" s="380"/>
    </row>
    <row r="369">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c r="AA369" s="380"/>
    </row>
    <row r="370">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c r="AA370" s="380"/>
    </row>
    <row r="371">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c r="AA371" s="380"/>
    </row>
    <row r="372">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c r="AA372" s="380"/>
    </row>
    <row r="373">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c r="AA373" s="380"/>
    </row>
    <row r="374">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c r="AA374" s="380"/>
    </row>
    <row r="375">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c r="AA375" s="380"/>
    </row>
    <row r="376">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c r="AA376" s="380"/>
    </row>
    <row r="377">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c r="AA377" s="380"/>
    </row>
    <row r="378">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c r="AA378" s="380"/>
    </row>
    <row r="379">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c r="AA379" s="380"/>
    </row>
    <row r="380">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c r="AA380" s="380"/>
    </row>
    <row r="381">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c r="AA381" s="380"/>
    </row>
    <row r="382">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c r="AA382" s="380"/>
    </row>
    <row r="383">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c r="AA383" s="380"/>
    </row>
    <row r="384">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c r="AA384" s="380"/>
    </row>
    <row r="385">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c r="AA385" s="380"/>
    </row>
    <row r="386">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c r="AA386" s="380"/>
    </row>
    <row r="387">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c r="AA387" s="380"/>
    </row>
    <row r="388">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c r="AA388" s="380"/>
    </row>
    <row r="389">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c r="AA389" s="380"/>
    </row>
    <row r="390">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c r="AA390" s="380"/>
    </row>
    <row r="391">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c r="AA391" s="380"/>
    </row>
    <row r="392">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c r="AA392" s="380"/>
    </row>
    <row r="393">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c r="AA393" s="380"/>
    </row>
    <row r="394">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c r="AA394" s="380"/>
    </row>
    <row r="395">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c r="AA395" s="380"/>
    </row>
    <row r="396">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c r="AA396" s="380"/>
    </row>
    <row r="397">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c r="AA397" s="380"/>
    </row>
    <row r="398">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c r="AA398" s="380"/>
    </row>
    <row r="399">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c r="AA399" s="380"/>
    </row>
    <row r="400">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c r="AA400" s="380"/>
    </row>
    <row r="401">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c r="AA401" s="380"/>
    </row>
    <row r="402">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c r="AA402" s="380"/>
    </row>
    <row r="403">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c r="AA403" s="380"/>
    </row>
    <row r="404">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c r="AA404" s="380"/>
    </row>
    <row r="405">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c r="AA405" s="380"/>
    </row>
    <row r="406">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c r="AA406" s="380"/>
    </row>
    <row r="407">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c r="AA407" s="380"/>
    </row>
    <row r="408">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c r="AA408" s="380"/>
    </row>
    <row r="409">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c r="AA409" s="380"/>
    </row>
    <row r="410">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c r="AA410" s="380"/>
    </row>
    <row r="411">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c r="AA411" s="380"/>
    </row>
    <row r="412">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c r="AA412" s="380"/>
    </row>
    <row r="413">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c r="AA413" s="380"/>
    </row>
    <row r="414">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c r="AA414" s="380"/>
    </row>
    <row r="415">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c r="AA415" s="380"/>
    </row>
    <row r="416">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c r="AA416" s="380"/>
    </row>
    <row r="417">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c r="AA417" s="380"/>
    </row>
    <row r="418">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c r="AA418" s="380"/>
    </row>
    <row r="419">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c r="AA419" s="380"/>
    </row>
    <row r="420">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c r="AA420" s="380"/>
    </row>
    <row r="421">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c r="AA421" s="380"/>
    </row>
    <row r="422">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c r="AA422" s="380"/>
    </row>
    <row r="423">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c r="AA423" s="380"/>
    </row>
    <row r="424">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c r="AA424" s="380"/>
    </row>
    <row r="425">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c r="AA425" s="380"/>
    </row>
    <row r="426">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c r="AA426" s="380"/>
    </row>
    <row r="427">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c r="AA427" s="380"/>
    </row>
    <row r="428">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c r="AA428" s="380"/>
    </row>
    <row r="429">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c r="AA429" s="380"/>
    </row>
    <row r="430">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c r="AA430" s="380"/>
    </row>
    <row r="431">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c r="AA431" s="380"/>
    </row>
    <row r="432">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c r="AA432" s="380"/>
    </row>
    <row r="433">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c r="AA433" s="380"/>
    </row>
    <row r="434">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c r="AA434" s="380"/>
    </row>
    <row r="435">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c r="AA435" s="380"/>
    </row>
    <row r="436">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c r="AA436" s="380"/>
    </row>
    <row r="437">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c r="AA437" s="380"/>
    </row>
    <row r="438">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c r="AA438" s="380"/>
    </row>
    <row r="439">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c r="AA439" s="380"/>
    </row>
    <row r="440">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c r="AA440" s="380"/>
    </row>
    <row r="441">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c r="AA441" s="380"/>
    </row>
    <row r="442">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c r="AA442" s="380"/>
    </row>
    <row r="443">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c r="AA443" s="380"/>
    </row>
    <row r="444">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c r="AA444" s="380"/>
    </row>
    <row r="445">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c r="AA445" s="380"/>
    </row>
    <row r="446">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c r="AA446" s="380"/>
    </row>
    <row r="447">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c r="AA447" s="380"/>
    </row>
    <row r="448">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c r="AA448" s="380"/>
    </row>
    <row r="449">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c r="AA449" s="380"/>
    </row>
    <row r="450">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c r="AA450" s="380"/>
    </row>
    <row r="451">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c r="AA451" s="380"/>
    </row>
    <row r="452">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c r="AA452" s="380"/>
    </row>
    <row r="453">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c r="AA453" s="380"/>
    </row>
    <row r="454">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c r="AA454" s="380"/>
    </row>
    <row r="455">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c r="AA455" s="380"/>
    </row>
    <row r="456">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c r="AA456" s="380"/>
    </row>
    <row r="457">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c r="AA457" s="380"/>
    </row>
    <row r="458">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c r="AA458" s="380"/>
    </row>
    <row r="459">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c r="AA459" s="380"/>
    </row>
    <row r="460">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c r="AA460" s="380"/>
    </row>
    <row r="461">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c r="AA461" s="380"/>
    </row>
    <row r="462">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c r="AA462" s="380"/>
    </row>
    <row r="463">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c r="AA463" s="380"/>
    </row>
    <row r="464">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c r="AA464" s="380"/>
    </row>
    <row r="465">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c r="AA465" s="380"/>
    </row>
    <row r="466">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c r="AA466" s="380"/>
    </row>
    <row r="467">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c r="AA467" s="380"/>
    </row>
    <row r="468">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c r="AA468" s="380"/>
    </row>
    <row r="469">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c r="AA469" s="380"/>
    </row>
    <row r="470">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c r="AA470" s="380"/>
    </row>
    <row r="471">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c r="AA471" s="380"/>
    </row>
    <row r="472">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c r="AA472" s="380"/>
    </row>
    <row r="473">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c r="AA473" s="380"/>
    </row>
    <row r="474">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c r="AA474" s="380"/>
    </row>
    <row r="475">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c r="AA475" s="380"/>
    </row>
    <row r="476">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c r="AA476" s="380"/>
    </row>
    <row r="477">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c r="AA477" s="380"/>
    </row>
    <row r="478">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c r="AA478" s="380"/>
    </row>
    <row r="479">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c r="AA479" s="380"/>
    </row>
    <row r="480">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c r="AA480" s="380"/>
    </row>
    <row r="481">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c r="AA481" s="380"/>
    </row>
    <row r="482">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c r="AA482" s="380"/>
    </row>
    <row r="483">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c r="AA483" s="380"/>
    </row>
    <row r="484">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c r="AA484" s="380"/>
    </row>
    <row r="485">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c r="AA485" s="380"/>
    </row>
    <row r="486">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c r="AA486" s="380"/>
    </row>
    <row r="487">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c r="AA487" s="380"/>
    </row>
    <row r="488">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c r="AA488" s="380"/>
    </row>
    <row r="489">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c r="AA489" s="380"/>
    </row>
    <row r="490">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c r="AA490" s="380"/>
    </row>
    <row r="491">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c r="AA491" s="380"/>
    </row>
    <row r="492">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c r="AA492" s="380"/>
    </row>
    <row r="493">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c r="AA493" s="380"/>
    </row>
    <row r="494">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c r="AA494" s="380"/>
    </row>
    <row r="495">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c r="AA495" s="380"/>
    </row>
    <row r="496">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c r="AA496" s="380"/>
    </row>
    <row r="497">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c r="AA497" s="380"/>
    </row>
    <row r="498">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c r="AA498" s="380"/>
    </row>
    <row r="499">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c r="AA499" s="380"/>
    </row>
    <row r="500">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c r="AA500" s="380"/>
    </row>
    <row r="501">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c r="AA501" s="380"/>
    </row>
    <row r="502">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c r="AA502" s="380"/>
    </row>
    <row r="503">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c r="AA503" s="380"/>
    </row>
    <row r="504">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c r="AA504" s="380"/>
    </row>
    <row r="505">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c r="AA505" s="380"/>
    </row>
    <row r="506">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c r="AA506" s="380"/>
    </row>
    <row r="507">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c r="AA507" s="380"/>
    </row>
    <row r="508">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c r="AA508" s="380"/>
    </row>
    <row r="509">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c r="AA509" s="380"/>
    </row>
    <row r="510">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c r="AA510" s="380"/>
    </row>
    <row r="511">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c r="AA511" s="380"/>
    </row>
    <row r="512">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c r="AA512" s="380"/>
    </row>
    <row r="513">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c r="AA513" s="380"/>
    </row>
    <row r="514">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c r="AA514" s="380"/>
    </row>
    <row r="515">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c r="AA515" s="380"/>
    </row>
    <row r="516">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c r="AA516" s="380"/>
    </row>
    <row r="517">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c r="AA517" s="380"/>
    </row>
    <row r="518">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c r="AA518" s="380"/>
    </row>
    <row r="519">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c r="AA519" s="380"/>
    </row>
    <row r="520">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c r="AA520" s="380"/>
    </row>
    <row r="521">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c r="AA521" s="380"/>
    </row>
    <row r="522">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c r="AA522" s="380"/>
    </row>
    <row r="523">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c r="AA523" s="380"/>
    </row>
    <row r="524">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c r="AA524" s="380"/>
    </row>
    <row r="525">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c r="AA525" s="380"/>
    </row>
    <row r="526">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c r="AA526" s="380"/>
    </row>
    <row r="527">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c r="AA527" s="380"/>
    </row>
    <row r="528">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c r="AA528" s="380"/>
    </row>
    <row r="529">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c r="AA529" s="380"/>
    </row>
    <row r="530">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c r="AA530" s="380"/>
    </row>
    <row r="531">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c r="AA531" s="380"/>
    </row>
    <row r="532">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c r="AA532" s="380"/>
    </row>
    <row r="533">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c r="AA533" s="380"/>
    </row>
    <row r="534">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c r="AA534" s="380"/>
    </row>
    <row r="535">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c r="AA535" s="380"/>
    </row>
    <row r="536">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c r="AA536" s="380"/>
    </row>
    <row r="537">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c r="AA537" s="380"/>
    </row>
    <row r="538">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c r="AA538" s="380"/>
    </row>
    <row r="539">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c r="AA539" s="380"/>
    </row>
    <row r="540">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c r="AA540" s="380"/>
    </row>
    <row r="541">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c r="AA541" s="380"/>
    </row>
    <row r="542">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c r="AA542" s="380"/>
    </row>
    <row r="543">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c r="AA543" s="380"/>
    </row>
    <row r="544">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c r="AA544" s="380"/>
    </row>
    <row r="545">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c r="AA545" s="380"/>
    </row>
    <row r="546">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c r="AA546" s="380"/>
    </row>
    <row r="547">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c r="AA547" s="380"/>
    </row>
    <row r="548">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c r="AA548" s="380"/>
    </row>
    <row r="549">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c r="AA549" s="380"/>
    </row>
    <row r="550">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c r="AA550" s="380"/>
    </row>
    <row r="551">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c r="AA551" s="380"/>
    </row>
    <row r="552">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c r="AA552" s="380"/>
    </row>
    <row r="553">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c r="AA553" s="380"/>
    </row>
    <row r="554">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c r="AA554" s="380"/>
    </row>
    <row r="555">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c r="AA555" s="380"/>
    </row>
    <row r="556">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c r="AA556" s="380"/>
    </row>
    <row r="557">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c r="AA557" s="380"/>
    </row>
    <row r="558">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c r="AA558" s="380"/>
    </row>
    <row r="559">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c r="AA559" s="380"/>
    </row>
    <row r="560">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c r="AA560" s="380"/>
    </row>
    <row r="561">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c r="AA561" s="380"/>
    </row>
    <row r="562">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c r="AA562" s="380"/>
    </row>
    <row r="563">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c r="AA563" s="380"/>
    </row>
    <row r="564">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c r="AA564" s="380"/>
    </row>
    <row r="565">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c r="AA565" s="380"/>
    </row>
    <row r="566">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c r="AA566" s="380"/>
    </row>
    <row r="567">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c r="AA567" s="380"/>
    </row>
    <row r="568">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c r="AA568" s="380"/>
    </row>
    <row r="569">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c r="AA569" s="380"/>
    </row>
    <row r="570">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c r="AA570" s="380"/>
    </row>
    <row r="571">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c r="AA571" s="380"/>
    </row>
    <row r="572">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c r="AA572" s="380"/>
    </row>
    <row r="573">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c r="AA573" s="380"/>
    </row>
    <row r="574">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c r="AA574" s="380"/>
    </row>
    <row r="575">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c r="AA575" s="380"/>
    </row>
    <row r="576">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c r="AA576" s="380"/>
    </row>
    <row r="577">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c r="AA577" s="380"/>
    </row>
    <row r="578">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c r="AA578" s="380"/>
    </row>
    <row r="579">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c r="AA579" s="380"/>
    </row>
    <row r="580">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c r="AA580" s="380"/>
    </row>
    <row r="581">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c r="AA581" s="380"/>
    </row>
    <row r="582">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c r="AA582" s="380"/>
    </row>
    <row r="583">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c r="AA583" s="380"/>
    </row>
    <row r="584">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c r="AA584" s="380"/>
    </row>
    <row r="585">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c r="AA585" s="380"/>
    </row>
    <row r="586">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c r="AA586" s="380"/>
    </row>
    <row r="587">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c r="AA587" s="380"/>
    </row>
    <row r="588">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c r="AA588" s="380"/>
    </row>
    <row r="589">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c r="AA589" s="380"/>
    </row>
    <row r="590">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c r="AA590" s="380"/>
    </row>
    <row r="591">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c r="AA591" s="380"/>
    </row>
    <row r="592">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c r="AA592" s="380"/>
    </row>
    <row r="593">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c r="AA593" s="380"/>
    </row>
    <row r="594">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c r="AA594" s="380"/>
    </row>
    <row r="595">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c r="AA595" s="380"/>
    </row>
    <row r="596">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c r="AA596" s="380"/>
    </row>
    <row r="597">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c r="AA597" s="380"/>
    </row>
    <row r="598">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c r="AA598" s="380"/>
    </row>
    <row r="599">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c r="AA599" s="380"/>
    </row>
    <row r="600">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c r="AA600" s="380"/>
    </row>
    <row r="601">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c r="AA601" s="380"/>
    </row>
    <row r="602">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c r="AA602" s="380"/>
    </row>
    <row r="603">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c r="AA603" s="380"/>
    </row>
    <row r="604">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c r="AA604" s="380"/>
    </row>
    <row r="605">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c r="AA605" s="380"/>
    </row>
    <row r="606">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c r="AA606" s="380"/>
    </row>
    <row r="607">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c r="AA607" s="380"/>
    </row>
    <row r="608">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c r="AA608" s="380"/>
    </row>
    <row r="609">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c r="AA609" s="380"/>
    </row>
    <row r="610">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c r="AA610" s="380"/>
    </row>
    <row r="611">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c r="AA611" s="380"/>
    </row>
    <row r="612">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c r="AA612" s="380"/>
    </row>
    <row r="613">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c r="AA613" s="380"/>
    </row>
    <row r="614">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c r="AA614" s="380"/>
    </row>
    <row r="615">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c r="AA615" s="380"/>
    </row>
    <row r="616">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c r="AA616" s="380"/>
    </row>
    <row r="617">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c r="AA617" s="380"/>
    </row>
    <row r="618">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c r="AA618" s="380"/>
    </row>
    <row r="619">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c r="AA619" s="380"/>
    </row>
    <row r="620">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c r="AA620" s="380"/>
    </row>
    <row r="621">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c r="AA621" s="380"/>
    </row>
    <row r="622">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c r="AA622" s="380"/>
    </row>
    <row r="623">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c r="AA623" s="380"/>
    </row>
    <row r="624">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c r="AA624" s="380"/>
    </row>
    <row r="625">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c r="AA625" s="380"/>
    </row>
    <row r="626">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c r="AA626" s="380"/>
    </row>
    <row r="627">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c r="AA627" s="380"/>
    </row>
    <row r="628">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c r="AA628" s="380"/>
    </row>
    <row r="629">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c r="AA629" s="380"/>
    </row>
    <row r="630">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c r="AA630" s="380"/>
    </row>
    <row r="631">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c r="AA631" s="380"/>
    </row>
    <row r="632">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c r="AA632" s="380"/>
    </row>
    <row r="633">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c r="AA633" s="380"/>
    </row>
    <row r="634">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c r="AA634" s="380"/>
    </row>
    <row r="635">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c r="AA635" s="380"/>
    </row>
    <row r="636">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c r="AA636" s="380"/>
    </row>
    <row r="637">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c r="AA637" s="380"/>
    </row>
    <row r="638">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c r="AA638" s="380"/>
    </row>
    <row r="639">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c r="AA639" s="380"/>
    </row>
    <row r="640">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c r="AA640" s="380"/>
    </row>
    <row r="641">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c r="AA641" s="380"/>
    </row>
    <row r="642">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c r="AA642" s="380"/>
    </row>
    <row r="643">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c r="AA643" s="380"/>
    </row>
    <row r="644">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c r="AA644" s="380"/>
    </row>
    <row r="645">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c r="AA645" s="380"/>
    </row>
    <row r="646">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c r="AA646" s="380"/>
    </row>
    <row r="647">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c r="AA647" s="380"/>
    </row>
    <row r="648">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c r="AA648" s="380"/>
    </row>
    <row r="649">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c r="AA649" s="380"/>
    </row>
    <row r="650">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c r="AA650" s="380"/>
    </row>
    <row r="651">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c r="AA651" s="380"/>
    </row>
    <row r="652">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c r="AA652" s="380"/>
    </row>
    <row r="653">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c r="AA653" s="380"/>
    </row>
    <row r="654">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c r="AA654" s="380"/>
    </row>
    <row r="655">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c r="AA655" s="380"/>
    </row>
    <row r="656">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c r="AA656" s="380"/>
    </row>
    <row r="657">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c r="AA657" s="380"/>
    </row>
    <row r="658">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c r="AA658" s="380"/>
    </row>
    <row r="659">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c r="AA659" s="380"/>
    </row>
    <row r="660">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c r="AA660" s="380"/>
    </row>
    <row r="661">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c r="AA661" s="380"/>
    </row>
    <row r="662">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c r="AA662" s="380"/>
    </row>
    <row r="663">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c r="AA663" s="380"/>
    </row>
    <row r="664">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c r="AA664" s="380"/>
    </row>
    <row r="665">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c r="AA665" s="380"/>
    </row>
    <row r="666">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c r="AA666" s="380"/>
    </row>
    <row r="667">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c r="AA667" s="380"/>
    </row>
    <row r="668">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c r="AA668" s="380"/>
    </row>
    <row r="669">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c r="AA669" s="380"/>
    </row>
    <row r="670">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c r="AA670" s="380"/>
    </row>
    <row r="671">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c r="AA671" s="380"/>
    </row>
    <row r="672">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c r="AA672" s="380"/>
    </row>
    <row r="673">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c r="AA673" s="380"/>
    </row>
    <row r="674">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c r="AA674" s="380"/>
    </row>
    <row r="675">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c r="AA675" s="380"/>
    </row>
    <row r="676">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c r="AA676" s="380"/>
    </row>
    <row r="677">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c r="AA677" s="380"/>
    </row>
    <row r="678">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c r="AA678" s="380"/>
    </row>
    <row r="679">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c r="AA679" s="380"/>
    </row>
    <row r="680">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c r="AA680" s="380"/>
    </row>
    <row r="681">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c r="AA681" s="380"/>
    </row>
    <row r="682">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c r="AA682" s="380"/>
    </row>
    <row r="683">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c r="AA683" s="380"/>
    </row>
    <row r="684">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c r="AA684" s="380"/>
    </row>
    <row r="685">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c r="AA685" s="380"/>
    </row>
    <row r="686">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c r="AA686" s="380"/>
    </row>
    <row r="687">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c r="AA687" s="380"/>
    </row>
    <row r="688">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c r="AA688" s="380"/>
    </row>
    <row r="689">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c r="AA689" s="380"/>
    </row>
    <row r="690">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c r="AA690" s="380"/>
    </row>
    <row r="691">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c r="AA691" s="380"/>
    </row>
    <row r="692">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c r="AA692" s="380"/>
    </row>
    <row r="693">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c r="AA693" s="380"/>
    </row>
    <row r="694">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c r="AA694" s="380"/>
    </row>
    <row r="695">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c r="AA695" s="380"/>
    </row>
    <row r="696">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c r="AA696" s="380"/>
    </row>
    <row r="697">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c r="AA697" s="380"/>
    </row>
    <row r="698">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c r="AA698" s="380"/>
    </row>
    <row r="699">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c r="AA699" s="380"/>
    </row>
    <row r="700">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c r="AA700" s="380"/>
    </row>
    <row r="701">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c r="AA701" s="380"/>
    </row>
    <row r="702">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c r="AA702" s="380"/>
    </row>
    <row r="703">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c r="AA703" s="380"/>
    </row>
    <row r="704">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c r="AA704" s="380"/>
    </row>
    <row r="705">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c r="AA705" s="380"/>
    </row>
    <row r="706">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c r="AA706" s="380"/>
    </row>
    <row r="707">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c r="AA707" s="380"/>
    </row>
    <row r="708">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c r="AA708" s="380"/>
    </row>
    <row r="709">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c r="AA709" s="380"/>
    </row>
    <row r="710">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c r="AA710" s="380"/>
    </row>
    <row r="711">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c r="AA711" s="380"/>
    </row>
    <row r="712">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c r="AA712" s="380"/>
    </row>
    <row r="713">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c r="AA713" s="380"/>
    </row>
    <row r="714">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c r="AA714" s="380"/>
    </row>
    <row r="715">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c r="AA715" s="380"/>
    </row>
    <row r="716">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c r="AA716" s="380"/>
    </row>
    <row r="717">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c r="AA717" s="380"/>
    </row>
    <row r="718">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c r="AA718" s="380"/>
    </row>
    <row r="719">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c r="AA719" s="380"/>
    </row>
    <row r="720">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c r="AA720" s="380"/>
    </row>
    <row r="721">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c r="AA721" s="380"/>
    </row>
    <row r="722">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c r="AA722" s="380"/>
    </row>
    <row r="723">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c r="AA723" s="380"/>
    </row>
    <row r="724">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c r="AA724" s="380"/>
    </row>
    <row r="725">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c r="AA725" s="380"/>
    </row>
    <row r="726">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c r="AA726" s="380"/>
    </row>
    <row r="727">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c r="AA727" s="380"/>
    </row>
    <row r="728">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c r="AA728" s="380"/>
    </row>
    <row r="729">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c r="AA729" s="380"/>
    </row>
    <row r="730">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c r="AA730" s="380"/>
    </row>
    <row r="731">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c r="AA731" s="380"/>
    </row>
    <row r="732">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c r="AA732" s="380"/>
    </row>
    <row r="733">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c r="AA733" s="380"/>
    </row>
    <row r="734">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c r="AA734" s="380"/>
    </row>
    <row r="735">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c r="AA735" s="380"/>
    </row>
    <row r="736">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c r="AA736" s="380"/>
    </row>
    <row r="737">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c r="AA737" s="380"/>
    </row>
    <row r="738">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c r="AA738" s="380"/>
    </row>
    <row r="739">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c r="AA739" s="380"/>
    </row>
    <row r="740">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c r="AA740" s="380"/>
    </row>
    <row r="741">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c r="AA741" s="380"/>
    </row>
    <row r="742">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c r="AA742" s="380"/>
    </row>
    <row r="743">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c r="AA743" s="380"/>
    </row>
    <row r="744">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c r="AA744" s="380"/>
    </row>
    <row r="745">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c r="AA745" s="380"/>
    </row>
    <row r="746">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c r="AA746" s="380"/>
    </row>
    <row r="747">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c r="AA747" s="380"/>
    </row>
    <row r="748">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c r="AA748" s="380"/>
    </row>
    <row r="749">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c r="AA749" s="380"/>
    </row>
    <row r="750">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c r="AA750" s="380"/>
    </row>
    <row r="751">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c r="AA751" s="380"/>
    </row>
    <row r="752">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c r="AA752" s="380"/>
    </row>
    <row r="753">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c r="AA753" s="380"/>
    </row>
    <row r="754">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c r="AA754" s="380"/>
    </row>
    <row r="755">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c r="AA755" s="380"/>
    </row>
    <row r="756">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c r="AA756" s="380"/>
    </row>
    <row r="757">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c r="AA757" s="380"/>
    </row>
    <row r="758">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c r="AA758" s="380"/>
    </row>
    <row r="759">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c r="AA759" s="380"/>
    </row>
    <row r="760">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c r="AA760" s="380"/>
    </row>
    <row r="761">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c r="AA761" s="380"/>
    </row>
    <row r="762">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c r="AA762" s="380"/>
    </row>
    <row r="763">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c r="AA763" s="380"/>
    </row>
    <row r="764">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c r="AA764" s="380"/>
    </row>
    <row r="765">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c r="AA765" s="380"/>
    </row>
    <row r="766">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c r="AA766" s="380"/>
    </row>
    <row r="767">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c r="AA767" s="380"/>
    </row>
    <row r="768">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c r="AA768" s="380"/>
    </row>
    <row r="769">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c r="AA769" s="380"/>
    </row>
    <row r="770">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c r="AA770" s="380"/>
    </row>
    <row r="771">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c r="AA771" s="380"/>
    </row>
    <row r="772">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c r="AA772" s="380"/>
    </row>
    <row r="773">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c r="AA773" s="380"/>
    </row>
    <row r="774">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c r="AA774" s="380"/>
    </row>
    <row r="775">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c r="AA775" s="380"/>
    </row>
    <row r="776">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c r="AA776" s="380"/>
    </row>
    <row r="777">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c r="AA777" s="380"/>
    </row>
    <row r="778">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c r="AA778" s="380"/>
    </row>
    <row r="779">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c r="AA779" s="380"/>
    </row>
    <row r="780">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c r="AA780" s="380"/>
    </row>
    <row r="781">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c r="AA781" s="380"/>
    </row>
    <row r="782">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c r="AA782" s="380"/>
    </row>
    <row r="783">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c r="AA783" s="380"/>
    </row>
    <row r="784">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c r="AA784" s="380"/>
    </row>
    <row r="785">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c r="AA785" s="380"/>
    </row>
    <row r="786">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c r="AA786" s="380"/>
    </row>
    <row r="787">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c r="AA787" s="380"/>
    </row>
    <row r="788">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c r="AA788" s="380"/>
    </row>
    <row r="789">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c r="AA789" s="380"/>
    </row>
    <row r="790">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c r="AA790" s="380"/>
    </row>
    <row r="791">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c r="AA791" s="380"/>
    </row>
    <row r="792">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c r="AA792" s="380"/>
    </row>
    <row r="793">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c r="AA793" s="380"/>
    </row>
    <row r="794">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c r="AA794" s="380"/>
    </row>
    <row r="795">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c r="AA795" s="380"/>
    </row>
    <row r="796">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c r="AA796" s="380"/>
    </row>
    <row r="797">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c r="AA797" s="380"/>
    </row>
    <row r="798">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c r="AA798" s="380"/>
    </row>
    <row r="799">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c r="AA799" s="380"/>
    </row>
    <row r="800">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c r="AA800" s="380"/>
    </row>
    <row r="801">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c r="AA801" s="380"/>
    </row>
    <row r="802">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c r="AA802" s="380"/>
    </row>
    <row r="803">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c r="AA803" s="380"/>
    </row>
    <row r="804">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c r="AA804" s="380"/>
    </row>
    <row r="805">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c r="AA805" s="380"/>
    </row>
    <row r="806">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c r="AA806" s="380"/>
    </row>
    <row r="807">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c r="AA807" s="380"/>
    </row>
    <row r="808">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c r="AA808" s="380"/>
    </row>
    <row r="809">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c r="AA809" s="380"/>
    </row>
    <row r="810">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c r="AA810" s="380"/>
    </row>
    <row r="811">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c r="AA811" s="380"/>
    </row>
    <row r="812">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c r="AA812" s="380"/>
    </row>
    <row r="813">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c r="AA813" s="380"/>
    </row>
    <row r="814">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c r="AA814" s="380"/>
    </row>
    <row r="815">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c r="AA815" s="380"/>
    </row>
    <row r="816">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c r="AA816" s="380"/>
    </row>
    <row r="817">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c r="AA817" s="380"/>
    </row>
    <row r="818">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c r="AA818" s="380"/>
    </row>
    <row r="819">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c r="AA819" s="380"/>
    </row>
    <row r="820">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c r="AA820" s="380"/>
    </row>
    <row r="821">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c r="AA821" s="380"/>
    </row>
    <row r="822">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c r="AA822" s="380"/>
    </row>
    <row r="823">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c r="AA823" s="380"/>
    </row>
    <row r="824">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c r="AA824" s="380"/>
    </row>
    <row r="825">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c r="AA825" s="380"/>
    </row>
    <row r="826">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c r="AA826" s="380"/>
    </row>
    <row r="827">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c r="AA827" s="380"/>
    </row>
    <row r="828">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c r="AA828" s="380"/>
    </row>
    <row r="829">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c r="AA829" s="380"/>
    </row>
    <row r="830">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c r="AA830" s="380"/>
    </row>
    <row r="831">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c r="AA831" s="380"/>
    </row>
    <row r="832">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c r="AA832" s="380"/>
    </row>
    <row r="833">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c r="AA833" s="380"/>
    </row>
    <row r="834">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c r="AA834" s="380"/>
    </row>
    <row r="835">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c r="AA835" s="380"/>
    </row>
    <row r="836">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c r="AA836" s="380"/>
    </row>
    <row r="837">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c r="AA837" s="380"/>
    </row>
    <row r="838">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c r="AA838" s="380"/>
    </row>
    <row r="839">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c r="AA839" s="380"/>
    </row>
    <row r="840">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c r="AA840" s="380"/>
    </row>
    <row r="841">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c r="AA841" s="380"/>
    </row>
    <row r="842">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c r="AA842" s="380"/>
    </row>
    <row r="843">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c r="AA843" s="380"/>
    </row>
    <row r="844">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c r="AA844" s="380"/>
    </row>
    <row r="845">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c r="AA845" s="380"/>
    </row>
    <row r="846">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c r="AA846" s="380"/>
    </row>
    <row r="847">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c r="AA847" s="380"/>
    </row>
    <row r="848">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c r="AA848" s="380"/>
    </row>
    <row r="849">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c r="AA849" s="380"/>
    </row>
    <row r="850">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c r="AA850" s="380"/>
    </row>
    <row r="851">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c r="AA851" s="380"/>
    </row>
    <row r="852">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c r="AA852" s="380"/>
    </row>
    <row r="853">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c r="AA853" s="380"/>
    </row>
    <row r="854">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c r="AA854" s="380"/>
    </row>
    <row r="855">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c r="AA855" s="380"/>
    </row>
    <row r="856">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c r="AA856" s="380"/>
    </row>
    <row r="857">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c r="AA857" s="380"/>
    </row>
    <row r="858">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c r="AA858" s="380"/>
    </row>
    <row r="859">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c r="AA859" s="380"/>
    </row>
    <row r="860">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c r="AA860" s="380"/>
    </row>
    <row r="861">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c r="AA861" s="380"/>
    </row>
    <row r="862">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c r="AA862" s="380"/>
    </row>
    <row r="863">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c r="AA863" s="380"/>
    </row>
    <row r="864">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c r="AA864" s="380"/>
    </row>
    <row r="865">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c r="AA865" s="380"/>
    </row>
    <row r="866">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c r="AA866" s="380"/>
    </row>
    <row r="867">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c r="AA867" s="380"/>
    </row>
    <row r="868">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c r="AA868" s="380"/>
    </row>
    <row r="869">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c r="AA869" s="380"/>
    </row>
    <row r="870">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c r="AA870" s="380"/>
    </row>
    <row r="871">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c r="AA871" s="380"/>
    </row>
    <row r="872">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c r="AA872" s="380"/>
    </row>
    <row r="873">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c r="AA873" s="380"/>
    </row>
    <row r="874">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c r="AA874" s="380"/>
    </row>
    <row r="875">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c r="AA875" s="380"/>
    </row>
    <row r="876">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c r="AA876" s="380"/>
    </row>
    <row r="877">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c r="AA877" s="380"/>
    </row>
    <row r="878">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c r="AA878" s="380"/>
    </row>
    <row r="879">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c r="AA879" s="380"/>
    </row>
    <row r="880">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c r="AA880" s="380"/>
    </row>
    <row r="881">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c r="AA881" s="380"/>
    </row>
    <row r="882">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c r="AA882" s="380"/>
    </row>
    <row r="883">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c r="AA883" s="380"/>
    </row>
    <row r="884">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c r="AA884" s="380"/>
    </row>
    <row r="885">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c r="AA885" s="380"/>
    </row>
    <row r="886">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c r="AA886" s="380"/>
    </row>
    <row r="887">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c r="AA887" s="380"/>
    </row>
    <row r="888">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c r="AA888" s="380"/>
    </row>
    <row r="889">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c r="AA889" s="380"/>
    </row>
    <row r="890">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c r="AA890" s="380"/>
    </row>
    <row r="891">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c r="AA891" s="380"/>
    </row>
    <row r="892">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c r="AA892" s="380"/>
    </row>
    <row r="893">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c r="AA893" s="380"/>
    </row>
    <row r="894">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c r="AA894" s="380"/>
    </row>
    <row r="895">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c r="AA895" s="380"/>
    </row>
    <row r="896">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c r="AA896" s="380"/>
    </row>
    <row r="897">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c r="AA897" s="380"/>
    </row>
    <row r="898">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c r="AA898" s="380"/>
    </row>
    <row r="899">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c r="AA899" s="380"/>
    </row>
    <row r="900">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c r="AA900" s="380"/>
    </row>
    <row r="901">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c r="AA901" s="380"/>
    </row>
    <row r="902">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c r="AA902" s="380"/>
    </row>
    <row r="903">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c r="AA903" s="380"/>
    </row>
    <row r="904">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c r="AA904" s="380"/>
    </row>
    <row r="905">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c r="AA905" s="380"/>
    </row>
    <row r="906">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c r="AA906" s="380"/>
    </row>
    <row r="907">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c r="AA907" s="380"/>
    </row>
    <row r="908">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c r="AA908" s="380"/>
    </row>
    <row r="909">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c r="AA909" s="380"/>
    </row>
    <row r="910">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c r="AA910" s="380"/>
    </row>
    <row r="911">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c r="AA911" s="380"/>
    </row>
    <row r="912">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c r="AA912" s="380"/>
    </row>
    <row r="913">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c r="AA913" s="380"/>
    </row>
    <row r="914">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c r="AA914" s="380"/>
    </row>
    <row r="915">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c r="AA915" s="380"/>
    </row>
    <row r="916">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c r="AA916" s="380"/>
    </row>
    <row r="917">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c r="AA917" s="380"/>
    </row>
    <row r="918">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c r="AA918" s="380"/>
    </row>
    <row r="919">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c r="AA919" s="380"/>
    </row>
    <row r="920">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c r="AA920" s="380"/>
    </row>
    <row r="921">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c r="AA921" s="380"/>
    </row>
    <row r="922">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c r="AA922" s="380"/>
    </row>
    <row r="923">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c r="AA923" s="380"/>
    </row>
    <row r="924">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c r="AA924" s="380"/>
    </row>
    <row r="925">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c r="AA925" s="380"/>
    </row>
    <row r="926">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c r="AA926" s="380"/>
    </row>
    <row r="927">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c r="AA927" s="380"/>
    </row>
    <row r="928">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c r="AA928" s="380"/>
    </row>
    <row r="929">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c r="AA929" s="380"/>
    </row>
    <row r="930">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c r="AA930" s="380"/>
    </row>
    <row r="931">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c r="AA931" s="380"/>
    </row>
    <row r="932">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c r="AA932" s="380"/>
    </row>
    <row r="933">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c r="AA933" s="380"/>
    </row>
    <row r="934">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c r="AA934" s="380"/>
    </row>
    <row r="935">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c r="AA935" s="380"/>
    </row>
    <row r="936">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c r="AA936" s="380"/>
    </row>
    <row r="937">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c r="AA937" s="380"/>
    </row>
    <row r="938">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c r="AA938" s="380"/>
    </row>
    <row r="939">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c r="AA939" s="380"/>
    </row>
    <row r="940">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c r="AA940" s="380"/>
    </row>
    <row r="941">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c r="AA941" s="380"/>
    </row>
    <row r="942">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c r="AA942" s="380"/>
    </row>
    <row r="943">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c r="AA943" s="380"/>
    </row>
    <row r="944">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c r="AA944" s="380"/>
    </row>
    <row r="945">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c r="AA945" s="380"/>
    </row>
    <row r="946">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c r="AA946" s="380"/>
    </row>
    <row r="947">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c r="AA947" s="380"/>
    </row>
    <row r="948">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c r="AA948" s="380"/>
    </row>
    <row r="949">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c r="AA949" s="380"/>
    </row>
    <row r="950">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c r="AA950" s="380"/>
    </row>
    <row r="951">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c r="AA951" s="380"/>
    </row>
    <row r="952">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c r="AA952" s="380"/>
    </row>
    <row r="953">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c r="AA953" s="380"/>
    </row>
    <row r="954">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c r="AA954" s="380"/>
    </row>
    <row r="955">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c r="AA955" s="380"/>
    </row>
    <row r="956">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c r="AA956" s="380"/>
    </row>
    <row r="957">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c r="AA957" s="380"/>
    </row>
    <row r="958">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c r="AA958" s="380"/>
    </row>
    <row r="959">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c r="AA959" s="380"/>
    </row>
    <row r="960">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c r="AA960" s="380"/>
    </row>
    <row r="961">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c r="AA961" s="380"/>
    </row>
    <row r="962">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c r="AA962" s="380"/>
    </row>
    <row r="963">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c r="AA963" s="380"/>
    </row>
    <row r="964">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c r="AA964" s="380"/>
    </row>
    <row r="965">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c r="AA965" s="380"/>
    </row>
    <row r="966">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c r="AA966" s="380"/>
    </row>
    <row r="967">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c r="AA967" s="380"/>
    </row>
    <row r="968">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c r="AA968" s="380"/>
    </row>
    <row r="969">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c r="AA969" s="380"/>
    </row>
    <row r="970">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c r="AA970" s="380"/>
    </row>
    <row r="971">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c r="AA971" s="380"/>
    </row>
    <row r="972">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c r="AA972" s="380"/>
    </row>
    <row r="973">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c r="AA973" s="380"/>
    </row>
    <row r="974">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c r="AA974" s="380"/>
    </row>
    <row r="975">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c r="AA975" s="380"/>
    </row>
    <row r="976">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c r="AA976" s="380"/>
    </row>
    <row r="977">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c r="AA977" s="380"/>
    </row>
    <row r="978">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c r="AA978" s="380"/>
    </row>
    <row r="979">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c r="AA979" s="380"/>
    </row>
    <row r="980">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c r="AA980" s="380"/>
    </row>
    <row r="981">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c r="AA981" s="380"/>
    </row>
    <row r="982">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c r="AA982" s="380"/>
    </row>
    <row r="983">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c r="AA983" s="380"/>
    </row>
    <row r="984">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c r="AA984" s="380"/>
    </row>
    <row r="985">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c r="AA985" s="380"/>
    </row>
    <row r="986">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c r="AA986" s="380"/>
    </row>
    <row r="987">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c r="AA987" s="380"/>
    </row>
    <row r="988">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c r="AA988" s="380"/>
    </row>
    <row r="989">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c r="AA989" s="380"/>
    </row>
    <row r="990">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c r="AA990" s="380"/>
    </row>
    <row r="991">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c r="AA991" s="380"/>
    </row>
    <row r="992">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c r="AA992" s="380"/>
    </row>
    <row r="993">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c r="AA993" s="380"/>
    </row>
    <row r="994">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c r="AA994" s="380"/>
    </row>
    <row r="995">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c r="AA995" s="380"/>
    </row>
    <row r="996">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c r="AA996" s="380"/>
    </row>
    <row r="997">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c r="AA997" s="380"/>
    </row>
    <row r="998">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c r="AA998" s="380"/>
    </row>
    <row r="999">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c r="AA999" s="380"/>
    </row>
    <row r="1000">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c r="AA1000" s="380"/>
    </row>
    <row r="1001">
      <c r="A1001" s="380"/>
      <c r="B1001" s="380"/>
      <c r="C1001" s="380"/>
      <c r="D1001" s="380"/>
      <c r="E1001" s="380"/>
      <c r="F1001" s="380"/>
      <c r="G1001" s="380"/>
      <c r="H1001" s="380"/>
      <c r="I1001" s="380"/>
      <c r="J1001" s="380"/>
      <c r="K1001" s="380"/>
      <c r="L1001" s="380"/>
      <c r="M1001" s="380"/>
      <c r="N1001" s="380"/>
      <c r="O1001" s="380"/>
      <c r="P1001" s="380"/>
      <c r="Q1001" s="380"/>
      <c r="R1001" s="380"/>
      <c r="S1001" s="380"/>
      <c r="T1001" s="380"/>
      <c r="U1001" s="380"/>
      <c r="V1001" s="380"/>
      <c r="W1001" s="380"/>
      <c r="X1001" s="380"/>
      <c r="Y1001" s="380"/>
      <c r="Z1001" s="380"/>
      <c r="AA1001" s="380"/>
    </row>
    <row r="1002">
      <c r="A1002" s="380"/>
      <c r="B1002" s="380"/>
      <c r="C1002" s="380"/>
      <c r="D1002" s="380"/>
      <c r="E1002" s="380"/>
      <c r="F1002" s="380"/>
      <c r="G1002" s="380"/>
      <c r="H1002" s="380"/>
      <c r="I1002" s="380"/>
      <c r="J1002" s="380"/>
      <c r="K1002" s="380"/>
      <c r="L1002" s="380"/>
      <c r="M1002" s="380"/>
      <c r="N1002" s="380"/>
      <c r="O1002" s="380"/>
      <c r="P1002" s="380"/>
      <c r="Q1002" s="380"/>
      <c r="R1002" s="380"/>
      <c r="S1002" s="380"/>
      <c r="T1002" s="380"/>
      <c r="U1002" s="380"/>
      <c r="V1002" s="380"/>
      <c r="W1002" s="380"/>
      <c r="X1002" s="380"/>
      <c r="Y1002" s="380"/>
      <c r="Z1002" s="380"/>
      <c r="AA1002" s="380"/>
    </row>
    <row r="1003">
      <c r="A1003" s="380"/>
      <c r="B1003" s="380"/>
      <c r="C1003" s="380"/>
      <c r="D1003" s="380"/>
      <c r="E1003" s="380"/>
      <c r="F1003" s="380"/>
      <c r="G1003" s="380"/>
      <c r="H1003" s="380"/>
      <c r="I1003" s="380"/>
      <c r="J1003" s="380"/>
      <c r="K1003" s="380"/>
      <c r="L1003" s="380"/>
      <c r="M1003" s="380"/>
      <c r="N1003" s="380"/>
      <c r="O1003" s="380"/>
      <c r="P1003" s="380"/>
      <c r="Q1003" s="380"/>
      <c r="R1003" s="380"/>
      <c r="S1003" s="380"/>
      <c r="T1003" s="380"/>
      <c r="U1003" s="380"/>
      <c r="V1003" s="380"/>
      <c r="W1003" s="380"/>
      <c r="X1003" s="380"/>
      <c r="Y1003" s="380"/>
      <c r="Z1003" s="380"/>
      <c r="AA1003" s="380"/>
    </row>
    <row r="1004">
      <c r="A1004" s="380"/>
      <c r="B1004" s="380"/>
      <c r="C1004" s="380"/>
      <c r="D1004" s="380"/>
      <c r="E1004" s="380"/>
      <c r="F1004" s="380"/>
      <c r="G1004" s="380"/>
      <c r="H1004" s="380"/>
      <c r="I1004" s="380"/>
      <c r="J1004" s="380"/>
      <c r="K1004" s="380"/>
      <c r="L1004" s="380"/>
      <c r="M1004" s="380"/>
      <c r="N1004" s="380"/>
      <c r="O1004" s="380"/>
      <c r="P1004" s="380"/>
      <c r="Q1004" s="380"/>
      <c r="R1004" s="380"/>
      <c r="S1004" s="380"/>
      <c r="T1004" s="380"/>
      <c r="U1004" s="380"/>
      <c r="V1004" s="380"/>
      <c r="W1004" s="380"/>
      <c r="X1004" s="380"/>
      <c r="Y1004" s="380"/>
      <c r="Z1004" s="380"/>
      <c r="AA1004" s="380"/>
    </row>
    <row r="1005">
      <c r="A1005" s="380"/>
      <c r="B1005" s="380"/>
      <c r="C1005" s="380"/>
      <c r="D1005" s="380"/>
      <c r="E1005" s="380"/>
      <c r="F1005" s="380"/>
      <c r="G1005" s="380"/>
      <c r="H1005" s="380"/>
      <c r="I1005" s="380"/>
      <c r="J1005" s="380"/>
      <c r="K1005" s="380"/>
      <c r="L1005" s="380"/>
      <c r="M1005" s="380"/>
      <c r="N1005" s="380"/>
      <c r="O1005" s="380"/>
      <c r="P1005" s="380"/>
      <c r="Q1005" s="380"/>
      <c r="R1005" s="380"/>
      <c r="S1005" s="380"/>
      <c r="T1005" s="380"/>
      <c r="U1005" s="380"/>
      <c r="V1005" s="380"/>
      <c r="W1005" s="380"/>
      <c r="X1005" s="380"/>
      <c r="Y1005" s="380"/>
      <c r="Z1005" s="380"/>
      <c r="AA1005" s="380"/>
    </row>
    <row r="1006">
      <c r="A1006" s="380"/>
      <c r="B1006" s="380"/>
      <c r="C1006" s="380"/>
      <c r="D1006" s="380"/>
      <c r="E1006" s="380"/>
      <c r="F1006" s="380"/>
      <c r="G1006" s="380"/>
      <c r="H1006" s="380"/>
      <c r="I1006" s="380"/>
      <c r="J1006" s="380"/>
      <c r="K1006" s="380"/>
      <c r="L1006" s="380"/>
      <c r="M1006" s="380"/>
      <c r="N1006" s="380"/>
      <c r="O1006" s="380"/>
      <c r="P1006" s="380"/>
      <c r="Q1006" s="380"/>
      <c r="R1006" s="380"/>
      <c r="S1006" s="380"/>
      <c r="T1006" s="380"/>
      <c r="U1006" s="380"/>
      <c r="V1006" s="380"/>
      <c r="W1006" s="380"/>
      <c r="X1006" s="380"/>
      <c r="Y1006" s="380"/>
      <c r="Z1006" s="380"/>
      <c r="AA1006" s="380"/>
    </row>
    <row r="1007">
      <c r="A1007" s="380"/>
      <c r="B1007" s="380"/>
      <c r="C1007" s="380"/>
      <c r="D1007" s="380"/>
      <c r="E1007" s="380"/>
      <c r="F1007" s="380"/>
      <c r="G1007" s="380"/>
      <c r="H1007" s="380"/>
      <c r="I1007" s="380"/>
      <c r="J1007" s="380"/>
      <c r="K1007" s="380"/>
      <c r="L1007" s="380"/>
      <c r="M1007" s="380"/>
      <c r="N1007" s="380"/>
      <c r="O1007" s="380"/>
      <c r="P1007" s="380"/>
      <c r="Q1007" s="380"/>
      <c r="R1007" s="380"/>
      <c r="S1007" s="380"/>
      <c r="T1007" s="380"/>
      <c r="U1007" s="380"/>
      <c r="V1007" s="380"/>
      <c r="W1007" s="380"/>
      <c r="X1007" s="380"/>
      <c r="Y1007" s="380"/>
      <c r="Z1007" s="380"/>
      <c r="AA1007" s="380"/>
    </row>
    <row r="1008">
      <c r="A1008" s="380"/>
      <c r="B1008" s="380"/>
      <c r="C1008" s="380"/>
      <c r="D1008" s="380"/>
      <c r="E1008" s="380"/>
      <c r="F1008" s="380"/>
      <c r="G1008" s="380"/>
      <c r="H1008" s="380"/>
      <c r="I1008" s="380"/>
      <c r="J1008" s="380"/>
      <c r="K1008" s="380"/>
      <c r="L1008" s="380"/>
      <c r="M1008" s="380"/>
      <c r="N1008" s="380"/>
      <c r="O1008" s="380"/>
      <c r="P1008" s="380"/>
      <c r="Q1008" s="380"/>
      <c r="R1008" s="380"/>
      <c r="S1008" s="380"/>
      <c r="T1008" s="380"/>
      <c r="U1008" s="380"/>
      <c r="V1008" s="380"/>
      <c r="W1008" s="380"/>
      <c r="X1008" s="380"/>
      <c r="Y1008" s="380"/>
      <c r="Z1008" s="380"/>
      <c r="AA1008" s="380"/>
    </row>
    <row r="1009">
      <c r="A1009" s="380"/>
      <c r="B1009" s="380"/>
      <c r="C1009" s="380"/>
      <c r="D1009" s="380"/>
      <c r="E1009" s="380"/>
      <c r="F1009" s="380"/>
      <c r="G1009" s="380"/>
      <c r="H1009" s="380"/>
      <c r="I1009" s="380"/>
      <c r="J1009" s="380"/>
      <c r="K1009" s="380"/>
      <c r="L1009" s="380"/>
      <c r="M1009" s="380"/>
      <c r="N1009" s="380"/>
      <c r="O1009" s="380"/>
      <c r="P1009" s="380"/>
      <c r="Q1009" s="380"/>
      <c r="R1009" s="380"/>
      <c r="S1009" s="380"/>
      <c r="T1009" s="380"/>
      <c r="U1009" s="380"/>
      <c r="V1009" s="380"/>
      <c r="W1009" s="380"/>
      <c r="X1009" s="380"/>
      <c r="Y1009" s="380"/>
      <c r="Z1009" s="380"/>
      <c r="AA1009" s="380"/>
    </row>
    <row r="1010">
      <c r="A1010" s="380"/>
      <c r="B1010" s="380"/>
      <c r="C1010" s="380"/>
      <c r="D1010" s="380"/>
      <c r="E1010" s="380"/>
      <c r="F1010" s="380"/>
      <c r="G1010" s="380"/>
      <c r="H1010" s="380"/>
      <c r="I1010" s="380"/>
      <c r="J1010" s="380"/>
      <c r="K1010" s="380"/>
      <c r="L1010" s="380"/>
      <c r="M1010" s="380"/>
      <c r="N1010" s="380"/>
      <c r="O1010" s="380"/>
      <c r="P1010" s="380"/>
      <c r="Q1010" s="380"/>
      <c r="R1010" s="380"/>
      <c r="S1010" s="380"/>
      <c r="T1010" s="380"/>
      <c r="U1010" s="380"/>
      <c r="V1010" s="380"/>
      <c r="W1010" s="380"/>
      <c r="X1010" s="380"/>
      <c r="Y1010" s="380"/>
      <c r="Z1010" s="380"/>
      <c r="AA1010" s="380"/>
    </row>
    <row r="1011">
      <c r="A1011" s="380"/>
      <c r="B1011" s="380"/>
      <c r="C1011" s="380"/>
      <c r="D1011" s="380"/>
      <c r="E1011" s="380"/>
      <c r="F1011" s="380"/>
      <c r="G1011" s="380"/>
      <c r="H1011" s="380"/>
      <c r="I1011" s="380"/>
      <c r="J1011" s="380"/>
      <c r="K1011" s="380"/>
      <c r="L1011" s="380"/>
      <c r="M1011" s="380"/>
      <c r="N1011" s="380"/>
      <c r="O1011" s="380"/>
      <c r="P1011" s="380"/>
      <c r="Q1011" s="380"/>
      <c r="R1011" s="380"/>
      <c r="S1011" s="380"/>
      <c r="T1011" s="380"/>
      <c r="U1011" s="380"/>
      <c r="V1011" s="380"/>
      <c r="W1011" s="380"/>
      <c r="X1011" s="380"/>
      <c r="Y1011" s="380"/>
      <c r="Z1011" s="380"/>
      <c r="AA1011" s="380"/>
    </row>
    <row r="1012">
      <c r="A1012" s="380"/>
      <c r="B1012" s="380"/>
      <c r="C1012" s="380"/>
      <c r="D1012" s="380"/>
      <c r="E1012" s="380"/>
      <c r="F1012" s="380"/>
      <c r="G1012" s="380"/>
      <c r="H1012" s="380"/>
      <c r="I1012" s="380"/>
      <c r="J1012" s="380"/>
      <c r="K1012" s="380"/>
      <c r="L1012" s="380"/>
      <c r="M1012" s="380"/>
      <c r="N1012" s="380"/>
      <c r="O1012" s="380"/>
      <c r="P1012" s="380"/>
      <c r="Q1012" s="380"/>
      <c r="R1012" s="380"/>
      <c r="S1012" s="380"/>
      <c r="T1012" s="380"/>
      <c r="U1012" s="380"/>
      <c r="V1012" s="380"/>
      <c r="W1012" s="380"/>
      <c r="X1012" s="380"/>
      <c r="Y1012" s="380"/>
      <c r="Z1012" s="380"/>
      <c r="AA1012" s="380"/>
    </row>
    <row r="1013">
      <c r="A1013" s="380"/>
      <c r="B1013" s="380"/>
      <c r="C1013" s="380"/>
      <c r="D1013" s="380"/>
      <c r="E1013" s="380"/>
      <c r="F1013" s="380"/>
      <c r="G1013" s="380"/>
      <c r="H1013" s="380"/>
      <c r="I1013" s="380"/>
      <c r="J1013" s="380"/>
      <c r="K1013" s="380"/>
      <c r="L1013" s="380"/>
      <c r="M1013" s="380"/>
      <c r="N1013" s="380"/>
      <c r="O1013" s="380"/>
      <c r="P1013" s="380"/>
      <c r="Q1013" s="380"/>
      <c r="R1013" s="380"/>
      <c r="S1013" s="380"/>
      <c r="T1013" s="380"/>
      <c r="U1013" s="380"/>
      <c r="V1013" s="380"/>
      <c r="W1013" s="380"/>
      <c r="X1013" s="380"/>
      <c r="Y1013" s="380"/>
      <c r="Z1013" s="380"/>
      <c r="AA1013" s="380"/>
    </row>
    <row r="1014">
      <c r="A1014" s="380"/>
      <c r="B1014" s="380"/>
      <c r="C1014" s="380"/>
      <c r="D1014" s="380"/>
      <c r="E1014" s="380"/>
      <c r="F1014" s="380"/>
      <c r="G1014" s="380"/>
      <c r="H1014" s="380"/>
      <c r="I1014" s="380"/>
      <c r="J1014" s="380"/>
      <c r="K1014" s="380"/>
      <c r="L1014" s="380"/>
      <c r="M1014" s="380"/>
      <c r="N1014" s="380"/>
      <c r="O1014" s="380"/>
      <c r="P1014" s="380"/>
      <c r="Q1014" s="380"/>
      <c r="R1014" s="380"/>
      <c r="S1014" s="380"/>
      <c r="T1014" s="380"/>
      <c r="U1014" s="380"/>
      <c r="V1014" s="380"/>
      <c r="W1014" s="380"/>
      <c r="X1014" s="380"/>
      <c r="Y1014" s="380"/>
      <c r="Z1014" s="380"/>
      <c r="AA1014" s="380"/>
    </row>
    <row r="1015">
      <c r="A1015" s="380"/>
      <c r="B1015" s="380"/>
      <c r="C1015" s="380"/>
      <c r="D1015" s="380"/>
      <c r="E1015" s="380"/>
      <c r="F1015" s="380"/>
      <c r="G1015" s="380"/>
      <c r="H1015" s="380"/>
      <c r="I1015" s="380"/>
      <c r="J1015" s="380"/>
      <c r="K1015" s="380"/>
      <c r="L1015" s="380"/>
      <c r="M1015" s="380"/>
      <c r="N1015" s="380"/>
      <c r="O1015" s="380"/>
      <c r="P1015" s="380"/>
      <c r="Q1015" s="380"/>
      <c r="R1015" s="380"/>
      <c r="S1015" s="380"/>
      <c r="T1015" s="380"/>
      <c r="U1015" s="380"/>
      <c r="V1015" s="380"/>
      <c r="W1015" s="380"/>
      <c r="X1015" s="380"/>
      <c r="Y1015" s="380"/>
      <c r="Z1015" s="380"/>
      <c r="AA1015" s="380"/>
    </row>
    <row r="1016">
      <c r="A1016" s="380"/>
      <c r="B1016" s="380"/>
      <c r="C1016" s="380"/>
      <c r="D1016" s="380"/>
      <c r="E1016" s="380"/>
      <c r="F1016" s="380"/>
      <c r="G1016" s="380"/>
      <c r="H1016" s="380"/>
      <c r="I1016" s="380"/>
      <c r="J1016" s="380"/>
      <c r="K1016" s="380"/>
      <c r="L1016" s="380"/>
      <c r="M1016" s="380"/>
      <c r="N1016" s="380"/>
      <c r="O1016" s="380"/>
      <c r="P1016" s="380"/>
      <c r="Q1016" s="380"/>
      <c r="R1016" s="380"/>
      <c r="S1016" s="380"/>
      <c r="T1016" s="380"/>
      <c r="U1016" s="380"/>
      <c r="V1016" s="380"/>
      <c r="W1016" s="380"/>
      <c r="X1016" s="380"/>
      <c r="Y1016" s="380"/>
      <c r="Z1016" s="380"/>
      <c r="AA1016" s="380"/>
    </row>
    <row r="1017">
      <c r="A1017" s="380"/>
      <c r="B1017" s="380"/>
      <c r="C1017" s="380"/>
      <c r="D1017" s="380"/>
      <c r="E1017" s="380"/>
      <c r="F1017" s="380"/>
      <c r="G1017" s="380"/>
      <c r="H1017" s="380"/>
      <c r="I1017" s="380"/>
      <c r="J1017" s="380"/>
      <c r="K1017" s="380"/>
      <c r="L1017" s="380"/>
      <c r="M1017" s="380"/>
      <c r="N1017" s="380"/>
      <c r="O1017" s="380"/>
      <c r="P1017" s="380"/>
      <c r="Q1017" s="380"/>
      <c r="R1017" s="380"/>
      <c r="S1017" s="380"/>
      <c r="T1017" s="380"/>
      <c r="U1017" s="380"/>
      <c r="V1017" s="380"/>
      <c r="W1017" s="380"/>
      <c r="X1017" s="380"/>
      <c r="Y1017" s="380"/>
      <c r="Z1017" s="380"/>
      <c r="AA1017" s="380"/>
    </row>
    <row r="1018">
      <c r="A1018" s="380"/>
      <c r="B1018" s="380"/>
      <c r="C1018" s="380"/>
      <c r="D1018" s="380"/>
      <c r="E1018" s="380"/>
      <c r="F1018" s="380"/>
      <c r="G1018" s="380"/>
      <c r="H1018" s="380"/>
      <c r="I1018" s="380"/>
      <c r="J1018" s="380"/>
      <c r="K1018" s="380"/>
      <c r="L1018" s="380"/>
      <c r="M1018" s="380"/>
      <c r="N1018" s="380"/>
      <c r="O1018" s="380"/>
      <c r="P1018" s="380"/>
      <c r="Q1018" s="380"/>
      <c r="R1018" s="380"/>
      <c r="S1018" s="380"/>
      <c r="T1018" s="380"/>
      <c r="U1018" s="380"/>
      <c r="V1018" s="380"/>
      <c r="W1018" s="380"/>
      <c r="X1018" s="380"/>
      <c r="Y1018" s="380"/>
      <c r="Z1018" s="380"/>
      <c r="AA1018" s="380"/>
    </row>
    <row r="1019">
      <c r="A1019" s="380"/>
      <c r="B1019" s="380"/>
      <c r="C1019" s="380"/>
      <c r="D1019" s="380"/>
      <c r="E1019" s="380"/>
      <c r="F1019" s="380"/>
      <c r="G1019" s="380"/>
      <c r="H1019" s="380"/>
      <c r="I1019" s="380"/>
      <c r="J1019" s="380"/>
      <c r="K1019" s="380"/>
      <c r="L1019" s="380"/>
      <c r="M1019" s="380"/>
      <c r="N1019" s="380"/>
      <c r="O1019" s="380"/>
      <c r="P1019" s="380"/>
      <c r="Q1019" s="380"/>
      <c r="R1019" s="380"/>
      <c r="S1019" s="380"/>
      <c r="T1019" s="380"/>
      <c r="U1019" s="380"/>
      <c r="V1019" s="380"/>
      <c r="W1019" s="380"/>
      <c r="X1019" s="380"/>
      <c r="Y1019" s="380"/>
      <c r="Z1019" s="380"/>
      <c r="AA1019" s="380"/>
    </row>
    <row r="1020">
      <c r="A1020" s="380"/>
      <c r="B1020" s="380"/>
      <c r="C1020" s="380"/>
      <c r="D1020" s="380"/>
      <c r="E1020" s="380"/>
      <c r="F1020" s="380"/>
      <c r="G1020" s="380"/>
      <c r="H1020" s="380"/>
      <c r="I1020" s="380"/>
      <c r="J1020" s="380"/>
      <c r="K1020" s="380"/>
      <c r="L1020" s="380"/>
      <c r="M1020" s="380"/>
      <c r="N1020" s="380"/>
      <c r="O1020" s="380"/>
      <c r="P1020" s="380"/>
      <c r="Q1020" s="380"/>
      <c r="R1020" s="380"/>
      <c r="S1020" s="380"/>
      <c r="T1020" s="380"/>
      <c r="U1020" s="380"/>
      <c r="V1020" s="380"/>
      <c r="W1020" s="380"/>
      <c r="X1020" s="380"/>
      <c r="Y1020" s="380"/>
      <c r="Z1020" s="380"/>
      <c r="AA1020" s="380"/>
    </row>
    <row r="1021">
      <c r="A1021" s="380"/>
      <c r="B1021" s="380"/>
      <c r="C1021" s="380"/>
      <c r="D1021" s="380"/>
      <c r="E1021" s="380"/>
      <c r="F1021" s="380"/>
      <c r="G1021" s="380"/>
      <c r="H1021" s="380"/>
      <c r="I1021" s="380"/>
      <c r="J1021" s="380"/>
      <c r="K1021" s="380"/>
      <c r="L1021" s="380"/>
      <c r="M1021" s="380"/>
      <c r="N1021" s="380"/>
      <c r="O1021" s="380"/>
      <c r="P1021" s="380"/>
      <c r="Q1021" s="380"/>
      <c r="R1021" s="380"/>
      <c r="S1021" s="380"/>
      <c r="T1021" s="380"/>
      <c r="U1021" s="380"/>
      <c r="V1021" s="380"/>
      <c r="W1021" s="380"/>
      <c r="X1021" s="380"/>
      <c r="Y1021" s="380"/>
      <c r="Z1021" s="380"/>
      <c r="AA1021" s="380"/>
    </row>
    <row r="1022">
      <c r="A1022" s="380"/>
      <c r="B1022" s="380"/>
      <c r="C1022" s="380"/>
      <c r="D1022" s="380"/>
      <c r="E1022" s="380"/>
      <c r="F1022" s="380"/>
      <c r="G1022" s="380"/>
      <c r="H1022" s="380"/>
      <c r="I1022" s="380"/>
      <c r="J1022" s="380"/>
      <c r="K1022" s="380"/>
      <c r="L1022" s="380"/>
      <c r="M1022" s="380"/>
      <c r="N1022" s="380"/>
      <c r="O1022" s="380"/>
      <c r="P1022" s="380"/>
      <c r="Q1022" s="380"/>
      <c r="R1022" s="380"/>
      <c r="S1022" s="380"/>
      <c r="T1022" s="380"/>
      <c r="U1022" s="380"/>
      <c r="V1022" s="380"/>
      <c r="W1022" s="380"/>
      <c r="X1022" s="380"/>
      <c r="Y1022" s="380"/>
      <c r="Z1022" s="380"/>
      <c r="AA1022" s="380"/>
    </row>
    <row r="1023">
      <c r="A1023" s="380"/>
      <c r="B1023" s="380"/>
      <c r="C1023" s="380"/>
      <c r="D1023" s="380"/>
      <c r="E1023" s="380"/>
      <c r="F1023" s="380"/>
      <c r="G1023" s="380"/>
      <c r="H1023" s="380"/>
      <c r="I1023" s="380"/>
      <c r="J1023" s="380"/>
      <c r="K1023" s="380"/>
      <c r="L1023" s="380"/>
      <c r="M1023" s="380"/>
      <c r="N1023" s="380"/>
      <c r="O1023" s="380"/>
      <c r="P1023" s="380"/>
      <c r="Q1023" s="380"/>
      <c r="R1023" s="380"/>
      <c r="S1023" s="380"/>
      <c r="T1023" s="380"/>
      <c r="U1023" s="380"/>
      <c r="V1023" s="380"/>
      <c r="W1023" s="380"/>
      <c r="X1023" s="380"/>
      <c r="Y1023" s="380"/>
      <c r="Z1023" s="380"/>
      <c r="AA1023" s="380"/>
    </row>
    <row r="1024">
      <c r="A1024" s="380"/>
      <c r="B1024" s="380"/>
      <c r="C1024" s="380"/>
      <c r="D1024" s="380"/>
      <c r="E1024" s="380"/>
      <c r="F1024" s="380"/>
      <c r="G1024" s="380"/>
      <c r="H1024" s="380"/>
      <c r="I1024" s="380"/>
      <c r="J1024" s="380"/>
      <c r="K1024" s="380"/>
      <c r="L1024" s="380"/>
      <c r="M1024" s="380"/>
      <c r="N1024" s="380"/>
      <c r="O1024" s="380"/>
      <c r="P1024" s="380"/>
      <c r="Q1024" s="380"/>
      <c r="R1024" s="380"/>
      <c r="S1024" s="380"/>
      <c r="T1024" s="380"/>
      <c r="U1024" s="380"/>
      <c r="V1024" s="380"/>
      <c r="W1024" s="380"/>
      <c r="X1024" s="380"/>
      <c r="Y1024" s="380"/>
      <c r="Z1024" s="380"/>
      <c r="AA1024" s="380"/>
    </row>
    <row r="1025">
      <c r="A1025" s="380"/>
      <c r="B1025" s="380"/>
      <c r="C1025" s="380"/>
      <c r="D1025" s="380"/>
      <c r="E1025" s="380"/>
      <c r="F1025" s="380"/>
      <c r="G1025" s="380"/>
      <c r="H1025" s="380"/>
      <c r="I1025" s="380"/>
      <c r="J1025" s="380"/>
      <c r="K1025" s="380"/>
      <c r="L1025" s="380"/>
      <c r="M1025" s="380"/>
      <c r="N1025" s="380"/>
      <c r="O1025" s="380"/>
      <c r="P1025" s="380"/>
      <c r="Q1025" s="380"/>
      <c r="R1025" s="380"/>
      <c r="S1025" s="380"/>
      <c r="T1025" s="380"/>
      <c r="U1025" s="380"/>
      <c r="V1025" s="380"/>
      <c r="W1025" s="380"/>
      <c r="X1025" s="380"/>
      <c r="Y1025" s="380"/>
      <c r="Z1025" s="380"/>
      <c r="AA1025" s="380"/>
    </row>
    <row r="1026">
      <c r="A1026" s="380"/>
      <c r="B1026" s="380"/>
      <c r="C1026" s="380"/>
      <c r="D1026" s="380"/>
      <c r="E1026" s="380"/>
      <c r="F1026" s="380"/>
      <c r="G1026" s="380"/>
      <c r="H1026" s="380"/>
      <c r="I1026" s="380"/>
      <c r="J1026" s="380"/>
      <c r="K1026" s="380"/>
      <c r="L1026" s="380"/>
      <c r="M1026" s="380"/>
      <c r="N1026" s="380"/>
      <c r="O1026" s="380"/>
      <c r="P1026" s="380"/>
      <c r="Q1026" s="380"/>
      <c r="R1026" s="380"/>
      <c r="S1026" s="380"/>
      <c r="T1026" s="380"/>
      <c r="U1026" s="380"/>
      <c r="V1026" s="380"/>
      <c r="W1026" s="380"/>
      <c r="X1026" s="380"/>
      <c r="Y1026" s="380"/>
      <c r="Z1026" s="380"/>
      <c r="AA1026" s="380"/>
    </row>
  </sheetData>
  <mergeCells count="4">
    <mergeCell ref="A1:M1"/>
    <mergeCell ref="A3:M3"/>
    <mergeCell ref="A12:M12"/>
    <mergeCell ref="A23:M23"/>
  </mergeCells>
  <dataValidations>
    <dataValidation type="list" allowBlank="1" showErrorMessage="1" sqref="I4:I11">
      <formula1>"Load Test,Response Time"</formula1>
    </dataValidation>
    <dataValidation type="list" allowBlank="1" showErrorMessage="1" sqref="K4:K11 K13:K22 K24:K32">
      <formula1>"Untested,Pass,Fail,Blocked"</formula1>
    </dataValidation>
  </dataValidations>
  <drawing r:id="rId1"/>
  <tableParts count="3">
    <tablePart r:id="rId5"/>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88"/>
    <col customWidth="1" min="4" max="4" width="21.5"/>
    <col customWidth="1" min="5" max="5" width="22.75"/>
    <col customWidth="1" min="6" max="6" width="24.25"/>
    <col customWidth="1" min="7" max="7" width="41.75"/>
    <col customWidth="1" min="10" max="10" width="14.5"/>
  </cols>
  <sheetData>
    <row r="1" ht="30.75" customHeight="1">
      <c r="A1" s="409" t="s">
        <v>3680</v>
      </c>
      <c r="B1" s="410"/>
      <c r="C1" s="410"/>
      <c r="D1" s="410"/>
      <c r="E1" s="410"/>
      <c r="F1" s="410"/>
      <c r="G1" s="410"/>
      <c r="H1" s="410"/>
      <c r="I1" s="410"/>
      <c r="J1" s="410"/>
      <c r="K1" s="222"/>
      <c r="L1" s="222"/>
      <c r="M1" s="222"/>
      <c r="N1" s="222"/>
      <c r="O1" s="222"/>
      <c r="P1" s="222"/>
      <c r="Q1" s="222"/>
      <c r="R1" s="222"/>
      <c r="S1" s="222"/>
      <c r="T1" s="222"/>
      <c r="U1" s="222"/>
      <c r="V1" s="222"/>
      <c r="W1" s="222"/>
      <c r="X1" s="222"/>
      <c r="Y1" s="222"/>
    </row>
    <row r="2">
      <c r="A2" s="411" t="s">
        <v>3681</v>
      </c>
      <c r="B2" s="411" t="s">
        <v>3682</v>
      </c>
      <c r="C2" s="411" t="s">
        <v>3683</v>
      </c>
      <c r="D2" s="411" t="s">
        <v>3684</v>
      </c>
      <c r="E2" s="411" t="s">
        <v>3685</v>
      </c>
      <c r="F2" s="411" t="s">
        <v>3686</v>
      </c>
      <c r="G2" s="411" t="s">
        <v>3687</v>
      </c>
      <c r="H2" s="411" t="s">
        <v>697</v>
      </c>
      <c r="I2" s="411" t="s">
        <v>699</v>
      </c>
      <c r="J2" s="411" t="s">
        <v>3688</v>
      </c>
      <c r="K2" s="222"/>
      <c r="L2" s="222"/>
      <c r="M2" s="222"/>
      <c r="N2" s="222"/>
      <c r="O2" s="222"/>
      <c r="P2" s="222"/>
      <c r="Q2" s="222"/>
      <c r="R2" s="222"/>
      <c r="S2" s="222"/>
      <c r="T2" s="222"/>
      <c r="U2" s="222"/>
      <c r="V2" s="222"/>
      <c r="W2" s="222"/>
      <c r="X2" s="222"/>
      <c r="Y2" s="222"/>
    </row>
    <row r="3">
      <c r="A3" s="412" t="s">
        <v>3689</v>
      </c>
      <c r="B3" s="413"/>
      <c r="C3" s="413"/>
      <c r="D3" s="413"/>
      <c r="E3" s="413"/>
      <c r="F3" s="413"/>
      <c r="G3" s="413"/>
      <c r="H3" s="413"/>
      <c r="I3" s="413"/>
      <c r="J3" s="413"/>
      <c r="K3" s="222"/>
      <c r="L3" s="222"/>
      <c r="M3" s="222"/>
      <c r="N3" s="222"/>
      <c r="O3" s="222"/>
      <c r="P3" s="222"/>
      <c r="Q3" s="222"/>
      <c r="R3" s="222"/>
      <c r="S3" s="222"/>
      <c r="T3" s="222"/>
      <c r="U3" s="222"/>
      <c r="V3" s="222"/>
      <c r="W3" s="222"/>
      <c r="X3" s="222"/>
      <c r="Y3" s="222"/>
    </row>
    <row r="4">
      <c r="A4" s="414" t="s">
        <v>3690</v>
      </c>
      <c r="B4" s="415" t="s">
        <v>3491</v>
      </c>
      <c r="C4" s="415" t="s">
        <v>3691</v>
      </c>
      <c r="D4" s="415" t="s">
        <v>3692</v>
      </c>
      <c r="E4" s="415" t="s">
        <v>3693</v>
      </c>
      <c r="F4" s="415" t="s">
        <v>3694</v>
      </c>
      <c r="G4" s="415" t="s">
        <v>3695</v>
      </c>
      <c r="H4" s="416" t="s">
        <v>194</v>
      </c>
      <c r="I4" s="415" t="s">
        <v>3696</v>
      </c>
      <c r="J4" s="417" t="s">
        <v>3697</v>
      </c>
      <c r="K4" s="222"/>
      <c r="L4" s="222"/>
      <c r="M4" s="222"/>
      <c r="N4" s="222"/>
      <c r="O4" s="222"/>
      <c r="P4" s="222"/>
      <c r="Q4" s="222"/>
      <c r="R4" s="222"/>
      <c r="S4" s="222"/>
      <c r="T4" s="222"/>
      <c r="U4" s="222"/>
      <c r="V4" s="222"/>
      <c r="W4" s="222"/>
      <c r="X4" s="222"/>
      <c r="Y4" s="222"/>
    </row>
    <row r="5">
      <c r="A5" s="418" t="s">
        <v>3698</v>
      </c>
      <c r="B5" s="419" t="s">
        <v>3513</v>
      </c>
      <c r="C5" s="419" t="s">
        <v>3699</v>
      </c>
      <c r="D5" s="419" t="s">
        <v>3700</v>
      </c>
      <c r="E5" s="419" t="s">
        <v>3701</v>
      </c>
      <c r="F5" s="419" t="s">
        <v>3702</v>
      </c>
      <c r="G5" s="419" t="s">
        <v>3703</v>
      </c>
      <c r="H5" s="416" t="s">
        <v>194</v>
      </c>
      <c r="I5" s="419" t="s">
        <v>3704</v>
      </c>
      <c r="J5" s="420" t="s">
        <v>3697</v>
      </c>
      <c r="K5" s="222"/>
      <c r="L5" s="222"/>
      <c r="M5" s="222"/>
      <c r="N5" s="222"/>
      <c r="O5" s="222"/>
      <c r="P5" s="222"/>
      <c r="Q5" s="222"/>
      <c r="R5" s="222"/>
      <c r="S5" s="222"/>
      <c r="T5" s="222"/>
      <c r="U5" s="222"/>
      <c r="V5" s="222"/>
      <c r="W5" s="222"/>
      <c r="X5" s="222"/>
      <c r="Y5" s="222"/>
    </row>
    <row r="6">
      <c r="A6" s="414" t="s">
        <v>3705</v>
      </c>
      <c r="B6" s="415" t="s">
        <v>3500</v>
      </c>
      <c r="C6" s="415" t="s">
        <v>3706</v>
      </c>
      <c r="D6" s="415" t="s">
        <v>3707</v>
      </c>
      <c r="E6" s="415" t="s">
        <v>3708</v>
      </c>
      <c r="F6" s="415" t="s">
        <v>3709</v>
      </c>
      <c r="G6" s="415" t="s">
        <v>3710</v>
      </c>
      <c r="H6" s="421" t="s">
        <v>58</v>
      </c>
      <c r="I6" s="415" t="s">
        <v>3711</v>
      </c>
      <c r="J6" s="417" t="s">
        <v>3697</v>
      </c>
      <c r="K6" s="222"/>
      <c r="L6" s="222"/>
      <c r="M6" s="222"/>
      <c r="N6" s="222"/>
      <c r="O6" s="222"/>
      <c r="P6" s="222"/>
      <c r="Q6" s="222"/>
      <c r="R6" s="222"/>
      <c r="S6" s="222"/>
      <c r="T6" s="222"/>
      <c r="U6" s="222"/>
      <c r="V6" s="222"/>
      <c r="W6" s="222"/>
      <c r="X6" s="222"/>
      <c r="Y6" s="222"/>
    </row>
    <row r="7">
      <c r="A7" s="422" t="s">
        <v>3712</v>
      </c>
      <c r="B7" s="410"/>
      <c r="C7" s="410"/>
      <c r="D7" s="410"/>
      <c r="E7" s="410"/>
      <c r="F7" s="410"/>
      <c r="G7" s="410"/>
      <c r="H7" s="410"/>
      <c r="I7" s="410"/>
      <c r="J7" s="410"/>
      <c r="K7" s="222"/>
      <c r="L7" s="222"/>
      <c r="M7" s="222"/>
      <c r="N7" s="222"/>
      <c r="O7" s="222"/>
      <c r="P7" s="222"/>
      <c r="Q7" s="222"/>
      <c r="R7" s="222"/>
      <c r="S7" s="222"/>
      <c r="T7" s="222"/>
      <c r="U7" s="222"/>
      <c r="V7" s="222"/>
      <c r="W7" s="222"/>
      <c r="X7" s="222"/>
      <c r="Y7" s="222"/>
    </row>
    <row r="8">
      <c r="A8" s="418" t="s">
        <v>3713</v>
      </c>
      <c r="B8" s="419" t="s">
        <v>3607</v>
      </c>
      <c r="C8" s="419" t="s">
        <v>3699</v>
      </c>
      <c r="D8" s="419" t="s">
        <v>3714</v>
      </c>
      <c r="E8" s="419" t="s">
        <v>3715</v>
      </c>
      <c r="F8" s="419" t="s">
        <v>3716</v>
      </c>
      <c r="G8" s="419" t="s">
        <v>3717</v>
      </c>
      <c r="H8" s="416" t="s">
        <v>194</v>
      </c>
      <c r="I8" s="419" t="s">
        <v>3718</v>
      </c>
      <c r="J8" s="423" t="s">
        <v>3719</v>
      </c>
      <c r="K8" s="222"/>
      <c r="L8" s="222"/>
      <c r="M8" s="222"/>
      <c r="N8" s="222"/>
      <c r="O8" s="222"/>
      <c r="P8" s="222"/>
      <c r="Q8" s="222"/>
      <c r="R8" s="222"/>
      <c r="S8" s="222"/>
      <c r="T8" s="222"/>
      <c r="U8" s="222"/>
      <c r="V8" s="222"/>
      <c r="W8" s="222"/>
      <c r="X8" s="222"/>
      <c r="Y8" s="222"/>
    </row>
    <row r="9">
      <c r="A9" s="414" t="s">
        <v>3720</v>
      </c>
      <c r="B9" s="415" t="s">
        <v>3642</v>
      </c>
      <c r="C9" s="415" t="s">
        <v>3721</v>
      </c>
      <c r="D9" s="415" t="s">
        <v>3722</v>
      </c>
      <c r="E9" s="415" t="s">
        <v>3723</v>
      </c>
      <c r="F9" s="415" t="s">
        <v>3724</v>
      </c>
      <c r="G9" s="415" t="s">
        <v>3725</v>
      </c>
      <c r="H9" s="421" t="s">
        <v>58</v>
      </c>
      <c r="I9" s="415" t="s">
        <v>3711</v>
      </c>
      <c r="J9" s="417" t="s">
        <v>3697</v>
      </c>
      <c r="K9" s="222"/>
      <c r="L9" s="222"/>
      <c r="M9" s="222"/>
      <c r="N9" s="222"/>
      <c r="O9" s="222"/>
      <c r="P9" s="222"/>
      <c r="Q9" s="222"/>
      <c r="R9" s="222"/>
      <c r="S9" s="222"/>
      <c r="T9" s="222"/>
      <c r="U9" s="222"/>
      <c r="V9" s="222"/>
      <c r="W9" s="222"/>
      <c r="X9" s="222"/>
      <c r="Y9" s="222"/>
    </row>
    <row r="10">
      <c r="A10" s="414" t="s">
        <v>3726</v>
      </c>
      <c r="B10" s="419" t="s">
        <v>3670</v>
      </c>
      <c r="C10" s="419" t="s">
        <v>3727</v>
      </c>
      <c r="D10" s="419" t="s">
        <v>3728</v>
      </c>
      <c r="E10" s="419" t="s">
        <v>3729</v>
      </c>
      <c r="F10" s="419" t="s">
        <v>3730</v>
      </c>
      <c r="G10" s="419" t="s">
        <v>3731</v>
      </c>
      <c r="H10" s="424" t="s">
        <v>12</v>
      </c>
      <c r="I10" s="419" t="s">
        <v>3732</v>
      </c>
      <c r="J10" s="420" t="s">
        <v>3697</v>
      </c>
      <c r="K10" s="222"/>
      <c r="L10" s="222"/>
      <c r="M10" s="222"/>
      <c r="N10" s="222"/>
      <c r="O10" s="222"/>
      <c r="P10" s="222"/>
      <c r="Q10" s="222"/>
      <c r="R10" s="222"/>
      <c r="S10" s="222"/>
      <c r="T10" s="222"/>
      <c r="U10" s="222"/>
      <c r="V10" s="222"/>
      <c r="W10" s="222"/>
      <c r="X10" s="222"/>
      <c r="Y10" s="222"/>
    </row>
    <row r="11">
      <c r="A11" s="222"/>
      <c r="B11" s="222"/>
      <c r="C11" s="222"/>
      <c r="D11" s="222"/>
      <c r="E11" s="222"/>
      <c r="F11" s="222"/>
      <c r="G11" s="222"/>
      <c r="H11" s="222"/>
      <c r="I11" s="222"/>
      <c r="J11" s="222"/>
      <c r="K11" s="222"/>
      <c r="L11" s="222"/>
      <c r="M11" s="222"/>
      <c r="N11" s="222"/>
      <c r="O11" s="222"/>
      <c r="P11" s="222"/>
      <c r="Q11" s="222"/>
      <c r="R11" s="222"/>
      <c r="S11" s="222"/>
      <c r="T11" s="222"/>
      <c r="U11" s="222"/>
      <c r="V11" s="222"/>
      <c r="W11" s="222"/>
      <c r="X11" s="222"/>
      <c r="Y11" s="222"/>
    </row>
    <row r="12">
      <c r="A12" s="222"/>
      <c r="B12" s="222"/>
      <c r="C12" s="222"/>
      <c r="D12" s="222"/>
      <c r="E12" s="222"/>
      <c r="F12" s="222"/>
      <c r="G12" s="222"/>
      <c r="H12" s="222"/>
      <c r="I12" s="222"/>
      <c r="J12" s="222"/>
      <c r="K12" s="222"/>
      <c r="L12" s="222"/>
      <c r="M12" s="222"/>
      <c r="N12" s="222"/>
      <c r="O12" s="222"/>
      <c r="P12" s="222"/>
      <c r="Q12" s="222"/>
      <c r="R12" s="222"/>
      <c r="S12" s="222"/>
      <c r="T12" s="222"/>
      <c r="U12" s="222"/>
      <c r="V12" s="222"/>
      <c r="W12" s="222"/>
      <c r="X12" s="222"/>
      <c r="Y12" s="222"/>
    </row>
    <row r="13">
      <c r="A13" s="222"/>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row>
    <row r="14">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row>
    <row r="15">
      <c r="A15" s="222"/>
      <c r="B15" s="222"/>
      <c r="C15" s="222"/>
      <c r="D15" s="222"/>
      <c r="E15" s="222"/>
      <c r="F15" s="222"/>
      <c r="G15" s="222"/>
      <c r="H15" s="222"/>
      <c r="I15" s="222"/>
      <c r="J15" s="222"/>
      <c r="K15" s="222"/>
      <c r="L15" s="222"/>
      <c r="M15" s="222"/>
      <c r="N15" s="222"/>
      <c r="O15" s="222"/>
      <c r="P15" s="222"/>
      <c r="Q15" s="222"/>
      <c r="R15" s="222"/>
      <c r="S15" s="222"/>
      <c r="T15" s="222"/>
      <c r="U15" s="222"/>
      <c r="V15" s="222"/>
      <c r="W15" s="222"/>
      <c r="X15" s="222"/>
      <c r="Y15" s="222"/>
    </row>
    <row r="16">
      <c r="A16" s="222"/>
      <c r="B16" s="222"/>
      <c r="C16" s="222"/>
      <c r="D16" s="222"/>
      <c r="E16" s="222"/>
      <c r="F16" s="222"/>
      <c r="G16" s="222"/>
      <c r="H16" s="222"/>
      <c r="I16" s="222"/>
      <c r="J16" s="222"/>
      <c r="K16" s="222"/>
      <c r="L16" s="222"/>
      <c r="M16" s="222"/>
      <c r="N16" s="222"/>
      <c r="O16" s="222"/>
      <c r="P16" s="222"/>
      <c r="Q16" s="222"/>
      <c r="R16" s="222"/>
      <c r="S16" s="222"/>
      <c r="T16" s="222"/>
      <c r="U16" s="222"/>
      <c r="V16" s="222"/>
      <c r="W16" s="222"/>
      <c r="X16" s="222"/>
      <c r="Y16" s="222"/>
    </row>
    <row r="17">
      <c r="A17" s="222"/>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row>
    <row r="18">
      <c r="A18" s="222"/>
      <c r="B18" s="222"/>
      <c r="C18" s="222"/>
      <c r="D18" s="222"/>
      <c r="E18" s="222"/>
      <c r="F18" s="222"/>
      <c r="G18" s="222"/>
      <c r="H18" s="222"/>
      <c r="I18" s="222"/>
      <c r="J18" s="222"/>
      <c r="K18" s="222"/>
      <c r="L18" s="222"/>
      <c r="M18" s="222"/>
      <c r="N18" s="222"/>
      <c r="O18" s="222"/>
      <c r="P18" s="222"/>
      <c r="Q18" s="222"/>
      <c r="R18" s="222"/>
      <c r="S18" s="222"/>
      <c r="T18" s="222"/>
      <c r="U18" s="222"/>
      <c r="V18" s="222"/>
      <c r="W18" s="222"/>
      <c r="X18" s="222"/>
      <c r="Y18" s="222"/>
    </row>
    <row r="19">
      <c r="A19" s="222"/>
      <c r="B19" s="222"/>
      <c r="C19" s="222"/>
      <c r="D19" s="222"/>
      <c r="E19" s="222"/>
      <c r="F19" s="222"/>
      <c r="G19" s="222"/>
      <c r="H19" s="222"/>
      <c r="I19" s="222"/>
      <c r="J19" s="222"/>
      <c r="K19" s="222"/>
      <c r="L19" s="222"/>
      <c r="M19" s="222"/>
      <c r="N19" s="222"/>
      <c r="O19" s="222"/>
      <c r="P19" s="222"/>
      <c r="Q19" s="222"/>
      <c r="R19" s="222"/>
      <c r="S19" s="222"/>
      <c r="T19" s="222"/>
      <c r="U19" s="222"/>
      <c r="V19" s="222"/>
      <c r="W19" s="222"/>
      <c r="X19" s="222"/>
      <c r="Y19" s="222"/>
    </row>
    <row r="20">
      <c r="A20" s="222"/>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row>
    <row r="21">
      <c r="A21" s="222"/>
      <c r="B21" s="222"/>
      <c r="C21" s="222"/>
      <c r="D21" s="222"/>
      <c r="E21" s="222"/>
      <c r="F21" s="222"/>
      <c r="G21" s="222"/>
      <c r="H21" s="222"/>
      <c r="I21" s="222"/>
      <c r="J21" s="222"/>
      <c r="K21" s="222"/>
      <c r="L21" s="222"/>
      <c r="M21" s="222"/>
      <c r="N21" s="222"/>
      <c r="O21" s="222"/>
      <c r="P21" s="222"/>
      <c r="Q21" s="222"/>
      <c r="R21" s="222"/>
      <c r="S21" s="222"/>
      <c r="T21" s="222"/>
      <c r="U21" s="222"/>
      <c r="V21" s="222"/>
      <c r="W21" s="222"/>
      <c r="X21" s="222"/>
      <c r="Y21" s="222"/>
    </row>
    <row r="22">
      <c r="A22" s="222"/>
      <c r="B22" s="222"/>
      <c r="C22" s="222"/>
      <c r="D22" s="222"/>
      <c r="E22" s="222"/>
      <c r="F22" s="222"/>
      <c r="G22" s="222"/>
      <c r="H22" s="222"/>
      <c r="I22" s="222"/>
      <c r="J22" s="222"/>
      <c r="K22" s="222"/>
      <c r="L22" s="222"/>
      <c r="M22" s="222"/>
      <c r="N22" s="222"/>
      <c r="O22" s="222"/>
      <c r="P22" s="222"/>
      <c r="Q22" s="222"/>
      <c r="R22" s="222"/>
      <c r="S22" s="222"/>
      <c r="T22" s="222"/>
      <c r="U22" s="222"/>
      <c r="V22" s="222"/>
      <c r="W22" s="222"/>
      <c r="X22" s="222"/>
      <c r="Y22" s="222"/>
    </row>
    <row r="23">
      <c r="A23" s="222"/>
      <c r="B23" s="222"/>
      <c r="C23" s="222"/>
      <c r="D23" s="222"/>
      <c r="E23" s="222"/>
      <c r="F23" s="222"/>
      <c r="G23" s="222"/>
      <c r="H23" s="222"/>
      <c r="I23" s="222"/>
      <c r="J23" s="222"/>
      <c r="K23" s="222"/>
      <c r="L23" s="222"/>
      <c r="M23" s="222"/>
      <c r="N23" s="222"/>
      <c r="O23" s="222"/>
      <c r="P23" s="222"/>
      <c r="Q23" s="222"/>
      <c r="R23" s="222"/>
      <c r="S23" s="222"/>
      <c r="T23" s="222"/>
      <c r="U23" s="222"/>
      <c r="V23" s="222"/>
      <c r="W23" s="222"/>
      <c r="X23" s="222"/>
      <c r="Y23" s="222"/>
    </row>
    <row r="24">
      <c r="A24" s="222"/>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row>
    <row r="25">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row>
    <row r="26">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row>
    <row r="27">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row>
    <row r="28">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row>
    <row r="29">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row>
    <row r="30">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row>
    <row r="3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row>
    <row r="32">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row>
    <row r="33">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row>
    <row r="34">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row>
    <row r="35">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row>
    <row r="36">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row>
    <row r="37">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row>
    <row r="38">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row>
    <row r="39">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row>
    <row r="40">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row>
    <row r="4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row>
    <row r="42">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row>
    <row r="43">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row>
    <row r="44">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row>
    <row r="45">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row>
    <row r="46">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row>
    <row r="47">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row>
    <row r="48">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row>
    <row r="49">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row>
    <row r="50">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row>
    <row r="5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row>
    <row r="52">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row>
    <row r="53">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row>
    <row r="54">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row>
    <row r="55">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row>
    <row r="56">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row>
    <row r="57">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row>
    <row r="58">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row>
    <row r="59">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row>
    <row r="60">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row>
    <row r="6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row>
    <row r="62">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row>
    <row r="63">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row>
    <row r="64">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row>
    <row r="65">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row>
    <row r="66">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row>
    <row r="67">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row>
    <row r="68">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row>
    <row r="69">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row>
    <row r="70">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row>
    <row r="7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row>
    <row r="72">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row>
    <row r="73">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row>
    <row r="74">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row>
    <row r="75">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row>
    <row r="76">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row>
    <row r="77">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row>
    <row r="78">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row>
    <row r="79">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row>
    <row r="80">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row>
    <row r="8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row>
    <row r="82">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row>
    <row r="83">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row>
    <row r="84">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row>
    <row r="85">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row>
    <row r="86">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row>
    <row r="87">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row>
    <row r="88">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row>
    <row r="89">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row>
    <row r="90">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row>
    <row r="9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row>
    <row r="92">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row>
    <row r="93">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row>
    <row r="94">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row>
    <row r="95">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row>
    <row r="96">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row>
    <row r="97">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row>
    <row r="98">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row>
    <row r="99">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row>
    <row r="100">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row>
    <row r="10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row>
    <row r="102">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row>
    <row r="103">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row>
    <row r="104">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row>
    <row r="105">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row>
    <row r="106">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row>
    <row r="107">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row>
    <row r="108">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row>
    <row r="109">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row>
    <row r="110">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row>
    <row r="11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row>
    <row r="112">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row>
    <row r="113">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row>
    <row r="114">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row>
    <row r="115">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row>
    <row r="116">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row>
    <row r="117">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row>
    <row r="118">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row>
    <row r="119">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row>
    <row r="120">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row>
    <row r="12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row>
    <row r="122">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row>
    <row r="123">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row>
    <row r="124">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row>
    <row r="125">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row>
    <row r="126">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row>
    <row r="127">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row>
    <row r="128">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row>
    <row r="129">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row>
    <row r="130">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row>
    <row r="13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row>
    <row r="132">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row>
    <row r="133">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row>
    <row r="134">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row>
    <row r="135">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row>
    <row r="136">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row>
    <row r="137">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row>
    <row r="138">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row>
    <row r="139">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row>
    <row r="140">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row>
    <row r="14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row>
    <row r="142">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row>
    <row r="143">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row>
    <row r="144">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row>
    <row r="145">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row>
    <row r="146">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row>
    <row r="147">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row>
    <row r="148">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row>
    <row r="149">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row>
    <row r="150">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row>
    <row r="15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row>
    <row r="152">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row>
    <row r="153">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row>
    <row r="154">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row>
    <row r="155">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row>
    <row r="156">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row>
    <row r="157">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row>
    <row r="158">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row>
    <row r="159">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row>
    <row r="160">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row>
    <row r="16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row>
    <row r="162">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row>
    <row r="163">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row>
    <row r="164">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row>
    <row r="165">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row>
    <row r="166">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row>
    <row r="167">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row>
    <row r="168">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row>
    <row r="169">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row>
    <row r="170">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row>
    <row r="17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row>
    <row r="172">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row>
    <row r="173">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row>
    <row r="174">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row>
    <row r="175">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row>
    <row r="176">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row>
    <row r="177">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row>
    <row r="178">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row>
    <row r="179">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row>
    <row r="180">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row>
    <row r="18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row>
    <row r="182">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row>
    <row r="183">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row>
    <row r="184">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row>
    <row r="185">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row>
    <row r="186">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row>
    <row r="187">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row>
    <row r="188">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row>
    <row r="189">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row>
    <row r="190">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row>
    <row r="19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row>
    <row r="192">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row>
    <row r="193">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row>
    <row r="194">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row>
    <row r="195">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row>
    <row r="196">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row>
    <row r="197">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row>
    <row r="198">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row>
    <row r="199">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row>
    <row r="200">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row>
    <row r="20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row>
    <row r="202">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row>
    <row r="203">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row>
    <row r="204">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row>
    <row r="205">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row>
    <row r="206">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row>
    <row r="207">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row>
    <row r="208">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row>
    <row r="209">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row>
    <row r="210">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row>
    <row r="21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row>
    <row r="212">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row>
    <row r="213">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row>
    <row r="214">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row>
    <row r="215">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row>
    <row r="216">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row>
    <row r="217">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row>
    <row r="218">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row>
    <row r="219">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row>
    <row r="220">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row>
    <row r="22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row>
    <row r="222">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row>
    <row r="223">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row>
    <row r="224">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row>
    <row r="225">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row>
    <row r="226">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row>
    <row r="227">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row>
    <row r="228">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row>
    <row r="229">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row>
    <row r="230">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row>
    <row r="23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row>
    <row r="232">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row>
    <row r="233">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row>
    <row r="234">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row>
    <row r="235">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row>
    <row r="236">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row>
    <row r="237">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row>
    <row r="238">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row>
    <row r="239">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row>
    <row r="240">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row>
    <row r="24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row>
    <row r="242">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row>
    <row r="243">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row>
    <row r="244">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row>
    <row r="245">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row>
    <row r="246">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row>
    <row r="247">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row>
    <row r="248">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row>
    <row r="249">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row>
    <row r="250">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row>
    <row r="25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row>
    <row r="252">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row>
    <row r="253">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row>
    <row r="254">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row>
    <row r="255">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row>
    <row r="256">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row>
    <row r="257">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row>
    <row r="258">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row>
    <row r="259">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row>
    <row r="260">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row>
    <row r="26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row>
    <row r="262">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row>
    <row r="263">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row>
    <row r="264">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row>
    <row r="265">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row>
    <row r="266">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row>
    <row r="267">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row>
    <row r="268">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row>
    <row r="269">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row>
    <row r="270">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row>
    <row r="27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row>
    <row r="272">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row>
    <row r="273">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row>
    <row r="274">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row>
    <row r="275">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row>
    <row r="276">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row>
    <row r="277">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row>
    <row r="278">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row>
    <row r="279">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row>
    <row r="280">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row>
    <row r="28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row>
    <row r="28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row>
    <row r="283">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row>
    <row r="284">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row>
    <row r="285">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row>
    <row r="286">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row>
    <row r="287">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row>
    <row r="288">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row>
    <row r="289">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row>
    <row r="290">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row>
    <row r="29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row>
    <row r="292">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row>
    <row r="293">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row>
    <row r="294">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row>
    <row r="295">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row>
    <row r="296">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row>
    <row r="297">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row>
    <row r="298">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row>
    <row r="299">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row>
    <row r="300">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row>
    <row r="30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row>
    <row r="302">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row>
    <row r="303">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row>
    <row r="304">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row>
    <row r="305">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row>
    <row r="306">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row>
    <row r="307">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row>
    <row r="308">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row>
    <row r="309">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row>
    <row r="310">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row>
    <row r="31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row>
    <row r="312">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row>
    <row r="313">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row>
    <row r="314">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row>
    <row r="315">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row>
    <row r="316">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row>
    <row r="317">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row>
    <row r="318">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row>
    <row r="319">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row>
    <row r="320">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row>
    <row r="32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row>
    <row r="322">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row>
    <row r="323">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row>
    <row r="324">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row>
    <row r="325">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row>
    <row r="326">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row>
    <row r="327">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row>
    <row r="328">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row>
    <row r="329">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row>
    <row r="330">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row>
    <row r="33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row>
    <row r="332">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row>
    <row r="333">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row>
    <row r="334">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row>
    <row r="335">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row>
    <row r="336">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row>
    <row r="337">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row>
    <row r="338">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row>
    <row r="339">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row>
    <row r="340">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row>
    <row r="34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row>
    <row r="342">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row>
    <row r="343">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row>
    <row r="344">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row>
    <row r="345">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row>
    <row r="346">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row>
    <row r="347">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row>
    <row r="348">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row>
    <row r="349">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row>
    <row r="350">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row>
    <row r="35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row>
    <row r="352">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row>
    <row r="353">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row>
    <row r="354">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row>
    <row r="355">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row>
    <row r="356">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row>
    <row r="357">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row>
    <row r="358">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row>
    <row r="359">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row>
    <row r="360">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row>
    <row r="36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row>
    <row r="362">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row>
    <row r="363">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row>
    <row r="364">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row>
    <row r="365">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row>
    <row r="366">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row>
    <row r="367">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row>
    <row r="368">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row>
    <row r="369">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row>
    <row r="370">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row>
    <row r="37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row>
    <row r="372">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row>
    <row r="373">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row>
    <row r="374">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row>
    <row r="375">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row>
    <row r="376">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row>
    <row r="377">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row>
    <row r="378">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row>
    <row r="379">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row>
    <row r="380">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row>
    <row r="38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row>
    <row r="382">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row>
    <row r="383">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row>
    <row r="384">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row>
    <row r="385">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row>
    <row r="386">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row>
    <row r="387">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row>
    <row r="388">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row>
    <row r="389">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row>
    <row r="390">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row>
    <row r="39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row>
    <row r="392">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row>
    <row r="393">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row>
    <row r="394">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row>
    <row r="395">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row>
    <row r="396">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row>
    <row r="397">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row>
    <row r="398">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row>
    <row r="399">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row>
    <row r="400">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row>
    <row r="40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row>
    <row r="402">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row>
    <row r="403">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row>
    <row r="404">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row>
    <row r="405">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row>
    <row r="406">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row>
    <row r="407">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row>
    <row r="408">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row>
    <row r="409">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row>
    <row r="410">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row>
    <row r="41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row>
    <row r="412">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row>
    <row r="413">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row>
    <row r="414">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row>
    <row r="415">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row>
    <row r="416">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row>
    <row r="417">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row>
    <row r="418">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row>
    <row r="419">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row>
    <row r="420">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row>
    <row r="42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row>
    <row r="422">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row>
    <row r="423">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row>
    <row r="424">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row>
    <row r="425">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row>
    <row r="426">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row>
    <row r="427">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row>
    <row r="428">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row>
    <row r="429">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row>
    <row r="430">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row>
    <row r="43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row>
    <row r="432">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row>
    <row r="433">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row>
    <row r="434">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row>
    <row r="435">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row>
    <row r="436">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row>
    <row r="437">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row>
    <row r="438">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row>
    <row r="439">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row>
    <row r="440">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row>
    <row r="44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row>
    <row r="442">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row>
    <row r="443">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row>
    <row r="444">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row>
    <row r="445">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row>
    <row r="446">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row>
    <row r="447">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row>
    <row r="448">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row>
    <row r="449">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row>
    <row r="450">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row>
    <row r="45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row>
    <row r="452">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row>
    <row r="453">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row>
    <row r="454">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row>
    <row r="455">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row>
    <row r="456">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row>
    <row r="457">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row>
    <row r="458">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row>
    <row r="459">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row>
    <row r="460">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row>
    <row r="46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row>
    <row r="462">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row>
    <row r="463">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row>
    <row r="464">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row>
    <row r="465">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row>
    <row r="466">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row>
    <row r="467">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row>
    <row r="468">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row>
    <row r="469">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row>
    <row r="470">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row>
    <row r="47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row>
    <row r="472">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row>
    <row r="473">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row>
    <row r="474">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row>
    <row r="475">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row>
    <row r="476">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row>
    <row r="477">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row>
    <row r="478">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row>
    <row r="479">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row>
    <row r="480">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row>
    <row r="48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row>
    <row r="482">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row>
    <row r="483">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row>
    <row r="484">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row>
    <row r="485">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row>
    <row r="486">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row>
    <row r="487">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row>
    <row r="488">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row>
    <row r="489">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row>
    <row r="490">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row>
    <row r="49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row>
    <row r="492">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row>
    <row r="493">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row>
    <row r="494">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row>
    <row r="495">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row>
    <row r="496">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row>
    <row r="497">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row>
    <row r="498">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row>
    <row r="499">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row>
    <row r="500">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row>
    <row r="50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row>
    <row r="502">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row>
    <row r="503">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row>
    <row r="504">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row>
    <row r="505">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row>
    <row r="506">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row>
    <row r="507">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row>
    <row r="508">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row>
    <row r="509">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row>
    <row r="510">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row>
    <row r="51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row>
    <row r="512">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row>
    <row r="513">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row>
    <row r="514">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row>
    <row r="515">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row>
    <row r="516">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row>
    <row r="517">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row>
    <row r="518">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row>
    <row r="519">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row>
    <row r="520">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row>
    <row r="52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row>
    <row r="522">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row>
    <row r="523">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row>
    <row r="524">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row>
    <row r="525">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row>
    <row r="526">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row>
    <row r="527">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row>
    <row r="528">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row>
    <row r="529">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row>
    <row r="530">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row>
    <row r="53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row>
    <row r="532">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row>
    <row r="533">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row>
    <row r="534">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row>
    <row r="535">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row>
    <row r="536">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row>
    <row r="537">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row>
    <row r="538">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row>
    <row r="539">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row>
    <row r="540">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row>
    <row r="54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row>
    <row r="542">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row>
    <row r="543">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row>
    <row r="544">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row>
    <row r="545">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row>
    <row r="546">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row>
    <row r="547">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row>
    <row r="548">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row>
    <row r="549">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row>
    <row r="550">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row>
    <row r="55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row>
    <row r="552">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row>
    <row r="553">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row>
    <row r="554">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row>
    <row r="555">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row>
    <row r="556">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row>
    <row r="557">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row>
    <row r="558">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row>
    <row r="559">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row>
    <row r="560">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row>
    <row r="56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row>
    <row r="562">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row>
    <row r="563">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row>
    <row r="564">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row>
    <row r="565">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row>
    <row r="566">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row>
    <row r="567">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row>
    <row r="568">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row>
    <row r="569">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row>
    <row r="570">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row>
    <row r="57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row>
    <row r="572">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row>
    <row r="573">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row>
    <row r="574">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row>
    <row r="575">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row>
    <row r="576">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row>
    <row r="577">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row>
    <row r="578">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row>
    <row r="579">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row>
    <row r="580">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row>
    <row r="58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row>
    <row r="582">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row>
    <row r="583">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row>
    <row r="584">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row>
    <row r="585">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row>
    <row r="586">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row>
    <row r="587">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row>
    <row r="588">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row>
    <row r="589">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row>
    <row r="590">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row>
    <row r="59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row>
    <row r="592">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row>
    <row r="593">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row>
    <row r="594">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row>
    <row r="595">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row>
    <row r="596">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row>
    <row r="597">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row>
    <row r="598">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row>
    <row r="599">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row>
    <row r="600">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row>
    <row r="60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row>
    <row r="602">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row>
    <row r="603">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row>
    <row r="604">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row>
    <row r="605">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row>
    <row r="606">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row>
    <row r="607">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row>
    <row r="608">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row>
    <row r="609">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row>
    <row r="610">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row>
    <row r="61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row>
    <row r="612">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row>
    <row r="613">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row>
    <row r="614">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row>
    <row r="615">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row>
    <row r="616">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row>
    <row r="617">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row>
    <row r="618">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row>
    <row r="619">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row>
    <row r="620">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row>
    <row r="62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row>
    <row r="622">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row>
    <row r="623">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row>
    <row r="624">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row>
    <row r="625">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row>
    <row r="626">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row>
    <row r="627">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row>
    <row r="628">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row>
    <row r="629">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row>
    <row r="630">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row>
    <row r="63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row>
    <row r="632">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row>
    <row r="633">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row>
    <row r="634">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row>
    <row r="635">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row>
    <row r="636">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row>
    <row r="637">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row>
    <row r="638">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row>
    <row r="639">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row>
    <row r="640">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row>
    <row r="64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row>
    <row r="642">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row>
    <row r="643">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row>
    <row r="644">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row>
    <row r="645">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row>
    <row r="646">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row>
    <row r="647">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row>
    <row r="648">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row>
    <row r="649">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row>
    <row r="650">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row>
    <row r="65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row>
    <row r="652">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row>
    <row r="653">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row>
    <row r="654">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row>
    <row r="655">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row>
    <row r="656">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row>
    <row r="657">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row>
    <row r="658">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row>
    <row r="659">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row>
    <row r="660">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row>
    <row r="66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row>
    <row r="662">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row>
    <row r="663">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row>
    <row r="664">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row>
    <row r="665">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row>
    <row r="666">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row>
    <row r="667">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row>
    <row r="668">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row>
    <row r="669">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row>
    <row r="670">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row>
    <row r="67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row>
    <row r="672">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row>
    <row r="673">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row>
    <row r="674">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row>
    <row r="675">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row>
    <row r="676">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row>
    <row r="677">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row>
    <row r="678">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row>
    <row r="679">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row>
    <row r="680">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row>
    <row r="68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row>
    <row r="682">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row>
    <row r="683">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row>
    <row r="684">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row>
    <row r="685">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row>
    <row r="686">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row>
    <row r="687">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row>
    <row r="688">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row>
    <row r="689">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row>
    <row r="690">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row>
    <row r="69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row>
    <row r="692">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row>
    <row r="693">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row>
    <row r="694">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row>
    <row r="695">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row>
    <row r="696">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row>
    <row r="697">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row>
    <row r="698">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row>
    <row r="699">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row>
    <row r="700">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row>
    <row r="70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row>
    <row r="702">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row>
    <row r="703">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row>
    <row r="704">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row>
    <row r="705">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row>
    <row r="706">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row>
    <row r="707">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row>
    <row r="708">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row>
    <row r="709">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row>
    <row r="710">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row>
    <row r="71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row>
    <row r="712">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row>
    <row r="713">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row>
    <row r="714">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row>
    <row r="715">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row>
    <row r="716">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row>
    <row r="717">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row>
    <row r="718">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row>
    <row r="719">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row>
    <row r="720">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row>
    <row r="72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row>
    <row r="722">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row>
    <row r="723">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row>
    <row r="724">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row>
    <row r="725">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row>
    <row r="726">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row>
    <row r="727">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row>
    <row r="728">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row>
    <row r="729">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row>
    <row r="730">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row>
    <row r="73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row>
    <row r="732">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row>
    <row r="733">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row>
    <row r="734">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row>
    <row r="735">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row>
    <row r="736">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row>
    <row r="737">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row>
    <row r="738">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row>
    <row r="739">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row>
    <row r="740">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row>
    <row r="74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row>
    <row r="742">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row>
    <row r="743">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row>
    <row r="744">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row>
    <row r="745">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row>
    <row r="746">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row>
    <row r="747">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row>
    <row r="748">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row>
    <row r="749">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row>
    <row r="750">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row>
    <row r="75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row>
    <row r="752">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row>
    <row r="753">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row>
    <row r="754">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row>
    <row r="755">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row>
    <row r="756">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row>
    <row r="757">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row>
    <row r="758">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row>
    <row r="759">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row>
    <row r="760">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row>
    <row r="76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row>
    <row r="762">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row>
    <row r="763">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row>
    <row r="764">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row>
    <row r="765">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row>
    <row r="766">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row>
    <row r="767">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row>
    <row r="768">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row>
    <row r="769">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row>
    <row r="770">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row>
    <row r="77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row>
    <row r="772">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row>
    <row r="773">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row>
    <row r="774">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row>
    <row r="775">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row>
    <row r="776">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row>
    <row r="777">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row>
    <row r="778">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row>
    <row r="779">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row>
    <row r="780">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row>
    <row r="78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row>
    <row r="782">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row>
    <row r="783">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row>
    <row r="784">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row>
    <row r="785">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row>
    <row r="786">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row>
    <row r="787">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row>
    <row r="788">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row>
    <row r="789">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row>
    <row r="790">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row>
    <row r="79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row>
    <row r="792">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row>
    <row r="793">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row>
    <row r="794">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row>
    <row r="795">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row>
    <row r="796">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row>
    <row r="797">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row>
    <row r="798">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row>
    <row r="799">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row>
    <row r="800">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row>
    <row r="80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row>
    <row r="802">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row>
    <row r="803">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row>
    <row r="804">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row>
    <row r="805">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row>
    <row r="806">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row>
    <row r="807">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row>
    <row r="808">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row>
    <row r="809">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row>
    <row r="810">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row>
    <row r="81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row>
    <row r="812">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row>
    <row r="813">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row>
    <row r="814">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row>
    <row r="815">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row>
    <row r="816">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row>
    <row r="817">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row>
    <row r="818">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row>
    <row r="819">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row>
    <row r="820">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row>
    <row r="82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row>
    <row r="822">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row>
    <row r="823">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row>
    <row r="824">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row>
    <row r="825">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row>
    <row r="826">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row>
    <row r="827">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row>
    <row r="828">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row>
    <row r="829">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row>
    <row r="830">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row>
    <row r="83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row>
    <row r="832">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row>
    <row r="833">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row>
    <row r="834">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row>
    <row r="835">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row>
    <row r="836">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row>
    <row r="837">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row>
    <row r="838">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row>
    <row r="839">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row>
    <row r="840">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row>
    <row r="84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row>
    <row r="842">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row>
    <row r="843">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row>
    <row r="844">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row>
    <row r="845">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row>
    <row r="846">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row>
    <row r="847">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row>
    <row r="848">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row>
    <row r="849">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row>
    <row r="850">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row>
    <row r="85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row>
    <row r="852">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row>
    <row r="853">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row>
    <row r="854">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row>
    <row r="855">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row>
    <row r="856">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row>
    <row r="857">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row>
    <row r="858">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row>
    <row r="859">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row>
    <row r="860">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row>
    <row r="86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row>
    <row r="862">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row>
    <row r="863">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row>
    <row r="864">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row>
    <row r="865">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row>
    <row r="866">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row>
    <row r="867">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row>
    <row r="868">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row>
    <row r="869">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row>
    <row r="870">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row>
    <row r="87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row>
    <row r="872">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row>
    <row r="873">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row>
    <row r="874">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row>
    <row r="875">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row>
    <row r="876">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row>
    <row r="877">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row>
    <row r="878">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row>
    <row r="879">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row>
    <row r="880">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row>
    <row r="88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row>
    <row r="882">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row>
    <row r="883">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row>
    <row r="884">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row>
    <row r="885">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row>
    <row r="886">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row>
    <row r="887">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row>
    <row r="888">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row>
    <row r="889">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row>
    <row r="890">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row>
    <row r="89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row>
    <row r="892">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row>
    <row r="893">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row>
    <row r="894">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row>
    <row r="895">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row>
    <row r="896">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row>
    <row r="897">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row>
    <row r="898">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row>
    <row r="899">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row>
    <row r="900">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row>
    <row r="90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row>
    <row r="902">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row>
    <row r="903">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row>
    <row r="904">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row>
    <row r="905">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row>
    <row r="906">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row>
    <row r="907">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row>
    <row r="908">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row>
    <row r="909">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row>
    <row r="910">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row>
    <row r="91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row>
    <row r="912">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row>
    <row r="913">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row>
    <row r="914">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row>
    <row r="915">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row>
    <row r="916">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row>
    <row r="917">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row>
    <row r="918">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row>
    <row r="919">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row>
    <row r="920">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row>
    <row r="92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row>
    <row r="922">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row>
    <row r="923">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row>
    <row r="924">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row>
    <row r="925">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row>
    <row r="926">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row>
    <row r="927">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row>
    <row r="928">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row>
    <row r="929">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row>
    <row r="930">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row>
    <row r="93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row>
    <row r="932">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row>
    <row r="933">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row>
    <row r="934">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row>
    <row r="935">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row>
    <row r="936">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row>
    <row r="937">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row>
    <row r="938">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row>
    <row r="939">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row>
    <row r="940">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row>
    <row r="94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row>
    <row r="942">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row>
    <row r="943">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row>
    <row r="944">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row>
    <row r="945">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row>
    <row r="946">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row>
    <row r="947">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row>
    <row r="948">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row>
    <row r="949">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row>
    <row r="950">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row>
    <row r="95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row>
    <row r="952">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row>
    <row r="953">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row>
    <row r="954">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row>
    <row r="955">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row>
    <row r="956">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row>
    <row r="957">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row>
    <row r="958">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row>
    <row r="959">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row>
    <row r="960">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row>
    <row r="96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row>
    <row r="962">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row>
    <row r="963">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row>
    <row r="964">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row>
    <row r="965">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row>
    <row r="966">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row>
    <row r="967">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row>
    <row r="968">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row>
    <row r="969">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row>
    <row r="970">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row>
    <row r="97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row>
    <row r="972">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row>
    <row r="973">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row>
    <row r="974">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row>
    <row r="975">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row>
    <row r="976">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row>
    <row r="977">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row>
    <row r="978">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row>
    <row r="979">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row>
    <row r="980">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row>
    <row r="98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row>
    <row r="982">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row>
    <row r="983">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row>
    <row r="984">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row>
    <row r="985">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row>
    <row r="986">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row>
    <row r="987">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row>
    <row r="988">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row>
    <row r="989">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row>
    <row r="990">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row>
    <row r="991">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row>
    <row r="992">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row>
    <row r="993">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row>
    <row r="994">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row>
  </sheetData>
  <mergeCells count="3">
    <mergeCell ref="A1:J1"/>
    <mergeCell ref="A3:J3"/>
    <mergeCell ref="A7:J7"/>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5" t="s">
        <v>3733</v>
      </c>
    </row>
    <row r="2">
      <c r="A2" s="426"/>
      <c r="B2" s="426"/>
      <c r="C2" s="426"/>
      <c r="D2" s="426"/>
      <c r="E2" s="426"/>
      <c r="F2" s="426"/>
      <c r="G2" s="426"/>
      <c r="H2" s="426"/>
    </row>
    <row r="3">
      <c r="A3" s="427" t="s">
        <v>3734</v>
      </c>
    </row>
    <row r="4">
      <c r="A4" s="300" t="s">
        <v>3735</v>
      </c>
      <c r="B4" s="300" t="s">
        <v>3736</v>
      </c>
      <c r="C4" s="300" t="s">
        <v>3454</v>
      </c>
      <c r="D4" s="300" t="s">
        <v>3737</v>
      </c>
      <c r="E4" s="300" t="s">
        <v>3738</v>
      </c>
      <c r="F4" s="428"/>
      <c r="G4" s="428"/>
      <c r="H4" s="428"/>
    </row>
    <row r="5">
      <c r="A5" s="429" t="s">
        <v>3739</v>
      </c>
      <c r="B5" s="429" t="s">
        <v>3740</v>
      </c>
      <c r="C5" s="429" t="s">
        <v>3741</v>
      </c>
      <c r="D5" s="429" t="s">
        <v>3742</v>
      </c>
      <c r="E5" s="429" t="s">
        <v>3743</v>
      </c>
      <c r="F5" s="428"/>
      <c r="G5" s="428"/>
      <c r="H5" s="428"/>
    </row>
    <row r="6">
      <c r="A6" s="430" t="s">
        <v>3744</v>
      </c>
      <c r="B6" s="430" t="s">
        <v>3745</v>
      </c>
      <c r="C6" s="430" t="s">
        <v>3746</v>
      </c>
      <c r="D6" s="430" t="s">
        <v>3747</v>
      </c>
      <c r="E6" s="430" t="s">
        <v>3748</v>
      </c>
      <c r="F6" s="428"/>
      <c r="G6" s="428"/>
      <c r="H6" s="428"/>
    </row>
    <row r="7">
      <c r="A7" s="429" t="s">
        <v>3749</v>
      </c>
      <c r="B7" s="429" t="s">
        <v>3750</v>
      </c>
      <c r="C7" s="429" t="s">
        <v>3528</v>
      </c>
      <c r="D7" s="429" t="s">
        <v>3751</v>
      </c>
      <c r="E7" s="429" t="s">
        <v>3752</v>
      </c>
      <c r="F7" s="428"/>
      <c r="G7" s="428"/>
      <c r="H7" s="428"/>
    </row>
    <row r="8">
      <c r="A8" s="431" t="s">
        <v>3299</v>
      </c>
      <c r="B8" s="432"/>
      <c r="C8" s="432"/>
      <c r="D8" s="431" t="s">
        <v>3753</v>
      </c>
      <c r="E8" s="431" t="s">
        <v>3754</v>
      </c>
      <c r="F8" s="428"/>
      <c r="G8" s="428"/>
      <c r="H8" s="428"/>
    </row>
    <row r="9">
      <c r="A9" s="426"/>
      <c r="B9" s="426"/>
      <c r="C9" s="426"/>
      <c r="D9" s="426"/>
      <c r="E9" s="426"/>
      <c r="F9" s="426"/>
      <c r="G9" s="426"/>
      <c r="H9" s="426"/>
    </row>
    <row r="10">
      <c r="A10" s="433" t="s">
        <v>3755</v>
      </c>
    </row>
    <row r="11">
      <c r="A11" s="434" t="s">
        <v>3735</v>
      </c>
      <c r="B11" s="434" t="s">
        <v>3278</v>
      </c>
      <c r="C11" s="434" t="s">
        <v>194</v>
      </c>
      <c r="D11" s="434" t="s">
        <v>58</v>
      </c>
      <c r="E11" s="434" t="s">
        <v>12</v>
      </c>
      <c r="F11" s="434" t="s">
        <v>51</v>
      </c>
      <c r="G11" s="426"/>
      <c r="H11" s="426"/>
    </row>
    <row r="12">
      <c r="A12" s="435" t="s">
        <v>3739</v>
      </c>
      <c r="B12" s="435">
        <v>8.0</v>
      </c>
      <c r="C12" s="435">
        <v>1.0</v>
      </c>
      <c r="D12" s="435">
        <v>5.0</v>
      </c>
      <c r="E12" s="435">
        <v>2.0</v>
      </c>
      <c r="F12" s="435">
        <v>0.0</v>
      </c>
      <c r="G12" s="426"/>
      <c r="H12" s="426"/>
    </row>
    <row r="13">
      <c r="A13" s="436" t="s">
        <v>3744</v>
      </c>
      <c r="B13" s="436">
        <v>9.0</v>
      </c>
      <c r="C13" s="436">
        <v>3.0</v>
      </c>
      <c r="D13" s="436">
        <v>5.0</v>
      </c>
      <c r="E13" s="436">
        <v>1.0</v>
      </c>
      <c r="F13" s="436">
        <v>0.0</v>
      </c>
      <c r="G13" s="426"/>
      <c r="H13" s="426"/>
    </row>
    <row r="14">
      <c r="A14" s="435" t="s">
        <v>3749</v>
      </c>
      <c r="B14" s="435">
        <v>10.0</v>
      </c>
      <c r="C14" s="435">
        <v>0.0</v>
      </c>
      <c r="D14" s="435">
        <v>2.0</v>
      </c>
      <c r="E14" s="435">
        <v>6.0</v>
      </c>
      <c r="F14" s="435">
        <v>2.0</v>
      </c>
      <c r="G14" s="426"/>
      <c r="H14" s="426"/>
    </row>
    <row r="15">
      <c r="A15" s="437" t="s">
        <v>3405</v>
      </c>
      <c r="B15" s="437">
        <v>27.0</v>
      </c>
      <c r="C15" s="437">
        <v>4.0</v>
      </c>
      <c r="D15" s="437">
        <v>12.0</v>
      </c>
      <c r="E15" s="437">
        <v>9.0</v>
      </c>
      <c r="F15" s="437">
        <v>2.0</v>
      </c>
      <c r="G15" s="426"/>
      <c r="H15" s="426"/>
    </row>
    <row r="16">
      <c r="A16" s="426"/>
      <c r="B16" s="426"/>
      <c r="C16" s="426"/>
      <c r="D16" s="426"/>
      <c r="E16" s="426"/>
      <c r="F16" s="426"/>
      <c r="G16" s="426"/>
      <c r="H16" s="426"/>
    </row>
    <row r="17">
      <c r="A17" s="433" t="s">
        <v>3756</v>
      </c>
    </row>
    <row r="18">
      <c r="A18" s="434" t="s">
        <v>3735</v>
      </c>
      <c r="B18" s="434" t="s">
        <v>3299</v>
      </c>
      <c r="C18" s="434" t="s">
        <v>16</v>
      </c>
      <c r="D18" s="434" t="s">
        <v>11</v>
      </c>
      <c r="E18" s="434" t="s">
        <v>3757</v>
      </c>
      <c r="F18" s="434" t="s">
        <v>2725</v>
      </c>
      <c r="G18" s="426"/>
      <c r="H18" s="426"/>
    </row>
    <row r="19">
      <c r="A19" s="435" t="s">
        <v>3739</v>
      </c>
      <c r="B19" s="435">
        <v>8.0</v>
      </c>
      <c r="C19" s="435">
        <v>5.0</v>
      </c>
      <c r="D19" s="435">
        <v>3.0</v>
      </c>
      <c r="E19" s="435">
        <v>0.0</v>
      </c>
      <c r="F19" s="435">
        <v>0.0</v>
      </c>
      <c r="G19" s="426"/>
      <c r="H19" s="426"/>
    </row>
    <row r="20">
      <c r="A20" s="436" t="s">
        <v>3744</v>
      </c>
      <c r="B20" s="436">
        <v>9.0</v>
      </c>
      <c r="C20" s="436">
        <v>6.0</v>
      </c>
      <c r="D20" s="436">
        <v>3.0</v>
      </c>
      <c r="E20" s="436">
        <v>0.0</v>
      </c>
      <c r="F20" s="436">
        <v>0.0</v>
      </c>
      <c r="G20" s="426"/>
      <c r="H20" s="426"/>
    </row>
    <row r="21">
      <c r="A21" s="435" t="s">
        <v>3749</v>
      </c>
      <c r="B21" s="435">
        <v>10.0</v>
      </c>
      <c r="C21" s="435">
        <v>10.0</v>
      </c>
      <c r="D21" s="435">
        <v>0.0</v>
      </c>
      <c r="E21" s="435">
        <v>0.0</v>
      </c>
      <c r="F21" s="435">
        <v>0.0</v>
      </c>
      <c r="G21" s="426"/>
      <c r="H21" s="426"/>
    </row>
    <row r="22">
      <c r="A22" s="437" t="s">
        <v>3405</v>
      </c>
      <c r="B22" s="437">
        <v>27.0</v>
      </c>
      <c r="C22" s="437">
        <v>21.0</v>
      </c>
      <c r="D22" s="437">
        <v>6.0</v>
      </c>
      <c r="E22" s="437">
        <v>0.0</v>
      </c>
      <c r="F22" s="437">
        <v>0.0</v>
      </c>
      <c r="G22" s="426"/>
      <c r="H22" s="426"/>
    </row>
    <row r="23">
      <c r="A23" s="426"/>
      <c r="B23" s="426"/>
      <c r="C23" s="426"/>
      <c r="D23" s="426"/>
      <c r="E23" s="426"/>
      <c r="F23" s="426"/>
      <c r="G23" s="426"/>
      <c r="H23" s="426"/>
    </row>
    <row r="24">
      <c r="A24" s="438" t="s">
        <v>3758</v>
      </c>
      <c r="B24" s="439"/>
      <c r="C24" s="439"/>
      <c r="D24" s="439"/>
      <c r="E24" s="439"/>
      <c r="F24" s="439"/>
      <c r="G24" s="439"/>
      <c r="H24" s="439"/>
      <c r="I24" s="439"/>
    </row>
    <row r="25">
      <c r="A25" s="440" t="s">
        <v>1389</v>
      </c>
      <c r="B25" s="440" t="s">
        <v>3735</v>
      </c>
      <c r="C25" s="440" t="s">
        <v>3</v>
      </c>
      <c r="D25" s="440" t="s">
        <v>3139</v>
      </c>
      <c r="E25" s="440" t="s">
        <v>3759</v>
      </c>
      <c r="F25" s="440" t="s">
        <v>185</v>
      </c>
      <c r="G25" s="440" t="s">
        <v>187</v>
      </c>
      <c r="H25" s="440" t="s">
        <v>3454</v>
      </c>
      <c r="I25" s="440" t="s">
        <v>3687</v>
      </c>
    </row>
    <row r="26">
      <c r="A26" s="441" t="s">
        <v>3491</v>
      </c>
      <c r="B26" s="442" t="s">
        <v>3739</v>
      </c>
      <c r="C26" s="443" t="s">
        <v>3760</v>
      </c>
      <c r="D26" s="443" t="s">
        <v>3761</v>
      </c>
      <c r="E26" s="443" t="s">
        <v>3762</v>
      </c>
      <c r="F26" s="444" t="s">
        <v>58</v>
      </c>
      <c r="G26" s="442" t="s">
        <v>3467</v>
      </c>
      <c r="H26" s="442" t="s">
        <v>3499</v>
      </c>
      <c r="I26" s="441" t="s">
        <v>3690</v>
      </c>
    </row>
    <row r="27">
      <c r="A27" s="445" t="s">
        <v>3500</v>
      </c>
      <c r="B27" s="446" t="s">
        <v>3739</v>
      </c>
      <c r="C27" s="447" t="s">
        <v>3763</v>
      </c>
      <c r="D27" s="447" t="s">
        <v>3764</v>
      </c>
      <c r="E27" s="447" t="s">
        <v>3762</v>
      </c>
      <c r="F27" s="448" t="s">
        <v>12</v>
      </c>
      <c r="G27" s="446" t="s">
        <v>3501</v>
      </c>
      <c r="H27" s="446" t="s">
        <v>3499</v>
      </c>
      <c r="I27" s="445" t="s">
        <v>3705</v>
      </c>
    </row>
    <row r="28">
      <c r="A28" s="449" t="s">
        <v>3513</v>
      </c>
      <c r="B28" s="450" t="s">
        <v>3739</v>
      </c>
      <c r="C28" s="451" t="s">
        <v>3765</v>
      </c>
      <c r="D28" s="451" t="s">
        <v>3766</v>
      </c>
      <c r="E28" s="451" t="s">
        <v>3767</v>
      </c>
      <c r="F28" s="452" t="s">
        <v>58</v>
      </c>
      <c r="G28" s="450" t="s">
        <v>3483</v>
      </c>
      <c r="H28" s="450" t="s">
        <v>3499</v>
      </c>
      <c r="I28" s="449" t="s">
        <v>3698</v>
      </c>
    </row>
    <row r="29">
      <c r="A29" s="445" t="s">
        <v>3607</v>
      </c>
      <c r="B29" s="446" t="s">
        <v>3744</v>
      </c>
      <c r="C29" s="447" t="s">
        <v>3768</v>
      </c>
      <c r="D29" s="447" t="s">
        <v>3614</v>
      </c>
      <c r="E29" s="447" t="s">
        <v>3769</v>
      </c>
      <c r="F29" s="452" t="s">
        <v>58</v>
      </c>
      <c r="G29" s="446" t="s">
        <v>3770</v>
      </c>
      <c r="H29" s="446" t="s">
        <v>3528</v>
      </c>
      <c r="I29" s="445" t="s">
        <v>3713</v>
      </c>
    </row>
    <row r="30">
      <c r="A30" s="449" t="s">
        <v>3642</v>
      </c>
      <c r="B30" s="450" t="s">
        <v>3744</v>
      </c>
      <c r="C30" s="451" t="s">
        <v>3771</v>
      </c>
      <c r="D30" s="451" t="s">
        <v>3772</v>
      </c>
      <c r="E30" s="451" t="s">
        <v>3773</v>
      </c>
      <c r="F30" s="452" t="s">
        <v>58</v>
      </c>
      <c r="G30" s="450" t="s">
        <v>3521</v>
      </c>
      <c r="H30" s="450" t="s">
        <v>3528</v>
      </c>
      <c r="I30" s="449" t="s">
        <v>3720</v>
      </c>
    </row>
    <row r="31">
      <c r="A31" s="445" t="s">
        <v>3670</v>
      </c>
      <c r="B31" s="446" t="s">
        <v>3744</v>
      </c>
      <c r="C31" s="447" t="s">
        <v>3774</v>
      </c>
      <c r="D31" s="447" t="s">
        <v>3775</v>
      </c>
      <c r="E31" s="447" t="s">
        <v>3776</v>
      </c>
      <c r="F31" s="448" t="s">
        <v>12</v>
      </c>
      <c r="G31" s="446" t="s">
        <v>3671</v>
      </c>
      <c r="H31" s="446" t="s">
        <v>3669</v>
      </c>
      <c r="I31" s="445" t="s">
        <v>3726</v>
      </c>
    </row>
    <row r="32">
      <c r="A32" s="426"/>
      <c r="B32" s="426"/>
      <c r="C32" s="426"/>
      <c r="D32" s="426"/>
      <c r="E32" s="426"/>
      <c r="F32" s="426"/>
      <c r="G32" s="426"/>
      <c r="H32" s="426"/>
    </row>
    <row r="33">
      <c r="A33" s="453" t="s">
        <v>3777</v>
      </c>
      <c r="B33" s="454"/>
      <c r="C33" s="454"/>
      <c r="D33" s="454"/>
      <c r="E33" s="454"/>
      <c r="F33" s="454"/>
      <c r="G33" s="454"/>
      <c r="H33" s="454"/>
      <c r="I33" s="454"/>
      <c r="J33" s="455"/>
      <c r="K33" s="455"/>
      <c r="L33" s="455"/>
      <c r="M33" s="455"/>
      <c r="N33" s="455"/>
    </row>
    <row r="34">
      <c r="A34" s="456" t="s">
        <v>3778</v>
      </c>
      <c r="B34" s="457"/>
      <c r="C34" s="458" t="s">
        <v>3779</v>
      </c>
      <c r="D34" s="6"/>
      <c r="E34" s="6"/>
      <c r="F34" s="6"/>
      <c r="G34" s="6"/>
      <c r="H34" s="6"/>
      <c r="I34" s="7"/>
      <c r="J34" s="459"/>
      <c r="K34" s="459"/>
      <c r="L34" s="459"/>
      <c r="M34" s="459"/>
      <c r="N34" s="459"/>
    </row>
    <row r="35">
      <c r="A35" s="456" t="s">
        <v>3780</v>
      </c>
      <c r="B35" s="457"/>
      <c r="C35" s="458" t="s">
        <v>3781</v>
      </c>
      <c r="D35" s="6"/>
      <c r="E35" s="6"/>
      <c r="F35" s="6"/>
      <c r="G35" s="6"/>
      <c r="H35" s="6"/>
      <c r="I35" s="7"/>
      <c r="J35" s="459"/>
      <c r="K35" s="459"/>
      <c r="L35" s="459"/>
      <c r="M35" s="459"/>
      <c r="N35" s="459"/>
    </row>
  </sheetData>
  <mergeCells count="10">
    <mergeCell ref="A34:B34"/>
    <mergeCell ref="A35:B35"/>
    <mergeCell ref="A1:I1"/>
    <mergeCell ref="A3:I3"/>
    <mergeCell ref="A10:I10"/>
    <mergeCell ref="A17:I17"/>
    <mergeCell ref="A24:I24"/>
    <mergeCell ref="A33:I33"/>
    <mergeCell ref="C34:I34"/>
    <mergeCell ref="C35:I35"/>
  </mergeCell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0" t="s">
        <v>3782</v>
      </c>
      <c r="B1" s="230" t="s">
        <v>3783</v>
      </c>
      <c r="C1" s="230"/>
      <c r="D1" s="230"/>
      <c r="E1" s="230"/>
      <c r="F1" s="230"/>
      <c r="G1" s="230"/>
      <c r="H1" s="230"/>
      <c r="I1" s="230"/>
      <c r="J1" s="230"/>
      <c r="K1" s="230"/>
      <c r="L1" s="230"/>
      <c r="M1" s="230"/>
      <c r="N1" s="230"/>
    </row>
    <row r="2">
      <c r="A2" s="460">
        <v>1.0</v>
      </c>
      <c r="B2" s="461"/>
      <c r="C2" s="31"/>
      <c r="D2" s="31"/>
      <c r="E2" s="31"/>
      <c r="F2" s="31"/>
      <c r="G2" s="31"/>
      <c r="H2" s="31"/>
      <c r="I2" s="31"/>
      <c r="J2" s="31"/>
      <c r="K2" s="31"/>
      <c r="L2" s="31"/>
      <c r="M2" s="31"/>
      <c r="N2" s="28"/>
    </row>
    <row r="3">
      <c r="A3" s="462"/>
      <c r="B3" s="461"/>
      <c r="C3" s="31"/>
      <c r="D3" s="31"/>
      <c r="E3" s="31"/>
      <c r="F3" s="31"/>
      <c r="G3" s="31"/>
      <c r="H3" s="31"/>
      <c r="I3" s="31"/>
      <c r="J3" s="31"/>
      <c r="K3" s="31"/>
      <c r="L3" s="31"/>
      <c r="M3" s="31"/>
      <c r="N3" s="28"/>
    </row>
    <row r="4">
      <c r="A4" s="462"/>
      <c r="B4" s="461"/>
      <c r="C4" s="31"/>
      <c r="D4" s="31"/>
      <c r="E4" s="31"/>
      <c r="F4" s="31"/>
      <c r="G4" s="31"/>
      <c r="H4" s="31"/>
      <c r="I4" s="31"/>
      <c r="J4" s="31"/>
      <c r="K4" s="31"/>
      <c r="L4" s="31"/>
      <c r="M4" s="31"/>
      <c r="N4" s="28"/>
    </row>
    <row r="5">
      <c r="A5" s="462"/>
      <c r="B5" s="461"/>
      <c r="C5" s="31"/>
      <c r="D5" s="31"/>
      <c r="E5" s="31"/>
      <c r="F5" s="31"/>
      <c r="G5" s="31"/>
      <c r="H5" s="31"/>
      <c r="I5" s="31"/>
      <c r="J5" s="31"/>
      <c r="K5" s="31"/>
      <c r="L5" s="31"/>
      <c r="M5" s="31"/>
      <c r="N5" s="28"/>
    </row>
    <row r="6">
      <c r="A6" s="463"/>
      <c r="B6" s="461"/>
      <c r="C6" s="31"/>
      <c r="D6" s="31"/>
      <c r="E6" s="31"/>
      <c r="F6" s="31"/>
      <c r="G6" s="31"/>
      <c r="H6" s="31"/>
      <c r="I6" s="31"/>
      <c r="J6" s="31"/>
      <c r="K6" s="31"/>
      <c r="L6" s="31"/>
      <c r="M6" s="31"/>
      <c r="N6" s="28"/>
    </row>
    <row r="7">
      <c r="A7" s="460">
        <v>2.0</v>
      </c>
      <c r="B7" s="461"/>
      <c r="C7" s="31"/>
      <c r="D7" s="31"/>
      <c r="E7" s="31"/>
      <c r="F7" s="31"/>
      <c r="G7" s="31"/>
      <c r="H7" s="31"/>
      <c r="I7" s="31"/>
      <c r="J7" s="31"/>
      <c r="K7" s="31"/>
      <c r="L7" s="31"/>
      <c r="M7" s="31"/>
      <c r="N7" s="28"/>
    </row>
    <row r="8">
      <c r="A8" s="462"/>
      <c r="B8" s="461"/>
      <c r="C8" s="31"/>
      <c r="D8" s="31"/>
      <c r="E8" s="31"/>
      <c r="F8" s="31"/>
      <c r="G8" s="31"/>
      <c r="H8" s="31"/>
      <c r="I8" s="31"/>
      <c r="J8" s="31"/>
      <c r="K8" s="31"/>
      <c r="L8" s="31"/>
      <c r="M8" s="31"/>
      <c r="N8" s="28"/>
    </row>
    <row r="9">
      <c r="A9" s="462"/>
      <c r="B9" s="461"/>
      <c r="C9" s="31"/>
      <c r="D9" s="31"/>
      <c r="E9" s="31"/>
      <c r="F9" s="31"/>
      <c r="G9" s="31"/>
      <c r="H9" s="31"/>
      <c r="I9" s="31"/>
      <c r="J9" s="31"/>
      <c r="K9" s="31"/>
      <c r="L9" s="31"/>
      <c r="M9" s="31"/>
      <c r="N9" s="28"/>
    </row>
    <row r="10">
      <c r="A10" s="462"/>
      <c r="B10" s="461"/>
      <c r="C10" s="31"/>
      <c r="D10" s="31"/>
      <c r="E10" s="31"/>
      <c r="F10" s="31"/>
      <c r="G10" s="31"/>
      <c r="H10" s="31"/>
      <c r="I10" s="31"/>
      <c r="J10" s="31"/>
      <c r="K10" s="31"/>
      <c r="L10" s="31"/>
      <c r="M10" s="31"/>
      <c r="N10" s="28"/>
    </row>
    <row r="11">
      <c r="A11" s="463"/>
      <c r="B11" s="461"/>
      <c r="C11" s="31"/>
      <c r="D11" s="31"/>
      <c r="E11" s="31"/>
      <c r="F11" s="31"/>
      <c r="G11" s="31"/>
      <c r="H11" s="31"/>
      <c r="I11" s="31"/>
      <c r="J11" s="31"/>
      <c r="K11" s="31"/>
      <c r="L11" s="31"/>
      <c r="M11" s="31"/>
      <c r="N11" s="28"/>
    </row>
    <row r="12">
      <c r="A12" s="460">
        <v>3.0</v>
      </c>
      <c r="B12" s="464"/>
      <c r="C12" s="465"/>
      <c r="D12" s="465"/>
      <c r="E12" s="465"/>
      <c r="F12" s="465"/>
      <c r="G12" s="465"/>
      <c r="H12" s="465"/>
      <c r="I12" s="465"/>
      <c r="J12" s="465"/>
      <c r="K12" s="465"/>
      <c r="L12" s="465"/>
      <c r="M12" s="465"/>
      <c r="N12" s="466"/>
    </row>
    <row r="13">
      <c r="A13" s="462"/>
      <c r="B13" s="467"/>
      <c r="C13" s="468"/>
      <c r="D13" s="468"/>
      <c r="E13" s="468"/>
      <c r="F13" s="468"/>
      <c r="G13" s="468"/>
      <c r="H13" s="468"/>
      <c r="I13" s="468"/>
      <c r="J13" s="468"/>
      <c r="K13" s="468"/>
      <c r="L13" s="468"/>
      <c r="M13" s="468"/>
      <c r="N13" s="469"/>
    </row>
    <row r="14">
      <c r="A14" s="462"/>
      <c r="B14" s="467"/>
      <c r="C14" s="468"/>
      <c r="D14" s="468"/>
      <c r="E14" s="468"/>
      <c r="F14" s="468"/>
      <c r="G14" s="468"/>
      <c r="H14" s="468"/>
      <c r="I14" s="468"/>
      <c r="J14" s="468"/>
      <c r="K14" s="468"/>
      <c r="L14" s="468"/>
      <c r="M14" s="468"/>
      <c r="N14" s="469"/>
    </row>
    <row r="15">
      <c r="A15" s="462"/>
      <c r="B15" s="467"/>
      <c r="C15" s="468"/>
      <c r="D15" s="468"/>
      <c r="E15" s="468"/>
      <c r="F15" s="468"/>
      <c r="G15" s="468"/>
      <c r="H15" s="468"/>
      <c r="I15" s="468"/>
      <c r="J15" s="468"/>
      <c r="K15" s="468"/>
      <c r="L15" s="468"/>
      <c r="M15" s="468"/>
      <c r="N15" s="469"/>
    </row>
    <row r="16">
      <c r="A16" s="463"/>
      <c r="B16" s="470"/>
      <c r="C16" s="471"/>
      <c r="D16" s="471"/>
      <c r="E16" s="471"/>
      <c r="F16" s="471"/>
      <c r="G16" s="471"/>
      <c r="H16" s="471"/>
      <c r="I16" s="471"/>
      <c r="J16" s="471"/>
      <c r="K16" s="471"/>
      <c r="L16" s="471"/>
      <c r="M16" s="471"/>
      <c r="N16" s="472"/>
    </row>
    <row r="17">
      <c r="A17" s="460">
        <v>4.0</v>
      </c>
      <c r="B17" s="464" t="s">
        <v>3784</v>
      </c>
      <c r="C17" s="465" t="s">
        <v>1405</v>
      </c>
      <c r="D17" s="465" t="s">
        <v>3785</v>
      </c>
      <c r="E17" s="61"/>
      <c r="F17" s="61"/>
      <c r="G17" s="61"/>
      <c r="H17" s="61"/>
      <c r="I17" s="465"/>
      <c r="J17" s="465"/>
      <c r="K17" s="465"/>
      <c r="L17" s="465"/>
      <c r="M17" s="465"/>
      <c r="N17" s="466"/>
    </row>
    <row r="18">
      <c r="A18" s="462"/>
      <c r="B18" s="467"/>
      <c r="C18" s="468" t="s">
        <v>1411</v>
      </c>
      <c r="D18" s="468" t="s">
        <v>3786</v>
      </c>
      <c r="I18" s="468"/>
      <c r="J18" s="468"/>
      <c r="K18" s="468"/>
      <c r="L18" s="468"/>
      <c r="M18" s="468"/>
      <c r="N18" s="469"/>
    </row>
    <row r="19">
      <c r="A19" s="462"/>
      <c r="B19" s="467"/>
      <c r="C19" s="468" t="s">
        <v>1416</v>
      </c>
      <c r="D19" s="468" t="s">
        <v>3787</v>
      </c>
      <c r="I19" s="468" t="s">
        <v>3788</v>
      </c>
      <c r="N19" s="473"/>
    </row>
    <row r="20">
      <c r="A20" s="462"/>
      <c r="B20" s="467"/>
      <c r="C20" s="468"/>
      <c r="D20" s="468"/>
      <c r="E20" s="468"/>
      <c r="F20" s="468"/>
      <c r="G20" s="468"/>
      <c r="H20" s="468"/>
      <c r="I20" s="468"/>
      <c r="J20" s="468"/>
      <c r="K20" s="468"/>
      <c r="L20" s="468"/>
      <c r="M20" s="468"/>
      <c r="N20" s="469"/>
    </row>
    <row r="21">
      <c r="A21" s="463"/>
      <c r="B21" s="470"/>
      <c r="C21" s="471"/>
      <c r="D21" s="471"/>
      <c r="E21" s="471"/>
      <c r="F21" s="471"/>
      <c r="G21" s="471"/>
      <c r="H21" s="471"/>
      <c r="I21" s="471"/>
      <c r="J21" s="471"/>
      <c r="K21" s="471"/>
      <c r="L21" s="471"/>
      <c r="M21" s="471"/>
      <c r="N21" s="472"/>
    </row>
    <row r="22">
      <c r="A22" s="474"/>
      <c r="B22" s="461"/>
      <c r="C22" s="31"/>
      <c r="D22" s="31"/>
      <c r="E22" s="31"/>
      <c r="F22" s="31"/>
      <c r="G22" s="31"/>
      <c r="H22" s="31"/>
      <c r="I22" s="31"/>
      <c r="J22" s="31"/>
      <c r="K22" s="31"/>
      <c r="L22" s="31"/>
      <c r="M22" s="31"/>
      <c r="N22" s="28"/>
    </row>
    <row r="23">
      <c r="A23" s="474"/>
      <c r="B23" s="461"/>
      <c r="C23" s="31"/>
      <c r="D23" s="31"/>
      <c r="E23" s="31"/>
      <c r="F23" s="31"/>
      <c r="G23" s="31"/>
      <c r="H23" s="31"/>
      <c r="I23" s="31"/>
      <c r="J23" s="31"/>
      <c r="K23" s="31"/>
      <c r="L23" s="31"/>
      <c r="M23" s="31"/>
      <c r="N23" s="28"/>
    </row>
    <row r="24">
      <c r="A24" s="474"/>
      <c r="B24" s="461"/>
      <c r="C24" s="31"/>
      <c r="D24" s="31"/>
      <c r="E24" s="31"/>
      <c r="F24" s="31"/>
      <c r="G24" s="31"/>
      <c r="H24" s="31"/>
      <c r="I24" s="31"/>
      <c r="J24" s="31"/>
      <c r="K24" s="31"/>
      <c r="L24" s="31"/>
      <c r="M24" s="31"/>
      <c r="N24" s="28"/>
    </row>
    <row r="25">
      <c r="A25" s="474"/>
      <c r="B25" s="461"/>
      <c r="C25" s="31"/>
      <c r="D25" s="31"/>
      <c r="E25" s="31"/>
      <c r="F25" s="31"/>
      <c r="G25" s="31"/>
      <c r="H25" s="31"/>
      <c r="I25" s="31"/>
      <c r="J25" s="31"/>
      <c r="K25" s="31"/>
      <c r="L25" s="31"/>
      <c r="M25" s="31"/>
      <c r="N25" s="28"/>
    </row>
    <row r="26">
      <c r="A26" s="474"/>
      <c r="B26" s="461"/>
      <c r="C26" s="31"/>
      <c r="D26" s="31"/>
      <c r="E26" s="31"/>
      <c r="F26" s="31"/>
      <c r="G26" s="31"/>
      <c r="H26" s="31"/>
      <c r="I26" s="31"/>
      <c r="J26" s="31"/>
      <c r="K26" s="31"/>
      <c r="L26" s="31"/>
      <c r="M26" s="31"/>
      <c r="N26" s="28"/>
    </row>
    <row r="27">
      <c r="A27" s="474"/>
      <c r="B27" s="461"/>
      <c r="C27" s="31"/>
      <c r="D27" s="31"/>
      <c r="E27" s="31"/>
      <c r="F27" s="31"/>
      <c r="G27" s="31"/>
      <c r="H27" s="31"/>
      <c r="I27" s="31"/>
      <c r="J27" s="31"/>
      <c r="K27" s="31"/>
      <c r="L27" s="31"/>
      <c r="M27" s="31"/>
      <c r="N27" s="28"/>
    </row>
    <row r="28">
      <c r="A28" s="474"/>
      <c r="B28" s="461"/>
      <c r="C28" s="31"/>
      <c r="D28" s="31"/>
      <c r="E28" s="31"/>
      <c r="F28" s="31"/>
      <c r="G28" s="31"/>
      <c r="H28" s="31"/>
      <c r="I28" s="31"/>
      <c r="J28" s="31"/>
      <c r="K28" s="31"/>
      <c r="L28" s="31"/>
      <c r="M28" s="31"/>
      <c r="N28" s="28"/>
    </row>
    <row r="29">
      <c r="A29" s="474"/>
      <c r="B29" s="461"/>
      <c r="C29" s="31"/>
      <c r="D29" s="31"/>
      <c r="E29" s="31"/>
      <c r="F29" s="31"/>
      <c r="G29" s="31"/>
      <c r="H29" s="31"/>
      <c r="I29" s="31"/>
      <c r="J29" s="31"/>
      <c r="K29" s="31"/>
      <c r="L29" s="31"/>
      <c r="M29" s="31"/>
      <c r="N29" s="28"/>
    </row>
    <row r="30">
      <c r="A30" s="474"/>
      <c r="B30" s="461"/>
      <c r="C30" s="31"/>
      <c r="D30" s="31"/>
      <c r="E30" s="31"/>
      <c r="F30" s="31"/>
      <c r="G30" s="31"/>
      <c r="H30" s="31"/>
      <c r="I30" s="31"/>
      <c r="J30" s="31"/>
      <c r="K30" s="31"/>
      <c r="L30" s="31"/>
      <c r="M30" s="31"/>
      <c r="N30" s="28"/>
    </row>
    <row r="31">
      <c r="A31" s="474"/>
      <c r="B31" s="461"/>
      <c r="C31" s="31"/>
      <c r="D31" s="31"/>
      <c r="E31" s="31"/>
      <c r="F31" s="31"/>
      <c r="G31" s="31"/>
      <c r="H31" s="31"/>
      <c r="I31" s="31"/>
      <c r="J31" s="31"/>
      <c r="K31" s="31"/>
      <c r="L31" s="31"/>
      <c r="M31" s="31"/>
      <c r="N31" s="28"/>
    </row>
    <row r="32">
      <c r="A32" s="474"/>
      <c r="B32" s="461"/>
      <c r="C32" s="31"/>
      <c r="D32" s="31"/>
      <c r="E32" s="31"/>
      <c r="F32" s="31"/>
      <c r="G32" s="31"/>
      <c r="H32" s="31"/>
      <c r="I32" s="31"/>
      <c r="J32" s="31"/>
      <c r="K32" s="31"/>
      <c r="L32" s="31"/>
      <c r="M32" s="31"/>
      <c r="N32" s="28"/>
    </row>
    <row r="33">
      <c r="A33" s="474"/>
      <c r="B33" s="461"/>
      <c r="C33" s="31"/>
      <c r="D33" s="31"/>
      <c r="E33" s="31"/>
      <c r="F33" s="31"/>
      <c r="G33" s="31"/>
      <c r="H33" s="31"/>
      <c r="I33" s="31"/>
      <c r="J33" s="31"/>
      <c r="K33" s="31"/>
      <c r="L33" s="31"/>
      <c r="M33" s="31"/>
      <c r="N33" s="28"/>
    </row>
    <row r="34">
      <c r="A34" s="474"/>
      <c r="B34" s="461"/>
      <c r="C34" s="31"/>
      <c r="D34" s="31"/>
      <c r="E34" s="31"/>
      <c r="F34" s="31"/>
      <c r="G34" s="31"/>
      <c r="H34" s="31"/>
      <c r="I34" s="31"/>
      <c r="J34" s="31"/>
      <c r="K34" s="31"/>
      <c r="L34" s="31"/>
      <c r="M34" s="31"/>
      <c r="N34" s="28"/>
    </row>
    <row r="35">
      <c r="A35" s="474"/>
      <c r="B35" s="461"/>
      <c r="C35" s="31"/>
      <c r="D35" s="31"/>
      <c r="E35" s="31"/>
      <c r="F35" s="31"/>
      <c r="G35" s="31"/>
      <c r="H35" s="31"/>
      <c r="I35" s="31"/>
      <c r="J35" s="31"/>
      <c r="K35" s="31"/>
      <c r="L35" s="31"/>
      <c r="M35" s="31"/>
      <c r="N35" s="28"/>
    </row>
    <row r="36">
      <c r="A36" s="474"/>
      <c r="B36" s="461"/>
      <c r="C36" s="31"/>
      <c r="D36" s="31"/>
      <c r="E36" s="31"/>
      <c r="F36" s="31"/>
      <c r="G36" s="31"/>
      <c r="H36" s="31"/>
      <c r="I36" s="31"/>
      <c r="J36" s="31"/>
      <c r="K36" s="31"/>
      <c r="L36" s="31"/>
      <c r="M36" s="31"/>
      <c r="N36" s="28"/>
    </row>
    <row r="37">
      <c r="A37" s="474"/>
      <c r="B37" s="461"/>
      <c r="C37" s="31"/>
      <c r="D37" s="31"/>
      <c r="E37" s="31"/>
      <c r="F37" s="31"/>
      <c r="G37" s="31"/>
      <c r="H37" s="31"/>
      <c r="I37" s="31"/>
      <c r="J37" s="31"/>
      <c r="K37" s="31"/>
      <c r="L37" s="31"/>
      <c r="M37" s="31"/>
      <c r="N37" s="28"/>
    </row>
    <row r="38">
      <c r="A38" s="474"/>
      <c r="B38" s="461"/>
      <c r="C38" s="31"/>
      <c r="D38" s="31"/>
      <c r="E38" s="31"/>
      <c r="F38" s="31"/>
      <c r="G38" s="31"/>
      <c r="H38" s="31"/>
      <c r="I38" s="31"/>
      <c r="J38" s="31"/>
      <c r="K38" s="31"/>
      <c r="L38" s="31"/>
      <c r="M38" s="31"/>
      <c r="N38" s="28"/>
    </row>
    <row r="39">
      <c r="A39" s="474"/>
      <c r="B39" s="461"/>
      <c r="C39" s="31"/>
      <c r="D39" s="31"/>
      <c r="E39" s="31"/>
      <c r="F39" s="31"/>
      <c r="G39" s="31"/>
      <c r="H39" s="31"/>
      <c r="I39" s="31"/>
      <c r="J39" s="31"/>
      <c r="K39" s="31"/>
      <c r="L39" s="31"/>
      <c r="M39" s="31"/>
      <c r="N39" s="28"/>
    </row>
    <row r="40">
      <c r="A40" s="474"/>
      <c r="B40" s="461"/>
      <c r="C40" s="31"/>
      <c r="D40" s="31"/>
      <c r="E40" s="31"/>
      <c r="F40" s="31"/>
      <c r="G40" s="31"/>
      <c r="H40" s="31"/>
      <c r="I40" s="31"/>
      <c r="J40" s="31"/>
      <c r="K40" s="31"/>
      <c r="L40" s="31"/>
      <c r="M40" s="31"/>
      <c r="N40" s="28"/>
    </row>
    <row r="41">
      <c r="A41" s="474"/>
      <c r="B41" s="461"/>
      <c r="C41" s="31"/>
      <c r="D41" s="31"/>
      <c r="E41" s="31"/>
      <c r="F41" s="31"/>
      <c r="G41" s="31"/>
      <c r="H41" s="31"/>
      <c r="I41" s="31"/>
      <c r="J41" s="31"/>
      <c r="K41" s="31"/>
      <c r="L41" s="31"/>
      <c r="M41" s="31"/>
      <c r="N41" s="28"/>
    </row>
    <row r="42">
      <c r="A42" s="474"/>
      <c r="B42" s="461"/>
      <c r="C42" s="31"/>
      <c r="D42" s="31"/>
      <c r="E42" s="31"/>
      <c r="F42" s="31"/>
      <c r="G42" s="31"/>
      <c r="H42" s="31"/>
      <c r="I42" s="31"/>
      <c r="J42" s="31"/>
      <c r="K42" s="31"/>
      <c r="L42" s="31"/>
      <c r="M42" s="31"/>
      <c r="N42" s="28"/>
    </row>
    <row r="43">
      <c r="A43" s="474"/>
      <c r="B43" s="461"/>
      <c r="C43" s="31"/>
      <c r="D43" s="31"/>
      <c r="E43" s="31"/>
      <c r="F43" s="31"/>
      <c r="G43" s="31"/>
      <c r="H43" s="31"/>
      <c r="I43" s="31"/>
      <c r="J43" s="31"/>
      <c r="K43" s="31"/>
      <c r="L43" s="31"/>
      <c r="M43" s="31"/>
      <c r="N43" s="28"/>
    </row>
    <row r="44">
      <c r="A44" s="474"/>
      <c r="B44" s="461"/>
      <c r="C44" s="31"/>
      <c r="D44" s="31"/>
      <c r="E44" s="31"/>
      <c r="F44" s="31"/>
      <c r="G44" s="31"/>
      <c r="H44" s="31"/>
      <c r="I44" s="31"/>
      <c r="J44" s="31"/>
      <c r="K44" s="31"/>
      <c r="L44" s="31"/>
      <c r="M44" s="31"/>
      <c r="N44" s="28"/>
    </row>
    <row r="45">
      <c r="A45" s="474"/>
      <c r="B45" s="461"/>
      <c r="C45" s="31"/>
      <c r="D45" s="31"/>
      <c r="E45" s="31"/>
      <c r="F45" s="31"/>
      <c r="G45" s="31"/>
      <c r="H45" s="31"/>
      <c r="I45" s="31"/>
      <c r="J45" s="31"/>
      <c r="K45" s="31"/>
      <c r="L45" s="31"/>
      <c r="M45" s="31"/>
      <c r="N45" s="28"/>
    </row>
    <row r="46">
      <c r="A46" s="474"/>
      <c r="B46" s="461"/>
      <c r="C46" s="31"/>
      <c r="D46" s="31"/>
      <c r="E46" s="31"/>
      <c r="F46" s="31"/>
      <c r="G46" s="31"/>
      <c r="H46" s="31"/>
      <c r="I46" s="31"/>
      <c r="J46" s="31"/>
      <c r="K46" s="31"/>
      <c r="L46" s="31"/>
      <c r="M46" s="31"/>
      <c r="N46" s="28"/>
    </row>
    <row r="47">
      <c r="A47" s="474"/>
      <c r="B47" s="461"/>
      <c r="C47" s="31"/>
      <c r="D47" s="31"/>
      <c r="E47" s="31"/>
      <c r="F47" s="31"/>
      <c r="G47" s="31"/>
      <c r="H47" s="31"/>
      <c r="I47" s="31"/>
      <c r="J47" s="31"/>
      <c r="K47" s="31"/>
      <c r="L47" s="31"/>
      <c r="M47" s="31"/>
      <c r="N47" s="28"/>
    </row>
    <row r="48">
      <c r="A48" s="474"/>
      <c r="B48" s="461"/>
      <c r="C48" s="31"/>
      <c r="D48" s="31"/>
      <c r="E48" s="31"/>
      <c r="F48" s="31"/>
      <c r="G48" s="31"/>
      <c r="H48" s="31"/>
      <c r="I48" s="31"/>
      <c r="J48" s="31"/>
      <c r="K48" s="31"/>
      <c r="L48" s="31"/>
      <c r="M48" s="31"/>
      <c r="N48" s="28"/>
    </row>
    <row r="49">
      <c r="A49" s="474"/>
      <c r="B49" s="461"/>
      <c r="C49" s="31"/>
      <c r="D49" s="31"/>
      <c r="E49" s="31"/>
      <c r="F49" s="31"/>
      <c r="G49" s="31"/>
      <c r="H49" s="31"/>
      <c r="I49" s="31"/>
      <c r="J49" s="31"/>
      <c r="K49" s="31"/>
      <c r="L49" s="31"/>
      <c r="M49" s="31"/>
      <c r="N49" s="28"/>
    </row>
  </sheetData>
  <mergeCells count="46">
    <mergeCell ref="B46:N46"/>
    <mergeCell ref="B47:N47"/>
    <mergeCell ref="B48:N48"/>
    <mergeCell ref="B49:N49"/>
    <mergeCell ref="B39:N39"/>
    <mergeCell ref="B40:N40"/>
    <mergeCell ref="B41:N41"/>
    <mergeCell ref="B42:N42"/>
    <mergeCell ref="B43:N43"/>
    <mergeCell ref="B44:N44"/>
    <mergeCell ref="B45:N45"/>
    <mergeCell ref="B7:N7"/>
    <mergeCell ref="B8:N8"/>
    <mergeCell ref="B9:N9"/>
    <mergeCell ref="B10:N10"/>
    <mergeCell ref="A7:A11"/>
    <mergeCell ref="A12:A16"/>
    <mergeCell ref="A17:A21"/>
    <mergeCell ref="A2:A6"/>
    <mergeCell ref="B2:N2"/>
    <mergeCell ref="B3:N3"/>
    <mergeCell ref="B4:N4"/>
    <mergeCell ref="B5:N5"/>
    <mergeCell ref="B6:N6"/>
    <mergeCell ref="B11:N11"/>
    <mergeCell ref="D17:H17"/>
    <mergeCell ref="D18:H18"/>
    <mergeCell ref="D19:H19"/>
    <mergeCell ref="I19:N19"/>
    <mergeCell ref="B22:N22"/>
    <mergeCell ref="B23:N23"/>
    <mergeCell ref="B24:N24"/>
    <mergeCell ref="B25:N25"/>
    <mergeCell ref="B26:N26"/>
    <mergeCell ref="B27:N27"/>
    <mergeCell ref="B28:N28"/>
    <mergeCell ref="B29:N29"/>
    <mergeCell ref="B30:N30"/>
    <mergeCell ref="B31:N31"/>
    <mergeCell ref="B32:N32"/>
    <mergeCell ref="B33:N33"/>
    <mergeCell ref="B34:N34"/>
    <mergeCell ref="B35:N35"/>
    <mergeCell ref="B36:N36"/>
    <mergeCell ref="B37:N37"/>
    <mergeCell ref="B38:N3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7.25"/>
    <col customWidth="1" min="3" max="3" width="16.25"/>
    <col customWidth="1" min="4" max="7" width="8.88"/>
    <col customWidth="1" min="8" max="63" width="6.5"/>
  </cols>
  <sheetData>
    <row r="1" ht="32.25" customHeight="1">
      <c r="A1" s="475" t="s">
        <v>3782</v>
      </c>
      <c r="B1" s="475" t="s">
        <v>3789</v>
      </c>
      <c r="C1" s="475" t="s">
        <v>699</v>
      </c>
      <c r="D1" s="475" t="s">
        <v>3790</v>
      </c>
      <c r="E1" s="475" t="s">
        <v>3791</v>
      </c>
      <c r="F1" s="475" t="s">
        <v>3792</v>
      </c>
      <c r="G1" s="475" t="s">
        <v>3793</v>
      </c>
      <c r="H1" s="476" t="s">
        <v>3794</v>
      </c>
      <c r="I1" s="477"/>
      <c r="J1" s="477"/>
      <c r="K1" s="477"/>
      <c r="L1" s="477"/>
      <c r="M1" s="477"/>
      <c r="N1" s="478"/>
      <c r="O1" s="476" t="s">
        <v>3795</v>
      </c>
      <c r="P1" s="477"/>
      <c r="Q1" s="477"/>
      <c r="R1" s="477"/>
      <c r="S1" s="477"/>
      <c r="T1" s="477"/>
      <c r="U1" s="478"/>
      <c r="V1" s="476" t="s">
        <v>3796</v>
      </c>
      <c r="W1" s="477"/>
      <c r="X1" s="477"/>
      <c r="Y1" s="477"/>
      <c r="Z1" s="477"/>
      <c r="AA1" s="477"/>
      <c r="AB1" s="478"/>
      <c r="AC1" s="476" t="s">
        <v>3797</v>
      </c>
      <c r="AD1" s="477"/>
      <c r="AE1" s="477"/>
      <c r="AF1" s="477"/>
      <c r="AG1" s="477"/>
      <c r="AH1" s="477"/>
      <c r="AI1" s="478"/>
      <c r="AJ1" s="476" t="s">
        <v>3798</v>
      </c>
      <c r="AK1" s="477"/>
      <c r="AL1" s="477"/>
      <c r="AM1" s="477"/>
      <c r="AN1" s="477"/>
      <c r="AO1" s="477"/>
      <c r="AP1" s="478"/>
      <c r="AQ1" s="476" t="s">
        <v>3799</v>
      </c>
      <c r="AR1" s="477"/>
      <c r="AS1" s="477"/>
      <c r="AT1" s="477"/>
      <c r="AU1" s="477"/>
      <c r="AV1" s="477"/>
      <c r="AW1" s="478"/>
      <c r="AX1" s="476" t="s">
        <v>3800</v>
      </c>
      <c r="AY1" s="477"/>
      <c r="AZ1" s="477"/>
      <c r="BA1" s="477"/>
      <c r="BB1" s="477"/>
      <c r="BC1" s="477"/>
      <c r="BD1" s="478"/>
      <c r="BE1" s="476" t="s">
        <v>3697</v>
      </c>
      <c r="BF1" s="477"/>
      <c r="BG1" s="477"/>
      <c r="BH1" s="477"/>
      <c r="BI1" s="477"/>
      <c r="BJ1" s="477"/>
      <c r="BK1" s="478"/>
      <c r="BL1" s="479"/>
      <c r="BM1" s="479"/>
    </row>
    <row r="2" ht="32.25" customHeight="1">
      <c r="A2" s="480"/>
      <c r="B2" s="480"/>
      <c r="C2" s="480"/>
      <c r="D2" s="480"/>
      <c r="E2" s="480"/>
      <c r="F2" s="480"/>
      <c r="G2" s="480"/>
      <c r="H2" s="481">
        <v>46116.0</v>
      </c>
      <c r="I2" s="481">
        <v>46117.0</v>
      </c>
      <c r="J2" s="481">
        <v>46118.0</v>
      </c>
      <c r="K2" s="481">
        <v>46119.0</v>
      </c>
      <c r="L2" s="481">
        <v>46120.0</v>
      </c>
      <c r="M2" s="481">
        <v>46121.0</v>
      </c>
      <c r="N2" s="481">
        <v>46122.0</v>
      </c>
      <c r="O2" s="481">
        <v>46123.0</v>
      </c>
      <c r="P2" s="481">
        <v>46124.0</v>
      </c>
      <c r="Q2" s="481">
        <v>46125.0</v>
      </c>
      <c r="R2" s="481">
        <v>46126.0</v>
      </c>
      <c r="S2" s="481">
        <v>46127.0</v>
      </c>
      <c r="T2" s="481">
        <v>46128.0</v>
      </c>
      <c r="U2" s="481">
        <v>46129.0</v>
      </c>
      <c r="V2" s="481">
        <v>46130.0</v>
      </c>
      <c r="W2" s="481">
        <v>46131.0</v>
      </c>
      <c r="X2" s="481">
        <v>46132.0</v>
      </c>
      <c r="Y2" s="481">
        <v>46133.0</v>
      </c>
      <c r="Z2" s="481">
        <v>46134.0</v>
      </c>
      <c r="AA2" s="481">
        <v>46135.0</v>
      </c>
      <c r="AB2" s="481">
        <v>46136.0</v>
      </c>
      <c r="AC2" s="481">
        <v>46137.0</v>
      </c>
      <c r="AD2" s="481">
        <v>46138.0</v>
      </c>
      <c r="AE2" s="481">
        <v>46139.0</v>
      </c>
      <c r="AF2" s="481">
        <v>46140.0</v>
      </c>
      <c r="AG2" s="481">
        <v>46141.0</v>
      </c>
      <c r="AH2" s="481">
        <v>46142.0</v>
      </c>
      <c r="AI2" s="481">
        <v>46143.0</v>
      </c>
      <c r="AJ2" s="481">
        <v>46144.0</v>
      </c>
      <c r="AK2" s="481">
        <v>46145.0</v>
      </c>
      <c r="AL2" s="481">
        <v>46146.0</v>
      </c>
      <c r="AM2" s="481">
        <v>46147.0</v>
      </c>
      <c r="AN2" s="481">
        <v>46148.0</v>
      </c>
      <c r="AO2" s="481">
        <v>46149.0</v>
      </c>
      <c r="AP2" s="481">
        <v>46150.0</v>
      </c>
      <c r="AQ2" s="481">
        <v>46151.0</v>
      </c>
      <c r="AR2" s="481">
        <v>46152.0</v>
      </c>
      <c r="AS2" s="481">
        <v>46153.0</v>
      </c>
      <c r="AT2" s="481">
        <v>46154.0</v>
      </c>
      <c r="AU2" s="481">
        <v>46155.0</v>
      </c>
      <c r="AV2" s="481">
        <v>46156.0</v>
      </c>
      <c r="AW2" s="481">
        <v>46157.0</v>
      </c>
      <c r="AX2" s="481">
        <v>46158.0</v>
      </c>
      <c r="AY2" s="481">
        <v>46159.0</v>
      </c>
      <c r="AZ2" s="481">
        <v>46160.0</v>
      </c>
      <c r="BA2" s="481">
        <v>46161.0</v>
      </c>
      <c r="BB2" s="481">
        <v>46162.0</v>
      </c>
      <c r="BC2" s="481">
        <v>46163.0</v>
      </c>
      <c r="BD2" s="481">
        <v>46164.0</v>
      </c>
      <c r="BE2" s="481">
        <v>46165.0</v>
      </c>
      <c r="BF2" s="481">
        <v>46166.0</v>
      </c>
      <c r="BG2" s="481">
        <v>46167.0</v>
      </c>
      <c r="BH2" s="481">
        <v>46168.0</v>
      </c>
      <c r="BI2" s="481">
        <v>46169.0</v>
      </c>
      <c r="BJ2" s="481">
        <v>46170.0</v>
      </c>
      <c r="BK2" s="481">
        <v>46171.0</v>
      </c>
      <c r="BL2" s="482"/>
      <c r="BM2" s="482"/>
    </row>
    <row r="3" ht="32.25" customHeight="1">
      <c r="A3" s="483">
        <v>1.0</v>
      </c>
      <c r="B3" s="484" t="s">
        <v>3801</v>
      </c>
      <c r="C3" s="485" t="s">
        <v>105</v>
      </c>
      <c r="D3" s="486">
        <v>46116.0</v>
      </c>
      <c r="E3" s="487">
        <v>46122.0</v>
      </c>
      <c r="F3" s="488">
        <v>7.0</v>
      </c>
      <c r="G3" s="247">
        <v>100.0</v>
      </c>
      <c r="H3" s="489"/>
      <c r="I3" s="489"/>
      <c r="J3" s="489"/>
      <c r="K3" s="489"/>
      <c r="L3" s="489"/>
      <c r="M3" s="489"/>
      <c r="N3" s="489"/>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0"/>
      <c r="AV3" s="490"/>
      <c r="AW3" s="490"/>
      <c r="AX3" s="490"/>
      <c r="AY3" s="490"/>
      <c r="AZ3" s="490"/>
      <c r="BA3" s="490"/>
      <c r="BB3" s="490"/>
      <c r="BC3" s="490"/>
      <c r="BD3" s="490"/>
      <c r="BE3" s="490"/>
      <c r="BF3" s="490"/>
      <c r="BG3" s="490"/>
      <c r="BH3" s="490"/>
      <c r="BI3" s="490"/>
      <c r="BJ3" s="490"/>
      <c r="BK3" s="490"/>
      <c r="BL3" s="482"/>
      <c r="BM3" s="482"/>
    </row>
    <row r="4" ht="32.25" customHeight="1">
      <c r="A4" s="491"/>
      <c r="B4" s="492" t="s">
        <v>3802</v>
      </c>
      <c r="C4" s="492" t="s">
        <v>88</v>
      </c>
      <c r="D4" s="493">
        <v>46116.0</v>
      </c>
      <c r="E4" s="494">
        <v>46117.0</v>
      </c>
      <c r="F4" s="495">
        <v>2.0</v>
      </c>
      <c r="G4" s="496">
        <v>100.0</v>
      </c>
      <c r="H4" s="497"/>
      <c r="I4" s="478"/>
      <c r="J4" s="490"/>
      <c r="K4" s="490"/>
      <c r="L4" s="490"/>
      <c r="M4" s="490"/>
      <c r="N4" s="490"/>
      <c r="O4" s="490"/>
      <c r="P4" s="490"/>
      <c r="Q4" s="498"/>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0"/>
      <c r="AV4" s="490"/>
      <c r="AW4" s="490"/>
      <c r="AX4" s="490"/>
      <c r="AY4" s="490"/>
      <c r="AZ4" s="490"/>
      <c r="BA4" s="490"/>
      <c r="BB4" s="490"/>
      <c r="BC4" s="490"/>
      <c r="BD4" s="490"/>
      <c r="BE4" s="490"/>
      <c r="BF4" s="490"/>
      <c r="BG4" s="490"/>
      <c r="BH4" s="490"/>
      <c r="BI4" s="490"/>
      <c r="BJ4" s="490"/>
      <c r="BK4" s="490"/>
      <c r="BL4" s="479"/>
      <c r="BM4" s="479"/>
    </row>
    <row r="5" ht="32.25" customHeight="1">
      <c r="A5" s="491"/>
      <c r="B5" s="492" t="s">
        <v>3803</v>
      </c>
      <c r="C5" s="492" t="s">
        <v>88</v>
      </c>
      <c r="D5" s="493">
        <v>46118.0</v>
      </c>
      <c r="E5" s="494">
        <v>46119.0</v>
      </c>
      <c r="F5" s="495">
        <v>2.0</v>
      </c>
      <c r="G5" s="496">
        <v>100.0</v>
      </c>
      <c r="H5" s="490"/>
      <c r="I5" s="490"/>
      <c r="J5" s="497"/>
      <c r="K5" s="478"/>
      <c r="L5" s="490"/>
      <c r="M5" s="490"/>
      <c r="N5" s="490"/>
      <c r="O5" s="490"/>
      <c r="P5" s="490"/>
      <c r="Q5" s="490"/>
      <c r="R5" s="490"/>
      <c r="S5" s="490"/>
      <c r="T5" s="490"/>
      <c r="U5" s="490"/>
      <c r="V5" s="490"/>
      <c r="W5" s="490"/>
      <c r="X5" s="490"/>
      <c r="Y5" s="490"/>
      <c r="Z5" s="490"/>
      <c r="AA5" s="490"/>
      <c r="AB5" s="490"/>
      <c r="AC5" s="490"/>
      <c r="AD5" s="490"/>
      <c r="AE5" s="490"/>
      <c r="AF5" s="490"/>
      <c r="AG5" s="490"/>
      <c r="AH5" s="490"/>
      <c r="AI5" s="490"/>
      <c r="AJ5" s="490"/>
      <c r="AK5" s="490"/>
      <c r="AL5" s="490"/>
      <c r="AM5" s="490"/>
      <c r="AN5" s="490"/>
      <c r="AO5" s="490"/>
      <c r="AP5" s="490"/>
      <c r="AQ5" s="490"/>
      <c r="AR5" s="490"/>
      <c r="AS5" s="490"/>
      <c r="AT5" s="490"/>
      <c r="AU5" s="490"/>
      <c r="AV5" s="490"/>
      <c r="AW5" s="490"/>
      <c r="AX5" s="490"/>
      <c r="AY5" s="490"/>
      <c r="AZ5" s="490"/>
      <c r="BA5" s="490"/>
      <c r="BB5" s="490"/>
      <c r="BC5" s="490"/>
      <c r="BD5" s="490"/>
      <c r="BE5" s="490"/>
      <c r="BF5" s="490"/>
      <c r="BG5" s="490"/>
      <c r="BH5" s="490"/>
      <c r="BI5" s="490"/>
      <c r="BJ5" s="490"/>
      <c r="BK5" s="490"/>
      <c r="BL5" s="479"/>
      <c r="BM5" s="479"/>
    </row>
    <row r="6" ht="32.25" customHeight="1">
      <c r="A6" s="491"/>
      <c r="B6" s="492" t="s">
        <v>3804</v>
      </c>
      <c r="C6" s="492" t="s">
        <v>88</v>
      </c>
      <c r="D6" s="493">
        <v>46120.0</v>
      </c>
      <c r="E6" s="494">
        <v>46121.0</v>
      </c>
      <c r="F6" s="495">
        <v>2.0</v>
      </c>
      <c r="G6" s="496">
        <v>100.0</v>
      </c>
      <c r="H6" s="490"/>
      <c r="I6" s="490"/>
      <c r="J6" s="498"/>
      <c r="K6" s="498"/>
      <c r="L6" s="497"/>
      <c r="M6" s="478"/>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0"/>
      <c r="BK6" s="490"/>
      <c r="BL6" s="479"/>
      <c r="BM6" s="479"/>
    </row>
    <row r="7" ht="32.25" customHeight="1">
      <c r="A7" s="480"/>
      <c r="B7" s="492" t="s">
        <v>3805</v>
      </c>
      <c r="C7" s="492" t="s">
        <v>105</v>
      </c>
      <c r="D7" s="493">
        <v>46121.0</v>
      </c>
      <c r="E7" s="494">
        <v>46122.0</v>
      </c>
      <c r="F7" s="495">
        <v>2.0</v>
      </c>
      <c r="G7" s="496">
        <v>100.0</v>
      </c>
      <c r="H7" s="490"/>
      <c r="I7" s="490"/>
      <c r="J7" s="490"/>
      <c r="K7" s="490"/>
      <c r="L7" s="490"/>
      <c r="M7" s="497"/>
      <c r="N7" s="478"/>
      <c r="O7" s="490"/>
      <c r="P7" s="490"/>
      <c r="Q7" s="490"/>
      <c r="R7" s="490"/>
      <c r="S7" s="490"/>
      <c r="T7" s="490"/>
      <c r="U7" s="490"/>
      <c r="V7" s="490"/>
      <c r="W7" s="490"/>
      <c r="X7" s="490"/>
      <c r="Y7" s="490"/>
      <c r="Z7" s="490"/>
      <c r="AA7" s="490"/>
      <c r="AB7" s="490"/>
      <c r="AC7" s="490"/>
      <c r="AD7" s="490"/>
      <c r="AE7" s="490"/>
      <c r="AF7" s="490"/>
      <c r="AG7" s="490"/>
      <c r="AH7" s="490"/>
      <c r="AI7" s="490"/>
      <c r="AJ7" s="490"/>
      <c r="AK7" s="490"/>
      <c r="AL7" s="490"/>
      <c r="AM7" s="490"/>
      <c r="AN7" s="490"/>
      <c r="AO7" s="490"/>
      <c r="AP7" s="490"/>
      <c r="AQ7" s="490"/>
      <c r="AR7" s="490"/>
      <c r="AS7" s="490"/>
      <c r="AT7" s="490"/>
      <c r="AU7" s="490"/>
      <c r="AV7" s="490"/>
      <c r="AW7" s="490"/>
      <c r="AX7" s="490"/>
      <c r="AY7" s="490"/>
      <c r="AZ7" s="490"/>
      <c r="BA7" s="490"/>
      <c r="BB7" s="490"/>
      <c r="BC7" s="490"/>
      <c r="BD7" s="490"/>
      <c r="BE7" s="490"/>
      <c r="BF7" s="490"/>
      <c r="BG7" s="490"/>
      <c r="BH7" s="490"/>
      <c r="BI7" s="490"/>
      <c r="BJ7" s="490"/>
      <c r="BK7" s="490"/>
      <c r="BL7" s="479"/>
      <c r="BM7" s="479"/>
    </row>
    <row r="8" ht="32.25" customHeight="1">
      <c r="A8" s="499">
        <v>2.0</v>
      </c>
      <c r="B8" s="484" t="s">
        <v>3806</v>
      </c>
      <c r="C8" s="485" t="s">
        <v>105</v>
      </c>
      <c r="D8" s="486">
        <v>46123.0</v>
      </c>
      <c r="E8" s="487">
        <v>46129.0</v>
      </c>
      <c r="F8" s="488">
        <v>7.0</v>
      </c>
      <c r="G8" s="247">
        <v>100.0</v>
      </c>
      <c r="H8" s="490"/>
      <c r="I8" s="490"/>
      <c r="J8" s="490"/>
      <c r="K8" s="490"/>
      <c r="L8" s="490"/>
      <c r="M8" s="490"/>
      <c r="N8" s="490"/>
      <c r="O8" s="489"/>
      <c r="P8" s="489"/>
      <c r="Q8" s="489"/>
      <c r="R8" s="489"/>
      <c r="S8" s="489"/>
      <c r="T8" s="489"/>
      <c r="U8" s="489"/>
      <c r="V8" s="490"/>
      <c r="W8" s="490"/>
      <c r="X8" s="490"/>
      <c r="Y8" s="490"/>
      <c r="Z8" s="490"/>
      <c r="AA8" s="490"/>
      <c r="AB8" s="490"/>
      <c r="AC8" s="490"/>
      <c r="AD8" s="490"/>
      <c r="AE8" s="490"/>
      <c r="AF8" s="490"/>
      <c r="AG8" s="490"/>
      <c r="AH8" s="490"/>
      <c r="AI8" s="490"/>
      <c r="AJ8" s="490"/>
      <c r="AK8" s="490"/>
      <c r="AL8" s="490"/>
      <c r="AM8" s="490"/>
      <c r="AN8" s="490"/>
      <c r="AO8" s="490"/>
      <c r="AP8" s="490"/>
      <c r="AQ8" s="490"/>
      <c r="AR8" s="490"/>
      <c r="AS8" s="490"/>
      <c r="AT8" s="490"/>
      <c r="AU8" s="490"/>
      <c r="AV8" s="490"/>
      <c r="AW8" s="490"/>
      <c r="AX8" s="490"/>
      <c r="AY8" s="490"/>
      <c r="AZ8" s="490"/>
      <c r="BA8" s="490"/>
      <c r="BB8" s="490"/>
      <c r="BC8" s="490"/>
      <c r="BD8" s="490"/>
      <c r="BE8" s="490"/>
      <c r="BF8" s="490"/>
      <c r="BG8" s="490"/>
      <c r="BH8" s="490"/>
      <c r="BI8" s="490"/>
      <c r="BJ8" s="490"/>
      <c r="BK8" s="490"/>
      <c r="BL8" s="479"/>
      <c r="BM8" s="479"/>
    </row>
    <row r="9" ht="32.25" customHeight="1">
      <c r="A9" s="491"/>
      <c r="B9" s="492" t="s">
        <v>3807</v>
      </c>
      <c r="C9" s="492" t="s">
        <v>105</v>
      </c>
      <c r="D9" s="493">
        <v>46123.0</v>
      </c>
      <c r="E9" s="494">
        <v>46125.0</v>
      </c>
      <c r="F9" s="495">
        <v>3.0</v>
      </c>
      <c r="G9" s="496">
        <v>100.0</v>
      </c>
      <c r="H9" s="490"/>
      <c r="I9" s="490"/>
      <c r="J9" s="490"/>
      <c r="K9" s="490"/>
      <c r="L9" s="490"/>
      <c r="M9" s="490"/>
      <c r="N9" s="490"/>
      <c r="O9" s="500"/>
      <c r="P9" s="477"/>
      <c r="Q9" s="478"/>
      <c r="R9" s="490"/>
      <c r="S9" s="490"/>
      <c r="T9" s="490"/>
      <c r="U9" s="490"/>
      <c r="V9" s="490"/>
      <c r="W9" s="490"/>
      <c r="X9" s="490"/>
      <c r="Y9" s="490"/>
      <c r="Z9" s="490"/>
      <c r="AA9" s="490"/>
      <c r="AB9" s="490"/>
      <c r="AC9" s="490"/>
      <c r="AD9" s="490"/>
      <c r="AE9" s="490"/>
      <c r="AF9" s="490"/>
      <c r="AG9" s="490"/>
      <c r="AH9" s="490"/>
      <c r="AI9" s="490"/>
      <c r="AJ9" s="490"/>
      <c r="AK9" s="490"/>
      <c r="AL9" s="490"/>
      <c r="AM9" s="490"/>
      <c r="AN9" s="490"/>
      <c r="AO9" s="490"/>
      <c r="AP9" s="490"/>
      <c r="AQ9" s="490"/>
      <c r="AR9" s="490"/>
      <c r="AS9" s="490"/>
      <c r="AT9" s="490"/>
      <c r="AU9" s="490"/>
      <c r="AV9" s="490"/>
      <c r="AW9" s="490"/>
      <c r="AX9" s="490"/>
      <c r="AY9" s="490"/>
      <c r="AZ9" s="490"/>
      <c r="BA9" s="490"/>
      <c r="BB9" s="490"/>
      <c r="BC9" s="490"/>
      <c r="BD9" s="490"/>
      <c r="BE9" s="490"/>
      <c r="BF9" s="490"/>
      <c r="BG9" s="490"/>
      <c r="BH9" s="490"/>
      <c r="BI9" s="490"/>
      <c r="BJ9" s="490"/>
      <c r="BK9" s="490"/>
      <c r="BL9" s="479"/>
      <c r="BM9" s="479"/>
    </row>
    <row r="10" ht="32.25" customHeight="1">
      <c r="A10" s="491"/>
      <c r="B10" s="492" t="s">
        <v>3808</v>
      </c>
      <c r="C10" s="492" t="s">
        <v>90</v>
      </c>
      <c r="D10" s="493">
        <v>46126.0</v>
      </c>
      <c r="E10" s="494">
        <v>46127.0</v>
      </c>
      <c r="F10" s="495">
        <v>2.0</v>
      </c>
      <c r="G10" s="501">
        <v>100.0</v>
      </c>
      <c r="H10" s="490"/>
      <c r="I10" s="490"/>
      <c r="J10" s="490"/>
      <c r="K10" s="490"/>
      <c r="L10" s="490"/>
      <c r="M10" s="490"/>
      <c r="N10" s="490"/>
      <c r="O10" s="490"/>
      <c r="P10" s="490"/>
      <c r="Q10" s="490"/>
      <c r="R10" s="500"/>
      <c r="S10" s="478"/>
      <c r="T10" s="490"/>
      <c r="U10" s="490"/>
      <c r="V10" s="490"/>
      <c r="W10" s="490"/>
      <c r="X10" s="490"/>
      <c r="Y10" s="490"/>
      <c r="Z10" s="490"/>
      <c r="AA10" s="490"/>
      <c r="AB10" s="490"/>
      <c r="AC10" s="490"/>
      <c r="AD10" s="490"/>
      <c r="AE10" s="490"/>
      <c r="AF10" s="490"/>
      <c r="AG10" s="490"/>
      <c r="AH10" s="490"/>
      <c r="AI10" s="490"/>
      <c r="AJ10" s="490"/>
      <c r="AK10" s="490"/>
      <c r="AL10" s="490"/>
      <c r="AM10" s="490"/>
      <c r="AN10" s="490"/>
      <c r="AO10" s="490"/>
      <c r="AP10" s="490"/>
      <c r="AQ10" s="490"/>
      <c r="AR10" s="490"/>
      <c r="AS10" s="490"/>
      <c r="AT10" s="490"/>
      <c r="AU10" s="490"/>
      <c r="AV10" s="490"/>
      <c r="AW10" s="490"/>
      <c r="AX10" s="490"/>
      <c r="AY10" s="490"/>
      <c r="AZ10" s="490"/>
      <c r="BA10" s="490"/>
      <c r="BB10" s="490"/>
      <c r="BC10" s="490"/>
      <c r="BD10" s="490"/>
      <c r="BE10" s="490"/>
      <c r="BF10" s="490"/>
      <c r="BG10" s="490"/>
      <c r="BH10" s="490"/>
      <c r="BI10" s="490"/>
      <c r="BJ10" s="490"/>
      <c r="BK10" s="490"/>
      <c r="BL10" s="479"/>
      <c r="BM10" s="479"/>
    </row>
    <row r="11" ht="32.25" customHeight="1">
      <c r="A11" s="491"/>
      <c r="B11" s="492" t="s">
        <v>3809</v>
      </c>
      <c r="C11" s="492" t="s">
        <v>88</v>
      </c>
      <c r="D11" s="493">
        <v>46128.0</v>
      </c>
      <c r="E11" s="494">
        <v>46128.0</v>
      </c>
      <c r="F11" s="495">
        <v>1.0</v>
      </c>
      <c r="G11" s="496">
        <v>100.0</v>
      </c>
      <c r="H11" s="490"/>
      <c r="I11" s="490"/>
      <c r="J11" s="490"/>
      <c r="K11" s="490"/>
      <c r="L11" s="490"/>
      <c r="M11" s="490"/>
      <c r="N11" s="490"/>
      <c r="O11" s="490"/>
      <c r="P11" s="490"/>
      <c r="Q11" s="490"/>
      <c r="R11" s="490"/>
      <c r="S11" s="490"/>
      <c r="T11" s="502"/>
      <c r="U11" s="490"/>
      <c r="V11" s="490"/>
      <c r="W11" s="490"/>
      <c r="X11" s="490"/>
      <c r="Y11" s="490"/>
      <c r="Z11" s="490"/>
      <c r="AA11" s="490"/>
      <c r="AB11" s="490"/>
      <c r="AC11" s="490"/>
      <c r="AD11" s="490"/>
      <c r="AE11" s="490"/>
      <c r="AF11" s="490"/>
      <c r="AG11" s="490"/>
      <c r="AH11" s="490"/>
      <c r="AI11" s="490"/>
      <c r="AJ11" s="490"/>
      <c r="AK11" s="490"/>
      <c r="AL11" s="490"/>
      <c r="AM11" s="490"/>
      <c r="AN11" s="490"/>
      <c r="AO11" s="490"/>
      <c r="AP11" s="490"/>
      <c r="AQ11" s="490"/>
      <c r="AR11" s="490"/>
      <c r="AS11" s="490"/>
      <c r="AT11" s="490"/>
      <c r="AU11" s="490"/>
      <c r="AV11" s="490"/>
      <c r="AW11" s="490"/>
      <c r="AX11" s="490"/>
      <c r="AY11" s="490"/>
      <c r="AZ11" s="490"/>
      <c r="BA11" s="490"/>
      <c r="BB11" s="490"/>
      <c r="BC11" s="490"/>
      <c r="BD11" s="490"/>
      <c r="BE11" s="490"/>
      <c r="BF11" s="490"/>
      <c r="BG11" s="490"/>
      <c r="BH11" s="490"/>
      <c r="BI11" s="490"/>
      <c r="BJ11" s="490"/>
      <c r="BK11" s="490"/>
      <c r="BL11" s="479"/>
      <c r="BM11" s="479"/>
    </row>
    <row r="12" ht="32.25" customHeight="1">
      <c r="A12" s="480"/>
      <c r="B12" s="492" t="s">
        <v>3810</v>
      </c>
      <c r="C12" s="492" t="s">
        <v>90</v>
      </c>
      <c r="D12" s="493">
        <v>46129.0</v>
      </c>
      <c r="E12" s="494">
        <v>46129.0</v>
      </c>
      <c r="F12" s="495">
        <v>1.0</v>
      </c>
      <c r="G12" s="496">
        <v>100.0</v>
      </c>
      <c r="H12" s="490"/>
      <c r="I12" s="490"/>
      <c r="J12" s="490"/>
      <c r="K12" s="490"/>
      <c r="L12" s="490"/>
      <c r="M12" s="490"/>
      <c r="N12" s="490"/>
      <c r="O12" s="490"/>
      <c r="P12" s="490"/>
      <c r="Q12" s="490"/>
      <c r="R12" s="490"/>
      <c r="S12" s="490"/>
      <c r="T12" s="490"/>
      <c r="U12" s="502"/>
      <c r="V12" s="490"/>
      <c r="W12" s="490"/>
      <c r="X12" s="490"/>
      <c r="Y12" s="490"/>
      <c r="Z12" s="490"/>
      <c r="AA12" s="490"/>
      <c r="AB12" s="490"/>
      <c r="AC12" s="490"/>
      <c r="AD12" s="490"/>
      <c r="AE12" s="490"/>
      <c r="AF12" s="490"/>
      <c r="AG12" s="490"/>
      <c r="AH12" s="490"/>
      <c r="AI12" s="490"/>
      <c r="AJ12" s="490"/>
      <c r="AK12" s="490"/>
      <c r="AL12" s="490"/>
      <c r="AM12" s="490"/>
      <c r="AN12" s="490"/>
      <c r="AO12" s="490"/>
      <c r="AP12" s="490"/>
      <c r="AQ12" s="490"/>
      <c r="AR12" s="490"/>
      <c r="AS12" s="490"/>
      <c r="AT12" s="490"/>
      <c r="AU12" s="490"/>
      <c r="AV12" s="490"/>
      <c r="AW12" s="490"/>
      <c r="AX12" s="490"/>
      <c r="AY12" s="490"/>
      <c r="AZ12" s="490"/>
      <c r="BA12" s="490"/>
      <c r="BB12" s="490"/>
      <c r="BC12" s="490"/>
      <c r="BD12" s="490"/>
      <c r="BE12" s="490"/>
      <c r="BF12" s="490"/>
      <c r="BG12" s="490"/>
      <c r="BH12" s="490"/>
      <c r="BI12" s="490"/>
      <c r="BJ12" s="490"/>
      <c r="BK12" s="490"/>
      <c r="BL12" s="479"/>
      <c r="BM12" s="479"/>
    </row>
    <row r="13" ht="32.25" customHeight="1">
      <c r="A13" s="503">
        <v>3.0</v>
      </c>
      <c r="B13" s="484" t="s">
        <v>3811</v>
      </c>
      <c r="C13" s="485" t="s">
        <v>105</v>
      </c>
      <c r="D13" s="486">
        <v>46130.0</v>
      </c>
      <c r="E13" s="487">
        <v>46136.0</v>
      </c>
      <c r="F13" s="488">
        <v>7.0</v>
      </c>
      <c r="G13" s="247">
        <v>100.0</v>
      </c>
      <c r="H13" s="490"/>
      <c r="I13" s="490"/>
      <c r="J13" s="490"/>
      <c r="K13" s="490"/>
      <c r="L13" s="490"/>
      <c r="M13" s="490"/>
      <c r="N13" s="490"/>
      <c r="O13" s="490"/>
      <c r="P13" s="490"/>
      <c r="Q13" s="490"/>
      <c r="R13" s="490"/>
      <c r="S13" s="490"/>
      <c r="T13" s="490"/>
      <c r="U13" s="490"/>
      <c r="V13" s="498"/>
      <c r="W13" s="498"/>
      <c r="X13" s="498"/>
      <c r="Y13" s="498"/>
      <c r="Z13" s="498"/>
      <c r="AA13" s="498"/>
      <c r="AB13" s="498"/>
      <c r="AC13" s="490"/>
      <c r="AD13" s="490"/>
      <c r="AE13" s="490"/>
      <c r="AF13" s="490"/>
      <c r="AG13" s="490"/>
      <c r="AH13" s="490"/>
      <c r="AI13" s="490"/>
      <c r="AJ13" s="490"/>
      <c r="AK13" s="490"/>
      <c r="AL13" s="490"/>
      <c r="AM13" s="490"/>
      <c r="AN13" s="490"/>
      <c r="AO13" s="490"/>
      <c r="AP13" s="490"/>
      <c r="AQ13" s="490"/>
      <c r="AR13" s="490"/>
      <c r="AS13" s="490"/>
      <c r="AT13" s="490"/>
      <c r="AU13" s="490"/>
      <c r="AV13" s="490"/>
      <c r="AW13" s="490"/>
      <c r="AX13" s="490"/>
      <c r="AY13" s="490"/>
      <c r="AZ13" s="490"/>
      <c r="BA13" s="490"/>
      <c r="BB13" s="490"/>
      <c r="BC13" s="490"/>
      <c r="BD13" s="490"/>
      <c r="BE13" s="490"/>
      <c r="BF13" s="490"/>
      <c r="BG13" s="490"/>
      <c r="BH13" s="490"/>
      <c r="BI13" s="490"/>
      <c r="BJ13" s="490"/>
      <c r="BK13" s="490"/>
      <c r="BL13" s="479"/>
      <c r="BM13" s="479"/>
    </row>
    <row r="14" ht="32.25" customHeight="1">
      <c r="A14" s="491"/>
      <c r="B14" s="492" t="s">
        <v>3812</v>
      </c>
      <c r="C14" s="492" t="s">
        <v>105</v>
      </c>
      <c r="D14" s="493">
        <v>46130.0</v>
      </c>
      <c r="E14" s="494">
        <v>46132.0</v>
      </c>
      <c r="F14" s="495">
        <v>3.0</v>
      </c>
      <c r="G14" s="496">
        <v>100.0</v>
      </c>
      <c r="H14" s="490"/>
      <c r="I14" s="490"/>
      <c r="J14" s="490"/>
      <c r="K14" s="490"/>
      <c r="L14" s="490"/>
      <c r="M14" s="490"/>
      <c r="N14" s="490"/>
      <c r="O14" s="490"/>
      <c r="P14" s="490"/>
      <c r="Q14" s="490"/>
      <c r="R14" s="490"/>
      <c r="S14" s="490"/>
      <c r="T14" s="490"/>
      <c r="U14" s="490"/>
      <c r="V14" s="504"/>
      <c r="W14" s="477"/>
      <c r="X14" s="478"/>
      <c r="Y14" s="490"/>
      <c r="Z14" s="490"/>
      <c r="AA14" s="490"/>
      <c r="AB14" s="490"/>
      <c r="AC14" s="490"/>
      <c r="AD14" s="490"/>
      <c r="AE14" s="490"/>
      <c r="AF14" s="490"/>
      <c r="AG14" s="490"/>
      <c r="AH14" s="490"/>
      <c r="AI14" s="490"/>
      <c r="AJ14" s="490"/>
      <c r="AK14" s="490"/>
      <c r="AL14" s="490"/>
      <c r="AM14" s="490"/>
      <c r="AN14" s="490"/>
      <c r="AO14" s="490"/>
      <c r="AP14" s="490"/>
      <c r="AQ14" s="490"/>
      <c r="AR14" s="490"/>
      <c r="AS14" s="490"/>
      <c r="AT14" s="490"/>
      <c r="AU14" s="490"/>
      <c r="AV14" s="490"/>
      <c r="AW14" s="490"/>
      <c r="AX14" s="490"/>
      <c r="AY14" s="490"/>
      <c r="AZ14" s="490"/>
      <c r="BA14" s="490"/>
      <c r="BB14" s="490"/>
      <c r="BC14" s="490"/>
      <c r="BD14" s="490"/>
      <c r="BE14" s="490"/>
      <c r="BF14" s="490"/>
      <c r="BG14" s="490"/>
      <c r="BH14" s="490"/>
      <c r="BI14" s="490"/>
      <c r="BJ14" s="490"/>
      <c r="BK14" s="490"/>
      <c r="BL14" s="479"/>
      <c r="BM14" s="479"/>
    </row>
    <row r="15" ht="32.25" customHeight="1">
      <c r="A15" s="491"/>
      <c r="B15" s="492" t="s">
        <v>3813</v>
      </c>
      <c r="C15" s="492" t="s">
        <v>94</v>
      </c>
      <c r="D15" s="493">
        <v>46133.0</v>
      </c>
      <c r="E15" s="494">
        <v>46134.0</v>
      </c>
      <c r="F15" s="495">
        <v>2.0</v>
      </c>
      <c r="G15" s="496">
        <v>100.0</v>
      </c>
      <c r="H15" s="490"/>
      <c r="I15" s="490"/>
      <c r="J15" s="490"/>
      <c r="K15" s="490"/>
      <c r="L15" s="490"/>
      <c r="M15" s="490"/>
      <c r="N15" s="490"/>
      <c r="O15" s="490"/>
      <c r="P15" s="490"/>
      <c r="Q15" s="490"/>
      <c r="R15" s="490"/>
      <c r="S15" s="490"/>
      <c r="T15" s="490"/>
      <c r="U15" s="490"/>
      <c r="V15" s="490"/>
      <c r="W15" s="490"/>
      <c r="X15" s="490"/>
      <c r="Y15" s="504"/>
      <c r="Z15" s="478"/>
      <c r="AA15" s="490"/>
      <c r="AB15" s="490"/>
      <c r="AC15" s="490"/>
      <c r="AD15" s="490"/>
      <c r="AE15" s="490"/>
      <c r="AF15" s="490"/>
      <c r="AG15" s="490"/>
      <c r="AH15" s="490"/>
      <c r="AI15" s="490"/>
      <c r="AJ15" s="490"/>
      <c r="AK15" s="490"/>
      <c r="AL15" s="490"/>
      <c r="AM15" s="490"/>
      <c r="AN15" s="490"/>
      <c r="AO15" s="490"/>
      <c r="AP15" s="490"/>
      <c r="AQ15" s="490"/>
      <c r="AR15" s="490"/>
      <c r="AS15" s="490"/>
      <c r="AT15" s="490"/>
      <c r="AU15" s="490"/>
      <c r="AV15" s="490"/>
      <c r="AW15" s="490"/>
      <c r="AX15" s="490"/>
      <c r="AY15" s="490"/>
      <c r="AZ15" s="490"/>
      <c r="BA15" s="490"/>
      <c r="BB15" s="490"/>
      <c r="BC15" s="490"/>
      <c r="BD15" s="490"/>
      <c r="BE15" s="490"/>
      <c r="BF15" s="490"/>
      <c r="BG15" s="490"/>
      <c r="BH15" s="490"/>
      <c r="BI15" s="490"/>
      <c r="BJ15" s="490"/>
      <c r="BK15" s="490"/>
      <c r="BL15" s="479"/>
      <c r="BM15" s="479"/>
    </row>
    <row r="16" ht="32.25" customHeight="1">
      <c r="A16" s="480"/>
      <c r="B16" s="492" t="s">
        <v>3814</v>
      </c>
      <c r="C16" s="492" t="s">
        <v>94</v>
      </c>
      <c r="D16" s="493">
        <v>46135.0</v>
      </c>
      <c r="E16" s="494">
        <v>46136.0</v>
      </c>
      <c r="F16" s="495">
        <v>2.0</v>
      </c>
      <c r="G16" s="496">
        <v>100.0</v>
      </c>
      <c r="H16" s="490"/>
      <c r="I16" s="490"/>
      <c r="J16" s="490"/>
      <c r="K16" s="490"/>
      <c r="L16" s="490"/>
      <c r="M16" s="490"/>
      <c r="N16" s="490"/>
      <c r="O16" s="490"/>
      <c r="P16" s="490"/>
      <c r="Q16" s="490"/>
      <c r="R16" s="490"/>
      <c r="S16" s="490"/>
      <c r="T16" s="490"/>
      <c r="U16" s="490"/>
      <c r="V16" s="490"/>
      <c r="W16" s="490"/>
      <c r="X16" s="490"/>
      <c r="Y16" s="490"/>
      <c r="Z16" s="490"/>
      <c r="AA16" s="504"/>
      <c r="AB16" s="478"/>
      <c r="AC16" s="490"/>
      <c r="AD16" s="490"/>
      <c r="AE16" s="490"/>
      <c r="AF16" s="490"/>
      <c r="AG16" s="490"/>
      <c r="AH16" s="490"/>
      <c r="AI16" s="490"/>
      <c r="AJ16" s="490"/>
      <c r="AK16" s="490"/>
      <c r="AL16" s="490"/>
      <c r="AM16" s="490"/>
      <c r="AN16" s="490"/>
      <c r="AO16" s="490"/>
      <c r="AP16" s="490"/>
      <c r="AQ16" s="490"/>
      <c r="AR16" s="490"/>
      <c r="AS16" s="490"/>
      <c r="AT16" s="490"/>
      <c r="AU16" s="490"/>
      <c r="AV16" s="490"/>
      <c r="AW16" s="490"/>
      <c r="AX16" s="490"/>
      <c r="AY16" s="490"/>
      <c r="AZ16" s="490"/>
      <c r="BA16" s="490"/>
      <c r="BB16" s="490"/>
      <c r="BC16" s="490"/>
      <c r="BD16" s="490"/>
      <c r="BE16" s="490"/>
      <c r="BF16" s="490"/>
      <c r="BG16" s="490"/>
      <c r="BH16" s="490"/>
      <c r="BI16" s="490"/>
      <c r="BJ16" s="490"/>
      <c r="BK16" s="490"/>
      <c r="BL16" s="479"/>
      <c r="BM16" s="479"/>
    </row>
    <row r="17" ht="32.25" customHeight="1">
      <c r="A17" s="505">
        <v>4.0</v>
      </c>
      <c r="B17" s="484" t="s">
        <v>3815</v>
      </c>
      <c r="C17" s="485" t="s">
        <v>105</v>
      </c>
      <c r="D17" s="486">
        <v>46137.0</v>
      </c>
      <c r="E17" s="487">
        <v>46143.0</v>
      </c>
      <c r="F17" s="488">
        <v>7.0</v>
      </c>
      <c r="G17" s="247">
        <v>100.0</v>
      </c>
      <c r="H17" s="490"/>
      <c r="I17" s="490"/>
      <c r="J17" s="490"/>
      <c r="K17" s="490"/>
      <c r="L17" s="490"/>
      <c r="M17" s="490"/>
      <c r="N17" s="490"/>
      <c r="O17" s="490"/>
      <c r="P17" s="490"/>
      <c r="Q17" s="490"/>
      <c r="R17" s="490"/>
      <c r="S17" s="490"/>
      <c r="T17" s="490"/>
      <c r="U17" s="490"/>
      <c r="V17" s="490"/>
      <c r="W17" s="490"/>
      <c r="X17" s="490"/>
      <c r="Y17" s="490"/>
      <c r="Z17" s="490"/>
      <c r="AA17" s="490"/>
      <c r="AB17" s="490"/>
      <c r="AC17" s="498"/>
      <c r="AD17" s="498"/>
      <c r="AE17" s="498"/>
      <c r="AF17" s="498"/>
      <c r="AG17" s="498"/>
      <c r="AH17" s="498"/>
      <c r="AI17" s="498"/>
      <c r="AJ17" s="490"/>
      <c r="AK17" s="490"/>
      <c r="AL17" s="490"/>
      <c r="AM17" s="490"/>
      <c r="AN17" s="490"/>
      <c r="AO17" s="490"/>
      <c r="AP17" s="490"/>
      <c r="AQ17" s="490"/>
      <c r="AR17" s="490"/>
      <c r="AS17" s="490"/>
      <c r="AT17" s="490"/>
      <c r="AU17" s="490"/>
      <c r="AV17" s="490"/>
      <c r="AW17" s="490"/>
      <c r="AX17" s="490"/>
      <c r="AY17" s="490"/>
      <c r="AZ17" s="490"/>
      <c r="BA17" s="490"/>
      <c r="BB17" s="490"/>
      <c r="BC17" s="490"/>
      <c r="BD17" s="490"/>
      <c r="BE17" s="490"/>
      <c r="BF17" s="490"/>
      <c r="BG17" s="490"/>
      <c r="BH17" s="490"/>
      <c r="BI17" s="490"/>
      <c r="BJ17" s="490"/>
      <c r="BK17" s="490"/>
      <c r="BL17" s="479"/>
      <c r="BM17" s="479"/>
    </row>
    <row r="18" ht="32.25" customHeight="1">
      <c r="A18" s="491"/>
      <c r="B18" s="492" t="s">
        <v>3816</v>
      </c>
      <c r="C18" s="492" t="s">
        <v>94</v>
      </c>
      <c r="D18" s="493">
        <v>46137.0</v>
      </c>
      <c r="E18" s="494">
        <v>46138.0</v>
      </c>
      <c r="F18" s="495">
        <v>2.0</v>
      </c>
      <c r="G18" s="496">
        <v>100.0</v>
      </c>
      <c r="H18" s="490"/>
      <c r="I18" s="490"/>
      <c r="J18" s="490"/>
      <c r="K18" s="490"/>
      <c r="L18" s="490"/>
      <c r="M18" s="490"/>
      <c r="N18" s="490"/>
      <c r="O18" s="490"/>
      <c r="P18" s="490"/>
      <c r="Q18" s="490"/>
      <c r="R18" s="490"/>
      <c r="S18" s="490"/>
      <c r="T18" s="490"/>
      <c r="U18" s="490"/>
      <c r="V18" s="490"/>
      <c r="W18" s="490"/>
      <c r="X18" s="490"/>
      <c r="Y18" s="490"/>
      <c r="Z18" s="490"/>
      <c r="AA18" s="490"/>
      <c r="AB18" s="490"/>
      <c r="AC18" s="506"/>
      <c r="AD18" s="478"/>
      <c r="AE18" s="490"/>
      <c r="AF18" s="490"/>
      <c r="AG18" s="490"/>
      <c r="AH18" s="490"/>
      <c r="AI18" s="490"/>
      <c r="AJ18" s="490"/>
      <c r="AK18" s="490"/>
      <c r="AL18" s="490"/>
      <c r="AM18" s="490"/>
      <c r="AN18" s="490"/>
      <c r="AO18" s="490"/>
      <c r="AP18" s="490"/>
      <c r="AQ18" s="490"/>
      <c r="AR18" s="490"/>
      <c r="AS18" s="490"/>
      <c r="AT18" s="490"/>
      <c r="AU18" s="490"/>
      <c r="AV18" s="490"/>
      <c r="AW18" s="490"/>
      <c r="AX18" s="490"/>
      <c r="AY18" s="490"/>
      <c r="AZ18" s="490"/>
      <c r="BA18" s="490"/>
      <c r="BB18" s="490"/>
      <c r="BC18" s="490"/>
      <c r="BD18" s="490"/>
      <c r="BE18" s="490"/>
      <c r="BF18" s="490"/>
      <c r="BG18" s="490"/>
      <c r="BH18" s="490"/>
      <c r="BI18" s="490"/>
      <c r="BJ18" s="490"/>
      <c r="BK18" s="490"/>
      <c r="BL18" s="479"/>
      <c r="BM18" s="479"/>
    </row>
    <row r="19" ht="32.25" customHeight="1">
      <c r="A19" s="491"/>
      <c r="B19" s="492" t="s">
        <v>3817</v>
      </c>
      <c r="C19" s="492" t="s">
        <v>105</v>
      </c>
      <c r="D19" s="493">
        <v>46139.0</v>
      </c>
      <c r="E19" s="494">
        <v>46140.0</v>
      </c>
      <c r="F19" s="495">
        <v>2.0</v>
      </c>
      <c r="G19" s="496">
        <v>100.0</v>
      </c>
      <c r="H19" s="490"/>
      <c r="I19" s="490"/>
      <c r="J19" s="490"/>
      <c r="K19" s="490"/>
      <c r="L19" s="490"/>
      <c r="M19" s="490"/>
      <c r="N19" s="490"/>
      <c r="O19" s="490"/>
      <c r="P19" s="490"/>
      <c r="Q19" s="490"/>
      <c r="R19" s="490"/>
      <c r="S19" s="490"/>
      <c r="T19" s="490"/>
      <c r="U19" s="490"/>
      <c r="V19" s="490"/>
      <c r="W19" s="490"/>
      <c r="X19" s="490"/>
      <c r="Y19" s="490"/>
      <c r="Z19" s="490"/>
      <c r="AA19" s="490"/>
      <c r="AB19" s="490"/>
      <c r="AC19" s="490"/>
      <c r="AD19" s="490"/>
      <c r="AE19" s="506"/>
      <c r="AF19" s="478"/>
      <c r="AG19" s="490"/>
      <c r="AH19" s="490"/>
      <c r="AI19" s="490"/>
      <c r="AJ19" s="490"/>
      <c r="AK19" s="490"/>
      <c r="AL19" s="490"/>
      <c r="AM19" s="490"/>
      <c r="AN19" s="490"/>
      <c r="AO19" s="490"/>
      <c r="AP19" s="490"/>
      <c r="AQ19" s="490"/>
      <c r="AR19" s="490"/>
      <c r="AS19" s="490"/>
      <c r="AT19" s="490"/>
      <c r="AU19" s="490"/>
      <c r="AV19" s="490"/>
      <c r="AW19" s="490"/>
      <c r="AX19" s="490"/>
      <c r="AY19" s="490"/>
      <c r="AZ19" s="490"/>
      <c r="BA19" s="490"/>
      <c r="BB19" s="490"/>
      <c r="BC19" s="490"/>
      <c r="BD19" s="490"/>
      <c r="BE19" s="490"/>
      <c r="BF19" s="490"/>
      <c r="BG19" s="490"/>
      <c r="BH19" s="490"/>
      <c r="BI19" s="490"/>
      <c r="BJ19" s="490"/>
      <c r="BK19" s="490"/>
      <c r="BL19" s="479"/>
      <c r="BM19" s="479"/>
    </row>
    <row r="20" ht="32.25" customHeight="1">
      <c r="A20" s="480"/>
      <c r="B20" s="492" t="s">
        <v>3818</v>
      </c>
      <c r="C20" s="492" t="s">
        <v>105</v>
      </c>
      <c r="D20" s="493">
        <v>46141.0</v>
      </c>
      <c r="E20" s="494">
        <v>46143.0</v>
      </c>
      <c r="F20" s="495">
        <v>3.0</v>
      </c>
      <c r="G20" s="496">
        <v>100.0</v>
      </c>
      <c r="H20" s="490"/>
      <c r="I20" s="490"/>
      <c r="J20" s="490"/>
      <c r="K20" s="490"/>
      <c r="L20" s="490"/>
      <c r="M20" s="490"/>
      <c r="N20" s="490"/>
      <c r="O20" s="490"/>
      <c r="P20" s="490"/>
      <c r="Q20" s="490"/>
      <c r="R20" s="490"/>
      <c r="S20" s="490"/>
      <c r="T20" s="490"/>
      <c r="U20" s="490"/>
      <c r="V20" s="490"/>
      <c r="W20" s="490"/>
      <c r="X20" s="490"/>
      <c r="Y20" s="490"/>
      <c r="Z20" s="490"/>
      <c r="AA20" s="490"/>
      <c r="AB20" s="490"/>
      <c r="AC20" s="490"/>
      <c r="AD20" s="490"/>
      <c r="AE20" s="490"/>
      <c r="AF20" s="490"/>
      <c r="AG20" s="506"/>
      <c r="AH20" s="477"/>
      <c r="AI20" s="478"/>
      <c r="AJ20" s="490"/>
      <c r="AK20" s="490"/>
      <c r="AL20" s="490"/>
      <c r="AM20" s="490"/>
      <c r="AN20" s="490"/>
      <c r="AO20" s="490"/>
      <c r="AP20" s="490"/>
      <c r="AQ20" s="490"/>
      <c r="AR20" s="490"/>
      <c r="AS20" s="490"/>
      <c r="AT20" s="490"/>
      <c r="AU20" s="490"/>
      <c r="AV20" s="490"/>
      <c r="AW20" s="490"/>
      <c r="AX20" s="490"/>
      <c r="AY20" s="490"/>
      <c r="AZ20" s="490"/>
      <c r="BA20" s="490"/>
      <c r="BB20" s="490"/>
      <c r="BC20" s="490"/>
      <c r="BD20" s="490"/>
      <c r="BE20" s="490"/>
      <c r="BF20" s="490"/>
      <c r="BG20" s="490"/>
      <c r="BH20" s="490"/>
      <c r="BI20" s="490"/>
      <c r="BJ20" s="490"/>
      <c r="BK20" s="490"/>
      <c r="BL20" s="479"/>
      <c r="BM20" s="479"/>
    </row>
    <row r="21" ht="32.25" customHeight="1">
      <c r="A21" s="503">
        <v>5.0</v>
      </c>
      <c r="B21" s="484" t="s">
        <v>3819</v>
      </c>
      <c r="C21" s="485" t="s">
        <v>105</v>
      </c>
      <c r="D21" s="486">
        <v>46144.0</v>
      </c>
      <c r="E21" s="487">
        <v>46150.0</v>
      </c>
      <c r="F21" s="488">
        <v>7.0</v>
      </c>
      <c r="G21" s="496">
        <v>100.0</v>
      </c>
      <c r="H21" s="490"/>
      <c r="I21" s="490"/>
      <c r="J21" s="490"/>
      <c r="K21" s="490"/>
      <c r="L21" s="490"/>
      <c r="M21" s="490"/>
      <c r="N21" s="490"/>
      <c r="O21" s="490"/>
      <c r="P21" s="490"/>
      <c r="Q21" s="490"/>
      <c r="R21" s="490"/>
      <c r="S21" s="490"/>
      <c r="T21" s="490"/>
      <c r="U21" s="490"/>
      <c r="V21" s="490"/>
      <c r="W21" s="490"/>
      <c r="X21" s="490"/>
      <c r="Y21" s="490"/>
      <c r="Z21" s="490"/>
      <c r="AA21" s="490"/>
      <c r="AB21" s="490"/>
      <c r="AC21" s="490"/>
      <c r="AD21" s="490"/>
      <c r="AE21" s="490"/>
      <c r="AF21" s="490"/>
      <c r="AG21" s="490"/>
      <c r="AH21" s="490"/>
      <c r="AI21" s="490"/>
      <c r="AJ21" s="498"/>
      <c r="AK21" s="498"/>
      <c r="AL21" s="498"/>
      <c r="AM21" s="498"/>
      <c r="AN21" s="498"/>
      <c r="AO21" s="498"/>
      <c r="AP21" s="498"/>
      <c r="AQ21" s="490"/>
      <c r="AR21" s="490"/>
      <c r="AS21" s="490"/>
      <c r="AT21" s="490"/>
      <c r="AU21" s="490"/>
      <c r="AV21" s="490"/>
      <c r="AW21" s="490"/>
      <c r="AX21" s="490"/>
      <c r="AY21" s="490"/>
      <c r="AZ21" s="490"/>
      <c r="BA21" s="490"/>
      <c r="BB21" s="490"/>
      <c r="BC21" s="490"/>
      <c r="BD21" s="490"/>
      <c r="BE21" s="490"/>
      <c r="BF21" s="490"/>
      <c r="BG21" s="490"/>
      <c r="BH21" s="490"/>
      <c r="BI21" s="490"/>
      <c r="BJ21" s="490"/>
      <c r="BK21" s="490"/>
      <c r="BL21" s="479"/>
      <c r="BM21" s="479"/>
    </row>
    <row r="22" ht="32.25" customHeight="1">
      <c r="A22" s="491"/>
      <c r="B22" s="492" t="s">
        <v>3820</v>
      </c>
      <c r="C22" s="492" t="s">
        <v>92</v>
      </c>
      <c r="D22" s="493">
        <v>46144.0</v>
      </c>
      <c r="E22" s="494">
        <v>46148.0</v>
      </c>
      <c r="F22" s="495">
        <v>5.0</v>
      </c>
      <c r="G22" s="496">
        <v>100.0</v>
      </c>
      <c r="H22" s="490"/>
      <c r="I22" s="490"/>
      <c r="J22" s="490"/>
      <c r="K22" s="490"/>
      <c r="L22" s="490"/>
      <c r="M22" s="490"/>
      <c r="N22" s="490"/>
      <c r="O22" s="490"/>
      <c r="P22" s="490"/>
      <c r="Q22" s="490"/>
      <c r="R22" s="490"/>
      <c r="S22" s="490"/>
      <c r="T22" s="490"/>
      <c r="U22" s="490"/>
      <c r="V22" s="490"/>
      <c r="W22" s="490"/>
      <c r="X22" s="490"/>
      <c r="Y22" s="490"/>
      <c r="Z22" s="490"/>
      <c r="AA22" s="490"/>
      <c r="AB22" s="490"/>
      <c r="AC22" s="490"/>
      <c r="AD22" s="490"/>
      <c r="AE22" s="490"/>
      <c r="AF22" s="490"/>
      <c r="AG22" s="490"/>
      <c r="AH22" s="490"/>
      <c r="AI22" s="490"/>
      <c r="AJ22" s="507"/>
      <c r="AK22" s="477"/>
      <c r="AL22" s="477"/>
      <c r="AM22" s="477"/>
      <c r="AN22" s="478"/>
      <c r="AO22" s="490"/>
      <c r="AP22" s="490"/>
      <c r="AQ22" s="490"/>
      <c r="AR22" s="490"/>
      <c r="AS22" s="490"/>
      <c r="AT22" s="490"/>
      <c r="AU22" s="490"/>
      <c r="AV22" s="490"/>
      <c r="AW22" s="490"/>
      <c r="AX22" s="490"/>
      <c r="AY22" s="490"/>
      <c r="AZ22" s="490"/>
      <c r="BA22" s="490"/>
      <c r="BB22" s="490"/>
      <c r="BC22" s="490"/>
      <c r="BD22" s="490"/>
      <c r="BE22" s="490"/>
      <c r="BF22" s="490"/>
      <c r="BG22" s="490"/>
      <c r="BH22" s="490"/>
      <c r="BI22" s="490"/>
      <c r="BJ22" s="490"/>
      <c r="BK22" s="490"/>
      <c r="BL22" s="479"/>
      <c r="BM22" s="479"/>
    </row>
    <row r="23" ht="32.25" customHeight="1">
      <c r="A23" s="491"/>
      <c r="B23" s="492" t="s">
        <v>3821</v>
      </c>
      <c r="C23" s="492" t="s">
        <v>92</v>
      </c>
      <c r="D23" s="493">
        <v>46146.0</v>
      </c>
      <c r="E23" s="494">
        <v>46149.0</v>
      </c>
      <c r="F23" s="495">
        <v>4.0</v>
      </c>
      <c r="G23" s="496">
        <v>100.0</v>
      </c>
      <c r="H23" s="490"/>
      <c r="I23" s="490"/>
      <c r="J23" s="490"/>
      <c r="K23" s="490"/>
      <c r="L23" s="490"/>
      <c r="M23" s="490"/>
      <c r="N23" s="490"/>
      <c r="O23" s="490"/>
      <c r="P23" s="490"/>
      <c r="Q23" s="490"/>
      <c r="R23" s="490"/>
      <c r="S23" s="490"/>
      <c r="T23" s="490"/>
      <c r="U23" s="490"/>
      <c r="V23" s="490"/>
      <c r="W23" s="490"/>
      <c r="X23" s="490"/>
      <c r="Y23" s="490"/>
      <c r="Z23" s="490"/>
      <c r="AA23" s="490"/>
      <c r="AB23" s="490"/>
      <c r="AC23" s="490"/>
      <c r="AD23" s="490"/>
      <c r="AE23" s="490"/>
      <c r="AF23" s="490"/>
      <c r="AG23" s="490"/>
      <c r="AH23" s="490"/>
      <c r="AI23" s="490"/>
      <c r="AJ23" s="490"/>
      <c r="AK23" s="490"/>
      <c r="AL23" s="507"/>
      <c r="AM23" s="477"/>
      <c r="AN23" s="477"/>
      <c r="AO23" s="478"/>
      <c r="AP23" s="490"/>
      <c r="AQ23" s="490"/>
      <c r="AR23" s="490"/>
      <c r="AS23" s="490"/>
      <c r="AT23" s="490"/>
      <c r="AU23" s="490"/>
      <c r="AV23" s="490"/>
      <c r="AW23" s="490"/>
      <c r="AX23" s="490"/>
      <c r="AY23" s="490"/>
      <c r="AZ23" s="490"/>
      <c r="BA23" s="490"/>
      <c r="BB23" s="490"/>
      <c r="BC23" s="490"/>
      <c r="BD23" s="490"/>
      <c r="BE23" s="490"/>
      <c r="BF23" s="490"/>
      <c r="BG23" s="490"/>
      <c r="BH23" s="490"/>
      <c r="BI23" s="490"/>
      <c r="BJ23" s="490"/>
      <c r="BK23" s="490"/>
      <c r="BL23" s="479"/>
      <c r="BM23" s="479"/>
    </row>
    <row r="24" ht="32.25" customHeight="1">
      <c r="A24" s="480"/>
      <c r="B24" s="492" t="s">
        <v>3822</v>
      </c>
      <c r="C24" s="492" t="s">
        <v>105</v>
      </c>
      <c r="D24" s="493">
        <v>46150.0</v>
      </c>
      <c r="E24" s="494">
        <v>46150.0</v>
      </c>
      <c r="F24" s="495">
        <v>1.0</v>
      </c>
      <c r="G24" s="496">
        <v>100.0</v>
      </c>
      <c r="H24" s="490"/>
      <c r="I24" s="490"/>
      <c r="J24" s="490"/>
      <c r="K24" s="490"/>
      <c r="L24" s="490"/>
      <c r="M24" s="490"/>
      <c r="N24" s="490"/>
      <c r="O24" s="490"/>
      <c r="P24" s="490"/>
      <c r="Q24" s="490"/>
      <c r="R24" s="490"/>
      <c r="S24" s="490"/>
      <c r="T24" s="490"/>
      <c r="U24" s="490"/>
      <c r="V24" s="490"/>
      <c r="W24" s="490"/>
      <c r="X24" s="490"/>
      <c r="Y24" s="490"/>
      <c r="Z24" s="490"/>
      <c r="AA24" s="490"/>
      <c r="AB24" s="490"/>
      <c r="AC24" s="490"/>
      <c r="AD24" s="490"/>
      <c r="AE24" s="490"/>
      <c r="AF24" s="490"/>
      <c r="AG24" s="490"/>
      <c r="AH24" s="490"/>
      <c r="AI24" s="490"/>
      <c r="AJ24" s="490"/>
      <c r="AK24" s="490"/>
      <c r="AL24" s="490"/>
      <c r="AM24" s="490"/>
      <c r="AN24" s="490"/>
      <c r="AO24" s="490"/>
      <c r="AP24" s="508"/>
      <c r="AQ24" s="490"/>
      <c r="AR24" s="490"/>
      <c r="AS24" s="490"/>
      <c r="AT24" s="490"/>
      <c r="AU24" s="490"/>
      <c r="AV24" s="490"/>
      <c r="AW24" s="490"/>
      <c r="AX24" s="490"/>
      <c r="AY24" s="490"/>
      <c r="AZ24" s="490"/>
      <c r="BA24" s="490"/>
      <c r="BB24" s="490"/>
      <c r="BC24" s="490"/>
      <c r="BD24" s="490"/>
      <c r="BE24" s="490"/>
      <c r="BF24" s="490"/>
      <c r="BG24" s="490"/>
      <c r="BH24" s="490"/>
      <c r="BI24" s="490"/>
      <c r="BJ24" s="490"/>
      <c r="BK24" s="490"/>
      <c r="BL24" s="479"/>
      <c r="BM24" s="479"/>
    </row>
    <row r="25" ht="32.25" customHeight="1">
      <c r="A25" s="505">
        <v>6.0</v>
      </c>
      <c r="B25" s="484" t="s">
        <v>3823</v>
      </c>
      <c r="C25" s="485" t="s">
        <v>105</v>
      </c>
      <c r="D25" s="486">
        <v>46151.0</v>
      </c>
      <c r="E25" s="487">
        <v>46157.0</v>
      </c>
      <c r="F25" s="488">
        <v>7.0</v>
      </c>
      <c r="G25" s="247">
        <v>0.0</v>
      </c>
      <c r="H25" s="490"/>
      <c r="I25" s="490"/>
      <c r="J25" s="490"/>
      <c r="K25" s="490"/>
      <c r="L25" s="490"/>
      <c r="M25" s="490"/>
      <c r="N25" s="490"/>
      <c r="O25" s="490"/>
      <c r="P25" s="490"/>
      <c r="Q25" s="490"/>
      <c r="R25" s="490"/>
      <c r="S25" s="490"/>
      <c r="T25" s="490"/>
      <c r="U25" s="490"/>
      <c r="V25" s="490"/>
      <c r="W25" s="490"/>
      <c r="X25" s="490"/>
      <c r="Y25" s="490"/>
      <c r="Z25" s="490"/>
      <c r="AA25" s="490"/>
      <c r="AB25" s="490"/>
      <c r="AC25" s="490"/>
      <c r="AD25" s="490"/>
      <c r="AE25" s="490"/>
      <c r="AF25" s="490"/>
      <c r="AG25" s="490"/>
      <c r="AH25" s="490"/>
      <c r="AI25" s="490"/>
      <c r="AJ25" s="490"/>
      <c r="AK25" s="490"/>
      <c r="AL25" s="490"/>
      <c r="AM25" s="490"/>
      <c r="AN25" s="490"/>
      <c r="AO25" s="490"/>
      <c r="AP25" s="490"/>
      <c r="AQ25" s="498"/>
      <c r="AR25" s="498"/>
      <c r="AS25" s="498"/>
      <c r="AT25" s="498"/>
      <c r="AU25" s="498"/>
      <c r="AV25" s="498"/>
      <c r="AW25" s="498"/>
      <c r="AX25" s="490"/>
      <c r="AY25" s="490"/>
      <c r="AZ25" s="490"/>
      <c r="BA25" s="490"/>
      <c r="BB25" s="490"/>
      <c r="BC25" s="490"/>
      <c r="BD25" s="490"/>
      <c r="BE25" s="490"/>
      <c r="BF25" s="490"/>
      <c r="BG25" s="490"/>
      <c r="BH25" s="490"/>
      <c r="BI25" s="490"/>
      <c r="BJ25" s="490"/>
      <c r="BK25" s="490"/>
      <c r="BL25" s="479"/>
      <c r="BM25" s="479"/>
    </row>
    <row r="26" ht="32.25" customHeight="1">
      <c r="A26" s="491"/>
      <c r="B26" s="492" t="s">
        <v>3824</v>
      </c>
      <c r="C26" s="492" t="s">
        <v>90</v>
      </c>
      <c r="D26" s="493">
        <v>46151.0</v>
      </c>
      <c r="E26" s="494">
        <v>46154.0</v>
      </c>
      <c r="F26" s="495">
        <v>4.0</v>
      </c>
      <c r="G26" s="496">
        <v>0.0</v>
      </c>
      <c r="H26" s="490"/>
      <c r="I26" s="490"/>
      <c r="J26" s="490"/>
      <c r="K26" s="490"/>
      <c r="L26" s="490"/>
      <c r="M26" s="490"/>
      <c r="N26" s="490"/>
      <c r="O26" s="490"/>
      <c r="P26" s="490"/>
      <c r="Q26" s="490"/>
      <c r="R26" s="490"/>
      <c r="S26" s="490"/>
      <c r="T26" s="490"/>
      <c r="U26" s="490"/>
      <c r="V26" s="490"/>
      <c r="W26" s="490"/>
      <c r="X26" s="490"/>
      <c r="Y26" s="490"/>
      <c r="Z26" s="490"/>
      <c r="AA26" s="490"/>
      <c r="AB26" s="490"/>
      <c r="AC26" s="490"/>
      <c r="AD26" s="490"/>
      <c r="AE26" s="490"/>
      <c r="AF26" s="490"/>
      <c r="AG26" s="490"/>
      <c r="AH26" s="490"/>
      <c r="AI26" s="490"/>
      <c r="AJ26" s="490"/>
      <c r="AK26" s="490"/>
      <c r="AL26" s="490"/>
      <c r="AM26" s="490"/>
      <c r="AN26" s="490"/>
      <c r="AO26" s="490"/>
      <c r="AP26" s="490"/>
      <c r="AQ26" s="509"/>
      <c r="AR26" s="477"/>
      <c r="AS26" s="477"/>
      <c r="AT26" s="478"/>
      <c r="AU26" s="490"/>
      <c r="AV26" s="490"/>
      <c r="AW26" s="490"/>
      <c r="AX26" s="490"/>
      <c r="AY26" s="490"/>
      <c r="AZ26" s="490"/>
      <c r="BA26" s="490"/>
      <c r="BB26" s="490"/>
      <c r="BC26" s="490"/>
      <c r="BD26" s="490"/>
      <c r="BE26" s="490"/>
      <c r="BF26" s="490"/>
      <c r="BG26" s="490"/>
      <c r="BH26" s="490"/>
      <c r="BI26" s="490"/>
      <c r="BJ26" s="490"/>
      <c r="BK26" s="490"/>
      <c r="BL26" s="479"/>
      <c r="BM26" s="479"/>
    </row>
    <row r="27" ht="32.25" customHeight="1">
      <c r="A27" s="491"/>
      <c r="B27" s="492" t="s">
        <v>3825</v>
      </c>
      <c r="C27" s="492" t="s">
        <v>92</v>
      </c>
      <c r="D27" s="493">
        <v>46155.0</v>
      </c>
      <c r="E27" s="494">
        <v>46156.0</v>
      </c>
      <c r="F27" s="495">
        <v>2.0</v>
      </c>
      <c r="G27" s="496">
        <v>0.0</v>
      </c>
      <c r="H27" s="490"/>
      <c r="I27" s="490"/>
      <c r="J27" s="490"/>
      <c r="K27" s="490"/>
      <c r="L27" s="490"/>
      <c r="M27" s="490"/>
      <c r="N27" s="490"/>
      <c r="O27" s="490"/>
      <c r="P27" s="490"/>
      <c r="Q27" s="490"/>
      <c r="R27" s="490"/>
      <c r="S27" s="490"/>
      <c r="T27" s="490"/>
      <c r="U27" s="490"/>
      <c r="V27" s="490"/>
      <c r="W27" s="490"/>
      <c r="X27" s="490"/>
      <c r="Y27" s="490"/>
      <c r="Z27" s="490"/>
      <c r="AA27" s="490"/>
      <c r="AB27" s="490"/>
      <c r="AC27" s="490"/>
      <c r="AD27" s="490"/>
      <c r="AE27" s="490"/>
      <c r="AF27" s="490"/>
      <c r="AG27" s="490"/>
      <c r="AH27" s="490"/>
      <c r="AI27" s="490"/>
      <c r="AJ27" s="490"/>
      <c r="AK27" s="490"/>
      <c r="AL27" s="490"/>
      <c r="AM27" s="490"/>
      <c r="AN27" s="490"/>
      <c r="AO27" s="490"/>
      <c r="AP27" s="490"/>
      <c r="AQ27" s="490"/>
      <c r="AR27" s="490"/>
      <c r="AS27" s="490"/>
      <c r="AT27" s="490"/>
      <c r="AU27" s="509"/>
      <c r="AV27" s="478"/>
      <c r="AW27" s="490"/>
      <c r="AX27" s="490"/>
      <c r="AY27" s="490"/>
      <c r="AZ27" s="490"/>
      <c r="BA27" s="490"/>
      <c r="BB27" s="490"/>
      <c r="BC27" s="490"/>
      <c r="BD27" s="490"/>
      <c r="BE27" s="490"/>
      <c r="BF27" s="490"/>
      <c r="BG27" s="490"/>
      <c r="BH27" s="490"/>
      <c r="BI27" s="490"/>
      <c r="BJ27" s="490"/>
      <c r="BK27" s="490"/>
      <c r="BL27" s="479"/>
      <c r="BM27" s="479"/>
    </row>
    <row r="28" ht="32.25" customHeight="1">
      <c r="A28" s="480"/>
      <c r="B28" s="492" t="s">
        <v>3826</v>
      </c>
      <c r="C28" s="492" t="s">
        <v>105</v>
      </c>
      <c r="D28" s="493">
        <v>46157.0</v>
      </c>
      <c r="E28" s="494">
        <v>46157.0</v>
      </c>
      <c r="F28" s="495">
        <v>1.0</v>
      </c>
      <c r="G28" s="496">
        <v>0.0</v>
      </c>
      <c r="H28" s="490"/>
      <c r="I28" s="490"/>
      <c r="J28" s="490"/>
      <c r="K28" s="490"/>
      <c r="L28" s="490"/>
      <c r="M28" s="490"/>
      <c r="N28" s="490"/>
      <c r="O28" s="490"/>
      <c r="P28" s="490"/>
      <c r="Q28" s="490"/>
      <c r="R28" s="490"/>
      <c r="S28" s="490"/>
      <c r="T28" s="490"/>
      <c r="U28" s="490"/>
      <c r="V28" s="490"/>
      <c r="W28" s="490"/>
      <c r="X28" s="490"/>
      <c r="Y28" s="490"/>
      <c r="Z28" s="490"/>
      <c r="AA28" s="490"/>
      <c r="AB28" s="490"/>
      <c r="AC28" s="490"/>
      <c r="AD28" s="490"/>
      <c r="AE28" s="490"/>
      <c r="AF28" s="490"/>
      <c r="AG28" s="490"/>
      <c r="AH28" s="490"/>
      <c r="AI28" s="490"/>
      <c r="AJ28" s="490"/>
      <c r="AK28" s="490"/>
      <c r="AL28" s="490"/>
      <c r="AM28" s="490"/>
      <c r="AN28" s="490"/>
      <c r="AO28" s="490"/>
      <c r="AP28" s="490"/>
      <c r="AQ28" s="490"/>
      <c r="AR28" s="490"/>
      <c r="AS28" s="490"/>
      <c r="AT28" s="490"/>
      <c r="AU28" s="490"/>
      <c r="AV28" s="490"/>
      <c r="AW28" s="510"/>
      <c r="AX28" s="490"/>
      <c r="AY28" s="490"/>
      <c r="AZ28" s="490"/>
      <c r="BA28" s="490"/>
      <c r="BB28" s="490"/>
      <c r="BC28" s="490"/>
      <c r="BD28" s="490"/>
      <c r="BE28" s="490"/>
      <c r="BF28" s="490"/>
      <c r="BG28" s="490"/>
      <c r="BH28" s="490"/>
      <c r="BI28" s="490"/>
      <c r="BJ28" s="490"/>
      <c r="BK28" s="490"/>
      <c r="BL28" s="479"/>
      <c r="BM28" s="479"/>
    </row>
    <row r="29" ht="32.25" customHeight="1">
      <c r="A29" s="503">
        <v>7.0</v>
      </c>
      <c r="B29" s="484" t="s">
        <v>3827</v>
      </c>
      <c r="C29" s="511" t="s">
        <v>105</v>
      </c>
      <c r="D29" s="486">
        <v>46158.0</v>
      </c>
      <c r="E29" s="487">
        <v>46164.0</v>
      </c>
      <c r="F29" s="488">
        <v>7.0</v>
      </c>
      <c r="G29" s="247">
        <v>0.0</v>
      </c>
      <c r="H29" s="490"/>
      <c r="I29" s="490"/>
      <c r="J29" s="490"/>
      <c r="K29" s="490"/>
      <c r="L29" s="490"/>
      <c r="M29" s="490"/>
      <c r="N29" s="490"/>
      <c r="O29" s="490"/>
      <c r="P29" s="490"/>
      <c r="Q29" s="490"/>
      <c r="R29" s="490"/>
      <c r="S29" s="490"/>
      <c r="T29" s="490"/>
      <c r="U29" s="490"/>
      <c r="V29" s="490"/>
      <c r="W29" s="490"/>
      <c r="X29" s="490"/>
      <c r="Y29" s="490"/>
      <c r="Z29" s="490"/>
      <c r="AA29" s="490"/>
      <c r="AB29" s="490"/>
      <c r="AC29" s="490"/>
      <c r="AD29" s="490"/>
      <c r="AE29" s="490"/>
      <c r="AF29" s="490"/>
      <c r="AG29" s="490"/>
      <c r="AH29" s="490"/>
      <c r="AI29" s="490"/>
      <c r="AJ29" s="490"/>
      <c r="AK29" s="490"/>
      <c r="AL29" s="490"/>
      <c r="AM29" s="490"/>
      <c r="AN29" s="490"/>
      <c r="AO29" s="490"/>
      <c r="AP29" s="490"/>
      <c r="AQ29" s="490"/>
      <c r="AR29" s="490"/>
      <c r="AS29" s="490"/>
      <c r="AT29" s="490"/>
      <c r="AU29" s="490"/>
      <c r="AV29" s="490"/>
      <c r="AW29" s="490"/>
      <c r="AX29" s="498"/>
      <c r="AY29" s="498"/>
      <c r="AZ29" s="498"/>
      <c r="BA29" s="498"/>
      <c r="BB29" s="498"/>
      <c r="BC29" s="498"/>
      <c r="BD29" s="498"/>
      <c r="BE29" s="490"/>
      <c r="BF29" s="490"/>
      <c r="BG29" s="490"/>
      <c r="BH29" s="490"/>
      <c r="BI29" s="490"/>
      <c r="BJ29" s="490"/>
      <c r="BK29" s="490"/>
      <c r="BL29" s="479"/>
      <c r="BM29" s="479"/>
    </row>
    <row r="30" ht="32.25" customHeight="1">
      <c r="A30" s="491"/>
      <c r="B30" s="492" t="s">
        <v>3828</v>
      </c>
      <c r="C30" s="492" t="s">
        <v>105</v>
      </c>
      <c r="D30" s="493">
        <v>46158.0</v>
      </c>
      <c r="E30" s="494">
        <v>46162.0</v>
      </c>
      <c r="F30" s="495">
        <v>5.0</v>
      </c>
      <c r="G30" s="496">
        <v>0.0</v>
      </c>
      <c r="H30" s="490"/>
      <c r="I30" s="490"/>
      <c r="J30" s="490"/>
      <c r="K30" s="490"/>
      <c r="L30" s="490"/>
      <c r="M30" s="490"/>
      <c r="N30" s="490"/>
      <c r="O30" s="490"/>
      <c r="P30" s="490"/>
      <c r="Q30" s="490"/>
      <c r="R30" s="490"/>
      <c r="S30" s="490"/>
      <c r="T30" s="490"/>
      <c r="U30" s="490"/>
      <c r="V30" s="490"/>
      <c r="W30" s="490"/>
      <c r="X30" s="490"/>
      <c r="Y30" s="490"/>
      <c r="Z30" s="490"/>
      <c r="AA30" s="490"/>
      <c r="AB30" s="490"/>
      <c r="AC30" s="490"/>
      <c r="AD30" s="490"/>
      <c r="AE30" s="490"/>
      <c r="AF30" s="490"/>
      <c r="AG30" s="490"/>
      <c r="AH30" s="490"/>
      <c r="AI30" s="490"/>
      <c r="AJ30" s="490"/>
      <c r="AK30" s="490"/>
      <c r="AL30" s="490"/>
      <c r="AM30" s="490"/>
      <c r="AN30" s="490"/>
      <c r="AO30" s="490"/>
      <c r="AP30" s="490"/>
      <c r="AQ30" s="490"/>
      <c r="AR30" s="490"/>
      <c r="AS30" s="490"/>
      <c r="AT30" s="490"/>
      <c r="AU30" s="490"/>
      <c r="AV30" s="490"/>
      <c r="AW30" s="490"/>
      <c r="AX30" s="512"/>
      <c r="AY30" s="477"/>
      <c r="AZ30" s="477"/>
      <c r="BA30" s="477"/>
      <c r="BB30" s="478"/>
      <c r="BC30" s="490"/>
      <c r="BD30" s="490"/>
      <c r="BE30" s="490"/>
      <c r="BF30" s="490"/>
      <c r="BG30" s="490"/>
      <c r="BH30" s="490"/>
      <c r="BI30" s="490"/>
      <c r="BJ30" s="490"/>
      <c r="BK30" s="490"/>
      <c r="BL30" s="479"/>
      <c r="BM30" s="479"/>
    </row>
    <row r="31" ht="32.25" customHeight="1">
      <c r="A31" s="480"/>
      <c r="B31" s="492" t="s">
        <v>3829</v>
      </c>
      <c r="C31" s="492" t="s">
        <v>105</v>
      </c>
      <c r="D31" s="493">
        <v>46163.0</v>
      </c>
      <c r="E31" s="494">
        <v>46164.0</v>
      </c>
      <c r="F31" s="495">
        <v>2.0</v>
      </c>
      <c r="G31" s="496">
        <v>0.0</v>
      </c>
      <c r="H31" s="490"/>
      <c r="I31" s="490"/>
      <c r="J31" s="490"/>
      <c r="K31" s="490"/>
      <c r="L31" s="490"/>
      <c r="M31" s="490"/>
      <c r="N31" s="490"/>
      <c r="O31" s="490"/>
      <c r="P31" s="490"/>
      <c r="Q31" s="490"/>
      <c r="R31" s="490"/>
      <c r="S31" s="490"/>
      <c r="T31" s="490"/>
      <c r="U31" s="490"/>
      <c r="V31" s="490"/>
      <c r="W31" s="490"/>
      <c r="X31" s="490"/>
      <c r="Y31" s="490"/>
      <c r="Z31" s="490"/>
      <c r="AA31" s="490"/>
      <c r="AB31" s="490"/>
      <c r="AC31" s="490"/>
      <c r="AD31" s="490"/>
      <c r="AE31" s="490"/>
      <c r="AF31" s="490"/>
      <c r="AG31" s="490"/>
      <c r="AH31" s="490"/>
      <c r="AI31" s="490"/>
      <c r="AJ31" s="490"/>
      <c r="AK31" s="490"/>
      <c r="AL31" s="490"/>
      <c r="AM31" s="490"/>
      <c r="AN31" s="490"/>
      <c r="AO31" s="490"/>
      <c r="AP31" s="490"/>
      <c r="AQ31" s="490"/>
      <c r="AR31" s="490"/>
      <c r="AS31" s="490"/>
      <c r="AT31" s="490"/>
      <c r="AU31" s="490"/>
      <c r="AV31" s="490"/>
      <c r="AW31" s="490"/>
      <c r="AX31" s="490"/>
      <c r="AY31" s="490"/>
      <c r="AZ31" s="490"/>
      <c r="BA31" s="490"/>
      <c r="BB31" s="490"/>
      <c r="BC31" s="512"/>
      <c r="BD31" s="478"/>
      <c r="BE31" s="490"/>
      <c r="BF31" s="490"/>
      <c r="BG31" s="490"/>
      <c r="BH31" s="490"/>
      <c r="BI31" s="490"/>
      <c r="BJ31" s="490"/>
      <c r="BK31" s="490"/>
      <c r="BL31" s="479"/>
      <c r="BM31" s="479"/>
    </row>
    <row r="32" ht="32.25" customHeight="1">
      <c r="A32" s="505">
        <v>8.0</v>
      </c>
      <c r="B32" s="484" t="s">
        <v>3830</v>
      </c>
      <c r="C32" s="485" t="s">
        <v>105</v>
      </c>
      <c r="D32" s="486">
        <v>46165.0</v>
      </c>
      <c r="E32" s="487">
        <v>46171.0</v>
      </c>
      <c r="F32" s="488">
        <v>7.0</v>
      </c>
      <c r="G32" s="247">
        <v>0.0</v>
      </c>
      <c r="H32" s="490"/>
      <c r="I32" s="490"/>
      <c r="J32" s="490"/>
      <c r="K32" s="490"/>
      <c r="L32" s="490"/>
      <c r="M32" s="490"/>
      <c r="N32" s="490"/>
      <c r="O32" s="490"/>
      <c r="P32" s="490"/>
      <c r="Q32" s="490"/>
      <c r="R32" s="490"/>
      <c r="S32" s="490"/>
      <c r="T32" s="490"/>
      <c r="U32" s="490"/>
      <c r="V32" s="490"/>
      <c r="W32" s="490"/>
      <c r="X32" s="490"/>
      <c r="Y32" s="490"/>
      <c r="Z32" s="490"/>
      <c r="AA32" s="490"/>
      <c r="AB32" s="490"/>
      <c r="AC32" s="490"/>
      <c r="AD32" s="490"/>
      <c r="AE32" s="490"/>
      <c r="AF32" s="490"/>
      <c r="AG32" s="490"/>
      <c r="AH32" s="490"/>
      <c r="AI32" s="490"/>
      <c r="AJ32" s="490"/>
      <c r="AK32" s="490"/>
      <c r="AL32" s="490"/>
      <c r="AM32" s="490"/>
      <c r="AN32" s="490"/>
      <c r="AO32" s="490"/>
      <c r="AP32" s="490"/>
      <c r="AQ32" s="490"/>
      <c r="AR32" s="490"/>
      <c r="AS32" s="490"/>
      <c r="AT32" s="490"/>
      <c r="AU32" s="490"/>
      <c r="AV32" s="490"/>
      <c r="AW32" s="490"/>
      <c r="AX32" s="490"/>
      <c r="AY32" s="490"/>
      <c r="AZ32" s="490"/>
      <c r="BA32" s="490"/>
      <c r="BB32" s="490"/>
      <c r="BC32" s="490"/>
      <c r="BD32" s="490"/>
      <c r="BE32" s="498"/>
      <c r="BF32" s="498"/>
      <c r="BG32" s="498"/>
      <c r="BH32" s="498"/>
      <c r="BI32" s="498"/>
      <c r="BJ32" s="498"/>
      <c r="BK32" s="498"/>
      <c r="BL32" s="479"/>
      <c r="BM32" s="479"/>
    </row>
    <row r="33" ht="32.25" customHeight="1">
      <c r="A33" s="491"/>
      <c r="B33" s="492" t="s">
        <v>3831</v>
      </c>
      <c r="C33" s="492" t="s">
        <v>105</v>
      </c>
      <c r="D33" s="493">
        <v>46165.0</v>
      </c>
      <c r="E33" s="494">
        <v>46167.0</v>
      </c>
      <c r="F33" s="495">
        <v>3.0</v>
      </c>
      <c r="G33" s="496">
        <v>0.0</v>
      </c>
      <c r="H33" s="490"/>
      <c r="I33" s="490"/>
      <c r="J33" s="490"/>
      <c r="K33" s="490"/>
      <c r="L33" s="490"/>
      <c r="M33" s="490"/>
      <c r="N33" s="490"/>
      <c r="O33" s="490"/>
      <c r="P33" s="490"/>
      <c r="Q33" s="490"/>
      <c r="R33" s="490"/>
      <c r="S33" s="490"/>
      <c r="T33" s="490"/>
      <c r="U33" s="490"/>
      <c r="V33" s="490"/>
      <c r="W33" s="490"/>
      <c r="X33" s="490"/>
      <c r="Y33" s="490"/>
      <c r="Z33" s="490"/>
      <c r="AA33" s="490"/>
      <c r="AB33" s="490"/>
      <c r="AC33" s="490"/>
      <c r="AD33" s="490"/>
      <c r="AE33" s="490"/>
      <c r="AF33" s="490"/>
      <c r="AG33" s="490"/>
      <c r="AH33" s="490"/>
      <c r="AI33" s="490"/>
      <c r="AJ33" s="490"/>
      <c r="AK33" s="490"/>
      <c r="AL33" s="490"/>
      <c r="AM33" s="490"/>
      <c r="AN33" s="490"/>
      <c r="AO33" s="490"/>
      <c r="AP33" s="490"/>
      <c r="AQ33" s="490"/>
      <c r="AR33" s="490"/>
      <c r="AS33" s="490"/>
      <c r="AT33" s="490"/>
      <c r="AU33" s="490"/>
      <c r="AV33" s="490"/>
      <c r="AW33" s="490"/>
      <c r="AX33" s="490"/>
      <c r="AY33" s="490"/>
      <c r="AZ33" s="490"/>
      <c r="BA33" s="490"/>
      <c r="BB33" s="490"/>
      <c r="BC33" s="490"/>
      <c r="BD33" s="490"/>
      <c r="BE33" s="513"/>
      <c r="BF33" s="477"/>
      <c r="BG33" s="478"/>
      <c r="BH33" s="490"/>
      <c r="BI33" s="490"/>
      <c r="BJ33" s="490"/>
      <c r="BK33" s="490"/>
      <c r="BL33" s="479"/>
      <c r="BM33" s="479"/>
    </row>
    <row r="34" ht="32.25" customHeight="1">
      <c r="A34" s="491"/>
      <c r="B34" s="492" t="s">
        <v>3832</v>
      </c>
      <c r="C34" s="492" t="s">
        <v>88</v>
      </c>
      <c r="D34" s="493">
        <v>46168.0</v>
      </c>
      <c r="E34" s="494">
        <v>46169.0</v>
      </c>
      <c r="F34" s="495">
        <v>2.0</v>
      </c>
      <c r="G34" s="496">
        <v>0.0</v>
      </c>
      <c r="H34" s="490"/>
      <c r="I34" s="490"/>
      <c r="J34" s="490"/>
      <c r="K34" s="490"/>
      <c r="L34" s="490"/>
      <c r="M34" s="490"/>
      <c r="N34" s="490"/>
      <c r="O34" s="490"/>
      <c r="P34" s="490"/>
      <c r="Q34" s="490"/>
      <c r="R34" s="490"/>
      <c r="S34" s="490"/>
      <c r="T34" s="490"/>
      <c r="U34" s="490"/>
      <c r="V34" s="490"/>
      <c r="W34" s="490"/>
      <c r="X34" s="490"/>
      <c r="Y34" s="490"/>
      <c r="Z34" s="490"/>
      <c r="AA34" s="490"/>
      <c r="AB34" s="490"/>
      <c r="AC34" s="490"/>
      <c r="AD34" s="490"/>
      <c r="AE34" s="490"/>
      <c r="AF34" s="490"/>
      <c r="AG34" s="490"/>
      <c r="AH34" s="490"/>
      <c r="AI34" s="490"/>
      <c r="AJ34" s="490"/>
      <c r="AK34" s="490"/>
      <c r="AL34" s="490"/>
      <c r="AM34" s="490"/>
      <c r="AN34" s="490"/>
      <c r="AO34" s="490"/>
      <c r="AP34" s="490"/>
      <c r="AQ34" s="490"/>
      <c r="AR34" s="490"/>
      <c r="AS34" s="490"/>
      <c r="AT34" s="490"/>
      <c r="AU34" s="490"/>
      <c r="AV34" s="490"/>
      <c r="AW34" s="490"/>
      <c r="AX34" s="490"/>
      <c r="AY34" s="490"/>
      <c r="AZ34" s="490"/>
      <c r="BA34" s="490"/>
      <c r="BB34" s="490"/>
      <c r="BC34" s="490"/>
      <c r="BD34" s="490"/>
      <c r="BE34" s="490"/>
      <c r="BF34" s="490"/>
      <c r="BG34" s="490"/>
      <c r="BH34" s="513"/>
      <c r="BI34" s="478"/>
      <c r="BJ34" s="490"/>
      <c r="BK34" s="490"/>
      <c r="BL34" s="479"/>
      <c r="BM34" s="479"/>
    </row>
    <row r="35" ht="32.25" customHeight="1">
      <c r="A35" s="480"/>
      <c r="B35" s="492" t="s">
        <v>3833</v>
      </c>
      <c r="C35" s="492" t="s">
        <v>88</v>
      </c>
      <c r="D35" s="493">
        <v>46170.0</v>
      </c>
      <c r="E35" s="494">
        <v>46171.0</v>
      </c>
      <c r="F35" s="495">
        <v>2.0</v>
      </c>
      <c r="G35" s="496">
        <v>0.0</v>
      </c>
      <c r="H35" s="490"/>
      <c r="I35" s="490"/>
      <c r="J35" s="490"/>
      <c r="K35" s="490"/>
      <c r="L35" s="490"/>
      <c r="M35" s="490"/>
      <c r="N35" s="490"/>
      <c r="O35" s="490"/>
      <c r="P35" s="490"/>
      <c r="Q35" s="490"/>
      <c r="R35" s="490"/>
      <c r="S35" s="490"/>
      <c r="T35" s="490"/>
      <c r="U35" s="490"/>
      <c r="V35" s="490"/>
      <c r="W35" s="490"/>
      <c r="X35" s="490"/>
      <c r="Y35" s="490"/>
      <c r="Z35" s="490"/>
      <c r="AA35" s="490"/>
      <c r="AB35" s="490"/>
      <c r="AC35" s="490"/>
      <c r="AD35" s="490"/>
      <c r="AE35" s="490"/>
      <c r="AF35" s="490"/>
      <c r="AG35" s="490"/>
      <c r="AH35" s="490"/>
      <c r="AI35" s="490"/>
      <c r="AJ35" s="490"/>
      <c r="AK35" s="490"/>
      <c r="AL35" s="490"/>
      <c r="AM35" s="490"/>
      <c r="AN35" s="490"/>
      <c r="AO35" s="490"/>
      <c r="AP35" s="490"/>
      <c r="AQ35" s="490"/>
      <c r="AR35" s="490"/>
      <c r="AS35" s="490"/>
      <c r="AT35" s="490"/>
      <c r="AU35" s="490"/>
      <c r="AV35" s="490"/>
      <c r="AW35" s="490"/>
      <c r="AX35" s="490"/>
      <c r="AY35" s="490"/>
      <c r="AZ35" s="490"/>
      <c r="BA35" s="490"/>
      <c r="BB35" s="490"/>
      <c r="BC35" s="490"/>
      <c r="BD35" s="490"/>
      <c r="BE35" s="490"/>
      <c r="BF35" s="490"/>
      <c r="BG35" s="490"/>
      <c r="BH35" s="490"/>
      <c r="BI35" s="490"/>
      <c r="BJ35" s="513"/>
      <c r="BK35" s="478"/>
      <c r="BL35" s="479"/>
      <c r="BM35" s="479"/>
    </row>
    <row r="36" ht="32.25" customHeight="1">
      <c r="A36" s="479"/>
      <c r="B36" s="479"/>
      <c r="C36" s="479"/>
      <c r="D36" s="514"/>
      <c r="E36" s="515"/>
      <c r="F36" s="516"/>
      <c r="G36" s="517"/>
      <c r="H36" s="479"/>
      <c r="I36" s="479"/>
      <c r="J36" s="479"/>
      <c r="K36" s="479"/>
      <c r="L36" s="479"/>
      <c r="M36" s="479"/>
      <c r="N36" s="479"/>
      <c r="O36" s="479"/>
      <c r="P36" s="479"/>
      <c r="Q36" s="479"/>
      <c r="R36" s="479"/>
      <c r="S36" s="479"/>
      <c r="T36" s="479"/>
      <c r="U36" s="479"/>
      <c r="V36" s="479"/>
      <c r="W36" s="479"/>
      <c r="X36" s="479"/>
      <c r="Y36" s="479"/>
      <c r="Z36" s="479"/>
      <c r="AA36" s="479"/>
      <c r="AB36" s="479"/>
      <c r="AC36" s="479"/>
      <c r="AD36" s="479"/>
      <c r="AE36" s="479"/>
      <c r="AF36" s="479"/>
      <c r="AG36" s="479"/>
      <c r="AH36" s="479"/>
      <c r="AI36" s="479"/>
      <c r="AJ36" s="479"/>
      <c r="AK36" s="479"/>
      <c r="AL36" s="479"/>
      <c r="AM36" s="479"/>
      <c r="AN36" s="479"/>
      <c r="AO36" s="479"/>
      <c r="AP36" s="479"/>
      <c r="AQ36" s="479"/>
      <c r="AR36" s="479"/>
      <c r="AS36" s="479"/>
      <c r="AT36" s="479"/>
      <c r="AU36" s="479"/>
      <c r="AV36" s="479"/>
      <c r="AW36" s="479"/>
      <c r="AX36" s="479"/>
      <c r="AY36" s="479"/>
      <c r="AZ36" s="479"/>
      <c r="BA36" s="479"/>
      <c r="BB36" s="479"/>
      <c r="BC36" s="479"/>
      <c r="BD36" s="479"/>
      <c r="BE36" s="479"/>
      <c r="BF36" s="479"/>
      <c r="BG36" s="479"/>
      <c r="BH36" s="479"/>
      <c r="BI36" s="479"/>
      <c r="BJ36" s="479"/>
      <c r="BK36" s="479"/>
      <c r="BL36" s="479"/>
      <c r="BM36" s="479"/>
    </row>
    <row r="37" ht="32.25" customHeight="1">
      <c r="A37" s="479"/>
      <c r="B37" s="479"/>
      <c r="C37" s="479"/>
      <c r="D37" s="514"/>
      <c r="E37" s="515"/>
      <c r="F37" s="516"/>
      <c r="G37" s="517"/>
      <c r="H37" s="479"/>
      <c r="I37" s="479"/>
      <c r="J37" s="479"/>
      <c r="K37" s="479"/>
      <c r="L37" s="479"/>
      <c r="M37" s="479"/>
      <c r="N37" s="479"/>
      <c r="O37" s="479"/>
      <c r="P37" s="479"/>
      <c r="Q37" s="479"/>
      <c r="R37" s="479"/>
      <c r="S37" s="479"/>
      <c r="T37" s="479"/>
      <c r="U37" s="479"/>
      <c r="V37" s="479"/>
      <c r="W37" s="479"/>
      <c r="X37" s="479"/>
      <c r="Y37" s="479"/>
      <c r="Z37" s="479"/>
      <c r="AA37" s="479"/>
      <c r="AB37" s="479"/>
      <c r="AC37" s="479"/>
      <c r="AD37" s="479"/>
      <c r="AE37" s="479"/>
      <c r="AF37" s="479"/>
      <c r="AG37" s="479"/>
      <c r="AH37" s="479"/>
      <c r="AI37" s="479"/>
      <c r="AJ37" s="479"/>
      <c r="AK37" s="479"/>
      <c r="AL37" s="479"/>
      <c r="AM37" s="479"/>
      <c r="AN37" s="479"/>
      <c r="AO37" s="479"/>
      <c r="AP37" s="479"/>
      <c r="AQ37" s="479"/>
      <c r="AR37" s="479"/>
      <c r="AS37" s="479"/>
      <c r="AT37" s="479"/>
      <c r="AU37" s="479"/>
      <c r="AV37" s="479"/>
      <c r="AW37" s="479"/>
      <c r="AX37" s="479"/>
      <c r="AY37" s="479"/>
      <c r="AZ37" s="479"/>
      <c r="BA37" s="479"/>
      <c r="BB37" s="479"/>
      <c r="BC37" s="479"/>
      <c r="BD37" s="479"/>
      <c r="BE37" s="479"/>
      <c r="BF37" s="479"/>
      <c r="BG37" s="479"/>
      <c r="BH37" s="479"/>
      <c r="BI37" s="479"/>
      <c r="BJ37" s="479"/>
      <c r="BK37" s="479"/>
      <c r="BL37" s="479"/>
      <c r="BM37" s="479"/>
    </row>
    <row r="38" ht="32.25" customHeight="1">
      <c r="D38" s="518"/>
      <c r="E38" s="519"/>
      <c r="F38" s="349"/>
      <c r="G38" s="520"/>
    </row>
    <row r="39" ht="32.25" customHeight="1">
      <c r="D39" s="518"/>
      <c r="E39" s="519"/>
      <c r="F39" s="349"/>
      <c r="G39" s="520"/>
    </row>
    <row r="40" ht="32.25" customHeight="1">
      <c r="D40" s="518"/>
      <c r="E40" s="519"/>
      <c r="F40" s="349"/>
      <c r="G40" s="520"/>
    </row>
    <row r="41" ht="32.25" customHeight="1">
      <c r="D41" s="518"/>
      <c r="E41" s="519"/>
      <c r="F41" s="349"/>
      <c r="G41" s="520"/>
    </row>
    <row r="42" ht="32.25" customHeight="1">
      <c r="D42" s="518"/>
      <c r="E42" s="519"/>
      <c r="F42" s="349"/>
      <c r="G42" s="520"/>
    </row>
    <row r="43" ht="32.25" customHeight="1">
      <c r="D43" s="518"/>
      <c r="E43" s="519"/>
      <c r="F43" s="349"/>
      <c r="G43" s="520"/>
    </row>
    <row r="44" ht="32.25" customHeight="1">
      <c r="D44" s="518"/>
      <c r="E44" s="519"/>
      <c r="F44" s="349"/>
      <c r="G44" s="520"/>
    </row>
    <row r="45" ht="32.25" customHeight="1">
      <c r="D45" s="518"/>
      <c r="E45" s="519"/>
      <c r="F45" s="349"/>
      <c r="G45" s="520"/>
    </row>
    <row r="46" ht="32.25" customHeight="1">
      <c r="D46" s="518"/>
      <c r="E46" s="519"/>
      <c r="F46" s="349"/>
      <c r="G46" s="520"/>
    </row>
    <row r="47" ht="32.25" customHeight="1">
      <c r="D47" s="518"/>
      <c r="E47" s="519"/>
      <c r="F47" s="349"/>
      <c r="G47" s="520"/>
    </row>
    <row r="48" ht="32.25" customHeight="1">
      <c r="D48" s="518"/>
      <c r="E48" s="519"/>
      <c r="F48" s="349"/>
      <c r="G48" s="520"/>
    </row>
    <row r="49" ht="32.25" customHeight="1">
      <c r="D49" s="518"/>
      <c r="E49" s="519"/>
      <c r="F49" s="349"/>
      <c r="G49" s="520"/>
    </row>
    <row r="50" ht="32.25" customHeight="1">
      <c r="D50" s="518"/>
      <c r="E50" s="519"/>
      <c r="F50" s="349"/>
      <c r="G50" s="520"/>
    </row>
    <row r="51" ht="32.25" customHeight="1">
      <c r="D51" s="518"/>
      <c r="E51" s="519"/>
      <c r="F51" s="349"/>
      <c r="G51" s="520"/>
    </row>
    <row r="52" ht="32.25" customHeight="1">
      <c r="D52" s="518"/>
      <c r="E52" s="519"/>
      <c r="F52" s="349"/>
      <c r="G52" s="520"/>
    </row>
    <row r="53" ht="32.25" customHeight="1">
      <c r="D53" s="518"/>
      <c r="E53" s="519"/>
      <c r="F53" s="349"/>
      <c r="G53" s="520"/>
    </row>
    <row r="54" ht="32.25" customHeight="1">
      <c r="D54" s="518"/>
      <c r="E54" s="519"/>
      <c r="F54" s="349"/>
      <c r="G54" s="520"/>
    </row>
    <row r="55" ht="32.25" customHeight="1">
      <c r="D55" s="518"/>
      <c r="E55" s="519"/>
      <c r="F55" s="349"/>
      <c r="G55" s="520"/>
    </row>
    <row r="56" ht="32.25" customHeight="1">
      <c r="D56" s="518"/>
      <c r="E56" s="519"/>
      <c r="F56" s="349"/>
      <c r="G56" s="520"/>
    </row>
    <row r="57" ht="32.25" customHeight="1">
      <c r="D57" s="518"/>
      <c r="E57" s="519"/>
      <c r="F57" s="349"/>
      <c r="G57" s="520"/>
    </row>
    <row r="58" ht="32.25" customHeight="1">
      <c r="D58" s="518"/>
      <c r="E58" s="519"/>
      <c r="F58" s="349"/>
      <c r="G58" s="520"/>
    </row>
    <row r="59" ht="32.25" customHeight="1">
      <c r="D59" s="518"/>
      <c r="E59" s="519"/>
      <c r="F59" s="349"/>
      <c r="G59" s="520"/>
    </row>
    <row r="60" ht="32.25" customHeight="1">
      <c r="D60" s="518"/>
      <c r="E60" s="519"/>
      <c r="F60" s="349"/>
      <c r="G60" s="520"/>
    </row>
    <row r="61" ht="32.25" customHeight="1">
      <c r="D61" s="518"/>
      <c r="E61" s="519"/>
      <c r="F61" s="349"/>
      <c r="G61" s="520"/>
    </row>
    <row r="62" ht="32.25" customHeight="1">
      <c r="D62" s="518"/>
      <c r="E62" s="519"/>
      <c r="F62" s="349"/>
      <c r="G62" s="520"/>
    </row>
    <row r="63" ht="32.25" customHeight="1">
      <c r="D63" s="518"/>
      <c r="E63" s="519"/>
      <c r="F63" s="349"/>
      <c r="G63" s="520"/>
    </row>
    <row r="64" ht="32.25" customHeight="1">
      <c r="D64" s="518"/>
      <c r="E64" s="519"/>
      <c r="F64" s="349"/>
      <c r="G64" s="520"/>
    </row>
    <row r="65" ht="32.25" customHeight="1">
      <c r="D65" s="518"/>
      <c r="E65" s="519"/>
      <c r="F65" s="349"/>
      <c r="G65" s="520"/>
    </row>
    <row r="66" ht="32.25" customHeight="1">
      <c r="D66" s="518"/>
      <c r="E66" s="519"/>
      <c r="F66" s="349"/>
      <c r="G66" s="520"/>
    </row>
    <row r="67" ht="32.25" customHeight="1">
      <c r="D67" s="518"/>
      <c r="E67" s="519"/>
      <c r="F67" s="349"/>
      <c r="G67" s="520"/>
    </row>
    <row r="68" ht="32.25" customHeight="1">
      <c r="D68" s="518"/>
      <c r="E68" s="519"/>
      <c r="F68" s="349"/>
      <c r="G68" s="520"/>
    </row>
    <row r="69" ht="32.25" customHeight="1">
      <c r="D69" s="518"/>
      <c r="E69" s="519"/>
      <c r="F69" s="349"/>
      <c r="G69" s="520"/>
    </row>
    <row r="70" ht="32.25" customHeight="1">
      <c r="D70" s="518"/>
      <c r="E70" s="519"/>
      <c r="F70" s="349"/>
      <c r="G70" s="520"/>
    </row>
    <row r="71" ht="32.25" customHeight="1">
      <c r="D71" s="518"/>
      <c r="E71" s="519"/>
      <c r="F71" s="349"/>
      <c r="G71" s="520"/>
    </row>
    <row r="72" ht="32.25" customHeight="1">
      <c r="D72" s="518"/>
      <c r="E72" s="519"/>
      <c r="F72" s="349"/>
      <c r="G72" s="520"/>
    </row>
    <row r="73" ht="32.25" customHeight="1">
      <c r="D73" s="518"/>
      <c r="E73" s="519"/>
      <c r="F73" s="349"/>
      <c r="G73" s="520"/>
    </row>
    <row r="74" ht="32.25" customHeight="1">
      <c r="D74" s="518"/>
      <c r="E74" s="519"/>
      <c r="F74" s="349"/>
      <c r="G74" s="520"/>
    </row>
    <row r="75" ht="32.25" customHeight="1">
      <c r="D75" s="518"/>
      <c r="E75" s="519"/>
      <c r="F75" s="349"/>
      <c r="G75" s="520"/>
    </row>
    <row r="76" ht="32.25" customHeight="1">
      <c r="D76" s="518"/>
      <c r="E76" s="519"/>
      <c r="F76" s="349"/>
      <c r="G76" s="520"/>
    </row>
    <row r="77" ht="32.25" customHeight="1">
      <c r="D77" s="518"/>
      <c r="E77" s="519"/>
      <c r="F77" s="349"/>
      <c r="G77" s="520"/>
    </row>
    <row r="78" ht="32.25" customHeight="1">
      <c r="D78" s="518"/>
      <c r="E78" s="519"/>
      <c r="F78" s="349"/>
      <c r="G78" s="520"/>
    </row>
    <row r="79" ht="32.25" customHeight="1">
      <c r="D79" s="518"/>
      <c r="E79" s="519"/>
      <c r="F79" s="349"/>
      <c r="G79" s="520"/>
    </row>
    <row r="80" ht="32.25" customHeight="1">
      <c r="D80" s="518"/>
      <c r="E80" s="519"/>
      <c r="F80" s="349"/>
      <c r="G80" s="520"/>
    </row>
    <row r="81" ht="32.25" customHeight="1">
      <c r="D81" s="518"/>
      <c r="E81" s="519"/>
      <c r="F81" s="349"/>
      <c r="G81" s="520"/>
    </row>
    <row r="82" ht="32.25" customHeight="1">
      <c r="D82" s="518"/>
      <c r="E82" s="519"/>
      <c r="F82" s="349"/>
      <c r="G82" s="520"/>
    </row>
    <row r="83" ht="32.25" customHeight="1">
      <c r="D83" s="518"/>
      <c r="E83" s="519"/>
      <c r="F83" s="349"/>
      <c r="G83" s="520"/>
    </row>
    <row r="84" ht="32.25" customHeight="1">
      <c r="D84" s="518"/>
      <c r="E84" s="519"/>
      <c r="F84" s="349"/>
      <c r="G84" s="520"/>
    </row>
    <row r="85" ht="32.25" customHeight="1">
      <c r="D85" s="518"/>
      <c r="E85" s="519"/>
      <c r="F85" s="349"/>
      <c r="G85" s="520"/>
    </row>
    <row r="86" ht="32.25" customHeight="1">
      <c r="D86" s="518"/>
      <c r="E86" s="519"/>
      <c r="F86" s="349"/>
      <c r="G86" s="520"/>
    </row>
    <row r="87" ht="32.25" customHeight="1">
      <c r="D87" s="518"/>
      <c r="E87" s="519"/>
      <c r="F87" s="349"/>
      <c r="G87" s="520"/>
    </row>
    <row r="88" ht="32.25" customHeight="1">
      <c r="D88" s="518"/>
      <c r="E88" s="519"/>
      <c r="F88" s="349"/>
      <c r="G88" s="520"/>
    </row>
    <row r="89" ht="32.25" customHeight="1">
      <c r="D89" s="518"/>
      <c r="E89" s="519"/>
      <c r="F89" s="349"/>
      <c r="G89" s="520"/>
    </row>
    <row r="90" ht="32.25" customHeight="1">
      <c r="D90" s="518"/>
      <c r="E90" s="519"/>
      <c r="F90" s="349"/>
      <c r="G90" s="520"/>
    </row>
    <row r="91" ht="32.25" customHeight="1">
      <c r="D91" s="518"/>
      <c r="E91" s="519"/>
      <c r="F91" s="349"/>
      <c r="G91" s="520"/>
    </row>
    <row r="92" ht="32.25" customHeight="1">
      <c r="D92" s="518"/>
      <c r="E92" s="519"/>
      <c r="F92" s="349"/>
      <c r="G92" s="520"/>
    </row>
    <row r="93" ht="32.25" customHeight="1">
      <c r="D93" s="518"/>
      <c r="E93" s="519"/>
      <c r="F93" s="349"/>
      <c r="G93" s="520"/>
    </row>
    <row r="94" ht="32.25" customHeight="1">
      <c r="D94" s="518"/>
      <c r="E94" s="519"/>
      <c r="F94" s="349"/>
      <c r="G94" s="520"/>
    </row>
    <row r="95" ht="32.25" customHeight="1">
      <c r="D95" s="518"/>
      <c r="E95" s="519"/>
      <c r="F95" s="349"/>
      <c r="G95" s="520"/>
    </row>
    <row r="96" ht="32.25" customHeight="1">
      <c r="D96" s="518"/>
      <c r="E96" s="519"/>
      <c r="F96" s="349"/>
      <c r="G96" s="520"/>
    </row>
    <row r="97" ht="32.25" customHeight="1">
      <c r="D97" s="518"/>
      <c r="E97" s="519"/>
      <c r="F97" s="349"/>
      <c r="G97" s="520"/>
    </row>
    <row r="98" ht="32.25" customHeight="1">
      <c r="D98" s="518"/>
      <c r="E98" s="519"/>
      <c r="F98" s="349"/>
      <c r="G98" s="520"/>
    </row>
    <row r="99" ht="32.25" customHeight="1">
      <c r="D99" s="518"/>
      <c r="E99" s="519"/>
      <c r="F99" s="349"/>
      <c r="G99" s="520"/>
    </row>
    <row r="100" ht="32.25" customHeight="1">
      <c r="D100" s="518"/>
      <c r="E100" s="519"/>
      <c r="F100" s="349"/>
      <c r="G100" s="520"/>
    </row>
    <row r="101" ht="32.25" customHeight="1">
      <c r="D101" s="518"/>
      <c r="E101" s="519"/>
      <c r="F101" s="349"/>
      <c r="G101" s="520"/>
    </row>
    <row r="102" ht="32.25" customHeight="1">
      <c r="D102" s="518"/>
      <c r="E102" s="519"/>
      <c r="F102" s="349"/>
      <c r="G102" s="520"/>
    </row>
    <row r="103" ht="32.25" customHeight="1">
      <c r="D103" s="518"/>
      <c r="E103" s="519"/>
      <c r="F103" s="349"/>
      <c r="G103" s="520"/>
    </row>
    <row r="104" ht="32.25" customHeight="1">
      <c r="D104" s="518"/>
      <c r="E104" s="519"/>
      <c r="F104" s="349"/>
      <c r="G104" s="520"/>
    </row>
    <row r="105" ht="32.25" customHeight="1">
      <c r="D105" s="518"/>
      <c r="E105" s="519"/>
      <c r="F105" s="349"/>
      <c r="G105" s="520"/>
    </row>
    <row r="106" ht="32.25" customHeight="1">
      <c r="D106" s="518"/>
      <c r="E106" s="519"/>
      <c r="F106" s="349"/>
      <c r="G106" s="520"/>
    </row>
    <row r="107" ht="32.25" customHeight="1">
      <c r="D107" s="518"/>
      <c r="E107" s="519"/>
      <c r="F107" s="349"/>
      <c r="G107" s="520"/>
    </row>
    <row r="108" ht="32.25" customHeight="1">
      <c r="D108" s="518"/>
      <c r="E108" s="519"/>
      <c r="F108" s="349"/>
      <c r="G108" s="520"/>
    </row>
    <row r="109" ht="32.25" customHeight="1">
      <c r="D109" s="518"/>
      <c r="E109" s="519"/>
      <c r="F109" s="349"/>
      <c r="G109" s="520"/>
    </row>
    <row r="110" ht="32.25" customHeight="1">
      <c r="D110" s="518"/>
      <c r="E110" s="519"/>
      <c r="F110" s="349"/>
      <c r="G110" s="520"/>
    </row>
    <row r="111" ht="32.25" customHeight="1">
      <c r="D111" s="518"/>
      <c r="E111" s="519"/>
      <c r="F111" s="349"/>
      <c r="G111" s="520"/>
    </row>
    <row r="112" ht="32.25" customHeight="1">
      <c r="D112" s="518"/>
      <c r="E112" s="519"/>
      <c r="F112" s="349"/>
      <c r="G112" s="520"/>
    </row>
    <row r="113" ht="32.25" customHeight="1">
      <c r="D113" s="518"/>
      <c r="E113" s="519"/>
      <c r="F113" s="349"/>
      <c r="G113" s="520"/>
    </row>
    <row r="114" ht="32.25" customHeight="1">
      <c r="D114" s="518"/>
      <c r="E114" s="519"/>
      <c r="F114" s="349"/>
      <c r="G114" s="520"/>
    </row>
    <row r="115" ht="32.25" customHeight="1">
      <c r="D115" s="518"/>
      <c r="E115" s="519"/>
      <c r="F115" s="349"/>
      <c r="G115" s="520"/>
    </row>
    <row r="116" ht="32.25" customHeight="1">
      <c r="D116" s="518"/>
      <c r="E116" s="519"/>
      <c r="F116" s="349"/>
      <c r="G116" s="520"/>
    </row>
    <row r="117" ht="32.25" customHeight="1">
      <c r="D117" s="518"/>
      <c r="E117" s="519"/>
      <c r="F117" s="349"/>
      <c r="G117" s="520"/>
    </row>
    <row r="118" ht="32.25" customHeight="1">
      <c r="D118" s="518"/>
      <c r="E118" s="519"/>
      <c r="F118" s="349"/>
      <c r="G118" s="520"/>
    </row>
    <row r="119" ht="32.25" customHeight="1">
      <c r="D119" s="518"/>
      <c r="E119" s="519"/>
      <c r="F119" s="349"/>
      <c r="G119" s="520"/>
    </row>
    <row r="120" ht="32.25" customHeight="1">
      <c r="D120" s="518"/>
      <c r="E120" s="519"/>
      <c r="F120" s="349"/>
      <c r="G120" s="520"/>
    </row>
    <row r="121" ht="32.25" customHeight="1">
      <c r="D121" s="518"/>
      <c r="E121" s="519"/>
      <c r="F121" s="349"/>
      <c r="G121" s="520"/>
    </row>
    <row r="122" ht="32.25" customHeight="1">
      <c r="D122" s="518"/>
      <c r="E122" s="519"/>
      <c r="F122" s="349"/>
      <c r="G122" s="520"/>
    </row>
    <row r="123" ht="32.25" customHeight="1">
      <c r="D123" s="518"/>
      <c r="E123" s="519"/>
      <c r="F123" s="349"/>
      <c r="G123" s="520"/>
    </row>
    <row r="124" ht="32.25" customHeight="1">
      <c r="D124" s="518"/>
      <c r="E124" s="519"/>
      <c r="F124" s="349"/>
      <c r="G124" s="520"/>
    </row>
    <row r="125" ht="32.25" customHeight="1">
      <c r="D125" s="518"/>
      <c r="E125" s="519"/>
      <c r="F125" s="349"/>
      <c r="G125" s="520"/>
    </row>
    <row r="126" ht="32.25" customHeight="1">
      <c r="D126" s="518"/>
      <c r="E126" s="519"/>
      <c r="F126" s="349"/>
      <c r="G126" s="520"/>
    </row>
    <row r="127" ht="32.25" customHeight="1">
      <c r="D127" s="518"/>
      <c r="E127" s="519"/>
      <c r="F127" s="349"/>
      <c r="G127" s="520"/>
    </row>
    <row r="128" ht="32.25" customHeight="1">
      <c r="D128" s="518"/>
      <c r="E128" s="519"/>
      <c r="F128" s="349"/>
      <c r="G128" s="520"/>
    </row>
    <row r="129" ht="32.25" customHeight="1">
      <c r="D129" s="518"/>
      <c r="E129" s="519"/>
      <c r="F129" s="349"/>
      <c r="G129" s="520"/>
    </row>
    <row r="130" ht="32.25" customHeight="1">
      <c r="D130" s="518"/>
      <c r="E130" s="519"/>
      <c r="F130" s="349"/>
      <c r="G130" s="520"/>
    </row>
    <row r="131" ht="32.25" customHeight="1">
      <c r="D131" s="518"/>
      <c r="E131" s="519"/>
      <c r="F131" s="349"/>
      <c r="G131" s="520"/>
    </row>
    <row r="132" ht="32.25" customHeight="1">
      <c r="D132" s="518"/>
      <c r="E132" s="519"/>
      <c r="F132" s="349"/>
      <c r="G132" s="520"/>
    </row>
    <row r="133" ht="32.25" customHeight="1">
      <c r="D133" s="518"/>
      <c r="E133" s="519"/>
      <c r="F133" s="349"/>
      <c r="G133" s="520"/>
    </row>
    <row r="134" ht="32.25" customHeight="1">
      <c r="D134" s="518"/>
      <c r="E134" s="519"/>
      <c r="F134" s="349"/>
      <c r="G134" s="520"/>
    </row>
    <row r="135" ht="32.25" customHeight="1">
      <c r="D135" s="518"/>
      <c r="E135" s="519"/>
      <c r="F135" s="349"/>
      <c r="G135" s="520"/>
    </row>
    <row r="136" ht="32.25" customHeight="1">
      <c r="D136" s="518"/>
      <c r="E136" s="519"/>
      <c r="F136" s="349"/>
      <c r="G136" s="520"/>
    </row>
    <row r="137" ht="32.25" customHeight="1">
      <c r="D137" s="518"/>
      <c r="E137" s="519"/>
      <c r="F137" s="349"/>
      <c r="G137" s="520"/>
    </row>
    <row r="138" ht="32.25" customHeight="1">
      <c r="D138" s="518"/>
      <c r="E138" s="519"/>
      <c r="F138" s="349"/>
      <c r="G138" s="520"/>
    </row>
    <row r="139" ht="32.25" customHeight="1">
      <c r="D139" s="518"/>
      <c r="E139" s="519"/>
      <c r="F139" s="349"/>
      <c r="G139" s="520"/>
    </row>
    <row r="140" ht="32.25" customHeight="1">
      <c r="D140" s="518"/>
      <c r="E140" s="519"/>
      <c r="F140" s="349"/>
      <c r="G140" s="520"/>
    </row>
    <row r="141" ht="32.25" customHeight="1">
      <c r="D141" s="518"/>
      <c r="E141" s="519"/>
      <c r="F141" s="349"/>
      <c r="G141" s="520"/>
    </row>
    <row r="142" ht="32.25" customHeight="1">
      <c r="D142" s="518"/>
      <c r="E142" s="519"/>
      <c r="F142" s="349"/>
      <c r="G142" s="520"/>
    </row>
    <row r="143" ht="32.25" customHeight="1">
      <c r="D143" s="518"/>
      <c r="E143" s="519"/>
      <c r="F143" s="349"/>
      <c r="G143" s="520"/>
    </row>
    <row r="144" ht="32.25" customHeight="1">
      <c r="D144" s="518"/>
      <c r="E144" s="519"/>
      <c r="F144" s="349"/>
      <c r="G144" s="520"/>
    </row>
    <row r="145" ht="32.25" customHeight="1">
      <c r="D145" s="518"/>
      <c r="E145" s="519"/>
      <c r="F145" s="349"/>
      <c r="G145" s="520"/>
    </row>
    <row r="146" ht="32.25" customHeight="1">
      <c r="D146" s="518"/>
      <c r="E146" s="519"/>
      <c r="F146" s="349"/>
      <c r="G146" s="520"/>
    </row>
    <row r="147" ht="32.25" customHeight="1">
      <c r="D147" s="518"/>
      <c r="E147" s="519"/>
      <c r="F147" s="349"/>
      <c r="G147" s="520"/>
    </row>
    <row r="148" ht="32.25" customHeight="1">
      <c r="D148" s="518"/>
      <c r="E148" s="519"/>
      <c r="F148" s="349"/>
      <c r="G148" s="520"/>
    </row>
    <row r="149" ht="32.25" customHeight="1">
      <c r="D149" s="518"/>
      <c r="E149" s="519"/>
      <c r="F149" s="349"/>
      <c r="G149" s="520"/>
    </row>
    <row r="150" ht="32.25" customHeight="1">
      <c r="D150" s="518"/>
      <c r="E150" s="519"/>
      <c r="F150" s="349"/>
      <c r="G150" s="520"/>
    </row>
    <row r="151" ht="32.25" customHeight="1">
      <c r="D151" s="518"/>
      <c r="E151" s="519"/>
      <c r="F151" s="349"/>
      <c r="G151" s="520"/>
    </row>
    <row r="152" ht="32.25" customHeight="1">
      <c r="D152" s="518"/>
      <c r="E152" s="519"/>
      <c r="F152" s="349"/>
      <c r="G152" s="520"/>
    </row>
    <row r="153" ht="32.25" customHeight="1">
      <c r="D153" s="518"/>
      <c r="E153" s="519"/>
      <c r="F153" s="349"/>
      <c r="G153" s="520"/>
    </row>
    <row r="154" ht="32.25" customHeight="1">
      <c r="D154" s="518"/>
      <c r="E154" s="519"/>
      <c r="F154" s="349"/>
      <c r="G154" s="520"/>
    </row>
    <row r="155" ht="32.25" customHeight="1">
      <c r="D155" s="518"/>
      <c r="E155" s="519"/>
      <c r="F155" s="349"/>
      <c r="G155" s="520"/>
    </row>
    <row r="156" ht="32.25" customHeight="1">
      <c r="D156" s="518"/>
      <c r="E156" s="519"/>
      <c r="F156" s="349"/>
      <c r="G156" s="520"/>
    </row>
    <row r="157" ht="32.25" customHeight="1">
      <c r="D157" s="518"/>
      <c r="E157" s="519"/>
      <c r="F157" s="349"/>
      <c r="G157" s="520"/>
    </row>
    <row r="158" ht="32.25" customHeight="1">
      <c r="D158" s="518"/>
      <c r="E158" s="519"/>
      <c r="F158" s="349"/>
      <c r="G158" s="520"/>
    </row>
    <row r="159" ht="32.25" customHeight="1">
      <c r="D159" s="518"/>
      <c r="E159" s="519"/>
      <c r="F159" s="349"/>
      <c r="G159" s="520"/>
    </row>
    <row r="160" ht="32.25" customHeight="1">
      <c r="D160" s="518"/>
      <c r="E160" s="519"/>
      <c r="F160" s="349"/>
      <c r="G160" s="520"/>
    </row>
    <row r="161" ht="32.25" customHeight="1">
      <c r="D161" s="518"/>
      <c r="E161" s="519"/>
      <c r="F161" s="349"/>
      <c r="G161" s="520"/>
    </row>
    <row r="162" ht="32.25" customHeight="1">
      <c r="D162" s="518"/>
      <c r="E162" s="519"/>
      <c r="F162" s="349"/>
      <c r="G162" s="520"/>
    </row>
    <row r="163" ht="32.25" customHeight="1">
      <c r="D163" s="518"/>
      <c r="E163" s="519"/>
      <c r="F163" s="349"/>
      <c r="G163" s="520"/>
    </row>
    <row r="164" ht="32.25" customHeight="1">
      <c r="D164" s="518"/>
      <c r="E164" s="519"/>
      <c r="F164" s="349"/>
      <c r="G164" s="520"/>
    </row>
    <row r="165" ht="32.25" customHeight="1">
      <c r="D165" s="518"/>
      <c r="E165" s="519"/>
      <c r="F165" s="349"/>
      <c r="G165" s="520"/>
    </row>
    <row r="166" ht="32.25" customHeight="1">
      <c r="D166" s="518"/>
      <c r="E166" s="519"/>
      <c r="F166" s="349"/>
      <c r="G166" s="520"/>
    </row>
    <row r="167" ht="32.25" customHeight="1">
      <c r="D167" s="518"/>
      <c r="E167" s="519"/>
      <c r="F167" s="349"/>
      <c r="G167" s="520"/>
    </row>
    <row r="168" ht="32.25" customHeight="1">
      <c r="D168" s="518"/>
      <c r="E168" s="519"/>
      <c r="F168" s="349"/>
      <c r="G168" s="520"/>
    </row>
    <row r="169" ht="32.25" customHeight="1">
      <c r="D169" s="518"/>
      <c r="E169" s="519"/>
      <c r="F169" s="349"/>
      <c r="G169" s="520"/>
    </row>
    <row r="170" ht="32.25" customHeight="1">
      <c r="D170" s="518"/>
      <c r="E170" s="519"/>
      <c r="F170" s="349"/>
      <c r="G170" s="520"/>
    </row>
    <row r="171" ht="32.25" customHeight="1">
      <c r="D171" s="518"/>
      <c r="E171" s="519"/>
      <c r="F171" s="349"/>
      <c r="G171" s="520"/>
    </row>
    <row r="172" ht="32.25" customHeight="1">
      <c r="D172" s="518"/>
      <c r="E172" s="519"/>
      <c r="F172" s="349"/>
      <c r="G172" s="520"/>
    </row>
    <row r="173" ht="32.25" customHeight="1">
      <c r="D173" s="518"/>
      <c r="E173" s="519"/>
      <c r="F173" s="349"/>
      <c r="G173" s="520"/>
    </row>
    <row r="174" ht="32.25" customHeight="1">
      <c r="D174" s="518"/>
      <c r="E174" s="519"/>
      <c r="F174" s="349"/>
      <c r="G174" s="520"/>
    </row>
    <row r="175" ht="32.25" customHeight="1">
      <c r="D175" s="518"/>
      <c r="E175" s="519"/>
      <c r="F175" s="349"/>
      <c r="G175" s="520"/>
    </row>
    <row r="176" ht="32.25" customHeight="1">
      <c r="D176" s="518"/>
      <c r="E176" s="519"/>
      <c r="F176" s="349"/>
      <c r="G176" s="520"/>
    </row>
    <row r="177" ht="32.25" customHeight="1">
      <c r="D177" s="518"/>
      <c r="E177" s="519"/>
      <c r="F177" s="349"/>
      <c r="G177" s="520"/>
    </row>
    <row r="178" ht="32.25" customHeight="1">
      <c r="D178" s="518"/>
      <c r="E178" s="519"/>
      <c r="F178" s="349"/>
      <c r="G178" s="520"/>
    </row>
    <row r="179" ht="32.25" customHeight="1">
      <c r="D179" s="518"/>
      <c r="E179" s="519"/>
      <c r="F179" s="349"/>
      <c r="G179" s="520"/>
    </row>
    <row r="180" ht="32.25" customHeight="1">
      <c r="D180" s="518"/>
      <c r="E180" s="519"/>
      <c r="F180" s="349"/>
      <c r="G180" s="520"/>
    </row>
    <row r="181" ht="32.25" customHeight="1">
      <c r="D181" s="518"/>
      <c r="E181" s="519"/>
      <c r="F181" s="349"/>
      <c r="G181" s="520"/>
    </row>
    <row r="182" ht="32.25" customHeight="1">
      <c r="D182" s="518"/>
      <c r="E182" s="519"/>
      <c r="F182" s="349"/>
      <c r="G182" s="520"/>
    </row>
    <row r="183" ht="32.25" customHeight="1">
      <c r="D183" s="518"/>
      <c r="E183" s="519"/>
      <c r="F183" s="349"/>
      <c r="G183" s="520"/>
    </row>
    <row r="184" ht="32.25" customHeight="1">
      <c r="D184" s="518"/>
      <c r="E184" s="519"/>
      <c r="F184" s="349"/>
      <c r="G184" s="520"/>
    </row>
    <row r="185" ht="32.25" customHeight="1">
      <c r="D185" s="518"/>
      <c r="E185" s="519"/>
      <c r="F185" s="349"/>
      <c r="G185" s="520"/>
    </row>
    <row r="186" ht="32.25" customHeight="1">
      <c r="D186" s="518"/>
      <c r="E186" s="519"/>
      <c r="F186" s="349"/>
      <c r="G186" s="520"/>
    </row>
    <row r="187" ht="32.25" customHeight="1">
      <c r="D187" s="518"/>
      <c r="E187" s="519"/>
      <c r="F187" s="349"/>
      <c r="G187" s="520"/>
    </row>
    <row r="188" ht="32.25" customHeight="1">
      <c r="D188" s="518"/>
      <c r="E188" s="519"/>
      <c r="F188" s="349"/>
      <c r="G188" s="520"/>
    </row>
    <row r="189" ht="32.25" customHeight="1">
      <c r="D189" s="518"/>
      <c r="E189" s="519"/>
      <c r="F189" s="349"/>
      <c r="G189" s="520"/>
    </row>
    <row r="190" ht="32.25" customHeight="1">
      <c r="D190" s="518"/>
      <c r="E190" s="519"/>
      <c r="F190" s="349"/>
      <c r="G190" s="520"/>
    </row>
    <row r="191" ht="32.25" customHeight="1">
      <c r="D191" s="518"/>
      <c r="E191" s="519"/>
      <c r="F191" s="349"/>
      <c r="G191" s="520"/>
    </row>
    <row r="192" ht="32.25" customHeight="1">
      <c r="D192" s="518"/>
      <c r="E192" s="519"/>
      <c r="F192" s="349"/>
      <c r="G192" s="520"/>
    </row>
    <row r="193" ht="32.25" customHeight="1">
      <c r="D193" s="518"/>
      <c r="E193" s="519"/>
      <c r="F193" s="349"/>
      <c r="G193" s="520"/>
    </row>
    <row r="194" ht="32.25" customHeight="1">
      <c r="D194" s="518"/>
      <c r="E194" s="519"/>
      <c r="F194" s="349"/>
      <c r="G194" s="520"/>
    </row>
    <row r="195" ht="32.25" customHeight="1">
      <c r="D195" s="518"/>
      <c r="E195" s="519"/>
      <c r="F195" s="349"/>
      <c r="G195" s="520"/>
    </row>
    <row r="196" ht="32.25" customHeight="1">
      <c r="D196" s="518"/>
      <c r="E196" s="519"/>
      <c r="F196" s="349"/>
      <c r="G196" s="520"/>
    </row>
    <row r="197" ht="32.25" customHeight="1">
      <c r="D197" s="518"/>
      <c r="E197" s="519"/>
      <c r="F197" s="349"/>
      <c r="G197" s="520"/>
    </row>
    <row r="198" ht="32.25" customHeight="1">
      <c r="D198" s="518"/>
      <c r="E198" s="519"/>
      <c r="F198" s="349"/>
      <c r="G198" s="520"/>
    </row>
    <row r="199" ht="32.25" customHeight="1">
      <c r="D199" s="518"/>
      <c r="E199" s="519"/>
      <c r="F199" s="349"/>
      <c r="G199" s="520"/>
    </row>
    <row r="200" ht="32.25" customHeight="1">
      <c r="D200" s="518"/>
      <c r="E200" s="519"/>
      <c r="F200" s="349"/>
      <c r="G200" s="520"/>
    </row>
    <row r="201" ht="32.25" customHeight="1">
      <c r="D201" s="518"/>
      <c r="E201" s="519"/>
      <c r="F201" s="349"/>
      <c r="G201" s="520"/>
    </row>
    <row r="202" ht="32.25" customHeight="1">
      <c r="D202" s="518"/>
      <c r="E202" s="519"/>
      <c r="F202" s="349"/>
      <c r="G202" s="520"/>
    </row>
    <row r="203" ht="32.25" customHeight="1">
      <c r="D203" s="518"/>
      <c r="E203" s="519"/>
      <c r="F203" s="349"/>
      <c r="G203" s="520"/>
    </row>
    <row r="204" ht="32.25" customHeight="1">
      <c r="D204" s="518"/>
      <c r="E204" s="519"/>
      <c r="F204" s="349"/>
      <c r="G204" s="520"/>
    </row>
    <row r="205" ht="32.25" customHeight="1">
      <c r="D205" s="518"/>
      <c r="E205" s="519"/>
      <c r="F205" s="349"/>
      <c r="G205" s="520"/>
    </row>
    <row r="206" ht="32.25" customHeight="1">
      <c r="D206" s="518"/>
      <c r="E206" s="519"/>
      <c r="F206" s="349"/>
      <c r="G206" s="520"/>
    </row>
    <row r="207" ht="32.25" customHeight="1">
      <c r="D207" s="518"/>
      <c r="E207" s="519"/>
      <c r="F207" s="349"/>
      <c r="G207" s="520"/>
    </row>
    <row r="208" ht="32.25" customHeight="1">
      <c r="D208" s="518"/>
      <c r="E208" s="519"/>
      <c r="F208" s="349"/>
      <c r="G208" s="520"/>
    </row>
    <row r="209" ht="32.25" customHeight="1">
      <c r="D209" s="518"/>
      <c r="E209" s="519"/>
      <c r="F209" s="349"/>
      <c r="G209" s="520"/>
    </row>
    <row r="210" ht="32.25" customHeight="1">
      <c r="D210" s="518"/>
      <c r="E210" s="519"/>
      <c r="F210" s="349"/>
      <c r="G210" s="520"/>
    </row>
    <row r="211" ht="32.25" customHeight="1">
      <c r="D211" s="518"/>
      <c r="E211" s="519"/>
      <c r="F211" s="349"/>
      <c r="G211" s="520"/>
    </row>
    <row r="212" ht="32.25" customHeight="1">
      <c r="D212" s="518"/>
      <c r="E212" s="519"/>
      <c r="F212" s="349"/>
      <c r="G212" s="520"/>
    </row>
    <row r="213" ht="32.25" customHeight="1">
      <c r="D213" s="518"/>
      <c r="E213" s="519"/>
      <c r="F213" s="349"/>
      <c r="G213" s="520"/>
    </row>
    <row r="214" ht="32.25" customHeight="1">
      <c r="D214" s="518"/>
      <c r="E214" s="519"/>
      <c r="F214" s="349"/>
      <c r="G214" s="520"/>
    </row>
    <row r="215" ht="32.25" customHeight="1">
      <c r="D215" s="518"/>
      <c r="E215" s="519"/>
      <c r="F215" s="349"/>
      <c r="G215" s="520"/>
    </row>
    <row r="216" ht="32.25" customHeight="1">
      <c r="D216" s="518"/>
      <c r="E216" s="519"/>
      <c r="F216" s="349"/>
      <c r="G216" s="520"/>
    </row>
    <row r="217" ht="32.25" customHeight="1">
      <c r="D217" s="518"/>
      <c r="E217" s="519"/>
      <c r="F217" s="349"/>
      <c r="G217" s="520"/>
    </row>
    <row r="218" ht="32.25" customHeight="1">
      <c r="D218" s="518"/>
      <c r="E218" s="519"/>
      <c r="F218" s="349"/>
      <c r="G218" s="520"/>
    </row>
    <row r="219" ht="32.25" customHeight="1">
      <c r="D219" s="518"/>
      <c r="E219" s="519"/>
      <c r="F219" s="349"/>
      <c r="G219" s="520"/>
    </row>
    <row r="220" ht="32.25" customHeight="1">
      <c r="D220" s="518"/>
      <c r="E220" s="519"/>
      <c r="F220" s="349"/>
      <c r="G220" s="520"/>
    </row>
    <row r="221" ht="32.25" customHeight="1">
      <c r="D221" s="518"/>
      <c r="E221" s="519"/>
      <c r="F221" s="349"/>
      <c r="G221" s="520"/>
    </row>
    <row r="222" ht="32.25" customHeight="1">
      <c r="D222" s="518"/>
      <c r="E222" s="519"/>
      <c r="F222" s="349"/>
      <c r="G222" s="520"/>
    </row>
    <row r="223" ht="32.25" customHeight="1">
      <c r="D223" s="518"/>
      <c r="E223" s="519"/>
      <c r="F223" s="349"/>
      <c r="G223" s="520"/>
    </row>
    <row r="224" ht="32.25" customHeight="1">
      <c r="D224" s="518"/>
      <c r="E224" s="519"/>
      <c r="F224" s="349"/>
      <c r="G224" s="520"/>
    </row>
    <row r="225" ht="32.25" customHeight="1">
      <c r="D225" s="518"/>
      <c r="E225" s="519"/>
      <c r="F225" s="349"/>
      <c r="G225" s="520"/>
    </row>
    <row r="226" ht="32.25" customHeight="1">
      <c r="D226" s="518"/>
      <c r="E226" s="519"/>
      <c r="F226" s="349"/>
      <c r="G226" s="520"/>
    </row>
    <row r="227" ht="32.25" customHeight="1">
      <c r="D227" s="518"/>
      <c r="E227" s="519"/>
      <c r="F227" s="349"/>
      <c r="G227" s="520"/>
    </row>
    <row r="228" ht="32.25" customHeight="1">
      <c r="D228" s="518"/>
      <c r="E228" s="519"/>
      <c r="F228" s="349"/>
      <c r="G228" s="520"/>
    </row>
    <row r="229" ht="32.25" customHeight="1">
      <c r="D229" s="518"/>
      <c r="E229" s="519"/>
      <c r="F229" s="349"/>
      <c r="G229" s="520"/>
    </row>
    <row r="230" ht="32.25" customHeight="1">
      <c r="D230" s="518"/>
      <c r="E230" s="519"/>
      <c r="F230" s="349"/>
      <c r="G230" s="520"/>
    </row>
    <row r="231" ht="32.25" customHeight="1">
      <c r="D231" s="518"/>
      <c r="E231" s="519"/>
      <c r="F231" s="349"/>
      <c r="G231" s="520"/>
    </row>
    <row r="232" ht="32.25" customHeight="1">
      <c r="D232" s="518"/>
      <c r="E232" s="519"/>
      <c r="F232" s="349"/>
      <c r="G232" s="520"/>
    </row>
    <row r="233" ht="32.25" customHeight="1">
      <c r="D233" s="518"/>
      <c r="E233" s="519"/>
      <c r="F233" s="349"/>
      <c r="G233" s="520"/>
    </row>
    <row r="234" ht="32.25" customHeight="1">
      <c r="D234" s="518"/>
      <c r="E234" s="519"/>
      <c r="F234" s="349"/>
      <c r="G234" s="520"/>
    </row>
    <row r="235" ht="32.25" customHeight="1">
      <c r="D235" s="518"/>
      <c r="E235" s="519"/>
      <c r="F235" s="349"/>
      <c r="G235" s="520"/>
    </row>
    <row r="236" ht="32.25" customHeight="1">
      <c r="D236" s="518"/>
      <c r="E236" s="519"/>
      <c r="F236" s="349"/>
      <c r="G236" s="520"/>
    </row>
    <row r="237" ht="32.25" customHeight="1">
      <c r="D237" s="518"/>
      <c r="E237" s="519"/>
      <c r="F237" s="349"/>
      <c r="G237" s="520"/>
    </row>
    <row r="238" ht="32.25" customHeight="1">
      <c r="D238" s="518"/>
      <c r="E238" s="519"/>
      <c r="F238" s="349"/>
      <c r="G238" s="520"/>
    </row>
    <row r="239" ht="32.25" customHeight="1">
      <c r="D239" s="518"/>
      <c r="E239" s="519"/>
      <c r="F239" s="349"/>
      <c r="G239" s="520"/>
    </row>
    <row r="240" ht="32.25" customHeight="1">
      <c r="D240" s="518"/>
      <c r="E240" s="519"/>
      <c r="F240" s="349"/>
      <c r="G240" s="520"/>
    </row>
    <row r="241" ht="32.25" customHeight="1">
      <c r="D241" s="518"/>
      <c r="E241" s="519"/>
      <c r="F241" s="349"/>
      <c r="G241" s="520"/>
    </row>
    <row r="242" ht="32.25" customHeight="1">
      <c r="D242" s="518"/>
      <c r="E242" s="519"/>
      <c r="F242" s="349"/>
      <c r="G242" s="520"/>
    </row>
    <row r="243" ht="32.25" customHeight="1">
      <c r="D243" s="518"/>
      <c r="E243" s="519"/>
      <c r="F243" s="349"/>
      <c r="G243" s="520"/>
    </row>
    <row r="244" ht="32.25" customHeight="1">
      <c r="D244" s="518"/>
      <c r="E244" s="519"/>
      <c r="F244" s="349"/>
      <c r="G244" s="520"/>
    </row>
    <row r="245" ht="32.25" customHeight="1">
      <c r="D245" s="518"/>
      <c r="E245" s="519"/>
      <c r="F245" s="349"/>
      <c r="G245" s="520"/>
    </row>
    <row r="246" ht="32.25" customHeight="1">
      <c r="D246" s="518"/>
      <c r="E246" s="519"/>
      <c r="F246" s="349"/>
      <c r="G246" s="520"/>
    </row>
    <row r="247" ht="32.25" customHeight="1">
      <c r="D247" s="518"/>
      <c r="E247" s="519"/>
      <c r="F247" s="349"/>
      <c r="G247" s="520"/>
    </row>
    <row r="248" ht="32.25" customHeight="1">
      <c r="D248" s="518"/>
      <c r="E248" s="519"/>
      <c r="F248" s="349"/>
      <c r="G248" s="520"/>
    </row>
    <row r="249" ht="32.25" customHeight="1">
      <c r="D249" s="518"/>
      <c r="E249" s="519"/>
      <c r="F249" s="349"/>
      <c r="G249" s="520"/>
    </row>
    <row r="250" ht="32.25" customHeight="1">
      <c r="D250" s="518"/>
      <c r="E250" s="519"/>
      <c r="F250" s="349"/>
      <c r="G250" s="520"/>
    </row>
    <row r="251" ht="32.25" customHeight="1">
      <c r="D251" s="518"/>
      <c r="E251" s="519"/>
      <c r="F251" s="349"/>
      <c r="G251" s="520"/>
    </row>
    <row r="252" ht="32.25" customHeight="1">
      <c r="D252" s="518"/>
      <c r="E252" s="519"/>
      <c r="F252" s="349"/>
      <c r="G252" s="520"/>
    </row>
    <row r="253" ht="32.25" customHeight="1">
      <c r="D253" s="518"/>
      <c r="E253" s="519"/>
      <c r="F253" s="349"/>
      <c r="G253" s="520"/>
    </row>
    <row r="254" ht="32.25" customHeight="1">
      <c r="D254" s="518"/>
      <c r="E254" s="519"/>
      <c r="F254" s="349"/>
      <c r="G254" s="520"/>
    </row>
    <row r="255" ht="32.25" customHeight="1">
      <c r="D255" s="518"/>
      <c r="E255" s="519"/>
      <c r="F255" s="349"/>
      <c r="G255" s="520"/>
    </row>
    <row r="256" ht="32.25" customHeight="1">
      <c r="D256" s="518"/>
      <c r="E256" s="519"/>
      <c r="F256" s="349"/>
      <c r="G256" s="520"/>
    </row>
    <row r="257" ht="32.25" customHeight="1">
      <c r="D257" s="518"/>
      <c r="E257" s="519"/>
      <c r="F257" s="349"/>
      <c r="G257" s="520"/>
    </row>
    <row r="258" ht="32.25" customHeight="1">
      <c r="D258" s="518"/>
      <c r="E258" s="519"/>
      <c r="F258" s="349"/>
      <c r="G258" s="520"/>
    </row>
    <row r="259" ht="32.25" customHeight="1">
      <c r="D259" s="518"/>
      <c r="E259" s="519"/>
      <c r="F259" s="349"/>
      <c r="G259" s="520"/>
    </row>
    <row r="260" ht="32.25" customHeight="1">
      <c r="D260" s="518"/>
      <c r="E260" s="519"/>
      <c r="F260" s="349"/>
      <c r="G260" s="520"/>
    </row>
    <row r="261" ht="32.25" customHeight="1">
      <c r="D261" s="518"/>
      <c r="E261" s="519"/>
      <c r="F261" s="349"/>
      <c r="G261" s="520"/>
    </row>
    <row r="262" ht="32.25" customHeight="1">
      <c r="D262" s="518"/>
      <c r="E262" s="519"/>
      <c r="F262" s="349"/>
      <c r="G262" s="520"/>
    </row>
    <row r="263" ht="32.25" customHeight="1">
      <c r="D263" s="518"/>
      <c r="E263" s="519"/>
      <c r="F263" s="349"/>
      <c r="G263" s="520"/>
    </row>
    <row r="264" ht="32.25" customHeight="1">
      <c r="D264" s="518"/>
      <c r="E264" s="519"/>
      <c r="F264" s="349"/>
      <c r="G264" s="520"/>
    </row>
    <row r="265" ht="32.25" customHeight="1">
      <c r="D265" s="518"/>
      <c r="E265" s="519"/>
      <c r="F265" s="349"/>
      <c r="G265" s="520"/>
    </row>
    <row r="266" ht="32.25" customHeight="1">
      <c r="D266" s="518"/>
      <c r="E266" s="519"/>
      <c r="F266" s="349"/>
      <c r="G266" s="520"/>
    </row>
    <row r="267" ht="32.25" customHeight="1">
      <c r="D267" s="518"/>
      <c r="E267" s="519"/>
      <c r="F267" s="349"/>
      <c r="G267" s="520"/>
    </row>
    <row r="268" ht="32.25" customHeight="1">
      <c r="D268" s="518"/>
      <c r="E268" s="519"/>
      <c r="F268" s="349"/>
      <c r="G268" s="520"/>
    </row>
    <row r="269" ht="32.25" customHeight="1">
      <c r="D269" s="518"/>
      <c r="E269" s="519"/>
      <c r="F269" s="349"/>
      <c r="G269" s="520"/>
    </row>
    <row r="270" ht="32.25" customHeight="1">
      <c r="D270" s="518"/>
      <c r="E270" s="519"/>
      <c r="F270" s="349"/>
      <c r="G270" s="520"/>
    </row>
    <row r="271" ht="32.25" customHeight="1">
      <c r="D271" s="518"/>
      <c r="E271" s="519"/>
      <c r="F271" s="349"/>
      <c r="G271" s="520"/>
    </row>
    <row r="272" ht="32.25" customHeight="1">
      <c r="D272" s="518"/>
      <c r="E272" s="519"/>
      <c r="F272" s="349"/>
      <c r="G272" s="520"/>
    </row>
    <row r="273" ht="32.25" customHeight="1">
      <c r="D273" s="518"/>
      <c r="E273" s="519"/>
      <c r="F273" s="349"/>
      <c r="G273" s="520"/>
    </row>
    <row r="274" ht="32.25" customHeight="1">
      <c r="D274" s="518"/>
      <c r="E274" s="519"/>
      <c r="F274" s="349"/>
      <c r="G274" s="520"/>
    </row>
    <row r="275" ht="32.25" customHeight="1">
      <c r="D275" s="518"/>
      <c r="E275" s="519"/>
      <c r="F275" s="349"/>
      <c r="G275" s="520"/>
    </row>
    <row r="276" ht="32.25" customHeight="1">
      <c r="D276" s="518"/>
      <c r="E276" s="519"/>
      <c r="F276" s="349"/>
      <c r="G276" s="520"/>
    </row>
    <row r="277" ht="32.25" customHeight="1">
      <c r="D277" s="518"/>
      <c r="E277" s="519"/>
      <c r="F277" s="349"/>
      <c r="G277" s="520"/>
    </row>
    <row r="278" ht="32.25" customHeight="1">
      <c r="D278" s="518"/>
      <c r="E278" s="519"/>
      <c r="F278" s="349"/>
      <c r="G278" s="520"/>
    </row>
    <row r="279" ht="32.25" customHeight="1">
      <c r="D279" s="518"/>
      <c r="E279" s="519"/>
      <c r="F279" s="349"/>
      <c r="G279" s="520"/>
    </row>
    <row r="280" ht="32.25" customHeight="1">
      <c r="D280" s="518"/>
      <c r="E280" s="519"/>
      <c r="F280" s="349"/>
      <c r="G280" s="520"/>
    </row>
    <row r="281" ht="32.25" customHeight="1">
      <c r="D281" s="518"/>
      <c r="E281" s="519"/>
      <c r="F281" s="349"/>
      <c r="G281" s="520"/>
    </row>
    <row r="282" ht="32.25" customHeight="1">
      <c r="D282" s="518"/>
      <c r="E282" s="519"/>
      <c r="F282" s="349"/>
      <c r="G282" s="520"/>
    </row>
    <row r="283" ht="32.25" customHeight="1">
      <c r="D283" s="518"/>
      <c r="E283" s="519"/>
      <c r="F283" s="349"/>
      <c r="G283" s="520"/>
    </row>
    <row r="284" ht="32.25" customHeight="1">
      <c r="D284" s="518"/>
      <c r="E284" s="519"/>
      <c r="F284" s="349"/>
      <c r="G284" s="520"/>
    </row>
    <row r="285" ht="32.25" customHeight="1">
      <c r="D285" s="518"/>
      <c r="E285" s="519"/>
      <c r="F285" s="349"/>
      <c r="G285" s="520"/>
    </row>
    <row r="286" ht="32.25" customHeight="1">
      <c r="D286" s="518"/>
      <c r="E286" s="519"/>
      <c r="F286" s="349"/>
      <c r="G286" s="520"/>
    </row>
    <row r="287" ht="32.25" customHeight="1">
      <c r="D287" s="518"/>
      <c r="E287" s="519"/>
      <c r="F287" s="349"/>
      <c r="G287" s="520"/>
    </row>
    <row r="288" ht="32.25" customHeight="1">
      <c r="D288" s="518"/>
      <c r="E288" s="519"/>
      <c r="F288" s="349"/>
      <c r="G288" s="520"/>
    </row>
    <row r="289" ht="32.25" customHeight="1">
      <c r="D289" s="518"/>
      <c r="E289" s="519"/>
      <c r="F289" s="349"/>
      <c r="G289" s="520"/>
    </row>
    <row r="290" ht="32.25" customHeight="1">
      <c r="D290" s="518"/>
      <c r="E290" s="519"/>
      <c r="F290" s="349"/>
      <c r="G290" s="520"/>
    </row>
    <row r="291" ht="32.25" customHeight="1">
      <c r="D291" s="518"/>
      <c r="E291" s="519"/>
      <c r="F291" s="349"/>
      <c r="G291" s="520"/>
    </row>
    <row r="292" ht="32.25" customHeight="1">
      <c r="D292" s="518"/>
      <c r="E292" s="519"/>
      <c r="F292" s="349"/>
      <c r="G292" s="520"/>
    </row>
    <row r="293" ht="32.25" customHeight="1">
      <c r="D293" s="518"/>
      <c r="E293" s="519"/>
      <c r="F293" s="349"/>
      <c r="G293" s="520"/>
    </row>
    <row r="294" ht="32.25" customHeight="1">
      <c r="D294" s="518"/>
      <c r="E294" s="519"/>
      <c r="F294" s="349"/>
      <c r="G294" s="520"/>
    </row>
    <row r="295" ht="32.25" customHeight="1">
      <c r="D295" s="518"/>
      <c r="E295" s="519"/>
      <c r="F295" s="349"/>
      <c r="G295" s="520"/>
    </row>
    <row r="296" ht="32.25" customHeight="1">
      <c r="D296" s="518"/>
      <c r="E296" s="519"/>
      <c r="F296" s="349"/>
      <c r="G296" s="520"/>
    </row>
    <row r="297" ht="32.25" customHeight="1">
      <c r="D297" s="518"/>
      <c r="E297" s="519"/>
      <c r="F297" s="349"/>
      <c r="G297" s="520"/>
    </row>
    <row r="298" ht="32.25" customHeight="1">
      <c r="D298" s="518"/>
      <c r="E298" s="519"/>
      <c r="F298" s="349"/>
      <c r="G298" s="520"/>
    </row>
    <row r="299" ht="32.25" customHeight="1">
      <c r="D299" s="518"/>
      <c r="E299" s="519"/>
      <c r="F299" s="349"/>
      <c r="G299" s="520"/>
    </row>
    <row r="300" ht="32.25" customHeight="1">
      <c r="D300" s="518"/>
      <c r="E300" s="519"/>
      <c r="F300" s="349"/>
      <c r="G300" s="520"/>
    </row>
    <row r="301" ht="32.25" customHeight="1">
      <c r="D301" s="518"/>
      <c r="E301" s="519"/>
      <c r="F301" s="349"/>
      <c r="G301" s="520"/>
    </row>
    <row r="302" ht="32.25" customHeight="1">
      <c r="D302" s="518"/>
      <c r="E302" s="519"/>
      <c r="F302" s="349"/>
      <c r="G302" s="520"/>
    </row>
    <row r="303" ht="32.25" customHeight="1">
      <c r="D303" s="518"/>
      <c r="E303" s="519"/>
      <c r="F303" s="349"/>
      <c r="G303" s="520"/>
    </row>
    <row r="304" ht="32.25" customHeight="1">
      <c r="D304" s="518"/>
      <c r="E304" s="519"/>
      <c r="F304" s="349"/>
      <c r="G304" s="520"/>
    </row>
    <row r="305" ht="32.25" customHeight="1">
      <c r="D305" s="518"/>
      <c r="E305" s="519"/>
      <c r="F305" s="349"/>
      <c r="G305" s="520"/>
    </row>
    <row r="306" ht="32.25" customHeight="1">
      <c r="D306" s="518"/>
      <c r="E306" s="519"/>
      <c r="F306" s="349"/>
      <c r="G306" s="520"/>
    </row>
    <row r="307" ht="32.25" customHeight="1">
      <c r="D307" s="518"/>
      <c r="E307" s="519"/>
      <c r="F307" s="349"/>
      <c r="G307" s="520"/>
    </row>
    <row r="308" ht="32.25" customHeight="1">
      <c r="D308" s="518"/>
      <c r="E308" s="519"/>
      <c r="F308" s="349"/>
      <c r="G308" s="520"/>
    </row>
    <row r="309" ht="32.25" customHeight="1">
      <c r="D309" s="518"/>
      <c r="E309" s="519"/>
      <c r="F309" s="349"/>
      <c r="G309" s="520"/>
    </row>
    <row r="310" ht="32.25" customHeight="1">
      <c r="D310" s="518"/>
      <c r="E310" s="519"/>
      <c r="F310" s="349"/>
      <c r="G310" s="520"/>
    </row>
    <row r="311" ht="32.25" customHeight="1">
      <c r="D311" s="518"/>
      <c r="E311" s="519"/>
      <c r="F311" s="349"/>
      <c r="G311" s="520"/>
    </row>
    <row r="312" ht="32.25" customHeight="1">
      <c r="D312" s="518"/>
      <c r="E312" s="519"/>
      <c r="F312" s="349"/>
      <c r="G312" s="520"/>
    </row>
    <row r="313" ht="32.25" customHeight="1">
      <c r="D313" s="518"/>
      <c r="E313" s="519"/>
      <c r="F313" s="349"/>
      <c r="G313" s="520"/>
    </row>
    <row r="314" ht="32.25" customHeight="1">
      <c r="D314" s="518"/>
      <c r="E314" s="519"/>
      <c r="F314" s="349"/>
      <c r="G314" s="520"/>
    </row>
    <row r="315" ht="32.25" customHeight="1">
      <c r="D315" s="518"/>
      <c r="E315" s="519"/>
      <c r="F315" s="349"/>
      <c r="G315" s="520"/>
    </row>
    <row r="316" ht="32.25" customHeight="1">
      <c r="D316" s="518"/>
      <c r="E316" s="519"/>
      <c r="F316" s="349"/>
      <c r="G316" s="520"/>
    </row>
    <row r="317" ht="32.25" customHeight="1">
      <c r="D317" s="518"/>
      <c r="E317" s="519"/>
      <c r="F317" s="349"/>
      <c r="G317" s="520"/>
    </row>
    <row r="318" ht="32.25" customHeight="1">
      <c r="D318" s="518"/>
      <c r="E318" s="519"/>
      <c r="F318" s="349"/>
      <c r="G318" s="520"/>
    </row>
    <row r="319" ht="32.25" customHeight="1">
      <c r="D319" s="518"/>
      <c r="E319" s="519"/>
      <c r="F319" s="349"/>
      <c r="G319" s="520"/>
    </row>
    <row r="320" ht="32.25" customHeight="1">
      <c r="D320" s="518"/>
      <c r="E320" s="519"/>
      <c r="F320" s="349"/>
      <c r="G320" s="520"/>
    </row>
    <row r="321" ht="32.25" customHeight="1">
      <c r="D321" s="518"/>
      <c r="E321" s="519"/>
      <c r="F321" s="349"/>
      <c r="G321" s="520"/>
    </row>
    <row r="322" ht="32.25" customHeight="1">
      <c r="D322" s="518"/>
      <c r="E322" s="519"/>
      <c r="F322" s="349"/>
      <c r="G322" s="520"/>
    </row>
    <row r="323" ht="32.25" customHeight="1">
      <c r="D323" s="518"/>
      <c r="E323" s="519"/>
      <c r="F323" s="349"/>
      <c r="G323" s="520"/>
    </row>
    <row r="324" ht="32.25" customHeight="1">
      <c r="D324" s="518"/>
      <c r="E324" s="519"/>
      <c r="F324" s="349"/>
      <c r="G324" s="520"/>
    </row>
    <row r="325" ht="32.25" customHeight="1">
      <c r="D325" s="518"/>
      <c r="E325" s="519"/>
      <c r="F325" s="349"/>
      <c r="G325" s="520"/>
    </row>
    <row r="326" ht="32.25" customHeight="1">
      <c r="D326" s="518"/>
      <c r="E326" s="519"/>
      <c r="F326" s="349"/>
      <c r="G326" s="520"/>
    </row>
    <row r="327" ht="32.25" customHeight="1">
      <c r="D327" s="518"/>
      <c r="E327" s="519"/>
      <c r="F327" s="349"/>
      <c r="G327" s="520"/>
    </row>
    <row r="328" ht="32.25" customHeight="1">
      <c r="D328" s="518"/>
      <c r="E328" s="519"/>
      <c r="F328" s="349"/>
      <c r="G328" s="520"/>
    </row>
    <row r="329" ht="32.25" customHeight="1">
      <c r="D329" s="518"/>
      <c r="E329" s="519"/>
      <c r="F329" s="349"/>
      <c r="G329" s="520"/>
    </row>
    <row r="330" ht="32.25" customHeight="1">
      <c r="D330" s="518"/>
      <c r="E330" s="519"/>
      <c r="F330" s="349"/>
      <c r="G330" s="520"/>
    </row>
    <row r="331" ht="32.25" customHeight="1">
      <c r="D331" s="518"/>
      <c r="E331" s="519"/>
      <c r="F331" s="349"/>
      <c r="G331" s="520"/>
    </row>
    <row r="332" ht="32.25" customHeight="1">
      <c r="D332" s="518"/>
      <c r="E332" s="519"/>
      <c r="F332" s="349"/>
      <c r="G332" s="520"/>
    </row>
    <row r="333" ht="32.25" customHeight="1">
      <c r="D333" s="518"/>
      <c r="E333" s="519"/>
      <c r="F333" s="349"/>
      <c r="G333" s="520"/>
    </row>
    <row r="334" ht="32.25" customHeight="1">
      <c r="D334" s="518"/>
      <c r="E334" s="519"/>
      <c r="F334" s="349"/>
      <c r="G334" s="520"/>
    </row>
    <row r="335" ht="32.25" customHeight="1">
      <c r="D335" s="518"/>
      <c r="E335" s="519"/>
      <c r="F335" s="349"/>
      <c r="G335" s="520"/>
    </row>
    <row r="336" ht="32.25" customHeight="1">
      <c r="D336" s="518"/>
      <c r="E336" s="519"/>
      <c r="F336" s="349"/>
      <c r="G336" s="520"/>
    </row>
    <row r="337" ht="32.25" customHeight="1">
      <c r="D337" s="518"/>
      <c r="E337" s="519"/>
      <c r="F337" s="349"/>
      <c r="G337" s="520"/>
    </row>
    <row r="338" ht="32.25" customHeight="1">
      <c r="D338" s="518"/>
      <c r="E338" s="519"/>
      <c r="F338" s="349"/>
      <c r="G338" s="520"/>
    </row>
    <row r="339" ht="32.25" customHeight="1">
      <c r="D339" s="518"/>
      <c r="E339" s="519"/>
      <c r="F339" s="349"/>
      <c r="G339" s="520"/>
    </row>
    <row r="340" ht="32.25" customHeight="1">
      <c r="D340" s="518"/>
      <c r="E340" s="519"/>
      <c r="F340" s="349"/>
      <c r="G340" s="520"/>
    </row>
    <row r="341" ht="32.25" customHeight="1">
      <c r="D341" s="518"/>
      <c r="E341" s="519"/>
      <c r="F341" s="349"/>
      <c r="G341" s="520"/>
    </row>
    <row r="342" ht="32.25" customHeight="1">
      <c r="D342" s="518"/>
      <c r="E342" s="519"/>
      <c r="F342" s="349"/>
      <c r="G342" s="520"/>
    </row>
    <row r="343" ht="32.25" customHeight="1">
      <c r="D343" s="518"/>
      <c r="E343" s="519"/>
      <c r="F343" s="349"/>
      <c r="G343" s="520"/>
    </row>
    <row r="344" ht="32.25" customHeight="1">
      <c r="D344" s="518"/>
      <c r="E344" s="519"/>
      <c r="F344" s="349"/>
      <c r="G344" s="520"/>
    </row>
    <row r="345" ht="32.25" customHeight="1">
      <c r="D345" s="518"/>
      <c r="E345" s="519"/>
      <c r="F345" s="349"/>
      <c r="G345" s="520"/>
    </row>
    <row r="346" ht="32.25" customHeight="1">
      <c r="D346" s="518"/>
      <c r="E346" s="519"/>
      <c r="F346" s="349"/>
      <c r="G346" s="520"/>
    </row>
    <row r="347" ht="32.25" customHeight="1">
      <c r="D347" s="518"/>
      <c r="E347" s="519"/>
      <c r="F347" s="349"/>
      <c r="G347" s="520"/>
    </row>
    <row r="348" ht="32.25" customHeight="1">
      <c r="D348" s="518"/>
      <c r="E348" s="519"/>
      <c r="F348" s="349"/>
      <c r="G348" s="520"/>
    </row>
    <row r="349" ht="32.25" customHeight="1">
      <c r="D349" s="518"/>
      <c r="E349" s="519"/>
      <c r="F349" s="349"/>
      <c r="G349" s="520"/>
    </row>
    <row r="350" ht="32.25" customHeight="1">
      <c r="D350" s="518"/>
      <c r="E350" s="519"/>
      <c r="F350" s="349"/>
      <c r="G350" s="520"/>
    </row>
    <row r="351" ht="32.25" customHeight="1">
      <c r="D351" s="518"/>
      <c r="E351" s="519"/>
      <c r="F351" s="349"/>
      <c r="G351" s="520"/>
    </row>
    <row r="352" ht="32.25" customHeight="1">
      <c r="D352" s="518"/>
      <c r="E352" s="519"/>
      <c r="F352" s="349"/>
      <c r="G352" s="520"/>
    </row>
    <row r="353" ht="32.25" customHeight="1">
      <c r="D353" s="518"/>
      <c r="E353" s="519"/>
      <c r="F353" s="349"/>
      <c r="G353" s="520"/>
    </row>
    <row r="354" ht="32.25" customHeight="1">
      <c r="D354" s="518"/>
      <c r="E354" s="519"/>
      <c r="F354" s="349"/>
      <c r="G354" s="520"/>
    </row>
    <row r="355" ht="32.25" customHeight="1">
      <c r="D355" s="518"/>
      <c r="E355" s="519"/>
      <c r="F355" s="349"/>
      <c r="G355" s="520"/>
    </row>
    <row r="356" ht="32.25" customHeight="1">
      <c r="D356" s="518"/>
      <c r="E356" s="519"/>
      <c r="F356" s="349"/>
      <c r="G356" s="520"/>
    </row>
    <row r="357" ht="32.25" customHeight="1">
      <c r="D357" s="518"/>
      <c r="E357" s="519"/>
      <c r="F357" s="349"/>
      <c r="G357" s="520"/>
    </row>
    <row r="358" ht="32.25" customHeight="1">
      <c r="D358" s="518"/>
      <c r="E358" s="519"/>
      <c r="F358" s="349"/>
      <c r="G358" s="520"/>
    </row>
    <row r="359" ht="32.25" customHeight="1">
      <c r="D359" s="518"/>
      <c r="E359" s="519"/>
      <c r="F359" s="349"/>
      <c r="G359" s="520"/>
    </row>
    <row r="360" ht="32.25" customHeight="1">
      <c r="D360" s="518"/>
      <c r="E360" s="519"/>
      <c r="F360" s="349"/>
      <c r="G360" s="520"/>
    </row>
    <row r="361" ht="32.25" customHeight="1">
      <c r="D361" s="518"/>
      <c r="E361" s="519"/>
      <c r="F361" s="349"/>
      <c r="G361" s="520"/>
    </row>
    <row r="362" ht="32.25" customHeight="1">
      <c r="D362" s="518"/>
      <c r="E362" s="519"/>
      <c r="F362" s="349"/>
      <c r="G362" s="520"/>
    </row>
    <row r="363" ht="32.25" customHeight="1">
      <c r="D363" s="518"/>
      <c r="E363" s="519"/>
      <c r="F363" s="349"/>
      <c r="G363" s="520"/>
    </row>
    <row r="364" ht="32.25" customHeight="1">
      <c r="D364" s="518"/>
      <c r="E364" s="519"/>
      <c r="F364" s="349"/>
      <c r="G364" s="520"/>
    </row>
    <row r="365" ht="32.25" customHeight="1">
      <c r="D365" s="518"/>
      <c r="E365" s="519"/>
      <c r="F365" s="349"/>
      <c r="G365" s="520"/>
    </row>
    <row r="366" ht="32.25" customHeight="1">
      <c r="D366" s="518"/>
      <c r="E366" s="519"/>
      <c r="F366" s="349"/>
      <c r="G366" s="520"/>
    </row>
    <row r="367" ht="32.25" customHeight="1">
      <c r="D367" s="518"/>
      <c r="E367" s="519"/>
      <c r="F367" s="349"/>
      <c r="G367" s="520"/>
    </row>
    <row r="368" ht="32.25" customHeight="1">
      <c r="D368" s="518"/>
      <c r="E368" s="519"/>
      <c r="F368" s="349"/>
      <c r="G368" s="520"/>
    </row>
    <row r="369" ht="32.25" customHeight="1">
      <c r="D369" s="518"/>
      <c r="E369" s="519"/>
      <c r="F369" s="349"/>
      <c r="G369" s="520"/>
    </row>
    <row r="370" ht="32.25" customHeight="1">
      <c r="D370" s="518"/>
      <c r="E370" s="519"/>
      <c r="F370" s="349"/>
      <c r="G370" s="520"/>
    </row>
    <row r="371" ht="32.25" customHeight="1">
      <c r="D371" s="518"/>
      <c r="E371" s="519"/>
      <c r="F371" s="349"/>
      <c r="G371" s="520"/>
    </row>
    <row r="372" ht="32.25" customHeight="1">
      <c r="D372" s="518"/>
      <c r="E372" s="519"/>
      <c r="F372" s="349"/>
      <c r="G372" s="520"/>
    </row>
    <row r="373" ht="32.25" customHeight="1">
      <c r="D373" s="518"/>
      <c r="E373" s="519"/>
      <c r="F373" s="349"/>
      <c r="G373" s="520"/>
    </row>
    <row r="374" ht="32.25" customHeight="1">
      <c r="D374" s="518"/>
      <c r="E374" s="519"/>
      <c r="F374" s="349"/>
      <c r="G374" s="520"/>
    </row>
    <row r="375" ht="32.25" customHeight="1">
      <c r="D375" s="518"/>
      <c r="E375" s="519"/>
      <c r="F375" s="349"/>
      <c r="G375" s="520"/>
    </row>
    <row r="376" ht="32.25" customHeight="1">
      <c r="D376" s="518"/>
      <c r="E376" s="519"/>
      <c r="F376" s="349"/>
      <c r="G376" s="520"/>
    </row>
    <row r="377" ht="32.25" customHeight="1">
      <c r="D377" s="518"/>
      <c r="E377" s="519"/>
      <c r="F377" s="349"/>
      <c r="G377" s="520"/>
    </row>
    <row r="378" ht="32.25" customHeight="1">
      <c r="D378" s="518"/>
      <c r="E378" s="519"/>
      <c r="F378" s="349"/>
      <c r="G378" s="520"/>
    </row>
    <row r="379" ht="32.25" customHeight="1">
      <c r="D379" s="518"/>
      <c r="E379" s="519"/>
      <c r="F379" s="349"/>
      <c r="G379" s="520"/>
    </row>
    <row r="380" ht="32.25" customHeight="1">
      <c r="D380" s="518"/>
      <c r="E380" s="519"/>
      <c r="F380" s="349"/>
      <c r="G380" s="520"/>
    </row>
    <row r="381" ht="32.25" customHeight="1">
      <c r="D381" s="518"/>
      <c r="E381" s="519"/>
      <c r="F381" s="349"/>
      <c r="G381" s="520"/>
    </row>
    <row r="382" ht="32.25" customHeight="1">
      <c r="D382" s="518"/>
      <c r="E382" s="519"/>
      <c r="F382" s="349"/>
      <c r="G382" s="520"/>
    </row>
    <row r="383" ht="32.25" customHeight="1">
      <c r="D383" s="518"/>
      <c r="E383" s="519"/>
      <c r="F383" s="349"/>
      <c r="G383" s="520"/>
    </row>
    <row r="384" ht="32.25" customHeight="1">
      <c r="D384" s="518"/>
      <c r="E384" s="519"/>
      <c r="F384" s="349"/>
      <c r="G384" s="520"/>
    </row>
    <row r="385" ht="32.25" customHeight="1">
      <c r="D385" s="518"/>
      <c r="E385" s="519"/>
      <c r="F385" s="349"/>
      <c r="G385" s="520"/>
    </row>
    <row r="386" ht="32.25" customHeight="1">
      <c r="D386" s="518"/>
      <c r="E386" s="519"/>
      <c r="F386" s="349"/>
      <c r="G386" s="520"/>
    </row>
    <row r="387" ht="32.25" customHeight="1">
      <c r="D387" s="518"/>
      <c r="E387" s="519"/>
      <c r="F387" s="349"/>
      <c r="G387" s="520"/>
    </row>
    <row r="388" ht="32.25" customHeight="1">
      <c r="D388" s="518"/>
      <c r="E388" s="519"/>
      <c r="F388" s="349"/>
      <c r="G388" s="520"/>
    </row>
    <row r="389" ht="32.25" customHeight="1">
      <c r="D389" s="518"/>
      <c r="E389" s="519"/>
      <c r="F389" s="349"/>
      <c r="G389" s="520"/>
    </row>
    <row r="390" ht="32.25" customHeight="1">
      <c r="D390" s="518"/>
      <c r="E390" s="519"/>
      <c r="F390" s="349"/>
      <c r="G390" s="520"/>
    </row>
    <row r="391" ht="32.25" customHeight="1">
      <c r="D391" s="518"/>
      <c r="E391" s="519"/>
      <c r="F391" s="349"/>
      <c r="G391" s="520"/>
    </row>
    <row r="392" ht="32.25" customHeight="1">
      <c r="D392" s="518"/>
      <c r="E392" s="519"/>
      <c r="F392" s="349"/>
      <c r="G392" s="520"/>
    </row>
    <row r="393" ht="32.25" customHeight="1">
      <c r="D393" s="518"/>
      <c r="E393" s="519"/>
      <c r="F393" s="349"/>
      <c r="G393" s="520"/>
    </row>
    <row r="394" ht="32.25" customHeight="1">
      <c r="D394" s="518"/>
      <c r="E394" s="519"/>
      <c r="F394" s="349"/>
      <c r="G394" s="520"/>
    </row>
    <row r="395" ht="32.25" customHeight="1">
      <c r="D395" s="518"/>
      <c r="E395" s="519"/>
      <c r="F395" s="349"/>
      <c r="G395" s="520"/>
    </row>
    <row r="396" ht="32.25" customHeight="1">
      <c r="D396" s="518"/>
      <c r="E396" s="519"/>
      <c r="F396" s="349"/>
      <c r="G396" s="520"/>
    </row>
    <row r="397" ht="32.25" customHeight="1">
      <c r="D397" s="518"/>
      <c r="E397" s="519"/>
      <c r="F397" s="349"/>
      <c r="G397" s="520"/>
    </row>
    <row r="398" ht="32.25" customHeight="1">
      <c r="D398" s="518"/>
      <c r="E398" s="519"/>
      <c r="F398" s="349"/>
      <c r="G398" s="520"/>
    </row>
    <row r="399" ht="32.25" customHeight="1">
      <c r="D399" s="518"/>
      <c r="E399" s="519"/>
      <c r="F399" s="349"/>
      <c r="G399" s="520"/>
    </row>
    <row r="400" ht="32.25" customHeight="1">
      <c r="D400" s="518"/>
      <c r="E400" s="519"/>
      <c r="F400" s="349"/>
      <c r="G400" s="520"/>
    </row>
    <row r="401" ht="32.25" customHeight="1">
      <c r="D401" s="518"/>
      <c r="E401" s="519"/>
      <c r="F401" s="349"/>
      <c r="G401" s="520"/>
    </row>
    <row r="402" ht="32.25" customHeight="1">
      <c r="D402" s="518"/>
      <c r="E402" s="519"/>
      <c r="F402" s="349"/>
      <c r="G402" s="520"/>
    </row>
    <row r="403" ht="32.25" customHeight="1">
      <c r="D403" s="518"/>
      <c r="E403" s="519"/>
      <c r="F403" s="349"/>
      <c r="G403" s="520"/>
    </row>
    <row r="404" ht="32.25" customHeight="1">
      <c r="D404" s="518"/>
      <c r="E404" s="519"/>
      <c r="F404" s="349"/>
      <c r="G404" s="520"/>
    </row>
    <row r="405" ht="32.25" customHeight="1">
      <c r="D405" s="518"/>
      <c r="E405" s="519"/>
      <c r="F405" s="349"/>
      <c r="G405" s="520"/>
    </row>
    <row r="406" ht="32.25" customHeight="1">
      <c r="D406" s="518"/>
      <c r="E406" s="519"/>
      <c r="F406" s="349"/>
      <c r="G406" s="520"/>
    </row>
    <row r="407" ht="32.25" customHeight="1">
      <c r="D407" s="518"/>
      <c r="E407" s="519"/>
      <c r="F407" s="349"/>
      <c r="G407" s="520"/>
    </row>
    <row r="408" ht="32.25" customHeight="1">
      <c r="D408" s="518"/>
      <c r="E408" s="519"/>
      <c r="F408" s="349"/>
      <c r="G408" s="520"/>
    </row>
    <row r="409" ht="32.25" customHeight="1">
      <c r="D409" s="518"/>
      <c r="E409" s="519"/>
      <c r="F409" s="349"/>
      <c r="G409" s="520"/>
    </row>
    <row r="410" ht="32.25" customHeight="1">
      <c r="D410" s="518"/>
      <c r="E410" s="519"/>
      <c r="F410" s="349"/>
      <c r="G410" s="520"/>
    </row>
    <row r="411" ht="32.25" customHeight="1">
      <c r="D411" s="518"/>
      <c r="E411" s="519"/>
      <c r="F411" s="349"/>
      <c r="G411" s="520"/>
    </row>
    <row r="412" ht="32.25" customHeight="1">
      <c r="D412" s="518"/>
      <c r="E412" s="519"/>
      <c r="F412" s="349"/>
      <c r="G412" s="520"/>
    </row>
    <row r="413" ht="32.25" customHeight="1">
      <c r="D413" s="518"/>
      <c r="E413" s="519"/>
      <c r="F413" s="349"/>
      <c r="G413" s="520"/>
    </row>
    <row r="414" ht="32.25" customHeight="1">
      <c r="D414" s="518"/>
      <c r="E414" s="519"/>
      <c r="F414" s="349"/>
      <c r="G414" s="520"/>
    </row>
    <row r="415" ht="32.25" customHeight="1">
      <c r="D415" s="518"/>
      <c r="E415" s="519"/>
      <c r="F415" s="349"/>
      <c r="G415" s="520"/>
    </row>
    <row r="416" ht="32.25" customHeight="1">
      <c r="D416" s="518"/>
      <c r="E416" s="519"/>
      <c r="F416" s="349"/>
      <c r="G416" s="520"/>
    </row>
    <row r="417" ht="32.25" customHeight="1">
      <c r="D417" s="518"/>
      <c r="E417" s="519"/>
      <c r="F417" s="349"/>
      <c r="G417" s="520"/>
    </row>
    <row r="418" ht="32.25" customHeight="1">
      <c r="D418" s="518"/>
      <c r="E418" s="519"/>
      <c r="F418" s="349"/>
      <c r="G418" s="520"/>
    </row>
    <row r="419" ht="32.25" customHeight="1">
      <c r="D419" s="518"/>
      <c r="E419" s="519"/>
      <c r="F419" s="349"/>
      <c r="G419" s="520"/>
    </row>
    <row r="420" ht="32.25" customHeight="1">
      <c r="D420" s="518"/>
      <c r="E420" s="519"/>
      <c r="F420" s="349"/>
      <c r="G420" s="520"/>
    </row>
    <row r="421" ht="32.25" customHeight="1">
      <c r="D421" s="518"/>
      <c r="E421" s="519"/>
      <c r="F421" s="349"/>
      <c r="G421" s="520"/>
    </row>
    <row r="422" ht="32.25" customHeight="1">
      <c r="D422" s="518"/>
      <c r="E422" s="519"/>
      <c r="F422" s="349"/>
      <c r="G422" s="520"/>
    </row>
    <row r="423" ht="32.25" customHeight="1">
      <c r="D423" s="518"/>
      <c r="E423" s="519"/>
      <c r="F423" s="349"/>
      <c r="G423" s="520"/>
    </row>
    <row r="424" ht="32.25" customHeight="1">
      <c r="D424" s="518"/>
      <c r="E424" s="519"/>
      <c r="F424" s="349"/>
      <c r="G424" s="520"/>
    </row>
    <row r="425" ht="32.25" customHeight="1">
      <c r="D425" s="518"/>
      <c r="E425" s="519"/>
      <c r="F425" s="349"/>
      <c r="G425" s="520"/>
    </row>
    <row r="426" ht="32.25" customHeight="1">
      <c r="D426" s="518"/>
      <c r="E426" s="519"/>
      <c r="F426" s="349"/>
      <c r="G426" s="520"/>
    </row>
    <row r="427" ht="32.25" customHeight="1">
      <c r="D427" s="518"/>
      <c r="E427" s="519"/>
      <c r="F427" s="349"/>
      <c r="G427" s="520"/>
    </row>
    <row r="428" ht="32.25" customHeight="1">
      <c r="D428" s="518"/>
      <c r="E428" s="519"/>
      <c r="F428" s="349"/>
      <c r="G428" s="520"/>
    </row>
    <row r="429" ht="32.25" customHeight="1">
      <c r="D429" s="518"/>
      <c r="E429" s="519"/>
      <c r="F429" s="349"/>
      <c r="G429" s="520"/>
    </row>
    <row r="430" ht="32.25" customHeight="1">
      <c r="D430" s="518"/>
      <c r="E430" s="519"/>
      <c r="F430" s="349"/>
      <c r="G430" s="520"/>
    </row>
    <row r="431" ht="32.25" customHeight="1">
      <c r="D431" s="518"/>
      <c r="E431" s="519"/>
      <c r="F431" s="349"/>
      <c r="G431" s="520"/>
    </row>
    <row r="432" ht="32.25" customHeight="1">
      <c r="D432" s="518"/>
      <c r="E432" s="519"/>
      <c r="F432" s="349"/>
      <c r="G432" s="520"/>
    </row>
    <row r="433" ht="32.25" customHeight="1">
      <c r="D433" s="518"/>
      <c r="E433" s="519"/>
      <c r="F433" s="349"/>
      <c r="G433" s="520"/>
    </row>
    <row r="434" ht="32.25" customHeight="1">
      <c r="D434" s="518"/>
      <c r="E434" s="519"/>
      <c r="F434" s="349"/>
      <c r="G434" s="520"/>
    </row>
    <row r="435" ht="32.25" customHeight="1">
      <c r="D435" s="518"/>
      <c r="E435" s="519"/>
      <c r="F435" s="349"/>
      <c r="G435" s="520"/>
    </row>
    <row r="436" ht="32.25" customHeight="1">
      <c r="D436" s="518"/>
      <c r="E436" s="519"/>
      <c r="F436" s="349"/>
      <c r="G436" s="520"/>
    </row>
    <row r="437" ht="32.25" customHeight="1">
      <c r="D437" s="518"/>
      <c r="E437" s="519"/>
      <c r="F437" s="349"/>
      <c r="G437" s="520"/>
    </row>
    <row r="438" ht="32.25" customHeight="1">
      <c r="D438" s="518"/>
      <c r="E438" s="519"/>
      <c r="F438" s="349"/>
      <c r="G438" s="520"/>
    </row>
    <row r="439" ht="32.25" customHeight="1">
      <c r="D439" s="518"/>
      <c r="E439" s="519"/>
      <c r="F439" s="349"/>
      <c r="G439" s="520"/>
    </row>
    <row r="440" ht="32.25" customHeight="1">
      <c r="D440" s="518"/>
      <c r="E440" s="519"/>
      <c r="F440" s="349"/>
      <c r="G440" s="520"/>
    </row>
    <row r="441" ht="32.25" customHeight="1">
      <c r="D441" s="518"/>
      <c r="E441" s="519"/>
      <c r="F441" s="349"/>
      <c r="G441" s="520"/>
    </row>
    <row r="442" ht="32.25" customHeight="1">
      <c r="D442" s="518"/>
      <c r="E442" s="519"/>
      <c r="F442" s="349"/>
      <c r="G442" s="520"/>
    </row>
    <row r="443" ht="32.25" customHeight="1">
      <c r="D443" s="518"/>
      <c r="E443" s="519"/>
      <c r="F443" s="349"/>
      <c r="G443" s="520"/>
    </row>
    <row r="444" ht="32.25" customHeight="1">
      <c r="D444" s="518"/>
      <c r="E444" s="519"/>
      <c r="F444" s="349"/>
      <c r="G444" s="520"/>
    </row>
    <row r="445" ht="32.25" customHeight="1">
      <c r="D445" s="518"/>
      <c r="E445" s="519"/>
      <c r="F445" s="349"/>
      <c r="G445" s="520"/>
    </row>
    <row r="446" ht="32.25" customHeight="1">
      <c r="D446" s="518"/>
      <c r="E446" s="519"/>
      <c r="F446" s="349"/>
      <c r="G446" s="520"/>
    </row>
    <row r="447" ht="32.25" customHeight="1">
      <c r="D447" s="518"/>
      <c r="E447" s="519"/>
      <c r="F447" s="349"/>
      <c r="G447" s="520"/>
    </row>
    <row r="448" ht="32.25" customHeight="1">
      <c r="D448" s="518"/>
      <c r="E448" s="519"/>
      <c r="F448" s="349"/>
      <c r="G448" s="520"/>
    </row>
    <row r="449" ht="32.25" customHeight="1">
      <c r="D449" s="518"/>
      <c r="E449" s="519"/>
      <c r="F449" s="349"/>
      <c r="G449" s="520"/>
    </row>
    <row r="450" ht="32.25" customHeight="1">
      <c r="D450" s="518"/>
      <c r="E450" s="519"/>
      <c r="F450" s="349"/>
      <c r="G450" s="520"/>
    </row>
    <row r="451" ht="32.25" customHeight="1">
      <c r="D451" s="518"/>
      <c r="E451" s="519"/>
      <c r="F451" s="349"/>
      <c r="G451" s="520"/>
    </row>
    <row r="452" ht="32.25" customHeight="1">
      <c r="D452" s="518"/>
      <c r="E452" s="519"/>
      <c r="F452" s="349"/>
      <c r="G452" s="520"/>
    </row>
    <row r="453" ht="32.25" customHeight="1">
      <c r="D453" s="518"/>
      <c r="E453" s="519"/>
      <c r="F453" s="349"/>
      <c r="G453" s="520"/>
    </row>
    <row r="454" ht="32.25" customHeight="1">
      <c r="D454" s="518"/>
      <c r="E454" s="519"/>
      <c r="F454" s="349"/>
      <c r="G454" s="520"/>
    </row>
    <row r="455" ht="32.25" customHeight="1">
      <c r="D455" s="518"/>
      <c r="E455" s="519"/>
      <c r="F455" s="349"/>
      <c r="G455" s="520"/>
    </row>
    <row r="456" ht="32.25" customHeight="1">
      <c r="D456" s="518"/>
      <c r="E456" s="519"/>
      <c r="F456" s="349"/>
      <c r="G456" s="520"/>
    </row>
    <row r="457" ht="32.25" customHeight="1">
      <c r="D457" s="518"/>
      <c r="E457" s="519"/>
      <c r="F457" s="349"/>
      <c r="G457" s="520"/>
    </row>
    <row r="458" ht="32.25" customHeight="1">
      <c r="D458" s="518"/>
      <c r="E458" s="519"/>
      <c r="F458" s="349"/>
      <c r="G458" s="520"/>
    </row>
    <row r="459" ht="32.25" customHeight="1">
      <c r="D459" s="518"/>
      <c r="E459" s="519"/>
      <c r="F459" s="349"/>
      <c r="G459" s="520"/>
    </row>
    <row r="460" ht="32.25" customHeight="1">
      <c r="D460" s="518"/>
      <c r="E460" s="519"/>
      <c r="F460" s="349"/>
      <c r="G460" s="520"/>
    </row>
    <row r="461" ht="32.25" customHeight="1">
      <c r="D461" s="518"/>
      <c r="E461" s="519"/>
      <c r="F461" s="349"/>
      <c r="G461" s="520"/>
    </row>
    <row r="462" ht="32.25" customHeight="1">
      <c r="D462" s="518"/>
      <c r="E462" s="519"/>
      <c r="F462" s="349"/>
      <c r="G462" s="520"/>
    </row>
    <row r="463" ht="32.25" customHeight="1">
      <c r="D463" s="518"/>
      <c r="E463" s="519"/>
      <c r="F463" s="349"/>
      <c r="G463" s="520"/>
    </row>
    <row r="464" ht="32.25" customHeight="1">
      <c r="D464" s="518"/>
      <c r="E464" s="519"/>
      <c r="F464" s="349"/>
      <c r="G464" s="520"/>
    </row>
    <row r="465" ht="32.25" customHeight="1">
      <c r="D465" s="518"/>
      <c r="E465" s="519"/>
      <c r="F465" s="349"/>
      <c r="G465" s="520"/>
    </row>
    <row r="466" ht="32.25" customHeight="1">
      <c r="D466" s="518"/>
      <c r="E466" s="519"/>
      <c r="F466" s="349"/>
      <c r="G466" s="520"/>
    </row>
    <row r="467" ht="32.25" customHeight="1">
      <c r="D467" s="518"/>
      <c r="E467" s="519"/>
      <c r="F467" s="349"/>
      <c r="G467" s="520"/>
    </row>
    <row r="468" ht="32.25" customHeight="1">
      <c r="D468" s="518"/>
      <c r="E468" s="519"/>
      <c r="F468" s="349"/>
      <c r="G468" s="520"/>
    </row>
    <row r="469" ht="32.25" customHeight="1">
      <c r="D469" s="518"/>
      <c r="E469" s="519"/>
      <c r="F469" s="349"/>
      <c r="G469" s="520"/>
    </row>
    <row r="470" ht="32.25" customHeight="1">
      <c r="D470" s="518"/>
      <c r="E470" s="519"/>
      <c r="F470" s="349"/>
      <c r="G470" s="520"/>
    </row>
    <row r="471" ht="32.25" customHeight="1">
      <c r="D471" s="518"/>
      <c r="E471" s="519"/>
      <c r="F471" s="349"/>
      <c r="G471" s="520"/>
    </row>
    <row r="472" ht="32.25" customHeight="1">
      <c r="D472" s="518"/>
      <c r="E472" s="519"/>
      <c r="F472" s="349"/>
      <c r="G472" s="520"/>
    </row>
    <row r="473" ht="32.25" customHeight="1">
      <c r="D473" s="518"/>
      <c r="E473" s="519"/>
      <c r="F473" s="349"/>
      <c r="G473" s="520"/>
    </row>
    <row r="474" ht="32.25" customHeight="1">
      <c r="D474" s="518"/>
      <c r="E474" s="519"/>
      <c r="F474" s="349"/>
      <c r="G474" s="520"/>
    </row>
    <row r="475" ht="32.25" customHeight="1">
      <c r="D475" s="518"/>
      <c r="E475" s="519"/>
      <c r="F475" s="349"/>
      <c r="G475" s="520"/>
    </row>
    <row r="476" ht="32.25" customHeight="1">
      <c r="D476" s="518"/>
      <c r="E476" s="519"/>
      <c r="F476" s="349"/>
      <c r="G476" s="520"/>
    </row>
    <row r="477" ht="32.25" customHeight="1">
      <c r="D477" s="518"/>
      <c r="E477" s="519"/>
      <c r="F477" s="349"/>
      <c r="G477" s="520"/>
    </row>
    <row r="478" ht="32.25" customHeight="1">
      <c r="D478" s="518"/>
      <c r="E478" s="519"/>
      <c r="F478" s="349"/>
      <c r="G478" s="520"/>
    </row>
    <row r="479" ht="32.25" customHeight="1">
      <c r="D479" s="518"/>
      <c r="E479" s="519"/>
      <c r="F479" s="349"/>
      <c r="G479" s="520"/>
    </row>
    <row r="480" ht="32.25" customHeight="1">
      <c r="D480" s="518"/>
      <c r="E480" s="519"/>
      <c r="F480" s="349"/>
      <c r="G480" s="520"/>
    </row>
    <row r="481" ht="32.25" customHeight="1">
      <c r="D481" s="518"/>
      <c r="E481" s="519"/>
      <c r="F481" s="349"/>
      <c r="G481" s="520"/>
    </row>
    <row r="482" ht="32.25" customHeight="1">
      <c r="D482" s="518"/>
      <c r="E482" s="519"/>
      <c r="F482" s="349"/>
      <c r="G482" s="520"/>
    </row>
    <row r="483" ht="32.25" customHeight="1">
      <c r="D483" s="518"/>
      <c r="E483" s="519"/>
      <c r="F483" s="349"/>
      <c r="G483" s="520"/>
    </row>
    <row r="484" ht="32.25" customHeight="1">
      <c r="D484" s="518"/>
      <c r="E484" s="519"/>
      <c r="F484" s="349"/>
      <c r="G484" s="520"/>
    </row>
    <row r="485" ht="32.25" customHeight="1">
      <c r="D485" s="518"/>
      <c r="E485" s="519"/>
      <c r="F485" s="349"/>
      <c r="G485" s="520"/>
    </row>
    <row r="486" ht="32.25" customHeight="1">
      <c r="D486" s="518"/>
      <c r="E486" s="519"/>
      <c r="F486" s="349"/>
      <c r="G486" s="520"/>
    </row>
    <row r="487" ht="32.25" customHeight="1">
      <c r="D487" s="518"/>
      <c r="E487" s="519"/>
      <c r="F487" s="349"/>
      <c r="G487" s="520"/>
    </row>
    <row r="488" ht="32.25" customHeight="1">
      <c r="D488" s="518"/>
      <c r="E488" s="519"/>
      <c r="F488" s="349"/>
      <c r="G488" s="520"/>
    </row>
    <row r="489" ht="32.25" customHeight="1">
      <c r="D489" s="518"/>
      <c r="E489" s="519"/>
      <c r="F489" s="349"/>
      <c r="G489" s="520"/>
    </row>
    <row r="490" ht="32.25" customHeight="1">
      <c r="D490" s="518"/>
      <c r="E490" s="519"/>
      <c r="F490" s="349"/>
      <c r="G490" s="520"/>
    </row>
    <row r="491" ht="32.25" customHeight="1">
      <c r="D491" s="518"/>
      <c r="E491" s="519"/>
      <c r="F491" s="349"/>
      <c r="G491" s="520"/>
    </row>
    <row r="492" ht="32.25" customHeight="1">
      <c r="D492" s="518"/>
      <c r="E492" s="519"/>
      <c r="F492" s="349"/>
      <c r="G492" s="520"/>
    </row>
    <row r="493" ht="32.25" customHeight="1">
      <c r="D493" s="518"/>
      <c r="E493" s="519"/>
      <c r="F493" s="349"/>
      <c r="G493" s="520"/>
    </row>
    <row r="494" ht="32.25" customHeight="1">
      <c r="D494" s="518"/>
      <c r="E494" s="519"/>
      <c r="F494" s="349"/>
      <c r="G494" s="520"/>
    </row>
    <row r="495" ht="32.25" customHeight="1">
      <c r="D495" s="518"/>
      <c r="E495" s="519"/>
      <c r="F495" s="349"/>
      <c r="G495" s="520"/>
    </row>
    <row r="496" ht="32.25" customHeight="1">
      <c r="D496" s="518"/>
      <c r="E496" s="519"/>
      <c r="F496" s="349"/>
      <c r="G496" s="520"/>
    </row>
    <row r="497" ht="32.25" customHeight="1">
      <c r="D497" s="518"/>
      <c r="E497" s="519"/>
      <c r="F497" s="349"/>
      <c r="G497" s="520"/>
    </row>
    <row r="498" ht="32.25" customHeight="1">
      <c r="D498" s="518"/>
      <c r="E498" s="519"/>
      <c r="F498" s="349"/>
      <c r="G498" s="520"/>
    </row>
    <row r="499" ht="32.25" customHeight="1">
      <c r="D499" s="518"/>
      <c r="E499" s="519"/>
      <c r="F499" s="349"/>
      <c r="G499" s="520"/>
    </row>
    <row r="500" ht="32.25" customHeight="1">
      <c r="D500" s="518"/>
      <c r="E500" s="519"/>
      <c r="F500" s="349"/>
      <c r="G500" s="520"/>
    </row>
    <row r="501" ht="32.25" customHeight="1">
      <c r="D501" s="518"/>
      <c r="E501" s="519"/>
      <c r="F501" s="349"/>
      <c r="G501" s="520"/>
    </row>
    <row r="502" ht="32.25" customHeight="1">
      <c r="D502" s="518"/>
      <c r="E502" s="519"/>
      <c r="F502" s="349"/>
      <c r="G502" s="520"/>
    </row>
    <row r="503" ht="32.25" customHeight="1">
      <c r="D503" s="518"/>
      <c r="E503" s="519"/>
      <c r="F503" s="349"/>
      <c r="G503" s="520"/>
    </row>
    <row r="504" ht="32.25" customHeight="1">
      <c r="D504" s="518"/>
      <c r="E504" s="519"/>
      <c r="F504" s="349"/>
      <c r="G504" s="520"/>
    </row>
    <row r="505" ht="32.25" customHeight="1">
      <c r="D505" s="518"/>
      <c r="E505" s="519"/>
      <c r="F505" s="349"/>
      <c r="G505" s="520"/>
    </row>
    <row r="506" ht="32.25" customHeight="1">
      <c r="D506" s="518"/>
      <c r="E506" s="519"/>
      <c r="F506" s="349"/>
      <c r="G506" s="520"/>
    </row>
    <row r="507" ht="32.25" customHeight="1">
      <c r="D507" s="518"/>
      <c r="E507" s="519"/>
      <c r="F507" s="349"/>
      <c r="G507" s="520"/>
    </row>
    <row r="508" ht="32.25" customHeight="1">
      <c r="D508" s="518"/>
      <c r="E508" s="519"/>
      <c r="F508" s="349"/>
      <c r="G508" s="520"/>
    </row>
    <row r="509" ht="32.25" customHeight="1">
      <c r="D509" s="518"/>
      <c r="E509" s="519"/>
      <c r="F509" s="349"/>
      <c r="G509" s="520"/>
    </row>
    <row r="510" ht="32.25" customHeight="1">
      <c r="D510" s="518"/>
      <c r="E510" s="519"/>
      <c r="F510" s="349"/>
      <c r="G510" s="520"/>
    </row>
    <row r="511" ht="32.25" customHeight="1">
      <c r="D511" s="518"/>
      <c r="E511" s="519"/>
      <c r="F511" s="349"/>
      <c r="G511" s="520"/>
    </row>
    <row r="512" ht="32.25" customHeight="1">
      <c r="D512" s="518"/>
      <c r="E512" s="519"/>
      <c r="F512" s="349"/>
      <c r="G512" s="520"/>
    </row>
    <row r="513" ht="32.25" customHeight="1">
      <c r="D513" s="518"/>
      <c r="E513" s="519"/>
      <c r="F513" s="349"/>
      <c r="G513" s="520"/>
    </row>
    <row r="514" ht="32.25" customHeight="1">
      <c r="D514" s="518"/>
      <c r="E514" s="519"/>
      <c r="F514" s="349"/>
      <c r="G514" s="520"/>
    </row>
    <row r="515" ht="32.25" customHeight="1">
      <c r="D515" s="518"/>
      <c r="E515" s="519"/>
      <c r="F515" s="349"/>
      <c r="G515" s="520"/>
    </row>
    <row r="516" ht="32.25" customHeight="1">
      <c r="D516" s="518"/>
      <c r="E516" s="519"/>
      <c r="F516" s="349"/>
      <c r="G516" s="520"/>
    </row>
    <row r="517" ht="32.25" customHeight="1">
      <c r="D517" s="518"/>
      <c r="E517" s="519"/>
      <c r="F517" s="349"/>
      <c r="G517" s="520"/>
    </row>
    <row r="518" ht="32.25" customHeight="1">
      <c r="D518" s="518"/>
      <c r="E518" s="519"/>
      <c r="F518" s="349"/>
      <c r="G518" s="520"/>
    </row>
    <row r="519" ht="32.25" customHeight="1">
      <c r="D519" s="518"/>
      <c r="E519" s="519"/>
      <c r="F519" s="349"/>
      <c r="G519" s="520"/>
    </row>
    <row r="520" ht="32.25" customHeight="1">
      <c r="D520" s="518"/>
      <c r="E520" s="519"/>
      <c r="F520" s="349"/>
      <c r="G520" s="520"/>
    </row>
    <row r="521" ht="32.25" customHeight="1">
      <c r="D521" s="518"/>
      <c r="E521" s="519"/>
      <c r="F521" s="349"/>
      <c r="G521" s="520"/>
    </row>
    <row r="522" ht="32.25" customHeight="1">
      <c r="D522" s="518"/>
      <c r="E522" s="519"/>
      <c r="F522" s="349"/>
      <c r="G522" s="520"/>
    </row>
    <row r="523" ht="32.25" customHeight="1">
      <c r="D523" s="518"/>
      <c r="E523" s="519"/>
      <c r="F523" s="349"/>
      <c r="G523" s="520"/>
    </row>
    <row r="524" ht="32.25" customHeight="1">
      <c r="D524" s="518"/>
      <c r="E524" s="519"/>
      <c r="F524" s="349"/>
      <c r="G524" s="520"/>
    </row>
    <row r="525" ht="32.25" customHeight="1">
      <c r="D525" s="518"/>
      <c r="E525" s="519"/>
      <c r="F525" s="349"/>
      <c r="G525" s="520"/>
    </row>
    <row r="526" ht="32.25" customHeight="1">
      <c r="D526" s="518"/>
      <c r="E526" s="519"/>
      <c r="F526" s="349"/>
      <c r="G526" s="520"/>
    </row>
    <row r="527" ht="32.25" customHeight="1">
      <c r="D527" s="518"/>
      <c r="E527" s="519"/>
      <c r="F527" s="349"/>
      <c r="G527" s="520"/>
    </row>
    <row r="528" ht="32.25" customHeight="1">
      <c r="D528" s="518"/>
      <c r="E528" s="519"/>
      <c r="F528" s="349"/>
      <c r="G528" s="520"/>
    </row>
    <row r="529" ht="32.25" customHeight="1">
      <c r="D529" s="518"/>
      <c r="E529" s="519"/>
      <c r="F529" s="349"/>
      <c r="G529" s="520"/>
    </row>
    <row r="530" ht="32.25" customHeight="1">
      <c r="D530" s="518"/>
      <c r="E530" s="519"/>
      <c r="F530" s="349"/>
      <c r="G530" s="520"/>
    </row>
    <row r="531" ht="32.25" customHeight="1">
      <c r="D531" s="518"/>
      <c r="E531" s="519"/>
      <c r="F531" s="349"/>
      <c r="G531" s="520"/>
    </row>
    <row r="532" ht="32.25" customHeight="1">
      <c r="D532" s="518"/>
      <c r="E532" s="519"/>
      <c r="F532" s="349"/>
      <c r="G532" s="520"/>
    </row>
    <row r="533" ht="32.25" customHeight="1">
      <c r="D533" s="518"/>
      <c r="E533" s="519"/>
      <c r="F533" s="349"/>
      <c r="G533" s="520"/>
    </row>
    <row r="534" ht="32.25" customHeight="1">
      <c r="D534" s="518"/>
      <c r="E534" s="519"/>
      <c r="F534" s="349"/>
      <c r="G534" s="520"/>
    </row>
    <row r="535" ht="32.25" customHeight="1">
      <c r="D535" s="518"/>
      <c r="E535" s="519"/>
      <c r="F535" s="349"/>
      <c r="G535" s="520"/>
    </row>
    <row r="536" ht="32.25" customHeight="1">
      <c r="D536" s="518"/>
      <c r="E536" s="519"/>
      <c r="F536" s="349"/>
      <c r="G536" s="520"/>
    </row>
    <row r="537" ht="32.25" customHeight="1">
      <c r="D537" s="518"/>
      <c r="E537" s="519"/>
      <c r="F537" s="349"/>
      <c r="G537" s="520"/>
    </row>
    <row r="538" ht="32.25" customHeight="1">
      <c r="D538" s="518"/>
      <c r="E538" s="519"/>
      <c r="F538" s="349"/>
      <c r="G538" s="520"/>
    </row>
    <row r="539" ht="32.25" customHeight="1">
      <c r="D539" s="518"/>
      <c r="E539" s="519"/>
      <c r="F539" s="349"/>
      <c r="G539" s="520"/>
    </row>
    <row r="540" ht="32.25" customHeight="1">
      <c r="D540" s="518"/>
      <c r="E540" s="519"/>
      <c r="F540" s="349"/>
      <c r="G540" s="520"/>
    </row>
    <row r="541" ht="32.25" customHeight="1">
      <c r="D541" s="518"/>
      <c r="E541" s="519"/>
      <c r="F541" s="349"/>
      <c r="G541" s="520"/>
    </row>
    <row r="542" ht="32.25" customHeight="1">
      <c r="D542" s="518"/>
      <c r="E542" s="519"/>
      <c r="F542" s="349"/>
      <c r="G542" s="520"/>
    </row>
    <row r="543" ht="32.25" customHeight="1">
      <c r="D543" s="518"/>
      <c r="E543" s="519"/>
      <c r="F543" s="349"/>
      <c r="G543" s="520"/>
    </row>
    <row r="544" ht="32.25" customHeight="1">
      <c r="D544" s="518"/>
      <c r="E544" s="519"/>
      <c r="F544" s="349"/>
      <c r="G544" s="520"/>
    </row>
    <row r="545" ht="32.25" customHeight="1">
      <c r="D545" s="518"/>
      <c r="E545" s="519"/>
      <c r="F545" s="349"/>
      <c r="G545" s="520"/>
    </row>
    <row r="546" ht="32.25" customHeight="1">
      <c r="D546" s="518"/>
      <c r="E546" s="519"/>
      <c r="F546" s="349"/>
      <c r="G546" s="520"/>
    </row>
    <row r="547" ht="32.25" customHeight="1">
      <c r="D547" s="518"/>
      <c r="E547" s="519"/>
      <c r="F547" s="349"/>
      <c r="G547" s="520"/>
    </row>
    <row r="548" ht="32.25" customHeight="1">
      <c r="D548" s="518"/>
      <c r="E548" s="519"/>
      <c r="F548" s="349"/>
      <c r="G548" s="520"/>
    </row>
    <row r="549" ht="32.25" customHeight="1">
      <c r="D549" s="518"/>
      <c r="E549" s="519"/>
      <c r="F549" s="349"/>
      <c r="G549" s="520"/>
    </row>
    <row r="550" ht="32.25" customHeight="1">
      <c r="D550" s="518"/>
      <c r="E550" s="519"/>
      <c r="F550" s="349"/>
      <c r="G550" s="520"/>
    </row>
    <row r="551" ht="32.25" customHeight="1">
      <c r="D551" s="518"/>
      <c r="E551" s="519"/>
      <c r="F551" s="349"/>
      <c r="G551" s="520"/>
    </row>
    <row r="552" ht="32.25" customHeight="1">
      <c r="D552" s="518"/>
      <c r="E552" s="519"/>
      <c r="F552" s="349"/>
      <c r="G552" s="520"/>
    </row>
    <row r="553" ht="32.25" customHeight="1">
      <c r="D553" s="518"/>
      <c r="E553" s="519"/>
      <c r="F553" s="349"/>
      <c r="G553" s="520"/>
    </row>
    <row r="554" ht="32.25" customHeight="1">
      <c r="D554" s="518"/>
      <c r="E554" s="519"/>
      <c r="F554" s="349"/>
      <c r="G554" s="520"/>
    </row>
    <row r="555" ht="32.25" customHeight="1">
      <c r="D555" s="518"/>
      <c r="E555" s="519"/>
      <c r="F555" s="349"/>
      <c r="G555" s="520"/>
    </row>
    <row r="556" ht="32.25" customHeight="1">
      <c r="D556" s="518"/>
      <c r="E556" s="519"/>
      <c r="F556" s="349"/>
      <c r="G556" s="520"/>
    </row>
    <row r="557" ht="32.25" customHeight="1">
      <c r="D557" s="518"/>
      <c r="E557" s="519"/>
      <c r="F557" s="349"/>
      <c r="G557" s="520"/>
    </row>
    <row r="558" ht="32.25" customHeight="1">
      <c r="D558" s="518"/>
      <c r="E558" s="519"/>
      <c r="F558" s="349"/>
      <c r="G558" s="520"/>
    </row>
    <row r="559" ht="32.25" customHeight="1">
      <c r="D559" s="518"/>
      <c r="E559" s="519"/>
      <c r="F559" s="349"/>
      <c r="G559" s="520"/>
    </row>
    <row r="560" ht="32.25" customHeight="1">
      <c r="D560" s="518"/>
      <c r="E560" s="519"/>
      <c r="F560" s="349"/>
      <c r="G560" s="520"/>
    </row>
    <row r="561" ht="32.25" customHeight="1">
      <c r="D561" s="518"/>
      <c r="E561" s="519"/>
      <c r="F561" s="349"/>
      <c r="G561" s="520"/>
    </row>
    <row r="562" ht="32.25" customHeight="1">
      <c r="D562" s="518"/>
      <c r="E562" s="519"/>
      <c r="F562" s="349"/>
      <c r="G562" s="520"/>
    </row>
    <row r="563" ht="32.25" customHeight="1">
      <c r="D563" s="518"/>
      <c r="E563" s="519"/>
      <c r="F563" s="349"/>
      <c r="G563" s="520"/>
    </row>
    <row r="564" ht="32.25" customHeight="1">
      <c r="D564" s="518"/>
      <c r="E564" s="519"/>
      <c r="F564" s="349"/>
      <c r="G564" s="520"/>
    </row>
    <row r="565" ht="32.25" customHeight="1">
      <c r="D565" s="518"/>
      <c r="E565" s="519"/>
      <c r="F565" s="349"/>
      <c r="G565" s="520"/>
    </row>
    <row r="566" ht="32.25" customHeight="1">
      <c r="D566" s="518"/>
      <c r="E566" s="519"/>
      <c r="F566" s="349"/>
      <c r="G566" s="520"/>
    </row>
    <row r="567" ht="32.25" customHeight="1">
      <c r="D567" s="518"/>
      <c r="E567" s="519"/>
      <c r="F567" s="349"/>
      <c r="G567" s="520"/>
    </row>
    <row r="568" ht="32.25" customHeight="1">
      <c r="D568" s="518"/>
      <c r="E568" s="519"/>
      <c r="F568" s="349"/>
      <c r="G568" s="520"/>
    </row>
    <row r="569" ht="32.25" customHeight="1">
      <c r="D569" s="518"/>
      <c r="E569" s="519"/>
      <c r="F569" s="349"/>
      <c r="G569" s="520"/>
    </row>
    <row r="570" ht="32.25" customHeight="1">
      <c r="D570" s="518"/>
      <c r="E570" s="519"/>
      <c r="F570" s="349"/>
      <c r="G570" s="520"/>
    </row>
    <row r="571" ht="32.25" customHeight="1">
      <c r="D571" s="518"/>
      <c r="E571" s="519"/>
      <c r="F571" s="349"/>
      <c r="G571" s="520"/>
    </row>
    <row r="572" ht="32.25" customHeight="1">
      <c r="D572" s="518"/>
      <c r="E572" s="519"/>
      <c r="F572" s="349"/>
      <c r="G572" s="520"/>
    </row>
    <row r="573" ht="32.25" customHeight="1">
      <c r="D573" s="518"/>
      <c r="E573" s="519"/>
      <c r="F573" s="349"/>
      <c r="G573" s="520"/>
    </row>
    <row r="574" ht="32.25" customHeight="1">
      <c r="D574" s="518"/>
      <c r="E574" s="519"/>
      <c r="F574" s="349"/>
      <c r="G574" s="520"/>
    </row>
    <row r="575" ht="32.25" customHeight="1">
      <c r="D575" s="518"/>
      <c r="E575" s="519"/>
      <c r="F575" s="349"/>
      <c r="G575" s="520"/>
    </row>
    <row r="576" ht="32.25" customHeight="1">
      <c r="D576" s="518"/>
      <c r="E576" s="519"/>
      <c r="F576" s="349"/>
      <c r="G576" s="520"/>
    </row>
    <row r="577" ht="32.25" customHeight="1">
      <c r="D577" s="518"/>
      <c r="E577" s="519"/>
      <c r="F577" s="349"/>
      <c r="G577" s="520"/>
    </row>
    <row r="578" ht="32.25" customHeight="1">
      <c r="D578" s="518"/>
      <c r="E578" s="519"/>
      <c r="F578" s="349"/>
      <c r="G578" s="520"/>
    </row>
    <row r="579" ht="32.25" customHeight="1">
      <c r="D579" s="518"/>
      <c r="E579" s="519"/>
      <c r="F579" s="349"/>
      <c r="G579" s="520"/>
    </row>
    <row r="580" ht="32.25" customHeight="1">
      <c r="D580" s="518"/>
      <c r="E580" s="519"/>
      <c r="F580" s="349"/>
      <c r="G580" s="520"/>
    </row>
    <row r="581" ht="32.25" customHeight="1">
      <c r="D581" s="518"/>
      <c r="E581" s="519"/>
      <c r="F581" s="349"/>
      <c r="G581" s="520"/>
    </row>
    <row r="582" ht="32.25" customHeight="1">
      <c r="D582" s="518"/>
      <c r="E582" s="519"/>
      <c r="F582" s="349"/>
      <c r="G582" s="520"/>
    </row>
    <row r="583" ht="32.25" customHeight="1">
      <c r="D583" s="518"/>
      <c r="E583" s="519"/>
      <c r="F583" s="349"/>
      <c r="G583" s="520"/>
    </row>
    <row r="584" ht="32.25" customHeight="1">
      <c r="D584" s="518"/>
      <c r="E584" s="519"/>
      <c r="F584" s="349"/>
      <c r="G584" s="520"/>
    </row>
    <row r="585" ht="32.25" customHeight="1">
      <c r="D585" s="518"/>
      <c r="E585" s="519"/>
      <c r="F585" s="349"/>
      <c r="G585" s="520"/>
    </row>
    <row r="586" ht="32.25" customHeight="1">
      <c r="D586" s="518"/>
      <c r="E586" s="519"/>
      <c r="F586" s="349"/>
      <c r="G586" s="520"/>
    </row>
    <row r="587" ht="32.25" customHeight="1">
      <c r="D587" s="518"/>
      <c r="E587" s="519"/>
      <c r="F587" s="349"/>
      <c r="G587" s="520"/>
    </row>
    <row r="588" ht="32.25" customHeight="1">
      <c r="D588" s="518"/>
      <c r="E588" s="519"/>
      <c r="F588" s="349"/>
      <c r="G588" s="520"/>
    </row>
    <row r="589" ht="32.25" customHeight="1">
      <c r="D589" s="518"/>
      <c r="E589" s="519"/>
      <c r="F589" s="349"/>
      <c r="G589" s="520"/>
    </row>
    <row r="590" ht="32.25" customHeight="1">
      <c r="D590" s="518"/>
      <c r="E590" s="519"/>
      <c r="F590" s="349"/>
      <c r="G590" s="520"/>
    </row>
    <row r="591" ht="32.25" customHeight="1">
      <c r="D591" s="518"/>
      <c r="E591" s="519"/>
      <c r="F591" s="349"/>
      <c r="G591" s="520"/>
    </row>
    <row r="592" ht="32.25" customHeight="1">
      <c r="D592" s="518"/>
      <c r="E592" s="519"/>
      <c r="F592" s="349"/>
      <c r="G592" s="520"/>
    </row>
    <row r="593" ht="32.25" customHeight="1">
      <c r="D593" s="518"/>
      <c r="E593" s="519"/>
      <c r="F593" s="349"/>
      <c r="G593" s="520"/>
    </row>
    <row r="594" ht="32.25" customHeight="1">
      <c r="D594" s="518"/>
      <c r="E594" s="519"/>
      <c r="F594" s="349"/>
      <c r="G594" s="520"/>
    </row>
    <row r="595" ht="32.25" customHeight="1">
      <c r="D595" s="518"/>
      <c r="E595" s="519"/>
      <c r="F595" s="349"/>
      <c r="G595" s="520"/>
    </row>
    <row r="596" ht="32.25" customHeight="1">
      <c r="D596" s="518"/>
      <c r="E596" s="519"/>
      <c r="F596" s="349"/>
      <c r="G596" s="520"/>
    </row>
    <row r="597" ht="32.25" customHeight="1">
      <c r="D597" s="518"/>
      <c r="E597" s="519"/>
      <c r="F597" s="349"/>
      <c r="G597" s="520"/>
    </row>
    <row r="598" ht="32.25" customHeight="1">
      <c r="D598" s="518"/>
      <c r="E598" s="519"/>
      <c r="F598" s="349"/>
      <c r="G598" s="520"/>
    </row>
    <row r="599" ht="32.25" customHeight="1">
      <c r="D599" s="518"/>
      <c r="E599" s="519"/>
      <c r="F599" s="349"/>
      <c r="G599" s="520"/>
    </row>
    <row r="600" ht="32.25" customHeight="1">
      <c r="D600" s="518"/>
      <c r="E600" s="519"/>
      <c r="F600" s="349"/>
      <c r="G600" s="520"/>
    </row>
    <row r="601" ht="32.25" customHeight="1">
      <c r="D601" s="518"/>
      <c r="E601" s="519"/>
      <c r="F601" s="349"/>
      <c r="G601" s="520"/>
    </row>
    <row r="602" ht="32.25" customHeight="1">
      <c r="D602" s="518"/>
      <c r="E602" s="519"/>
      <c r="F602" s="349"/>
      <c r="G602" s="520"/>
    </row>
    <row r="603" ht="32.25" customHeight="1">
      <c r="D603" s="518"/>
      <c r="E603" s="519"/>
      <c r="F603" s="349"/>
      <c r="G603" s="520"/>
    </row>
    <row r="604" ht="32.25" customHeight="1">
      <c r="D604" s="518"/>
      <c r="E604" s="519"/>
      <c r="F604" s="349"/>
      <c r="G604" s="520"/>
    </row>
    <row r="605" ht="32.25" customHeight="1">
      <c r="D605" s="518"/>
      <c r="E605" s="519"/>
      <c r="F605" s="349"/>
      <c r="G605" s="520"/>
    </row>
    <row r="606" ht="32.25" customHeight="1">
      <c r="D606" s="518"/>
      <c r="E606" s="519"/>
      <c r="F606" s="349"/>
      <c r="G606" s="520"/>
    </row>
    <row r="607" ht="32.25" customHeight="1">
      <c r="D607" s="518"/>
      <c r="E607" s="519"/>
      <c r="F607" s="349"/>
      <c r="G607" s="520"/>
    </row>
    <row r="608" ht="32.25" customHeight="1">
      <c r="D608" s="518"/>
      <c r="E608" s="519"/>
      <c r="F608" s="349"/>
      <c r="G608" s="520"/>
    </row>
    <row r="609" ht="32.25" customHeight="1">
      <c r="D609" s="518"/>
      <c r="E609" s="519"/>
      <c r="F609" s="349"/>
      <c r="G609" s="520"/>
    </row>
    <row r="610" ht="32.25" customHeight="1">
      <c r="D610" s="518"/>
      <c r="E610" s="519"/>
      <c r="F610" s="349"/>
      <c r="G610" s="520"/>
    </row>
    <row r="611" ht="32.25" customHeight="1">
      <c r="D611" s="518"/>
      <c r="E611" s="519"/>
      <c r="F611" s="349"/>
      <c r="G611" s="520"/>
    </row>
    <row r="612" ht="32.25" customHeight="1">
      <c r="D612" s="518"/>
      <c r="E612" s="519"/>
      <c r="F612" s="349"/>
      <c r="G612" s="520"/>
    </row>
    <row r="613" ht="32.25" customHeight="1">
      <c r="D613" s="518"/>
      <c r="E613" s="519"/>
      <c r="F613" s="349"/>
      <c r="G613" s="520"/>
    </row>
    <row r="614" ht="32.25" customHeight="1">
      <c r="D614" s="518"/>
      <c r="E614" s="519"/>
      <c r="F614" s="349"/>
      <c r="G614" s="520"/>
    </row>
    <row r="615" ht="32.25" customHeight="1">
      <c r="D615" s="518"/>
      <c r="E615" s="519"/>
      <c r="F615" s="349"/>
      <c r="G615" s="520"/>
    </row>
    <row r="616" ht="32.25" customHeight="1">
      <c r="D616" s="518"/>
      <c r="E616" s="519"/>
      <c r="F616" s="349"/>
      <c r="G616" s="520"/>
    </row>
    <row r="617" ht="32.25" customHeight="1">
      <c r="D617" s="518"/>
      <c r="E617" s="519"/>
      <c r="F617" s="349"/>
      <c r="G617" s="520"/>
    </row>
    <row r="618" ht="32.25" customHeight="1">
      <c r="D618" s="518"/>
      <c r="E618" s="519"/>
      <c r="F618" s="349"/>
      <c r="G618" s="520"/>
    </row>
    <row r="619" ht="32.25" customHeight="1">
      <c r="D619" s="518"/>
      <c r="E619" s="519"/>
      <c r="F619" s="349"/>
      <c r="G619" s="520"/>
    </row>
    <row r="620" ht="32.25" customHeight="1">
      <c r="D620" s="518"/>
      <c r="E620" s="519"/>
      <c r="F620" s="349"/>
      <c r="G620" s="520"/>
    </row>
    <row r="621" ht="32.25" customHeight="1">
      <c r="D621" s="518"/>
      <c r="E621" s="519"/>
      <c r="F621" s="349"/>
      <c r="G621" s="520"/>
    </row>
    <row r="622" ht="32.25" customHeight="1">
      <c r="D622" s="518"/>
      <c r="E622" s="519"/>
      <c r="F622" s="349"/>
      <c r="G622" s="520"/>
    </row>
    <row r="623" ht="32.25" customHeight="1">
      <c r="D623" s="518"/>
      <c r="E623" s="519"/>
      <c r="F623" s="349"/>
      <c r="G623" s="520"/>
    </row>
    <row r="624" ht="32.25" customHeight="1">
      <c r="D624" s="518"/>
      <c r="E624" s="519"/>
      <c r="F624" s="349"/>
      <c r="G624" s="520"/>
    </row>
    <row r="625" ht="32.25" customHeight="1">
      <c r="D625" s="518"/>
      <c r="E625" s="519"/>
      <c r="F625" s="349"/>
      <c r="G625" s="520"/>
    </row>
    <row r="626" ht="32.25" customHeight="1">
      <c r="D626" s="518"/>
      <c r="E626" s="519"/>
      <c r="F626" s="349"/>
      <c r="G626" s="520"/>
    </row>
    <row r="627" ht="32.25" customHeight="1">
      <c r="D627" s="518"/>
      <c r="E627" s="519"/>
      <c r="F627" s="349"/>
      <c r="G627" s="520"/>
    </row>
    <row r="628" ht="32.25" customHeight="1">
      <c r="D628" s="518"/>
      <c r="E628" s="519"/>
      <c r="F628" s="349"/>
      <c r="G628" s="520"/>
    </row>
    <row r="629" ht="32.25" customHeight="1">
      <c r="D629" s="518"/>
      <c r="E629" s="519"/>
      <c r="F629" s="349"/>
      <c r="G629" s="520"/>
    </row>
    <row r="630" ht="32.25" customHeight="1">
      <c r="D630" s="518"/>
      <c r="E630" s="519"/>
      <c r="F630" s="349"/>
      <c r="G630" s="520"/>
    </row>
    <row r="631" ht="32.25" customHeight="1">
      <c r="D631" s="518"/>
      <c r="E631" s="519"/>
      <c r="F631" s="349"/>
      <c r="G631" s="520"/>
    </row>
    <row r="632" ht="32.25" customHeight="1">
      <c r="D632" s="518"/>
      <c r="E632" s="519"/>
      <c r="F632" s="349"/>
      <c r="G632" s="520"/>
    </row>
    <row r="633" ht="32.25" customHeight="1">
      <c r="D633" s="518"/>
      <c r="E633" s="519"/>
      <c r="F633" s="349"/>
      <c r="G633" s="520"/>
    </row>
    <row r="634" ht="32.25" customHeight="1">
      <c r="D634" s="518"/>
      <c r="E634" s="519"/>
      <c r="F634" s="349"/>
      <c r="G634" s="520"/>
    </row>
    <row r="635" ht="32.25" customHeight="1">
      <c r="D635" s="518"/>
      <c r="E635" s="519"/>
      <c r="F635" s="349"/>
      <c r="G635" s="520"/>
    </row>
    <row r="636" ht="32.25" customHeight="1">
      <c r="D636" s="518"/>
      <c r="E636" s="519"/>
      <c r="F636" s="349"/>
      <c r="G636" s="520"/>
    </row>
    <row r="637" ht="32.25" customHeight="1">
      <c r="D637" s="518"/>
      <c r="E637" s="519"/>
      <c r="F637" s="349"/>
      <c r="G637" s="520"/>
    </row>
    <row r="638" ht="32.25" customHeight="1">
      <c r="D638" s="518"/>
      <c r="E638" s="519"/>
      <c r="F638" s="349"/>
      <c r="G638" s="520"/>
    </row>
    <row r="639" ht="32.25" customHeight="1">
      <c r="D639" s="518"/>
      <c r="E639" s="519"/>
      <c r="F639" s="349"/>
      <c r="G639" s="520"/>
    </row>
    <row r="640" ht="32.25" customHeight="1">
      <c r="D640" s="518"/>
      <c r="E640" s="519"/>
      <c r="F640" s="349"/>
      <c r="G640" s="520"/>
    </row>
    <row r="641" ht="32.25" customHeight="1">
      <c r="D641" s="518"/>
      <c r="E641" s="519"/>
      <c r="F641" s="349"/>
      <c r="G641" s="520"/>
    </row>
    <row r="642" ht="32.25" customHeight="1">
      <c r="D642" s="518"/>
      <c r="E642" s="519"/>
      <c r="F642" s="349"/>
      <c r="G642" s="520"/>
    </row>
    <row r="643" ht="32.25" customHeight="1">
      <c r="D643" s="518"/>
      <c r="E643" s="519"/>
      <c r="F643" s="349"/>
      <c r="G643" s="520"/>
    </row>
    <row r="644" ht="32.25" customHeight="1">
      <c r="D644" s="518"/>
      <c r="E644" s="519"/>
      <c r="F644" s="349"/>
      <c r="G644" s="520"/>
    </row>
    <row r="645" ht="32.25" customHeight="1">
      <c r="D645" s="518"/>
      <c r="E645" s="519"/>
      <c r="F645" s="349"/>
      <c r="G645" s="520"/>
    </row>
    <row r="646" ht="32.25" customHeight="1">
      <c r="D646" s="518"/>
      <c r="E646" s="519"/>
      <c r="F646" s="349"/>
      <c r="G646" s="520"/>
    </row>
    <row r="647" ht="32.25" customHeight="1">
      <c r="D647" s="518"/>
      <c r="E647" s="519"/>
      <c r="F647" s="349"/>
      <c r="G647" s="520"/>
    </row>
    <row r="648" ht="32.25" customHeight="1">
      <c r="D648" s="518"/>
      <c r="E648" s="519"/>
      <c r="F648" s="349"/>
      <c r="G648" s="520"/>
    </row>
    <row r="649" ht="32.25" customHeight="1">
      <c r="D649" s="518"/>
      <c r="E649" s="519"/>
      <c r="F649" s="349"/>
      <c r="G649" s="520"/>
    </row>
    <row r="650" ht="32.25" customHeight="1">
      <c r="D650" s="518"/>
      <c r="E650" s="519"/>
      <c r="F650" s="349"/>
      <c r="G650" s="520"/>
    </row>
    <row r="651" ht="32.25" customHeight="1">
      <c r="D651" s="518"/>
      <c r="E651" s="519"/>
      <c r="F651" s="349"/>
      <c r="G651" s="520"/>
    </row>
    <row r="652" ht="32.25" customHeight="1">
      <c r="D652" s="518"/>
      <c r="E652" s="519"/>
      <c r="F652" s="349"/>
      <c r="G652" s="520"/>
    </row>
    <row r="653" ht="32.25" customHeight="1">
      <c r="D653" s="518"/>
      <c r="E653" s="519"/>
      <c r="F653" s="349"/>
      <c r="G653" s="520"/>
    </row>
    <row r="654" ht="32.25" customHeight="1">
      <c r="D654" s="518"/>
      <c r="E654" s="519"/>
      <c r="F654" s="349"/>
      <c r="G654" s="520"/>
    </row>
    <row r="655" ht="32.25" customHeight="1">
      <c r="D655" s="518"/>
      <c r="E655" s="519"/>
      <c r="F655" s="349"/>
      <c r="G655" s="520"/>
    </row>
    <row r="656" ht="32.25" customHeight="1">
      <c r="D656" s="518"/>
      <c r="E656" s="519"/>
      <c r="F656" s="349"/>
      <c r="G656" s="520"/>
    </row>
    <row r="657" ht="32.25" customHeight="1">
      <c r="D657" s="518"/>
      <c r="E657" s="519"/>
      <c r="F657" s="349"/>
      <c r="G657" s="520"/>
    </row>
    <row r="658" ht="32.25" customHeight="1">
      <c r="D658" s="518"/>
      <c r="E658" s="519"/>
      <c r="F658" s="349"/>
      <c r="G658" s="520"/>
    </row>
    <row r="659" ht="32.25" customHeight="1">
      <c r="D659" s="518"/>
      <c r="E659" s="519"/>
      <c r="F659" s="349"/>
      <c r="G659" s="520"/>
    </row>
    <row r="660" ht="32.25" customHeight="1">
      <c r="D660" s="518"/>
      <c r="E660" s="519"/>
      <c r="F660" s="349"/>
      <c r="G660" s="520"/>
    </row>
    <row r="661" ht="32.25" customHeight="1">
      <c r="D661" s="518"/>
      <c r="E661" s="519"/>
      <c r="F661" s="349"/>
      <c r="G661" s="520"/>
    </row>
    <row r="662" ht="32.25" customHeight="1">
      <c r="D662" s="518"/>
      <c r="E662" s="519"/>
      <c r="F662" s="349"/>
      <c r="G662" s="520"/>
    </row>
    <row r="663" ht="32.25" customHeight="1">
      <c r="D663" s="518"/>
      <c r="E663" s="519"/>
      <c r="F663" s="349"/>
      <c r="G663" s="520"/>
    </row>
    <row r="664" ht="32.25" customHeight="1">
      <c r="D664" s="518"/>
      <c r="E664" s="519"/>
      <c r="F664" s="349"/>
      <c r="G664" s="520"/>
    </row>
    <row r="665" ht="32.25" customHeight="1">
      <c r="D665" s="518"/>
      <c r="E665" s="519"/>
      <c r="F665" s="349"/>
      <c r="G665" s="520"/>
    </row>
    <row r="666" ht="32.25" customHeight="1">
      <c r="D666" s="518"/>
      <c r="E666" s="519"/>
      <c r="F666" s="349"/>
      <c r="G666" s="520"/>
    </row>
    <row r="667" ht="32.25" customHeight="1">
      <c r="D667" s="518"/>
      <c r="E667" s="519"/>
      <c r="F667" s="349"/>
      <c r="G667" s="520"/>
    </row>
    <row r="668" ht="32.25" customHeight="1">
      <c r="D668" s="518"/>
      <c r="E668" s="519"/>
      <c r="F668" s="349"/>
      <c r="G668" s="520"/>
    </row>
    <row r="669" ht="32.25" customHeight="1">
      <c r="D669" s="518"/>
      <c r="E669" s="519"/>
      <c r="F669" s="349"/>
      <c r="G669" s="520"/>
    </row>
    <row r="670" ht="32.25" customHeight="1">
      <c r="D670" s="518"/>
      <c r="E670" s="519"/>
      <c r="F670" s="349"/>
      <c r="G670" s="520"/>
    </row>
    <row r="671" ht="32.25" customHeight="1">
      <c r="D671" s="518"/>
      <c r="E671" s="519"/>
      <c r="F671" s="349"/>
      <c r="G671" s="520"/>
    </row>
    <row r="672" ht="32.25" customHeight="1">
      <c r="D672" s="518"/>
      <c r="E672" s="519"/>
      <c r="F672" s="349"/>
      <c r="G672" s="520"/>
    </row>
    <row r="673" ht="32.25" customHeight="1">
      <c r="D673" s="518"/>
      <c r="E673" s="519"/>
      <c r="F673" s="349"/>
      <c r="G673" s="520"/>
    </row>
    <row r="674" ht="32.25" customHeight="1">
      <c r="D674" s="518"/>
      <c r="E674" s="519"/>
      <c r="F674" s="349"/>
      <c r="G674" s="520"/>
    </row>
    <row r="675" ht="32.25" customHeight="1">
      <c r="D675" s="518"/>
      <c r="E675" s="519"/>
      <c r="F675" s="349"/>
      <c r="G675" s="520"/>
    </row>
    <row r="676" ht="32.25" customHeight="1">
      <c r="D676" s="518"/>
      <c r="E676" s="519"/>
      <c r="F676" s="349"/>
      <c r="G676" s="520"/>
    </row>
    <row r="677" ht="32.25" customHeight="1">
      <c r="D677" s="518"/>
      <c r="E677" s="519"/>
      <c r="F677" s="349"/>
      <c r="G677" s="520"/>
    </row>
    <row r="678" ht="32.25" customHeight="1">
      <c r="D678" s="518"/>
      <c r="E678" s="519"/>
      <c r="F678" s="349"/>
      <c r="G678" s="520"/>
    </row>
    <row r="679" ht="32.25" customHeight="1">
      <c r="D679" s="518"/>
      <c r="E679" s="519"/>
      <c r="F679" s="349"/>
      <c r="G679" s="520"/>
    </row>
    <row r="680" ht="32.25" customHeight="1">
      <c r="D680" s="518"/>
      <c r="E680" s="519"/>
      <c r="F680" s="349"/>
      <c r="G680" s="520"/>
    </row>
    <row r="681" ht="32.25" customHeight="1">
      <c r="D681" s="518"/>
      <c r="E681" s="519"/>
      <c r="F681" s="349"/>
      <c r="G681" s="520"/>
    </row>
    <row r="682" ht="32.25" customHeight="1">
      <c r="D682" s="518"/>
      <c r="E682" s="519"/>
      <c r="F682" s="349"/>
      <c r="G682" s="520"/>
    </row>
    <row r="683" ht="32.25" customHeight="1">
      <c r="D683" s="518"/>
      <c r="E683" s="519"/>
      <c r="F683" s="349"/>
      <c r="G683" s="520"/>
    </row>
    <row r="684" ht="32.25" customHeight="1">
      <c r="D684" s="518"/>
      <c r="E684" s="519"/>
      <c r="F684" s="349"/>
      <c r="G684" s="520"/>
    </row>
    <row r="685" ht="32.25" customHeight="1">
      <c r="D685" s="518"/>
      <c r="E685" s="519"/>
      <c r="F685" s="349"/>
      <c r="G685" s="520"/>
    </row>
    <row r="686" ht="32.25" customHeight="1">
      <c r="D686" s="518"/>
      <c r="E686" s="519"/>
      <c r="F686" s="349"/>
      <c r="G686" s="520"/>
    </row>
    <row r="687" ht="32.25" customHeight="1">
      <c r="D687" s="518"/>
      <c r="E687" s="519"/>
      <c r="F687" s="349"/>
      <c r="G687" s="520"/>
    </row>
    <row r="688" ht="32.25" customHeight="1">
      <c r="D688" s="518"/>
      <c r="E688" s="519"/>
      <c r="F688" s="349"/>
      <c r="G688" s="520"/>
    </row>
    <row r="689" ht="32.25" customHeight="1">
      <c r="D689" s="518"/>
      <c r="E689" s="519"/>
      <c r="F689" s="349"/>
      <c r="G689" s="520"/>
    </row>
    <row r="690" ht="32.25" customHeight="1">
      <c r="D690" s="518"/>
      <c r="E690" s="519"/>
      <c r="F690" s="349"/>
      <c r="G690" s="520"/>
    </row>
    <row r="691" ht="32.25" customHeight="1">
      <c r="D691" s="518"/>
      <c r="E691" s="519"/>
      <c r="F691" s="349"/>
      <c r="G691" s="520"/>
    </row>
    <row r="692" ht="32.25" customHeight="1">
      <c r="D692" s="518"/>
      <c r="E692" s="519"/>
      <c r="F692" s="349"/>
      <c r="G692" s="520"/>
    </row>
    <row r="693" ht="32.25" customHeight="1">
      <c r="D693" s="518"/>
      <c r="E693" s="519"/>
      <c r="F693" s="349"/>
      <c r="G693" s="520"/>
    </row>
    <row r="694" ht="32.25" customHeight="1">
      <c r="D694" s="518"/>
      <c r="E694" s="519"/>
      <c r="F694" s="349"/>
      <c r="G694" s="520"/>
    </row>
    <row r="695" ht="32.25" customHeight="1">
      <c r="D695" s="518"/>
      <c r="E695" s="519"/>
      <c r="F695" s="349"/>
      <c r="G695" s="520"/>
    </row>
    <row r="696" ht="32.25" customHeight="1">
      <c r="D696" s="518"/>
      <c r="E696" s="519"/>
      <c r="F696" s="349"/>
      <c r="G696" s="520"/>
    </row>
    <row r="697" ht="32.25" customHeight="1">
      <c r="D697" s="518"/>
      <c r="E697" s="519"/>
      <c r="F697" s="349"/>
      <c r="G697" s="520"/>
    </row>
    <row r="698" ht="32.25" customHeight="1">
      <c r="D698" s="518"/>
      <c r="E698" s="519"/>
      <c r="F698" s="349"/>
      <c r="G698" s="520"/>
    </row>
    <row r="699" ht="32.25" customHeight="1">
      <c r="D699" s="518"/>
      <c r="E699" s="519"/>
      <c r="F699" s="349"/>
      <c r="G699" s="520"/>
    </row>
    <row r="700" ht="32.25" customHeight="1">
      <c r="D700" s="518"/>
      <c r="E700" s="519"/>
      <c r="F700" s="349"/>
      <c r="G700" s="520"/>
    </row>
    <row r="701" ht="32.25" customHeight="1">
      <c r="D701" s="518"/>
      <c r="E701" s="519"/>
      <c r="F701" s="349"/>
      <c r="G701" s="520"/>
    </row>
    <row r="702" ht="32.25" customHeight="1">
      <c r="D702" s="518"/>
      <c r="E702" s="519"/>
      <c r="F702" s="349"/>
      <c r="G702" s="520"/>
    </row>
    <row r="703" ht="32.25" customHeight="1">
      <c r="D703" s="518"/>
      <c r="E703" s="519"/>
      <c r="F703" s="349"/>
      <c r="G703" s="520"/>
    </row>
    <row r="704" ht="32.25" customHeight="1">
      <c r="D704" s="518"/>
      <c r="E704" s="519"/>
      <c r="F704" s="349"/>
      <c r="G704" s="520"/>
    </row>
    <row r="705" ht="32.25" customHeight="1">
      <c r="D705" s="518"/>
      <c r="E705" s="519"/>
      <c r="F705" s="349"/>
      <c r="G705" s="520"/>
    </row>
    <row r="706" ht="32.25" customHeight="1">
      <c r="D706" s="518"/>
      <c r="E706" s="519"/>
      <c r="F706" s="349"/>
      <c r="G706" s="520"/>
    </row>
    <row r="707" ht="32.25" customHeight="1">
      <c r="D707" s="518"/>
      <c r="E707" s="519"/>
      <c r="F707" s="349"/>
      <c r="G707" s="520"/>
    </row>
    <row r="708" ht="32.25" customHeight="1">
      <c r="D708" s="518"/>
      <c r="E708" s="519"/>
      <c r="F708" s="349"/>
      <c r="G708" s="520"/>
    </row>
    <row r="709" ht="32.25" customHeight="1">
      <c r="D709" s="518"/>
      <c r="E709" s="519"/>
      <c r="F709" s="349"/>
      <c r="G709" s="520"/>
    </row>
    <row r="710" ht="32.25" customHeight="1">
      <c r="D710" s="518"/>
      <c r="E710" s="519"/>
      <c r="F710" s="349"/>
      <c r="G710" s="520"/>
    </row>
    <row r="711" ht="32.25" customHeight="1">
      <c r="D711" s="518"/>
      <c r="E711" s="519"/>
      <c r="F711" s="349"/>
      <c r="G711" s="520"/>
    </row>
    <row r="712" ht="32.25" customHeight="1">
      <c r="D712" s="518"/>
      <c r="E712" s="519"/>
      <c r="F712" s="349"/>
      <c r="G712" s="520"/>
    </row>
    <row r="713" ht="32.25" customHeight="1">
      <c r="D713" s="518"/>
      <c r="E713" s="519"/>
      <c r="F713" s="349"/>
      <c r="G713" s="520"/>
    </row>
    <row r="714" ht="32.25" customHeight="1">
      <c r="D714" s="518"/>
      <c r="E714" s="519"/>
      <c r="F714" s="349"/>
      <c r="G714" s="520"/>
    </row>
    <row r="715" ht="32.25" customHeight="1">
      <c r="D715" s="518"/>
      <c r="E715" s="519"/>
      <c r="F715" s="349"/>
      <c r="G715" s="520"/>
    </row>
    <row r="716" ht="32.25" customHeight="1">
      <c r="D716" s="518"/>
      <c r="E716" s="519"/>
      <c r="F716" s="349"/>
      <c r="G716" s="520"/>
    </row>
    <row r="717" ht="32.25" customHeight="1">
      <c r="D717" s="518"/>
      <c r="E717" s="519"/>
      <c r="F717" s="349"/>
      <c r="G717" s="520"/>
    </row>
    <row r="718" ht="32.25" customHeight="1">
      <c r="D718" s="518"/>
      <c r="E718" s="519"/>
      <c r="F718" s="349"/>
      <c r="G718" s="520"/>
    </row>
    <row r="719" ht="32.25" customHeight="1">
      <c r="D719" s="518"/>
      <c r="E719" s="519"/>
      <c r="F719" s="349"/>
      <c r="G719" s="520"/>
    </row>
    <row r="720" ht="32.25" customHeight="1">
      <c r="D720" s="518"/>
      <c r="E720" s="519"/>
      <c r="F720" s="349"/>
      <c r="G720" s="520"/>
    </row>
    <row r="721" ht="32.25" customHeight="1">
      <c r="D721" s="518"/>
      <c r="E721" s="519"/>
      <c r="F721" s="349"/>
      <c r="G721" s="520"/>
    </row>
    <row r="722" ht="32.25" customHeight="1">
      <c r="D722" s="518"/>
      <c r="E722" s="519"/>
      <c r="F722" s="349"/>
      <c r="G722" s="520"/>
    </row>
    <row r="723" ht="32.25" customHeight="1">
      <c r="D723" s="518"/>
      <c r="E723" s="519"/>
      <c r="F723" s="349"/>
      <c r="G723" s="520"/>
    </row>
    <row r="724" ht="32.25" customHeight="1">
      <c r="D724" s="518"/>
      <c r="E724" s="519"/>
      <c r="F724" s="349"/>
      <c r="G724" s="520"/>
    </row>
    <row r="725" ht="32.25" customHeight="1">
      <c r="D725" s="518"/>
      <c r="E725" s="519"/>
      <c r="F725" s="349"/>
      <c r="G725" s="520"/>
    </row>
    <row r="726" ht="32.25" customHeight="1">
      <c r="D726" s="518"/>
      <c r="E726" s="519"/>
      <c r="F726" s="349"/>
      <c r="G726" s="520"/>
    </row>
    <row r="727" ht="32.25" customHeight="1">
      <c r="D727" s="518"/>
      <c r="E727" s="519"/>
      <c r="F727" s="349"/>
      <c r="G727" s="520"/>
    </row>
    <row r="728" ht="32.25" customHeight="1">
      <c r="D728" s="518"/>
      <c r="E728" s="519"/>
      <c r="F728" s="349"/>
      <c r="G728" s="520"/>
    </row>
    <row r="729" ht="32.25" customHeight="1">
      <c r="D729" s="518"/>
      <c r="E729" s="519"/>
      <c r="F729" s="349"/>
      <c r="G729" s="520"/>
    </row>
    <row r="730" ht="32.25" customHeight="1">
      <c r="D730" s="518"/>
      <c r="E730" s="519"/>
      <c r="F730" s="349"/>
      <c r="G730" s="520"/>
    </row>
    <row r="731" ht="32.25" customHeight="1">
      <c r="D731" s="518"/>
      <c r="E731" s="519"/>
      <c r="F731" s="349"/>
      <c r="G731" s="520"/>
    </row>
    <row r="732" ht="32.25" customHeight="1">
      <c r="D732" s="518"/>
      <c r="E732" s="519"/>
      <c r="F732" s="349"/>
      <c r="G732" s="520"/>
    </row>
    <row r="733" ht="32.25" customHeight="1">
      <c r="D733" s="518"/>
      <c r="E733" s="519"/>
      <c r="F733" s="349"/>
      <c r="G733" s="520"/>
    </row>
    <row r="734" ht="32.25" customHeight="1">
      <c r="D734" s="518"/>
      <c r="E734" s="519"/>
      <c r="F734" s="349"/>
      <c r="G734" s="520"/>
    </row>
    <row r="735" ht="32.25" customHeight="1">
      <c r="D735" s="518"/>
      <c r="E735" s="519"/>
      <c r="F735" s="349"/>
      <c r="G735" s="520"/>
    </row>
    <row r="736" ht="32.25" customHeight="1">
      <c r="D736" s="518"/>
      <c r="E736" s="519"/>
      <c r="F736" s="349"/>
      <c r="G736" s="520"/>
    </row>
    <row r="737" ht="32.25" customHeight="1">
      <c r="D737" s="518"/>
      <c r="E737" s="519"/>
      <c r="F737" s="349"/>
      <c r="G737" s="520"/>
    </row>
    <row r="738" ht="32.25" customHeight="1">
      <c r="D738" s="518"/>
      <c r="E738" s="519"/>
      <c r="F738" s="349"/>
      <c r="G738" s="520"/>
    </row>
    <row r="739" ht="32.25" customHeight="1">
      <c r="D739" s="518"/>
      <c r="E739" s="519"/>
      <c r="F739" s="349"/>
      <c r="G739" s="520"/>
    </row>
    <row r="740" ht="32.25" customHeight="1">
      <c r="D740" s="518"/>
      <c r="E740" s="519"/>
      <c r="F740" s="349"/>
      <c r="G740" s="520"/>
    </row>
    <row r="741" ht="32.25" customHeight="1">
      <c r="D741" s="518"/>
      <c r="E741" s="519"/>
      <c r="F741" s="349"/>
      <c r="G741" s="520"/>
    </row>
    <row r="742" ht="32.25" customHeight="1">
      <c r="D742" s="518"/>
      <c r="E742" s="519"/>
      <c r="F742" s="349"/>
      <c r="G742" s="520"/>
    </row>
    <row r="743" ht="32.25" customHeight="1">
      <c r="D743" s="518"/>
      <c r="E743" s="519"/>
      <c r="F743" s="349"/>
      <c r="G743" s="520"/>
    </row>
    <row r="744" ht="32.25" customHeight="1">
      <c r="D744" s="518"/>
      <c r="E744" s="519"/>
      <c r="F744" s="349"/>
      <c r="G744" s="520"/>
    </row>
    <row r="745" ht="32.25" customHeight="1">
      <c r="D745" s="518"/>
      <c r="E745" s="519"/>
      <c r="F745" s="349"/>
      <c r="G745" s="520"/>
    </row>
    <row r="746" ht="32.25" customHeight="1">
      <c r="D746" s="518"/>
      <c r="E746" s="519"/>
      <c r="F746" s="349"/>
      <c r="G746" s="520"/>
    </row>
    <row r="747" ht="32.25" customHeight="1">
      <c r="D747" s="518"/>
      <c r="E747" s="519"/>
      <c r="F747" s="349"/>
      <c r="G747" s="520"/>
    </row>
    <row r="748" ht="32.25" customHeight="1">
      <c r="D748" s="518"/>
      <c r="E748" s="519"/>
      <c r="F748" s="349"/>
      <c r="G748" s="520"/>
    </row>
    <row r="749" ht="32.25" customHeight="1">
      <c r="D749" s="518"/>
      <c r="E749" s="519"/>
      <c r="F749" s="349"/>
      <c r="G749" s="520"/>
    </row>
    <row r="750" ht="32.25" customHeight="1">
      <c r="D750" s="518"/>
      <c r="E750" s="519"/>
      <c r="F750" s="349"/>
      <c r="G750" s="520"/>
    </row>
    <row r="751" ht="32.25" customHeight="1">
      <c r="D751" s="518"/>
      <c r="E751" s="519"/>
      <c r="F751" s="349"/>
      <c r="G751" s="520"/>
    </row>
    <row r="752" ht="32.25" customHeight="1">
      <c r="D752" s="518"/>
      <c r="E752" s="519"/>
      <c r="F752" s="349"/>
      <c r="G752" s="520"/>
    </row>
    <row r="753" ht="32.25" customHeight="1">
      <c r="D753" s="518"/>
      <c r="E753" s="519"/>
      <c r="F753" s="349"/>
      <c r="G753" s="520"/>
    </row>
    <row r="754" ht="32.25" customHeight="1">
      <c r="D754" s="518"/>
      <c r="E754" s="519"/>
      <c r="F754" s="349"/>
      <c r="G754" s="520"/>
    </row>
    <row r="755" ht="32.25" customHeight="1">
      <c r="D755" s="518"/>
      <c r="E755" s="519"/>
      <c r="F755" s="349"/>
      <c r="G755" s="520"/>
    </row>
    <row r="756" ht="32.25" customHeight="1">
      <c r="D756" s="518"/>
      <c r="E756" s="519"/>
      <c r="F756" s="349"/>
      <c r="G756" s="520"/>
    </row>
    <row r="757" ht="32.25" customHeight="1">
      <c r="D757" s="518"/>
      <c r="E757" s="519"/>
      <c r="F757" s="349"/>
      <c r="G757" s="520"/>
    </row>
    <row r="758" ht="32.25" customHeight="1">
      <c r="D758" s="518"/>
      <c r="E758" s="519"/>
      <c r="F758" s="349"/>
      <c r="G758" s="520"/>
    </row>
    <row r="759" ht="32.25" customHeight="1">
      <c r="D759" s="518"/>
      <c r="E759" s="519"/>
      <c r="F759" s="349"/>
      <c r="G759" s="520"/>
    </row>
    <row r="760" ht="32.25" customHeight="1">
      <c r="D760" s="518"/>
      <c r="E760" s="519"/>
      <c r="F760" s="349"/>
      <c r="G760" s="520"/>
    </row>
    <row r="761" ht="32.25" customHeight="1">
      <c r="D761" s="518"/>
      <c r="E761" s="519"/>
      <c r="F761" s="349"/>
      <c r="G761" s="520"/>
    </row>
    <row r="762" ht="32.25" customHeight="1">
      <c r="D762" s="518"/>
      <c r="E762" s="519"/>
      <c r="F762" s="349"/>
      <c r="G762" s="520"/>
    </row>
    <row r="763" ht="32.25" customHeight="1">
      <c r="D763" s="518"/>
      <c r="E763" s="519"/>
      <c r="F763" s="349"/>
      <c r="G763" s="520"/>
    </row>
    <row r="764" ht="32.25" customHeight="1">
      <c r="D764" s="518"/>
      <c r="E764" s="519"/>
      <c r="F764" s="349"/>
      <c r="G764" s="520"/>
    </row>
    <row r="765" ht="32.25" customHeight="1">
      <c r="D765" s="518"/>
      <c r="E765" s="519"/>
      <c r="F765" s="349"/>
      <c r="G765" s="520"/>
    </row>
    <row r="766" ht="32.25" customHeight="1">
      <c r="D766" s="518"/>
      <c r="E766" s="519"/>
      <c r="F766" s="349"/>
      <c r="G766" s="520"/>
    </row>
    <row r="767" ht="32.25" customHeight="1">
      <c r="D767" s="518"/>
      <c r="E767" s="519"/>
      <c r="F767" s="349"/>
      <c r="G767" s="520"/>
    </row>
    <row r="768" ht="32.25" customHeight="1">
      <c r="D768" s="518"/>
      <c r="E768" s="519"/>
      <c r="F768" s="349"/>
      <c r="G768" s="520"/>
    </row>
    <row r="769" ht="32.25" customHeight="1">
      <c r="D769" s="518"/>
      <c r="E769" s="519"/>
      <c r="F769" s="349"/>
      <c r="G769" s="520"/>
    </row>
    <row r="770" ht="32.25" customHeight="1">
      <c r="D770" s="518"/>
      <c r="E770" s="519"/>
      <c r="F770" s="349"/>
      <c r="G770" s="520"/>
    </row>
    <row r="771" ht="32.25" customHeight="1">
      <c r="D771" s="518"/>
      <c r="E771" s="519"/>
      <c r="F771" s="349"/>
      <c r="G771" s="520"/>
    </row>
    <row r="772" ht="32.25" customHeight="1">
      <c r="D772" s="518"/>
      <c r="E772" s="519"/>
      <c r="F772" s="349"/>
      <c r="G772" s="520"/>
    </row>
    <row r="773" ht="32.25" customHeight="1">
      <c r="D773" s="518"/>
      <c r="E773" s="519"/>
      <c r="F773" s="349"/>
      <c r="G773" s="520"/>
    </row>
    <row r="774" ht="32.25" customHeight="1">
      <c r="D774" s="518"/>
      <c r="E774" s="519"/>
      <c r="F774" s="349"/>
      <c r="G774" s="520"/>
    </row>
    <row r="775" ht="32.25" customHeight="1">
      <c r="D775" s="518"/>
      <c r="E775" s="519"/>
      <c r="F775" s="349"/>
      <c r="G775" s="520"/>
    </row>
    <row r="776" ht="32.25" customHeight="1">
      <c r="D776" s="518"/>
      <c r="E776" s="519"/>
      <c r="F776" s="349"/>
      <c r="G776" s="520"/>
    </row>
    <row r="777" ht="32.25" customHeight="1">
      <c r="D777" s="518"/>
      <c r="E777" s="519"/>
      <c r="F777" s="349"/>
      <c r="G777" s="520"/>
    </row>
    <row r="778" ht="32.25" customHeight="1">
      <c r="D778" s="518"/>
      <c r="E778" s="519"/>
      <c r="F778" s="349"/>
      <c r="G778" s="520"/>
    </row>
    <row r="779" ht="32.25" customHeight="1">
      <c r="D779" s="518"/>
      <c r="E779" s="519"/>
      <c r="F779" s="349"/>
      <c r="G779" s="520"/>
    </row>
    <row r="780" ht="32.25" customHeight="1">
      <c r="D780" s="518"/>
      <c r="E780" s="519"/>
      <c r="F780" s="349"/>
      <c r="G780" s="520"/>
    </row>
    <row r="781" ht="32.25" customHeight="1">
      <c r="D781" s="518"/>
      <c r="E781" s="519"/>
      <c r="F781" s="349"/>
      <c r="G781" s="520"/>
    </row>
    <row r="782" ht="32.25" customHeight="1">
      <c r="D782" s="518"/>
      <c r="E782" s="519"/>
      <c r="F782" s="349"/>
      <c r="G782" s="520"/>
    </row>
    <row r="783" ht="32.25" customHeight="1">
      <c r="D783" s="518"/>
      <c r="E783" s="519"/>
      <c r="F783" s="349"/>
      <c r="G783" s="520"/>
    </row>
    <row r="784" ht="32.25" customHeight="1">
      <c r="D784" s="518"/>
      <c r="E784" s="519"/>
      <c r="F784" s="349"/>
      <c r="G784" s="520"/>
    </row>
    <row r="785" ht="32.25" customHeight="1">
      <c r="D785" s="518"/>
      <c r="E785" s="519"/>
      <c r="F785" s="349"/>
      <c r="G785" s="520"/>
    </row>
    <row r="786" ht="32.25" customHeight="1">
      <c r="D786" s="518"/>
      <c r="E786" s="519"/>
      <c r="F786" s="349"/>
      <c r="G786" s="520"/>
    </row>
    <row r="787" ht="32.25" customHeight="1">
      <c r="D787" s="518"/>
      <c r="E787" s="519"/>
      <c r="F787" s="349"/>
      <c r="G787" s="520"/>
    </row>
    <row r="788" ht="32.25" customHeight="1">
      <c r="D788" s="518"/>
      <c r="E788" s="519"/>
      <c r="F788" s="349"/>
      <c r="G788" s="520"/>
    </row>
    <row r="789" ht="32.25" customHeight="1">
      <c r="D789" s="518"/>
      <c r="E789" s="519"/>
      <c r="F789" s="349"/>
      <c r="G789" s="520"/>
    </row>
    <row r="790" ht="32.25" customHeight="1">
      <c r="D790" s="518"/>
      <c r="E790" s="519"/>
      <c r="F790" s="349"/>
      <c r="G790" s="520"/>
    </row>
    <row r="791" ht="32.25" customHeight="1">
      <c r="D791" s="518"/>
      <c r="E791" s="519"/>
      <c r="F791" s="349"/>
      <c r="G791" s="520"/>
    </row>
    <row r="792" ht="32.25" customHeight="1">
      <c r="D792" s="518"/>
      <c r="E792" s="519"/>
      <c r="F792" s="349"/>
      <c r="G792" s="520"/>
    </row>
    <row r="793" ht="32.25" customHeight="1">
      <c r="D793" s="518"/>
      <c r="E793" s="519"/>
      <c r="F793" s="349"/>
      <c r="G793" s="520"/>
    </row>
    <row r="794" ht="32.25" customHeight="1">
      <c r="D794" s="518"/>
      <c r="E794" s="519"/>
      <c r="F794" s="349"/>
      <c r="G794" s="520"/>
    </row>
    <row r="795" ht="32.25" customHeight="1">
      <c r="D795" s="518"/>
      <c r="E795" s="519"/>
      <c r="F795" s="349"/>
      <c r="G795" s="520"/>
    </row>
    <row r="796" ht="32.25" customHeight="1">
      <c r="D796" s="518"/>
      <c r="E796" s="519"/>
      <c r="F796" s="349"/>
      <c r="G796" s="520"/>
    </row>
    <row r="797" ht="32.25" customHeight="1">
      <c r="D797" s="518"/>
      <c r="E797" s="519"/>
      <c r="F797" s="349"/>
      <c r="G797" s="520"/>
    </row>
    <row r="798" ht="32.25" customHeight="1">
      <c r="D798" s="518"/>
      <c r="E798" s="519"/>
      <c r="F798" s="349"/>
      <c r="G798" s="520"/>
    </row>
    <row r="799" ht="32.25" customHeight="1">
      <c r="D799" s="518"/>
      <c r="E799" s="519"/>
      <c r="F799" s="349"/>
      <c r="G799" s="520"/>
    </row>
    <row r="800" ht="32.25" customHeight="1">
      <c r="D800" s="518"/>
      <c r="E800" s="519"/>
      <c r="F800" s="349"/>
      <c r="G800" s="520"/>
    </row>
    <row r="801" ht="32.25" customHeight="1">
      <c r="D801" s="518"/>
      <c r="E801" s="519"/>
      <c r="F801" s="349"/>
      <c r="G801" s="520"/>
    </row>
    <row r="802" ht="32.25" customHeight="1">
      <c r="D802" s="518"/>
      <c r="E802" s="519"/>
      <c r="F802" s="349"/>
      <c r="G802" s="520"/>
    </row>
    <row r="803" ht="32.25" customHeight="1">
      <c r="D803" s="518"/>
      <c r="E803" s="519"/>
      <c r="F803" s="349"/>
      <c r="G803" s="520"/>
    </row>
    <row r="804" ht="32.25" customHeight="1">
      <c r="D804" s="518"/>
      <c r="E804" s="519"/>
      <c r="F804" s="349"/>
      <c r="G804" s="520"/>
    </row>
    <row r="805" ht="32.25" customHeight="1">
      <c r="D805" s="518"/>
      <c r="E805" s="519"/>
      <c r="F805" s="349"/>
      <c r="G805" s="520"/>
    </row>
    <row r="806" ht="32.25" customHeight="1">
      <c r="D806" s="518"/>
      <c r="E806" s="519"/>
      <c r="F806" s="349"/>
      <c r="G806" s="520"/>
    </row>
    <row r="807" ht="32.25" customHeight="1">
      <c r="D807" s="518"/>
      <c r="E807" s="519"/>
      <c r="F807" s="349"/>
      <c r="G807" s="520"/>
    </row>
    <row r="808" ht="32.25" customHeight="1">
      <c r="D808" s="518"/>
      <c r="E808" s="519"/>
      <c r="F808" s="349"/>
      <c r="G808" s="520"/>
    </row>
    <row r="809" ht="32.25" customHeight="1">
      <c r="D809" s="518"/>
      <c r="E809" s="519"/>
      <c r="F809" s="349"/>
      <c r="G809" s="520"/>
    </row>
    <row r="810" ht="32.25" customHeight="1">
      <c r="D810" s="518"/>
      <c r="E810" s="519"/>
      <c r="F810" s="349"/>
      <c r="G810" s="520"/>
    </row>
    <row r="811" ht="32.25" customHeight="1">
      <c r="D811" s="518"/>
      <c r="E811" s="519"/>
      <c r="F811" s="349"/>
      <c r="G811" s="520"/>
    </row>
    <row r="812" ht="32.25" customHeight="1">
      <c r="D812" s="518"/>
      <c r="E812" s="519"/>
      <c r="F812" s="349"/>
      <c r="G812" s="520"/>
    </row>
    <row r="813" ht="32.25" customHeight="1">
      <c r="D813" s="518"/>
      <c r="E813" s="519"/>
      <c r="F813" s="349"/>
      <c r="G813" s="520"/>
    </row>
    <row r="814" ht="32.25" customHeight="1">
      <c r="D814" s="518"/>
      <c r="E814" s="519"/>
      <c r="F814" s="349"/>
      <c r="G814" s="520"/>
    </row>
    <row r="815" ht="32.25" customHeight="1">
      <c r="D815" s="518"/>
      <c r="E815" s="519"/>
      <c r="F815" s="349"/>
      <c r="G815" s="520"/>
    </row>
    <row r="816" ht="32.25" customHeight="1">
      <c r="D816" s="518"/>
      <c r="E816" s="519"/>
      <c r="F816" s="349"/>
      <c r="G816" s="520"/>
    </row>
    <row r="817" ht="32.25" customHeight="1">
      <c r="D817" s="518"/>
      <c r="E817" s="519"/>
      <c r="F817" s="349"/>
      <c r="G817" s="520"/>
    </row>
    <row r="818" ht="32.25" customHeight="1">
      <c r="D818" s="518"/>
      <c r="E818" s="519"/>
      <c r="F818" s="349"/>
      <c r="G818" s="520"/>
    </row>
    <row r="819" ht="32.25" customHeight="1">
      <c r="D819" s="518"/>
      <c r="E819" s="519"/>
      <c r="F819" s="349"/>
      <c r="G819" s="520"/>
    </row>
    <row r="820" ht="32.25" customHeight="1">
      <c r="D820" s="518"/>
      <c r="E820" s="519"/>
      <c r="F820" s="349"/>
      <c r="G820" s="520"/>
    </row>
    <row r="821" ht="32.25" customHeight="1">
      <c r="D821" s="518"/>
      <c r="E821" s="519"/>
      <c r="F821" s="349"/>
      <c r="G821" s="520"/>
    </row>
    <row r="822" ht="32.25" customHeight="1">
      <c r="D822" s="518"/>
      <c r="E822" s="519"/>
      <c r="F822" s="349"/>
      <c r="G822" s="520"/>
    </row>
    <row r="823" ht="32.25" customHeight="1">
      <c r="D823" s="518"/>
      <c r="E823" s="519"/>
      <c r="F823" s="349"/>
      <c r="G823" s="520"/>
    </row>
    <row r="824" ht="32.25" customHeight="1">
      <c r="D824" s="518"/>
      <c r="E824" s="519"/>
      <c r="F824" s="349"/>
      <c r="G824" s="520"/>
    </row>
    <row r="825" ht="32.25" customHeight="1">
      <c r="D825" s="518"/>
      <c r="E825" s="519"/>
      <c r="F825" s="349"/>
      <c r="G825" s="520"/>
    </row>
    <row r="826" ht="32.25" customHeight="1">
      <c r="D826" s="518"/>
      <c r="E826" s="519"/>
      <c r="F826" s="349"/>
      <c r="G826" s="520"/>
    </row>
    <row r="827" ht="32.25" customHeight="1">
      <c r="D827" s="518"/>
      <c r="E827" s="519"/>
      <c r="F827" s="349"/>
      <c r="G827" s="520"/>
    </row>
    <row r="828" ht="32.25" customHeight="1">
      <c r="D828" s="518"/>
      <c r="E828" s="519"/>
      <c r="F828" s="349"/>
      <c r="G828" s="520"/>
    </row>
    <row r="829" ht="32.25" customHeight="1">
      <c r="D829" s="518"/>
      <c r="E829" s="519"/>
      <c r="F829" s="349"/>
      <c r="G829" s="520"/>
    </row>
    <row r="830" ht="32.25" customHeight="1">
      <c r="D830" s="518"/>
      <c r="E830" s="519"/>
      <c r="F830" s="349"/>
      <c r="G830" s="520"/>
    </row>
    <row r="831" ht="32.25" customHeight="1">
      <c r="D831" s="518"/>
      <c r="E831" s="519"/>
      <c r="F831" s="349"/>
      <c r="G831" s="520"/>
    </row>
    <row r="832" ht="32.25" customHeight="1">
      <c r="D832" s="518"/>
      <c r="E832" s="519"/>
      <c r="F832" s="349"/>
      <c r="G832" s="520"/>
    </row>
    <row r="833" ht="32.25" customHeight="1">
      <c r="D833" s="518"/>
      <c r="E833" s="519"/>
      <c r="F833" s="349"/>
      <c r="G833" s="520"/>
    </row>
    <row r="834" ht="32.25" customHeight="1">
      <c r="D834" s="518"/>
      <c r="E834" s="519"/>
      <c r="F834" s="349"/>
      <c r="G834" s="520"/>
    </row>
    <row r="835" ht="32.25" customHeight="1">
      <c r="D835" s="518"/>
      <c r="E835" s="519"/>
      <c r="F835" s="349"/>
      <c r="G835" s="520"/>
    </row>
    <row r="836" ht="32.25" customHeight="1">
      <c r="D836" s="518"/>
      <c r="E836" s="519"/>
      <c r="F836" s="349"/>
      <c r="G836" s="520"/>
    </row>
    <row r="837" ht="32.25" customHeight="1">
      <c r="D837" s="518"/>
      <c r="E837" s="519"/>
      <c r="F837" s="349"/>
      <c r="G837" s="520"/>
    </row>
    <row r="838" ht="32.25" customHeight="1">
      <c r="D838" s="518"/>
      <c r="E838" s="519"/>
      <c r="F838" s="349"/>
      <c r="G838" s="520"/>
    </row>
    <row r="839" ht="32.25" customHeight="1">
      <c r="D839" s="518"/>
      <c r="E839" s="519"/>
      <c r="F839" s="349"/>
      <c r="G839" s="520"/>
    </row>
    <row r="840" ht="32.25" customHeight="1">
      <c r="D840" s="518"/>
      <c r="E840" s="519"/>
      <c r="F840" s="349"/>
      <c r="G840" s="520"/>
    </row>
    <row r="841" ht="32.25" customHeight="1">
      <c r="D841" s="518"/>
      <c r="E841" s="519"/>
      <c r="F841" s="349"/>
      <c r="G841" s="520"/>
    </row>
    <row r="842" ht="32.25" customHeight="1">
      <c r="D842" s="518"/>
      <c r="E842" s="519"/>
      <c r="F842" s="349"/>
      <c r="G842" s="520"/>
    </row>
    <row r="843" ht="32.25" customHeight="1">
      <c r="D843" s="518"/>
      <c r="E843" s="519"/>
      <c r="F843" s="349"/>
      <c r="G843" s="520"/>
    </row>
    <row r="844" ht="32.25" customHeight="1">
      <c r="D844" s="518"/>
      <c r="E844" s="519"/>
      <c r="F844" s="349"/>
      <c r="G844" s="520"/>
    </row>
    <row r="845" ht="32.25" customHeight="1">
      <c r="D845" s="518"/>
      <c r="E845" s="519"/>
      <c r="F845" s="349"/>
      <c r="G845" s="520"/>
    </row>
    <row r="846" ht="32.25" customHeight="1">
      <c r="D846" s="518"/>
      <c r="E846" s="519"/>
      <c r="F846" s="349"/>
      <c r="G846" s="520"/>
    </row>
    <row r="847" ht="32.25" customHeight="1">
      <c r="D847" s="518"/>
      <c r="E847" s="519"/>
      <c r="F847" s="349"/>
      <c r="G847" s="520"/>
    </row>
    <row r="848" ht="32.25" customHeight="1">
      <c r="D848" s="518"/>
      <c r="E848" s="519"/>
      <c r="F848" s="349"/>
      <c r="G848" s="520"/>
    </row>
    <row r="849" ht="32.25" customHeight="1">
      <c r="D849" s="518"/>
      <c r="E849" s="519"/>
      <c r="F849" s="349"/>
      <c r="G849" s="520"/>
    </row>
    <row r="850" ht="32.25" customHeight="1">
      <c r="D850" s="518"/>
      <c r="E850" s="519"/>
      <c r="F850" s="349"/>
      <c r="G850" s="520"/>
    </row>
    <row r="851" ht="32.25" customHeight="1">
      <c r="D851" s="518"/>
      <c r="E851" s="519"/>
      <c r="F851" s="349"/>
      <c r="G851" s="520"/>
    </row>
    <row r="852" ht="32.25" customHeight="1">
      <c r="D852" s="518"/>
      <c r="E852" s="519"/>
      <c r="F852" s="349"/>
      <c r="G852" s="520"/>
    </row>
    <row r="853" ht="32.25" customHeight="1">
      <c r="D853" s="518"/>
      <c r="E853" s="519"/>
      <c r="F853" s="349"/>
      <c r="G853" s="520"/>
    </row>
    <row r="854" ht="32.25" customHeight="1">
      <c r="D854" s="518"/>
      <c r="E854" s="519"/>
      <c r="F854" s="349"/>
      <c r="G854" s="520"/>
    </row>
    <row r="855" ht="32.25" customHeight="1">
      <c r="D855" s="518"/>
      <c r="E855" s="519"/>
      <c r="F855" s="349"/>
      <c r="G855" s="520"/>
    </row>
    <row r="856" ht="32.25" customHeight="1">
      <c r="D856" s="518"/>
      <c r="E856" s="519"/>
      <c r="F856" s="349"/>
      <c r="G856" s="520"/>
    </row>
    <row r="857" ht="32.25" customHeight="1">
      <c r="D857" s="518"/>
      <c r="E857" s="519"/>
      <c r="F857" s="349"/>
      <c r="G857" s="520"/>
    </row>
    <row r="858" ht="32.25" customHeight="1">
      <c r="D858" s="518"/>
      <c r="E858" s="519"/>
      <c r="F858" s="349"/>
      <c r="G858" s="520"/>
    </row>
    <row r="859" ht="32.25" customHeight="1">
      <c r="D859" s="518"/>
      <c r="E859" s="519"/>
      <c r="F859" s="349"/>
      <c r="G859" s="520"/>
    </row>
    <row r="860" ht="32.25" customHeight="1">
      <c r="D860" s="518"/>
      <c r="E860" s="519"/>
      <c r="F860" s="349"/>
      <c r="G860" s="520"/>
    </row>
    <row r="861" ht="32.25" customHeight="1">
      <c r="D861" s="518"/>
      <c r="E861" s="519"/>
      <c r="F861" s="349"/>
      <c r="G861" s="520"/>
    </row>
    <row r="862" ht="32.25" customHeight="1">
      <c r="D862" s="518"/>
      <c r="E862" s="519"/>
      <c r="F862" s="349"/>
      <c r="G862" s="520"/>
    </row>
    <row r="863" ht="32.25" customHeight="1">
      <c r="D863" s="518"/>
      <c r="E863" s="519"/>
      <c r="F863" s="349"/>
      <c r="G863" s="520"/>
    </row>
    <row r="864" ht="32.25" customHeight="1">
      <c r="D864" s="518"/>
      <c r="E864" s="519"/>
      <c r="F864" s="349"/>
      <c r="G864" s="520"/>
    </row>
    <row r="865" ht="32.25" customHeight="1">
      <c r="D865" s="518"/>
      <c r="E865" s="519"/>
      <c r="F865" s="349"/>
      <c r="G865" s="520"/>
    </row>
    <row r="866" ht="32.25" customHeight="1">
      <c r="D866" s="518"/>
      <c r="E866" s="519"/>
      <c r="F866" s="349"/>
      <c r="G866" s="520"/>
    </row>
    <row r="867" ht="32.25" customHeight="1">
      <c r="D867" s="518"/>
      <c r="E867" s="519"/>
      <c r="F867" s="349"/>
      <c r="G867" s="520"/>
    </row>
    <row r="868" ht="32.25" customHeight="1">
      <c r="D868" s="518"/>
      <c r="E868" s="519"/>
      <c r="F868" s="349"/>
      <c r="G868" s="520"/>
    </row>
    <row r="869" ht="32.25" customHeight="1">
      <c r="D869" s="518"/>
      <c r="E869" s="519"/>
      <c r="F869" s="349"/>
      <c r="G869" s="520"/>
    </row>
    <row r="870" ht="32.25" customHeight="1">
      <c r="D870" s="518"/>
      <c r="E870" s="519"/>
      <c r="F870" s="349"/>
      <c r="G870" s="520"/>
    </row>
    <row r="871" ht="32.25" customHeight="1">
      <c r="D871" s="518"/>
      <c r="E871" s="519"/>
      <c r="F871" s="349"/>
      <c r="G871" s="520"/>
    </row>
    <row r="872" ht="32.25" customHeight="1">
      <c r="D872" s="518"/>
      <c r="E872" s="519"/>
      <c r="F872" s="349"/>
      <c r="G872" s="520"/>
    </row>
    <row r="873" ht="32.25" customHeight="1">
      <c r="D873" s="518"/>
      <c r="E873" s="519"/>
      <c r="F873" s="349"/>
      <c r="G873" s="520"/>
    </row>
    <row r="874" ht="32.25" customHeight="1">
      <c r="D874" s="518"/>
      <c r="E874" s="519"/>
      <c r="F874" s="349"/>
      <c r="G874" s="520"/>
    </row>
    <row r="875" ht="32.25" customHeight="1">
      <c r="D875" s="518"/>
      <c r="E875" s="519"/>
      <c r="F875" s="349"/>
      <c r="G875" s="520"/>
    </row>
    <row r="876" ht="32.25" customHeight="1">
      <c r="D876" s="518"/>
      <c r="E876" s="519"/>
      <c r="F876" s="349"/>
      <c r="G876" s="520"/>
    </row>
    <row r="877" ht="32.25" customHeight="1">
      <c r="D877" s="518"/>
      <c r="E877" s="519"/>
      <c r="F877" s="349"/>
      <c r="G877" s="520"/>
    </row>
    <row r="878" ht="32.25" customHeight="1">
      <c r="D878" s="518"/>
      <c r="E878" s="519"/>
      <c r="F878" s="349"/>
      <c r="G878" s="520"/>
    </row>
    <row r="879" ht="32.25" customHeight="1">
      <c r="D879" s="518"/>
      <c r="E879" s="519"/>
      <c r="F879" s="349"/>
      <c r="G879" s="520"/>
    </row>
    <row r="880" ht="32.25" customHeight="1">
      <c r="D880" s="518"/>
      <c r="E880" s="519"/>
      <c r="F880" s="349"/>
      <c r="G880" s="520"/>
    </row>
    <row r="881" ht="32.25" customHeight="1">
      <c r="D881" s="518"/>
      <c r="E881" s="519"/>
      <c r="F881" s="349"/>
      <c r="G881" s="520"/>
    </row>
    <row r="882" ht="32.25" customHeight="1">
      <c r="D882" s="518"/>
      <c r="E882" s="519"/>
      <c r="F882" s="349"/>
      <c r="G882" s="520"/>
    </row>
    <row r="883" ht="32.25" customHeight="1">
      <c r="D883" s="518"/>
      <c r="E883" s="519"/>
      <c r="F883" s="349"/>
      <c r="G883" s="520"/>
    </row>
    <row r="884" ht="32.25" customHeight="1">
      <c r="D884" s="518"/>
      <c r="E884" s="519"/>
      <c r="F884" s="349"/>
      <c r="G884" s="520"/>
    </row>
    <row r="885" ht="32.25" customHeight="1">
      <c r="D885" s="518"/>
      <c r="E885" s="519"/>
      <c r="F885" s="349"/>
      <c r="G885" s="520"/>
    </row>
    <row r="886" ht="32.25" customHeight="1">
      <c r="D886" s="518"/>
      <c r="E886" s="519"/>
      <c r="F886" s="349"/>
      <c r="G886" s="520"/>
    </row>
    <row r="887" ht="32.25" customHeight="1">
      <c r="D887" s="518"/>
      <c r="E887" s="519"/>
      <c r="F887" s="349"/>
      <c r="G887" s="520"/>
    </row>
    <row r="888" ht="32.25" customHeight="1">
      <c r="D888" s="518"/>
      <c r="E888" s="519"/>
      <c r="F888" s="349"/>
      <c r="G888" s="520"/>
    </row>
    <row r="889" ht="32.25" customHeight="1">
      <c r="D889" s="518"/>
      <c r="E889" s="519"/>
      <c r="F889" s="349"/>
      <c r="G889" s="520"/>
    </row>
    <row r="890" ht="32.25" customHeight="1">
      <c r="D890" s="518"/>
      <c r="E890" s="519"/>
      <c r="F890" s="349"/>
      <c r="G890" s="520"/>
    </row>
    <row r="891" ht="32.25" customHeight="1">
      <c r="D891" s="518"/>
      <c r="E891" s="519"/>
      <c r="F891" s="349"/>
      <c r="G891" s="520"/>
    </row>
    <row r="892" ht="32.25" customHeight="1">
      <c r="D892" s="518"/>
      <c r="E892" s="519"/>
      <c r="F892" s="349"/>
      <c r="G892" s="520"/>
    </row>
    <row r="893" ht="32.25" customHeight="1">
      <c r="D893" s="518"/>
      <c r="E893" s="519"/>
      <c r="F893" s="349"/>
      <c r="G893" s="520"/>
    </row>
    <row r="894" ht="32.25" customHeight="1">
      <c r="D894" s="518"/>
      <c r="E894" s="519"/>
      <c r="F894" s="349"/>
      <c r="G894" s="520"/>
    </row>
    <row r="895" ht="32.25" customHeight="1">
      <c r="D895" s="518"/>
      <c r="E895" s="519"/>
      <c r="F895" s="349"/>
      <c r="G895" s="520"/>
    </row>
    <row r="896" ht="32.25" customHeight="1">
      <c r="D896" s="518"/>
      <c r="E896" s="519"/>
      <c r="F896" s="349"/>
      <c r="G896" s="520"/>
    </row>
    <row r="897" ht="32.25" customHeight="1">
      <c r="D897" s="518"/>
      <c r="E897" s="519"/>
      <c r="F897" s="349"/>
      <c r="G897" s="520"/>
    </row>
    <row r="898" ht="32.25" customHeight="1">
      <c r="D898" s="518"/>
      <c r="E898" s="519"/>
      <c r="F898" s="349"/>
      <c r="G898" s="520"/>
    </row>
    <row r="899" ht="32.25" customHeight="1">
      <c r="D899" s="518"/>
      <c r="E899" s="519"/>
      <c r="F899" s="349"/>
      <c r="G899" s="520"/>
    </row>
    <row r="900" ht="32.25" customHeight="1">
      <c r="D900" s="518"/>
      <c r="E900" s="519"/>
      <c r="F900" s="349"/>
      <c r="G900" s="520"/>
    </row>
    <row r="901" ht="32.25" customHeight="1">
      <c r="D901" s="518"/>
      <c r="E901" s="519"/>
      <c r="F901" s="349"/>
      <c r="G901" s="520"/>
    </row>
    <row r="902" ht="32.25" customHeight="1">
      <c r="D902" s="518"/>
      <c r="E902" s="519"/>
      <c r="F902" s="349"/>
      <c r="G902" s="520"/>
    </row>
    <row r="903" ht="32.25" customHeight="1">
      <c r="D903" s="518"/>
      <c r="E903" s="519"/>
      <c r="F903" s="349"/>
      <c r="G903" s="520"/>
    </row>
    <row r="904" ht="32.25" customHeight="1">
      <c r="D904" s="518"/>
      <c r="E904" s="519"/>
      <c r="F904" s="349"/>
      <c r="G904" s="520"/>
    </row>
    <row r="905" ht="32.25" customHeight="1">
      <c r="D905" s="518"/>
      <c r="E905" s="519"/>
      <c r="F905" s="349"/>
      <c r="G905" s="520"/>
    </row>
    <row r="906" ht="32.25" customHeight="1">
      <c r="D906" s="518"/>
      <c r="E906" s="519"/>
      <c r="F906" s="349"/>
      <c r="G906" s="520"/>
    </row>
    <row r="907" ht="32.25" customHeight="1">
      <c r="D907" s="518"/>
      <c r="E907" s="519"/>
      <c r="F907" s="349"/>
      <c r="G907" s="520"/>
    </row>
    <row r="908" ht="32.25" customHeight="1">
      <c r="D908" s="518"/>
      <c r="E908" s="519"/>
      <c r="F908" s="349"/>
      <c r="G908" s="520"/>
    </row>
    <row r="909" ht="32.25" customHeight="1">
      <c r="D909" s="518"/>
      <c r="E909" s="519"/>
      <c r="F909" s="349"/>
      <c r="G909" s="520"/>
    </row>
    <row r="910" ht="32.25" customHeight="1">
      <c r="D910" s="518"/>
      <c r="E910" s="519"/>
      <c r="F910" s="349"/>
      <c r="G910" s="520"/>
    </row>
    <row r="911" ht="32.25" customHeight="1">
      <c r="D911" s="518"/>
      <c r="E911" s="519"/>
      <c r="F911" s="349"/>
      <c r="G911" s="520"/>
    </row>
    <row r="912" ht="32.25" customHeight="1">
      <c r="D912" s="518"/>
      <c r="E912" s="519"/>
      <c r="F912" s="349"/>
      <c r="G912" s="520"/>
    </row>
    <row r="913" ht="32.25" customHeight="1">
      <c r="D913" s="518"/>
      <c r="E913" s="519"/>
      <c r="F913" s="349"/>
      <c r="G913" s="520"/>
    </row>
    <row r="914" ht="32.25" customHeight="1">
      <c r="D914" s="518"/>
      <c r="E914" s="519"/>
      <c r="F914" s="349"/>
      <c r="G914" s="520"/>
    </row>
    <row r="915" ht="32.25" customHeight="1">
      <c r="D915" s="518"/>
      <c r="E915" s="519"/>
      <c r="F915" s="349"/>
      <c r="G915" s="520"/>
    </row>
    <row r="916" ht="32.25" customHeight="1">
      <c r="D916" s="518"/>
      <c r="E916" s="519"/>
      <c r="F916" s="349"/>
      <c r="G916" s="520"/>
    </row>
    <row r="917" ht="32.25" customHeight="1">
      <c r="D917" s="518"/>
      <c r="E917" s="519"/>
      <c r="F917" s="349"/>
      <c r="G917" s="520"/>
    </row>
    <row r="918" ht="32.25" customHeight="1">
      <c r="D918" s="518"/>
      <c r="E918" s="519"/>
      <c r="F918" s="349"/>
      <c r="G918" s="520"/>
    </row>
    <row r="919" ht="32.25" customHeight="1">
      <c r="D919" s="518"/>
      <c r="E919" s="519"/>
      <c r="F919" s="349"/>
      <c r="G919" s="520"/>
    </row>
    <row r="920" ht="32.25" customHeight="1">
      <c r="D920" s="518"/>
      <c r="E920" s="519"/>
      <c r="F920" s="349"/>
      <c r="G920" s="520"/>
    </row>
    <row r="921" ht="32.25" customHeight="1">
      <c r="D921" s="518"/>
      <c r="E921" s="519"/>
      <c r="F921" s="349"/>
      <c r="G921" s="520"/>
    </row>
    <row r="922" ht="32.25" customHeight="1">
      <c r="D922" s="518"/>
      <c r="E922" s="519"/>
      <c r="F922" s="349"/>
      <c r="G922" s="520"/>
    </row>
    <row r="923" ht="32.25" customHeight="1">
      <c r="D923" s="518"/>
      <c r="E923" s="519"/>
      <c r="F923" s="349"/>
      <c r="G923" s="520"/>
    </row>
    <row r="924" ht="32.25" customHeight="1">
      <c r="D924" s="518"/>
      <c r="E924" s="519"/>
      <c r="F924" s="349"/>
      <c r="G924" s="520"/>
    </row>
    <row r="925" ht="32.25" customHeight="1">
      <c r="D925" s="518"/>
      <c r="E925" s="519"/>
      <c r="F925" s="349"/>
      <c r="G925" s="520"/>
    </row>
    <row r="926" ht="32.25" customHeight="1">
      <c r="D926" s="518"/>
      <c r="E926" s="519"/>
      <c r="F926" s="349"/>
      <c r="G926" s="520"/>
    </row>
    <row r="927" ht="32.25" customHeight="1">
      <c r="D927" s="518"/>
      <c r="E927" s="519"/>
      <c r="F927" s="349"/>
      <c r="G927" s="520"/>
    </row>
    <row r="928" ht="32.25" customHeight="1">
      <c r="D928" s="518"/>
      <c r="E928" s="519"/>
      <c r="F928" s="349"/>
      <c r="G928" s="520"/>
    </row>
    <row r="929" ht="32.25" customHeight="1">
      <c r="D929" s="518"/>
      <c r="E929" s="519"/>
      <c r="F929" s="349"/>
      <c r="G929" s="520"/>
    </row>
    <row r="930" ht="32.25" customHeight="1">
      <c r="D930" s="518"/>
      <c r="E930" s="519"/>
      <c r="F930" s="349"/>
      <c r="G930" s="520"/>
    </row>
    <row r="931" ht="32.25" customHeight="1">
      <c r="D931" s="518"/>
      <c r="E931" s="519"/>
      <c r="F931" s="349"/>
      <c r="G931" s="520"/>
    </row>
    <row r="932" ht="32.25" customHeight="1">
      <c r="D932" s="518"/>
      <c r="E932" s="519"/>
      <c r="F932" s="349"/>
      <c r="G932" s="520"/>
    </row>
    <row r="933" ht="32.25" customHeight="1">
      <c r="D933" s="518"/>
      <c r="E933" s="519"/>
      <c r="F933" s="349"/>
      <c r="G933" s="520"/>
    </row>
    <row r="934" ht="32.25" customHeight="1">
      <c r="D934" s="518"/>
      <c r="E934" s="519"/>
      <c r="F934" s="349"/>
      <c r="G934" s="520"/>
    </row>
    <row r="935" ht="32.25" customHeight="1">
      <c r="D935" s="518"/>
      <c r="E935" s="519"/>
      <c r="F935" s="349"/>
      <c r="G935" s="520"/>
    </row>
    <row r="936" ht="32.25" customHeight="1">
      <c r="D936" s="518"/>
      <c r="E936" s="519"/>
      <c r="F936" s="349"/>
      <c r="G936" s="520"/>
    </row>
    <row r="937" ht="32.25" customHeight="1">
      <c r="D937" s="518"/>
      <c r="E937" s="519"/>
      <c r="F937" s="349"/>
      <c r="G937" s="520"/>
    </row>
    <row r="938" ht="32.25" customHeight="1">
      <c r="D938" s="518"/>
      <c r="E938" s="519"/>
      <c r="F938" s="349"/>
      <c r="G938" s="520"/>
    </row>
    <row r="939" ht="32.25" customHeight="1">
      <c r="D939" s="518"/>
      <c r="E939" s="519"/>
      <c r="F939" s="349"/>
      <c r="G939" s="520"/>
    </row>
    <row r="940" ht="32.25" customHeight="1">
      <c r="D940" s="518"/>
      <c r="E940" s="519"/>
      <c r="F940" s="349"/>
      <c r="G940" s="520"/>
    </row>
    <row r="941" ht="32.25" customHeight="1">
      <c r="D941" s="518"/>
      <c r="E941" s="519"/>
      <c r="F941" s="349"/>
      <c r="G941" s="520"/>
    </row>
    <row r="942" ht="32.25" customHeight="1">
      <c r="D942" s="518"/>
      <c r="E942" s="519"/>
      <c r="F942" s="349"/>
      <c r="G942" s="520"/>
    </row>
    <row r="943" ht="32.25" customHeight="1">
      <c r="D943" s="518"/>
      <c r="E943" s="519"/>
      <c r="F943" s="349"/>
      <c r="G943" s="520"/>
    </row>
    <row r="944" ht="32.25" customHeight="1">
      <c r="D944" s="518"/>
      <c r="E944" s="519"/>
      <c r="F944" s="349"/>
      <c r="G944" s="520"/>
    </row>
    <row r="945" ht="32.25" customHeight="1">
      <c r="D945" s="518"/>
      <c r="E945" s="519"/>
      <c r="F945" s="349"/>
      <c r="G945" s="520"/>
    </row>
    <row r="946" ht="32.25" customHeight="1">
      <c r="D946" s="518"/>
      <c r="E946" s="519"/>
      <c r="F946" s="349"/>
      <c r="G946" s="520"/>
    </row>
    <row r="947" ht="32.25" customHeight="1">
      <c r="D947" s="518"/>
      <c r="E947" s="519"/>
      <c r="F947" s="349"/>
      <c r="G947" s="520"/>
    </row>
    <row r="948" ht="32.25" customHeight="1">
      <c r="D948" s="518"/>
      <c r="E948" s="519"/>
      <c r="F948" s="349"/>
      <c r="G948" s="520"/>
    </row>
    <row r="949" ht="32.25" customHeight="1">
      <c r="D949" s="518"/>
      <c r="E949" s="519"/>
      <c r="F949" s="349"/>
      <c r="G949" s="520"/>
    </row>
    <row r="950" ht="32.25" customHeight="1">
      <c r="D950" s="518"/>
      <c r="E950" s="519"/>
      <c r="F950" s="349"/>
      <c r="G950" s="520"/>
    </row>
    <row r="951" ht="32.25" customHeight="1">
      <c r="D951" s="518"/>
      <c r="E951" s="519"/>
      <c r="F951" s="349"/>
      <c r="G951" s="520"/>
    </row>
    <row r="952" ht="32.25" customHeight="1">
      <c r="D952" s="518"/>
      <c r="E952" s="519"/>
      <c r="F952" s="349"/>
      <c r="G952" s="520"/>
    </row>
    <row r="953" ht="32.25" customHeight="1">
      <c r="D953" s="518"/>
      <c r="E953" s="519"/>
      <c r="F953" s="349"/>
      <c r="G953" s="520"/>
    </row>
    <row r="954" ht="32.25" customHeight="1">
      <c r="D954" s="518"/>
      <c r="E954" s="519"/>
      <c r="F954" s="349"/>
      <c r="G954" s="520"/>
    </row>
    <row r="955" ht="32.25" customHeight="1">
      <c r="D955" s="518"/>
      <c r="E955" s="519"/>
      <c r="F955" s="349"/>
      <c r="G955" s="520"/>
    </row>
    <row r="956" ht="32.25" customHeight="1">
      <c r="D956" s="518"/>
      <c r="E956" s="519"/>
      <c r="F956" s="349"/>
      <c r="G956" s="520"/>
    </row>
    <row r="957" ht="32.25" customHeight="1">
      <c r="D957" s="518"/>
      <c r="E957" s="519"/>
      <c r="F957" s="349"/>
      <c r="G957" s="520"/>
    </row>
    <row r="958" ht="32.25" customHeight="1">
      <c r="D958" s="518"/>
      <c r="E958" s="519"/>
      <c r="F958" s="349"/>
      <c r="G958" s="520"/>
    </row>
    <row r="959" ht="32.25" customHeight="1">
      <c r="D959" s="518"/>
      <c r="E959" s="519"/>
      <c r="F959" s="349"/>
      <c r="G959" s="520"/>
    </row>
    <row r="960" ht="32.25" customHeight="1">
      <c r="D960" s="518"/>
      <c r="E960" s="519"/>
      <c r="F960" s="349"/>
      <c r="G960" s="520"/>
    </row>
    <row r="961" ht="32.25" customHeight="1">
      <c r="D961" s="518"/>
      <c r="E961" s="519"/>
      <c r="F961" s="349"/>
      <c r="G961" s="520"/>
    </row>
    <row r="962" ht="32.25" customHeight="1">
      <c r="D962" s="518"/>
      <c r="E962" s="519"/>
      <c r="F962" s="349"/>
      <c r="G962" s="520"/>
    </row>
    <row r="963" ht="32.25" customHeight="1">
      <c r="D963" s="518"/>
      <c r="E963" s="519"/>
      <c r="F963" s="349"/>
      <c r="G963" s="520"/>
    </row>
    <row r="964" ht="32.25" customHeight="1">
      <c r="D964" s="518"/>
      <c r="E964" s="519"/>
      <c r="F964" s="349"/>
      <c r="G964" s="520"/>
    </row>
    <row r="965" ht="32.25" customHeight="1">
      <c r="D965" s="518"/>
      <c r="E965" s="519"/>
      <c r="F965" s="349"/>
      <c r="G965" s="520"/>
    </row>
    <row r="966" ht="32.25" customHeight="1">
      <c r="D966" s="518"/>
      <c r="E966" s="519"/>
      <c r="F966" s="349"/>
      <c r="G966" s="520"/>
    </row>
    <row r="967" ht="32.25" customHeight="1">
      <c r="D967" s="518"/>
      <c r="E967" s="519"/>
      <c r="F967" s="349"/>
      <c r="G967" s="520"/>
    </row>
    <row r="968" ht="32.25" customHeight="1">
      <c r="D968" s="518"/>
      <c r="E968" s="519"/>
      <c r="F968" s="349"/>
      <c r="G968" s="520"/>
    </row>
    <row r="969" ht="32.25" customHeight="1">
      <c r="D969" s="518"/>
      <c r="E969" s="519"/>
      <c r="F969" s="349"/>
      <c r="G969" s="520"/>
    </row>
    <row r="970" ht="32.25" customHeight="1">
      <c r="D970" s="518"/>
      <c r="E970" s="519"/>
      <c r="F970" s="349"/>
      <c r="G970" s="520"/>
    </row>
    <row r="971" ht="32.25" customHeight="1">
      <c r="D971" s="518"/>
      <c r="E971" s="519"/>
      <c r="F971" s="349"/>
      <c r="G971" s="520"/>
    </row>
    <row r="972" ht="32.25" customHeight="1">
      <c r="D972" s="518"/>
      <c r="E972" s="519"/>
      <c r="F972" s="349"/>
      <c r="G972" s="520"/>
    </row>
    <row r="973" ht="32.25" customHeight="1">
      <c r="D973" s="518"/>
      <c r="E973" s="519"/>
      <c r="F973" s="349"/>
      <c r="G973" s="520"/>
    </row>
    <row r="974" ht="32.25" customHeight="1">
      <c r="D974" s="518"/>
      <c r="E974" s="519"/>
      <c r="F974" s="349"/>
      <c r="G974" s="520"/>
    </row>
    <row r="975" ht="32.25" customHeight="1">
      <c r="D975" s="518"/>
      <c r="E975" s="519"/>
      <c r="F975" s="349"/>
      <c r="G975" s="520"/>
    </row>
    <row r="976" ht="32.25" customHeight="1">
      <c r="D976" s="518"/>
      <c r="E976" s="519"/>
      <c r="F976" s="349"/>
      <c r="G976" s="520"/>
    </row>
    <row r="977" ht="32.25" customHeight="1">
      <c r="D977" s="518"/>
      <c r="E977" s="519"/>
      <c r="F977" s="349"/>
      <c r="G977" s="520"/>
    </row>
    <row r="978" ht="32.25" customHeight="1">
      <c r="D978" s="518"/>
      <c r="E978" s="519"/>
      <c r="F978" s="349"/>
      <c r="G978" s="520"/>
    </row>
    <row r="979" ht="32.25" customHeight="1">
      <c r="D979" s="518"/>
      <c r="E979" s="519"/>
      <c r="F979" s="349"/>
      <c r="G979" s="520"/>
    </row>
    <row r="980" ht="32.25" customHeight="1">
      <c r="D980" s="518"/>
      <c r="E980" s="519"/>
      <c r="F980" s="349"/>
      <c r="G980" s="520"/>
    </row>
    <row r="981" ht="32.25" customHeight="1">
      <c r="D981" s="518"/>
      <c r="E981" s="519"/>
      <c r="F981" s="349"/>
      <c r="G981" s="520"/>
    </row>
    <row r="982" ht="32.25" customHeight="1">
      <c r="D982" s="518"/>
      <c r="E982" s="519"/>
      <c r="F982" s="349"/>
      <c r="G982" s="520"/>
    </row>
    <row r="983" ht="32.25" customHeight="1">
      <c r="D983" s="518"/>
      <c r="E983" s="519"/>
      <c r="F983" s="349"/>
      <c r="G983" s="520"/>
    </row>
    <row r="984" ht="32.25" customHeight="1">
      <c r="D984" s="518"/>
      <c r="E984" s="519"/>
      <c r="F984" s="349"/>
      <c r="G984" s="520"/>
    </row>
    <row r="985" ht="32.25" customHeight="1">
      <c r="D985" s="518"/>
      <c r="E985" s="519"/>
      <c r="F985" s="349"/>
      <c r="G985" s="520"/>
    </row>
    <row r="986" ht="32.25" customHeight="1">
      <c r="D986" s="518"/>
      <c r="E986" s="519"/>
      <c r="F986" s="349"/>
      <c r="G986" s="520"/>
    </row>
    <row r="987" ht="32.25" customHeight="1">
      <c r="D987" s="518"/>
      <c r="E987" s="519"/>
      <c r="F987" s="349"/>
      <c r="G987" s="520"/>
    </row>
    <row r="988" ht="32.25" customHeight="1">
      <c r="D988" s="518"/>
      <c r="E988" s="519"/>
      <c r="F988" s="349"/>
      <c r="G988" s="520"/>
    </row>
    <row r="989" ht="32.25" customHeight="1">
      <c r="D989" s="518"/>
      <c r="E989" s="519"/>
      <c r="F989" s="349"/>
      <c r="G989" s="520"/>
    </row>
    <row r="990" ht="32.25" customHeight="1">
      <c r="D990" s="518"/>
      <c r="E990" s="519"/>
      <c r="F990" s="349"/>
      <c r="G990" s="520"/>
    </row>
    <row r="991" ht="32.25" customHeight="1">
      <c r="D991" s="518"/>
      <c r="E991" s="519"/>
      <c r="F991" s="349"/>
      <c r="G991" s="520"/>
    </row>
    <row r="992" ht="32.25" customHeight="1">
      <c r="D992" s="518"/>
      <c r="E992" s="519"/>
      <c r="F992" s="349"/>
      <c r="G992" s="520"/>
    </row>
    <row r="993" ht="32.25" customHeight="1">
      <c r="D993" s="518"/>
      <c r="E993" s="519"/>
      <c r="F993" s="349"/>
      <c r="G993" s="520"/>
    </row>
    <row r="994" ht="32.25" customHeight="1">
      <c r="D994" s="518"/>
      <c r="E994" s="519"/>
      <c r="F994" s="349"/>
      <c r="G994" s="520"/>
    </row>
    <row r="995" ht="32.25" customHeight="1">
      <c r="D995" s="518"/>
      <c r="E995" s="519"/>
      <c r="F995" s="349"/>
      <c r="G995" s="520"/>
    </row>
    <row r="996" ht="32.25" customHeight="1">
      <c r="D996" s="518"/>
      <c r="E996" s="519"/>
      <c r="F996" s="349"/>
      <c r="G996" s="520"/>
    </row>
    <row r="997" ht="32.25" customHeight="1">
      <c r="D997" s="518"/>
      <c r="E997" s="519"/>
      <c r="F997" s="349"/>
      <c r="G997" s="520"/>
    </row>
    <row r="998" ht="32.25" customHeight="1">
      <c r="D998" s="518"/>
      <c r="E998" s="519"/>
      <c r="F998" s="349"/>
      <c r="G998" s="520"/>
    </row>
    <row r="999" ht="32.25" customHeight="1">
      <c r="D999" s="518"/>
      <c r="E999" s="519"/>
      <c r="F999" s="349"/>
      <c r="G999" s="520"/>
    </row>
    <row r="1000" ht="32.25" customHeight="1">
      <c r="D1000" s="518"/>
      <c r="E1000" s="519"/>
      <c r="F1000" s="349"/>
      <c r="G1000" s="520"/>
    </row>
  </sheetData>
  <mergeCells count="44">
    <mergeCell ref="H1:N1"/>
    <mergeCell ref="O1:U1"/>
    <mergeCell ref="V1:AB1"/>
    <mergeCell ref="AC1:AI1"/>
    <mergeCell ref="AJ1:AP1"/>
    <mergeCell ref="AQ1:AW1"/>
    <mergeCell ref="AX1:BD1"/>
    <mergeCell ref="BE1:BK1"/>
    <mergeCell ref="A8:A12"/>
    <mergeCell ref="A13:A16"/>
    <mergeCell ref="A17:A20"/>
    <mergeCell ref="A21:A24"/>
    <mergeCell ref="A25:A28"/>
    <mergeCell ref="A29:A31"/>
    <mergeCell ref="A32:A35"/>
    <mergeCell ref="A1:A2"/>
    <mergeCell ref="B1:B2"/>
    <mergeCell ref="C1:C2"/>
    <mergeCell ref="D1:D2"/>
    <mergeCell ref="E1:E2"/>
    <mergeCell ref="F1:F2"/>
    <mergeCell ref="A3:A7"/>
    <mergeCell ref="G1:G2"/>
    <mergeCell ref="H4:I4"/>
    <mergeCell ref="J5:K5"/>
    <mergeCell ref="L6:M6"/>
    <mergeCell ref="M7:N7"/>
    <mergeCell ref="O9:Q9"/>
    <mergeCell ref="R10:S10"/>
    <mergeCell ref="AL23:AO23"/>
    <mergeCell ref="AQ26:AT26"/>
    <mergeCell ref="AU27:AV27"/>
    <mergeCell ref="AX30:BB30"/>
    <mergeCell ref="BC31:BD31"/>
    <mergeCell ref="BE33:BG33"/>
    <mergeCell ref="BH34:BI34"/>
    <mergeCell ref="BJ35:BK35"/>
    <mergeCell ref="V14:X14"/>
    <mergeCell ref="Y15:Z15"/>
    <mergeCell ref="AA16:AB16"/>
    <mergeCell ref="AC18:AD18"/>
    <mergeCell ref="AE19:AF19"/>
    <mergeCell ref="AG20:AI20"/>
    <mergeCell ref="AJ22:AN22"/>
  </mergeCells>
  <drawing r:id="rId1"/>
</worksheet>
</file>